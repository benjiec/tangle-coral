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1"/>
  <workbookPr/>
  <mc:AlternateContent xmlns:mc="http://schemas.openxmlformats.org/markup-compatibility/2006">
    <mc:Choice Requires="x15">
      <x15ac:absPath xmlns:x15ac="http://schemas.microsoft.com/office/spreadsheetml/2010/11/ac" url="/Users/viridianavila/Documents/Nature_Comms_2021_FINAL/2021_APRIL_LAST_ROUND/2021_final_submission_def/"/>
    </mc:Choice>
  </mc:AlternateContent>
  <xr:revisionPtr revIDLastSave="0" documentId="13_ncr:1_{0CACE2B7-19B3-DB47-914E-72495A89FBB0}" xr6:coauthVersionLast="47" xr6:coauthVersionMax="47" xr10:uidLastSave="{00000000-0000-0000-0000-000000000000}"/>
  <bookViews>
    <workbookView xWindow="2860" yWindow="500" windowWidth="23240" windowHeight="12560" xr2:uid="{00000000-000D-0000-FFFF-FFFF00000000}"/>
  </bookViews>
  <sheets>
    <sheet name="Index" sheetId="19" r:id="rId1"/>
    <sheet name="TableS1" sheetId="2" r:id="rId2"/>
    <sheet name="TableS2" sheetId="12" r:id="rId3"/>
    <sheet name="TableS3" sheetId="3" r:id="rId4"/>
    <sheet name="TableS4" sheetId="13" r:id="rId5"/>
    <sheet name="TableS5" sheetId="4" r:id="rId6"/>
    <sheet name="TableS6" sheetId="14" r:id="rId7"/>
    <sheet name="TableS7" sheetId="5" r:id="rId8"/>
    <sheet name="TableS8" sheetId="15" r:id="rId9"/>
    <sheet name="TableS9" sheetId="6" r:id="rId10"/>
    <sheet name="TableS10" sheetId="16" r:id="rId11"/>
    <sheet name="TableS11" sheetId="7" r:id="rId12"/>
    <sheet name="TableS12" sheetId="17"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6" l="1"/>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3" i="6"/>
  <c r="H4" i="6"/>
  <c r="H5" i="6"/>
  <c r="H6" i="6"/>
  <c r="H7" i="6"/>
  <c r="H8" i="6"/>
  <c r="H9" i="6"/>
  <c r="H10" i="6"/>
  <c r="H11" i="6"/>
  <c r="H12" i="6"/>
  <c r="H13" i="6"/>
  <c r="H14"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3" i="6"/>
  <c r="I790" i="14" l="1"/>
  <c r="I469" i="14"/>
  <c r="I7" i="14"/>
  <c r="I4" i="14"/>
  <c r="I6" i="14"/>
  <c r="I10" i="14"/>
  <c r="I11" i="14"/>
  <c r="I12" i="14"/>
  <c r="I13" i="14"/>
  <c r="I14" i="14"/>
  <c r="I15" i="14"/>
  <c r="I23" i="14"/>
  <c r="I24" i="14"/>
  <c r="I26" i="14"/>
  <c r="I31" i="14"/>
  <c r="I33" i="14"/>
  <c r="I34" i="14"/>
  <c r="I35" i="14"/>
  <c r="I36" i="14"/>
  <c r="I37" i="14"/>
  <c r="I38" i="14"/>
  <c r="I39" i="14"/>
  <c r="I40" i="14"/>
  <c r="I42" i="14"/>
  <c r="I43" i="14"/>
  <c r="I44" i="14"/>
  <c r="I47" i="14"/>
  <c r="I48" i="14"/>
  <c r="I49" i="14"/>
  <c r="I51" i="14"/>
  <c r="I52" i="14"/>
  <c r="I55" i="14"/>
  <c r="I56" i="14"/>
  <c r="I60" i="14"/>
  <c r="I63" i="14"/>
  <c r="I70" i="14"/>
  <c r="I76" i="14"/>
  <c r="I79" i="14"/>
  <c r="I82" i="14"/>
  <c r="I83" i="14"/>
  <c r="I84" i="14"/>
  <c r="I88" i="14"/>
  <c r="I89" i="14"/>
  <c r="I92" i="14"/>
  <c r="I93" i="14"/>
  <c r="I95" i="14"/>
  <c r="I97" i="14"/>
  <c r="I102" i="14"/>
  <c r="I103" i="14"/>
  <c r="I104" i="14"/>
  <c r="I105" i="14"/>
  <c r="I106" i="14"/>
  <c r="I107" i="14"/>
  <c r="I108" i="14"/>
  <c r="I109" i="14"/>
  <c r="I110" i="14"/>
  <c r="I111" i="14"/>
  <c r="I112" i="14"/>
  <c r="I113" i="14"/>
  <c r="I115" i="14"/>
  <c r="I120" i="14"/>
  <c r="I121" i="14"/>
  <c r="I123" i="14"/>
  <c r="I124" i="14"/>
  <c r="I125" i="14"/>
  <c r="I126" i="14"/>
  <c r="I128" i="14"/>
  <c r="I129" i="14"/>
  <c r="I130" i="14"/>
  <c r="I131" i="14"/>
  <c r="I132" i="14"/>
  <c r="I135" i="14"/>
  <c r="I136" i="14"/>
  <c r="I137" i="14"/>
  <c r="I138" i="14"/>
  <c r="I139" i="14"/>
  <c r="I140" i="14"/>
  <c r="I145" i="14"/>
  <c r="I146" i="14"/>
  <c r="I147" i="14"/>
  <c r="I148" i="14"/>
  <c r="I149" i="14"/>
  <c r="I152" i="14"/>
  <c r="I153" i="14"/>
  <c r="I154" i="14"/>
  <c r="I156" i="14"/>
  <c r="I158" i="14"/>
  <c r="I159" i="14"/>
  <c r="I160" i="14"/>
  <c r="I161" i="14"/>
  <c r="I162" i="14"/>
  <c r="I163" i="14"/>
  <c r="I164" i="14"/>
  <c r="I165" i="14"/>
  <c r="I166" i="14"/>
  <c r="I167" i="14"/>
  <c r="I168" i="14"/>
  <c r="I170" i="14"/>
  <c r="I172" i="14"/>
  <c r="I174" i="14"/>
  <c r="I175" i="14"/>
  <c r="I176" i="14"/>
  <c r="I178" i="14"/>
  <c r="I179" i="14"/>
  <c r="I180" i="14"/>
  <c r="I181" i="14"/>
  <c r="I182" i="14"/>
  <c r="I184" i="14"/>
  <c r="I187" i="14"/>
  <c r="I190" i="14"/>
  <c r="I191" i="14"/>
  <c r="I194" i="14"/>
  <c r="I196" i="14"/>
  <c r="I198" i="14"/>
  <c r="I201" i="14"/>
  <c r="I202" i="14"/>
  <c r="I205" i="14"/>
  <c r="I206" i="14"/>
  <c r="I207" i="14"/>
  <c r="I210" i="14"/>
  <c r="I211" i="14"/>
  <c r="I212" i="14"/>
  <c r="I214" i="14"/>
  <c r="I215" i="14"/>
  <c r="I216" i="14"/>
  <c r="I221" i="14"/>
  <c r="I222" i="14"/>
  <c r="I223" i="14"/>
  <c r="I225" i="14"/>
  <c r="I229" i="14"/>
  <c r="I230" i="14"/>
  <c r="I232" i="14"/>
  <c r="I236" i="14"/>
  <c r="I239" i="14"/>
  <c r="I244" i="14"/>
  <c r="I245" i="14"/>
  <c r="I250" i="14"/>
  <c r="I251" i="14"/>
  <c r="I253" i="14"/>
  <c r="I254" i="14"/>
  <c r="I255" i="14"/>
  <c r="I463" i="14"/>
  <c r="I488" i="14"/>
  <c r="I489" i="14"/>
  <c r="I492" i="14"/>
  <c r="I497" i="14"/>
  <c r="I499" i="14"/>
  <c r="I500" i="14"/>
  <c r="I513" i="14"/>
  <c r="I521" i="14"/>
  <c r="I525" i="14"/>
  <c r="I537" i="14"/>
  <c r="I538" i="14"/>
  <c r="I542" i="14"/>
  <c r="I558" i="14"/>
  <c r="I561" i="14"/>
  <c r="I571" i="14"/>
  <c r="I581" i="14"/>
  <c r="I592" i="14"/>
  <c r="I593" i="14"/>
  <c r="I610" i="14"/>
  <c r="I612" i="14"/>
  <c r="I616" i="14"/>
  <c r="I617" i="14"/>
  <c r="I618" i="14"/>
  <c r="I619" i="14"/>
  <c r="I629" i="14"/>
  <c r="I642" i="14"/>
  <c r="I644" i="14"/>
  <c r="I647" i="14"/>
  <c r="I653" i="14"/>
  <c r="I655" i="14"/>
  <c r="I660" i="14"/>
  <c r="I667" i="14"/>
  <c r="I679" i="14"/>
  <c r="I680" i="14"/>
  <c r="I699" i="14"/>
  <c r="I700" i="14"/>
  <c r="I708" i="14"/>
  <c r="I709" i="14"/>
  <c r="I716" i="14"/>
  <c r="I730" i="14"/>
  <c r="I731" i="14"/>
  <c r="I739" i="14"/>
  <c r="I745" i="14"/>
  <c r="I754" i="14"/>
  <c r="I758" i="14"/>
  <c r="I760" i="14"/>
  <c r="I761" i="14"/>
  <c r="I765" i="14"/>
  <c r="I766" i="14"/>
  <c r="I775" i="14"/>
  <c r="I791" i="14"/>
  <c r="I792" i="14"/>
  <c r="I795" i="14"/>
  <c r="I797" i="14"/>
  <c r="I798" i="14"/>
  <c r="I799" i="14"/>
  <c r="I803" i="14"/>
  <c r="I806" i="14"/>
  <c r="I808" i="14"/>
  <c r="I815" i="14"/>
  <c r="I816" i="14"/>
  <c r="I820" i="14"/>
  <c r="I823" i="14"/>
  <c r="I831" i="14"/>
  <c r="I834" i="14"/>
  <c r="I835" i="14"/>
  <c r="I3" i="14"/>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3" i="3"/>
  <c r="H457" i="14" l="1"/>
  <c r="H642" i="14"/>
  <c r="H594" i="14"/>
  <c r="H486" i="14"/>
  <c r="H237" i="14"/>
  <c r="H201" i="14"/>
  <c r="H189" i="14"/>
  <c r="H117" i="14"/>
  <c r="H746" i="14"/>
  <c r="H561" i="14"/>
  <c r="H489" i="14"/>
  <c r="H156" i="14"/>
  <c r="H120" i="14"/>
  <c r="H653" i="14"/>
  <c r="H641" i="14"/>
  <c r="H581" i="14"/>
  <c r="H569" i="14"/>
  <c r="H557" i="14"/>
  <c r="H521" i="14"/>
  <c r="H473" i="14"/>
  <c r="H176" i="14"/>
  <c r="H116" i="14"/>
  <c r="H92" i="14"/>
  <c r="H709" i="14"/>
  <c r="H537" i="14"/>
  <c r="H59" i="14"/>
  <c r="H513" i="14"/>
  <c r="H240" i="14"/>
  <c r="H599" i="14"/>
  <c r="H197" i="14"/>
  <c r="H6" i="14"/>
  <c r="H499" i="14"/>
  <c r="H592" i="14"/>
  <c r="H175" i="14"/>
  <c r="H139" i="14"/>
  <c r="H127" i="14"/>
  <c r="H103" i="14"/>
  <c r="H79" i="14"/>
  <c r="H55" i="14"/>
  <c r="H43" i="14"/>
  <c r="H31" i="14"/>
  <c r="H816" i="14"/>
  <c r="H708" i="14"/>
  <c r="H797" i="14"/>
  <c r="H204" i="14"/>
  <c r="H13" i="14"/>
  <c r="H492" i="14"/>
  <c r="H58" i="14"/>
  <c r="H111" i="14"/>
  <c r="H535" i="14"/>
  <c r="H511" i="14"/>
  <c r="H463" i="14"/>
  <c r="H250" i="14"/>
  <c r="H178" i="14"/>
  <c r="H166" i="14"/>
  <c r="H94" i="14"/>
  <c r="H488" i="14"/>
  <c r="H193" i="14"/>
  <c r="H155" i="14"/>
  <c r="H109" i="14"/>
  <c r="H5" i="14"/>
  <c r="H699" i="14"/>
  <c r="H585" i="14"/>
  <c r="H515" i="14"/>
  <c r="H241" i="14"/>
  <c r="H149" i="14"/>
  <c r="H36" i="14"/>
  <c r="H680" i="14"/>
  <c r="H514" i="14"/>
  <c r="H481" i="14"/>
  <c r="H183" i="14"/>
  <c r="H148" i="14"/>
  <c r="H98" i="14"/>
  <c r="H34" i="14"/>
  <c r="H835" i="14"/>
  <c r="H480" i="14"/>
  <c r="H181" i="14"/>
  <c r="H95" i="14"/>
  <c r="H651" i="14"/>
  <c r="H543" i="14"/>
  <c r="H495" i="14"/>
  <c r="H459" i="14"/>
  <c r="H210" i="14"/>
  <c r="H18" i="14"/>
  <c r="H803" i="14"/>
  <c r="H542" i="14"/>
  <c r="H458" i="14"/>
  <c r="H233" i="14"/>
  <c r="H125" i="14"/>
  <c r="H29" i="14"/>
  <c r="H649" i="14"/>
  <c r="H256" i="14"/>
  <c r="H28" i="14"/>
  <c r="H501" i="14"/>
  <c r="H823" i="14"/>
  <c r="H479" i="14"/>
  <c r="H134" i="14"/>
  <c r="H255" i="14"/>
  <c r="H219" i="14"/>
  <c r="H159" i="14"/>
  <c r="H63" i="14"/>
  <c r="H15" i="14"/>
  <c r="H525" i="14"/>
  <c r="H502" i="14"/>
  <c r="H808" i="14"/>
  <c r="H644" i="14"/>
  <c r="H85" i="14"/>
  <c r="H23" i="14"/>
  <c r="H500" i="14"/>
  <c r="H206" i="14"/>
  <c r="H170" i="14"/>
  <c r="H254" i="14"/>
  <c r="H634" i="14"/>
  <c r="H12" i="14"/>
  <c r="H798" i="14"/>
  <c r="H538" i="14"/>
  <c r="H205" i="14"/>
  <c r="H167" i="14"/>
  <c r="H119" i="14"/>
  <c r="H217" i="15"/>
  <c r="H105" i="15"/>
  <c r="H151" i="15"/>
  <c r="H25" i="15"/>
  <c r="H30" i="15"/>
  <c r="H32" i="15"/>
  <c r="H215" i="15"/>
  <c r="H54" i="15"/>
  <c r="H29" i="15"/>
  <c r="H40" i="15"/>
  <c r="H48" i="15"/>
  <c r="H63" i="15"/>
  <c r="H12" i="15"/>
  <c r="H41" i="15"/>
  <c r="H127" i="15"/>
  <c r="H213" i="15"/>
  <c r="H38" i="15"/>
  <c r="H62" i="15"/>
  <c r="H225" i="15"/>
  <c r="H160" i="15"/>
  <c r="H143" i="15"/>
  <c r="H8" i="15"/>
  <c r="H11" i="15"/>
  <c r="H35" i="15"/>
  <c r="H137" i="15"/>
  <c r="H118" i="15"/>
  <c r="H67" i="15"/>
  <c r="H14" i="15"/>
  <c r="H181" i="15"/>
  <c r="H155" i="15"/>
  <c r="H204" i="15"/>
</calcChain>
</file>

<file path=xl/sharedStrings.xml><?xml version="1.0" encoding="utf-8"?>
<sst xmlns="http://schemas.openxmlformats.org/spreadsheetml/2006/main" count="19668" uniqueCount="5256">
  <si>
    <t>id</t>
  </si>
  <si>
    <t>baseMean</t>
  </si>
  <si>
    <t>log2FoldChange</t>
  </si>
  <si>
    <t>lfcSE</t>
  </si>
  <si>
    <t>stat</t>
  </si>
  <si>
    <t>pvalue</t>
  </si>
  <si>
    <t>padj</t>
  </si>
  <si>
    <t>KO</t>
  </si>
  <si>
    <t>Description</t>
  </si>
  <si>
    <t>TRINITY_DN133010_c0_g1</t>
  </si>
  <si>
    <t>-</t>
  </si>
  <si>
    <t>TRINITY_DN69788_c0_g2</t>
  </si>
  <si>
    <t>TRINITY_DN209127_c0_g6</t>
  </si>
  <si>
    <t>TRINITY_DN215574_c1_g1</t>
  </si>
  <si>
    <t>TRINITY_DN214478_c0_g2</t>
  </si>
  <si>
    <t>TRINITY_DN203261_c1_g1</t>
  </si>
  <si>
    <t xml:space="preserve"> K06236</t>
  </si>
  <si>
    <t xml:space="preserve">collagen </t>
  </si>
  <si>
    <t>TRINITY_DN19131_c0_g1</t>
  </si>
  <si>
    <t>TRINITY_DN216889_c5_g2</t>
  </si>
  <si>
    <t>RNA-binding protein mei2 homologue</t>
  </si>
  <si>
    <t>TRINITY_DN101348_c0_g2</t>
  </si>
  <si>
    <t>TRINITY_DN48606_c0_g1</t>
  </si>
  <si>
    <t>K01070,K09795</t>
  </si>
  <si>
    <t>yeiG, Serine hydrolase involved in the detoxification of formaldehyde</t>
  </si>
  <si>
    <t>K19527</t>
  </si>
  <si>
    <t>vacuolar sorting protein 13D</t>
  </si>
  <si>
    <t>TRINITY_DN10408_c0_g3</t>
  </si>
  <si>
    <t>TRINITY_DN219930_c3_g13</t>
  </si>
  <si>
    <t>TRINITY_DN29380_c0_g1</t>
  </si>
  <si>
    <t>TRINITY_DN82298_c0_g2</t>
  </si>
  <si>
    <t>TRINITY_DN332658_c0_g1</t>
  </si>
  <si>
    <t>TRINITY_DN68465_c0_g1</t>
  </si>
  <si>
    <t>TRINITY_DN68014_c0_g1</t>
  </si>
  <si>
    <t>TRINITY_DN215093_c4_g1</t>
  </si>
  <si>
    <t>TRINITY_DN146551_c0_g1</t>
  </si>
  <si>
    <t>TRINITY_DN136985_c0_g4</t>
  </si>
  <si>
    <t>TRINITY_DN54874_c0_g2</t>
  </si>
  <si>
    <t>TRINITY_DN119855_c0_g1</t>
  </si>
  <si>
    <t>TRINITY_DN134730_c0_g1</t>
  </si>
  <si>
    <t>TRINITY_DN6716_c0_g1</t>
  </si>
  <si>
    <t>TRINITY_DN213821_c5_g11</t>
  </si>
  <si>
    <t>TRINITY_DN219930_c3_g12</t>
  </si>
  <si>
    <t>TRINITY_DN188342_c10_g5</t>
  </si>
  <si>
    <t>TRINITY_DN192108_c1_g2</t>
  </si>
  <si>
    <t>K08202</t>
  </si>
  <si>
    <t>MFS transporter, OCT family, solute carrier family 22 (organic cation transporter), member 4/5</t>
  </si>
  <si>
    <t>TRINITY_DN202268_c1_g1</t>
  </si>
  <si>
    <t>TRINITY_DN196392_c0_g2</t>
  </si>
  <si>
    <t>K06641</t>
  </si>
  <si>
    <t>TRINITY_DN216688_c3_g3</t>
  </si>
  <si>
    <t>DUN1, Belongs to the protein kinase superfamily</t>
  </si>
  <si>
    <t>K19501</t>
  </si>
  <si>
    <t>anoctamin-7</t>
  </si>
  <si>
    <t>TRINITY_DN7731_c0_g2</t>
  </si>
  <si>
    <t>TRINITY_DN198446_c0_g1</t>
  </si>
  <si>
    <t>TRINITY_DN134730_c0_g2</t>
  </si>
  <si>
    <t>TRINITY_DN135274_c0_g1</t>
  </si>
  <si>
    <t>TRINITY_DN146320_c0_g1</t>
  </si>
  <si>
    <t>TRINITY_DN119855_c0_g5</t>
  </si>
  <si>
    <t>TRINITY_DN204832_c1_g3</t>
  </si>
  <si>
    <t>TRINITY_DN70100_c0_g3</t>
  </si>
  <si>
    <t>TRINITY_DN206197_c3_g9</t>
  </si>
  <si>
    <t>K21989</t>
  </si>
  <si>
    <t>ERD4, CSC1-like protein ERD4</t>
  </si>
  <si>
    <t>TRINITY_DN62247_c0_g2</t>
  </si>
  <si>
    <t>TRINITY_DN201099_c2_g2</t>
  </si>
  <si>
    <t>TRINITY_DN141749_c0_g2</t>
  </si>
  <si>
    <t>TRINITY_DN72903_c0_g2</t>
  </si>
  <si>
    <t>TRINITY_DN86615_c0_g1</t>
  </si>
  <si>
    <t>TRINITY_DN187818_c3_g1</t>
  </si>
  <si>
    <t>TRINITY_DN204935_c6_g1</t>
  </si>
  <si>
    <t>TRINITY_DN222617_c0_g2</t>
  </si>
  <si>
    <t xml:space="preserve">K06825 </t>
  </si>
  <si>
    <t>fibrillin 1</t>
  </si>
  <si>
    <t>TRINITY_DN198446_c0_g2</t>
  </si>
  <si>
    <t>TRINITY_DN206744_c3_g2</t>
  </si>
  <si>
    <t>protein polyglycylation</t>
  </si>
  <si>
    <t>TRINITY_DN154524_c0_g3</t>
  </si>
  <si>
    <t>TRINITY_DN74585_c0_g1</t>
  </si>
  <si>
    <t>TRINITY_DN204861_c1_g1</t>
  </si>
  <si>
    <t>TRINITY_DN138993_c0_g1</t>
  </si>
  <si>
    <t>TRINITY_DN212257_c1_g2</t>
  </si>
  <si>
    <t>TRINITY_DN197358_c6_g13</t>
  </si>
  <si>
    <t>K06254</t>
  </si>
  <si>
    <t>TRINITY_DN107864_c0_g2</t>
  </si>
  <si>
    <t>calcium ion binding</t>
  </si>
  <si>
    <t>TRINITY_DN141779_c0_g5</t>
  </si>
  <si>
    <t>TRINITY_DN138235_c0_g1</t>
  </si>
  <si>
    <t>TRINITY_DN89245_c0_g1</t>
  </si>
  <si>
    <t>TRINITY_DN72876_c0_g1</t>
  </si>
  <si>
    <t>TRINITY_DN149927_c0_g5</t>
  </si>
  <si>
    <t>hyaluronic acid binding</t>
  </si>
  <si>
    <t>TRINITY_DN180383_c0_g12</t>
  </si>
  <si>
    <t>TRINITY_DN389124_c0_g1</t>
  </si>
  <si>
    <t>K06825,K06254</t>
  </si>
  <si>
    <t>K03654,K07114,K14949</t>
  </si>
  <si>
    <t>Vault protein inter-alpha-trypsin domain</t>
  </si>
  <si>
    <t>TRINITY_DN198015_c0_g4</t>
  </si>
  <si>
    <t>calcium ion binding, putative aggrecan</t>
  </si>
  <si>
    <t>TRINITY_DN209518_c1_g4</t>
  </si>
  <si>
    <t>TRINITY_DN216360_c0_g6</t>
  </si>
  <si>
    <t>TRINITY_DN204445_c3_g1</t>
  </si>
  <si>
    <t>TRINITY_DN225772_c0_g1</t>
  </si>
  <si>
    <t>TRINITY_DN216591_c1_g1</t>
  </si>
  <si>
    <t>TRINITY_DN204608_c2_g1</t>
  </si>
  <si>
    <t>K06643</t>
  </si>
  <si>
    <t>E3 ubiquitin-protein ligase Mdm2</t>
  </si>
  <si>
    <t>TRINITY_DN174065_c0_g4</t>
  </si>
  <si>
    <t>TRINITY_DN100360_c0_g2</t>
  </si>
  <si>
    <t>K19767,K09542,K19766,K19769</t>
  </si>
  <si>
    <t>Belongs to the small heat shock protein (HSP20) family</t>
  </si>
  <si>
    <t>TRINITY_DN208824_c1_g3</t>
  </si>
  <si>
    <t>TRINITY_DN197168_c1_g1</t>
  </si>
  <si>
    <t>K13868</t>
  </si>
  <si>
    <t>L-alpha-amino acid transmembrane transport</t>
  </si>
  <si>
    <t>TRINITY_DN157834_c0_g3</t>
  </si>
  <si>
    <t>TRINITY_DN195585_c1_g6</t>
  </si>
  <si>
    <t>TRINITY_DN216550_c3_g1</t>
  </si>
  <si>
    <t>collagen, type I, alpha</t>
  </si>
  <si>
    <t>TRINITY_DN194757_c4_g4</t>
  </si>
  <si>
    <t>TRINITY_DN214787_c2_g6</t>
  </si>
  <si>
    <t>K19947</t>
  </si>
  <si>
    <t>NADPH:sulfur oxidoreductase activity</t>
  </si>
  <si>
    <t>Sulfite exporter TauE/SafE</t>
  </si>
  <si>
    <t>TRINITY_DN146320_c0_g2</t>
  </si>
  <si>
    <t>TRINITY_DN122184_c0_g2</t>
  </si>
  <si>
    <t>TRINITY_DN146810_c0_g5</t>
  </si>
  <si>
    <t xml:space="preserve"> K06558</t>
  </si>
  <si>
    <t>TRINITY_DN188688_c2_g7</t>
  </si>
  <si>
    <t>TRINITY_DN217064_c2_g1</t>
  </si>
  <si>
    <t>Cysteine-rich and transmembrane domain-containing protein 1</t>
  </si>
  <si>
    <t>TRINITY_DN168668_c0_g1</t>
  </si>
  <si>
    <t>TRINITY_DN187798_c1_g1</t>
  </si>
  <si>
    <t>macrophage scavenger receptor 1</t>
  </si>
  <si>
    <t>TRINITY_DN196771_c1_g1</t>
  </si>
  <si>
    <t xml:space="preserve">K14385 </t>
  </si>
  <si>
    <t>solute carrier family 5 (sodium/iodide cotransporter), member 5</t>
  </si>
  <si>
    <t>TRINITY_DN211472_c1_g4</t>
  </si>
  <si>
    <t>K14611</t>
  </si>
  <si>
    <t>sodium-dependent L-ascorbate transmembrane transporter activity</t>
  </si>
  <si>
    <t>TRINITY_DN212997_c1_g6</t>
  </si>
  <si>
    <t>Protein tyrosine kinase</t>
  </si>
  <si>
    <t>K18246</t>
  </si>
  <si>
    <t>carbonic anhydrase</t>
  </si>
  <si>
    <t>TRINITY_DN430167_c0_g1</t>
  </si>
  <si>
    <t>TRINITY_DN147749_c0_g2</t>
  </si>
  <si>
    <t>K09640</t>
  </si>
  <si>
    <t>transmembrane protease serine 9, serine-type aminopeptidase activity</t>
  </si>
  <si>
    <t>TRINITY_DN25698_c0_g1</t>
  </si>
  <si>
    <t>TRINITY_DN221340_c18_g5</t>
  </si>
  <si>
    <t>TRINITY_DN221340_c17_g14</t>
  </si>
  <si>
    <t>TRINITY_DN128742_c0_g3</t>
  </si>
  <si>
    <t>K06793</t>
  </si>
  <si>
    <t>versican core protein</t>
  </si>
  <si>
    <t>TRINITY_DN197793_c12_g1</t>
  </si>
  <si>
    <t>TRINITY_DN211379_c1_g13</t>
  </si>
  <si>
    <t>K06794</t>
  </si>
  <si>
    <t>hyaluronic acid binding, neurocan core protein</t>
  </si>
  <si>
    <t>TRINITY_DN166434_c0_g1</t>
  </si>
  <si>
    <t>TRINITY_DN93031_c0_g1</t>
  </si>
  <si>
    <t>K18245</t>
  </si>
  <si>
    <t>TRINITY_DN196177_c4_g4</t>
  </si>
  <si>
    <t>TRINITY_DN310617_c0_g1</t>
  </si>
  <si>
    <t>K13912</t>
  </si>
  <si>
    <t>CD5 molecule-like</t>
  </si>
  <si>
    <t>TRINITY_DN201892_c0_g1</t>
  </si>
  <si>
    <t>K15049</t>
  </si>
  <si>
    <t>K07238</t>
  </si>
  <si>
    <t>endonuclease activity</t>
  </si>
  <si>
    <t>ZIP family transporter</t>
  </si>
  <si>
    <t>TRINITY_DN199776_c3_g1</t>
  </si>
  <si>
    <t>TRINITY_DN69828_c0_g1</t>
  </si>
  <si>
    <t>TRINITY_DN221059_c8_g12</t>
  </si>
  <si>
    <t>K10104</t>
  </si>
  <si>
    <t>signaling receptor binding,ficolin</t>
  </si>
  <si>
    <t>TRINITY_DN202367_c5_g2</t>
  </si>
  <si>
    <t>TRINITY_DN220881_c3_g3</t>
  </si>
  <si>
    <t>TRINITY_DN157925_c0_g3</t>
  </si>
  <si>
    <t>TRINITY_DN209939_c2_g2</t>
  </si>
  <si>
    <t>Calcium-dependent protein kinase</t>
  </si>
  <si>
    <t>ko</t>
  </si>
  <si>
    <t>TRINITY_DN216360_c0_g4</t>
  </si>
  <si>
    <t>TRINITY_DN182131_c1_g1</t>
  </si>
  <si>
    <t>TRINITY_DN165847_c1_g1</t>
  </si>
  <si>
    <t>TRINITY_DN209862_c1_g1</t>
  </si>
  <si>
    <t>K02583</t>
  </si>
  <si>
    <t>tumor necrosis factor receptor superfamily member 16-like</t>
  </si>
  <si>
    <t>TRINITY_DN194124_c4_g1</t>
  </si>
  <si>
    <t>TRINITY_DN209518_c1_g3</t>
  </si>
  <si>
    <t>TRINITY_DN28657_c0_g2</t>
  </si>
  <si>
    <t>K09627</t>
  </si>
  <si>
    <t>TRINITY_DN205189_c2_g2</t>
  </si>
  <si>
    <t>TRINITY_DN186926_c1_g2</t>
  </si>
  <si>
    <t xml:space="preserve">K19865 </t>
  </si>
  <si>
    <t>K06793,K06254</t>
  </si>
  <si>
    <t>TRINITY_DN171677_c7_g7</t>
  </si>
  <si>
    <t>calcium ion binding, versican protein</t>
  </si>
  <si>
    <t>TRINITY_DN218189_c0_g3</t>
  </si>
  <si>
    <t>K05747</t>
  </si>
  <si>
    <t>ephrin type-A receptor 4-like</t>
  </si>
  <si>
    <t>ubiquitin-protein transferase activity</t>
  </si>
  <si>
    <t>TRINITY_DN185605_c1_g4</t>
  </si>
  <si>
    <t>TRINITY_DN136145_c0_g1</t>
  </si>
  <si>
    <t>TRINITY_DN34915_c0_g2</t>
  </si>
  <si>
    <t>TRINITY_DN178858_c2_g2</t>
  </si>
  <si>
    <t>TRINITY_DN212997_c1_g3</t>
  </si>
  <si>
    <t>K18245,K01672</t>
  </si>
  <si>
    <t>carbonic anhydrase,positive regulation of dipeptide transport</t>
  </si>
  <si>
    <t>TRINITY_DN196186_c3_g2</t>
  </si>
  <si>
    <t>TRINITY_DN205282_c7_g1</t>
  </si>
  <si>
    <t>TRINITY_DN206820_c1_g4</t>
  </si>
  <si>
    <t xml:space="preserve"> K19899</t>
  </si>
  <si>
    <t>pancreatic secretory granule membrane major glycoprotein GP2-like</t>
  </si>
  <si>
    <t>K14078,K14453</t>
  </si>
  <si>
    <t>TRINITY_DN181322_c4_g2</t>
  </si>
  <si>
    <t xml:space="preserve"> solute carrier transporter, secondary active sulfate transmembrane transporter activity</t>
  </si>
  <si>
    <t>TRINITY_DN213394_c0_g2</t>
  </si>
  <si>
    <t>TRINITY_DN151915_c0_g2</t>
  </si>
  <si>
    <t>TRINITY_DN183815_c0_g1</t>
  </si>
  <si>
    <t>TRINITY_DN190069_c0_g2</t>
  </si>
  <si>
    <t>TRINITY_DN183601_c0_g3</t>
  </si>
  <si>
    <t>K00512,K17813</t>
  </si>
  <si>
    <t>cytochrome P450</t>
  </si>
  <si>
    <t>TRINITY_DN208568_c0_g8</t>
  </si>
  <si>
    <t>TRINITY_DN204424_c1_g1</t>
  </si>
  <si>
    <t>TRINITY_DN113910_c0_g2</t>
  </si>
  <si>
    <t>organic anion transmembrane transporter activity</t>
  </si>
  <si>
    <t>TRINITY_DN188232_c0_g3</t>
  </si>
  <si>
    <t>TRINITY_DN116143_c0_g1</t>
  </si>
  <si>
    <t>TRINITY_DN192640_c1_g4</t>
  </si>
  <si>
    <t>TRINITY_DN217947_c4_g8</t>
  </si>
  <si>
    <t>K09442</t>
  </si>
  <si>
    <t>protein c-ets-2-A-like isoform X2</t>
  </si>
  <si>
    <t>TRINITY_DN189161_c0_g2</t>
  </si>
  <si>
    <t>K09676</t>
  </si>
  <si>
    <t>K18468</t>
  </si>
  <si>
    <t>Galactose-3-O-sulfotransferase</t>
  </si>
  <si>
    <t>Plays a role in vesicular protein sorting</t>
  </si>
  <si>
    <t>TRINITY_DN219297_c3_g12</t>
  </si>
  <si>
    <t>TRINITY_DN196897_c1_g1</t>
  </si>
  <si>
    <t>TRINITY_DN31863_c0_g1</t>
  </si>
  <si>
    <t>K18273,K18274,K19899</t>
  </si>
  <si>
    <t>thick ascending limb development</t>
  </si>
  <si>
    <t>TRINITY_DN218104_c3_g6</t>
  </si>
  <si>
    <t>TRINITY_DN204475_c5_g4</t>
  </si>
  <si>
    <t>K14704</t>
  </si>
  <si>
    <t>TRINITY_DN204755_c1_g2</t>
  </si>
  <si>
    <t>TRINITY_DN202646_c0_g1</t>
  </si>
  <si>
    <t>TRINITY_DN208642_c1_g3</t>
  </si>
  <si>
    <t>K13047</t>
  </si>
  <si>
    <t>AAA domain</t>
  </si>
  <si>
    <t>K22016</t>
  </si>
  <si>
    <t>TRINITY_DN204910_c1_g1</t>
  </si>
  <si>
    <t>mucin3, von Willebrand factor D and EGF</t>
  </si>
  <si>
    <t>TRINITY_DN120573_c0_g1</t>
  </si>
  <si>
    <t>TRINITY_DN200443_c1_g6</t>
  </si>
  <si>
    <t>TRINITY_DN182825_c0_g1</t>
  </si>
  <si>
    <t>TRINITY_DN202536_c1_g1</t>
  </si>
  <si>
    <t>TRINITY_DN202971_c0_g4</t>
  </si>
  <si>
    <t>MAC/Perforin domain</t>
  </si>
  <si>
    <t>TRINITY_DN217749_c4_g2</t>
  </si>
  <si>
    <t>K05658</t>
  </si>
  <si>
    <t>K02599</t>
  </si>
  <si>
    <t>TRINITY_DN183601_c0_g5</t>
  </si>
  <si>
    <t>Notch1</t>
  </si>
  <si>
    <t>TRINITY_DN12366_c0_g1</t>
  </si>
  <si>
    <t>TRINITY_DN196922_c0_g1</t>
  </si>
  <si>
    <t>TRINITY_DN178704_c0_g1</t>
  </si>
  <si>
    <t>TRINITY_DN208898_c1_g2</t>
  </si>
  <si>
    <t>K08211</t>
  </si>
  <si>
    <t>TRINITY_DN203534_c1_g2</t>
  </si>
  <si>
    <t>TRINITY_DN193641_c1_g1</t>
  </si>
  <si>
    <t>regulation of endocannabinoid signaling pathway</t>
  </si>
  <si>
    <t>TRINITY_DN106609_c0_g2</t>
  </si>
  <si>
    <t>K10144</t>
  </si>
  <si>
    <t>TRINITY_DN177798_c2_g4</t>
  </si>
  <si>
    <t>TRINITY_DN212432_c3_g9</t>
  </si>
  <si>
    <t>K07766</t>
  </si>
  <si>
    <t>TRINITY_DN198092_c1_g2</t>
  </si>
  <si>
    <t xml:space="preserve"> K06846</t>
  </si>
  <si>
    <t>putative lymphocyte antigen 6H-like isoform X2</t>
  </si>
  <si>
    <t>TRINITY_DN174426_c0_g2</t>
  </si>
  <si>
    <t>TRINITY_DN393270_c0_g1</t>
  </si>
  <si>
    <t>Fibrinogen C</t>
  </si>
  <si>
    <t>TRINITY_DN190396_c0_g1</t>
  </si>
  <si>
    <t>TRINITY_DN166568_c1_g18</t>
  </si>
  <si>
    <t>K03320</t>
  </si>
  <si>
    <t>TRINITY_DN193196_c5_g2</t>
  </si>
  <si>
    <t>ammonium transmembrane transporter activity</t>
  </si>
  <si>
    <t>TRINITY_DN196254_c0_g1</t>
  </si>
  <si>
    <t>sushi domain-containing protein 2-like</t>
  </si>
  <si>
    <t>solute carrier family 26 (sulfate anion transporter), member 6</t>
  </si>
  <si>
    <t>TRINITY_DN195980_c6_g1</t>
  </si>
  <si>
    <t>TRINITY_DN220881_c1_g3</t>
  </si>
  <si>
    <t>TRINITY_DN149489_c0_g1</t>
  </si>
  <si>
    <t>K08465</t>
  </si>
  <si>
    <t>TRINITY_DN213200_c0_g3</t>
  </si>
  <si>
    <t>TRINITY_DN196962_c1_g2</t>
  </si>
  <si>
    <t>K01047</t>
  </si>
  <si>
    <t>Group IID secretory phospholipase A2</t>
  </si>
  <si>
    <t>TRINITY_DN193504_c0_g9</t>
  </si>
  <si>
    <t>K05502</t>
  </si>
  <si>
    <t>TRINITY_DN186473_c0_g1</t>
  </si>
  <si>
    <t>TRINITY_DN202633_c1_g1</t>
  </si>
  <si>
    <t>TRINITY_DN220881_c3_g2</t>
  </si>
  <si>
    <t>TRINITY_DN343216_c0_g1</t>
  </si>
  <si>
    <t>TRINITY_DN182336_c1_g1</t>
  </si>
  <si>
    <t>TRINITY_DN157721_c0_g3</t>
  </si>
  <si>
    <t xml:space="preserve">K16857 </t>
  </si>
  <si>
    <t>putative thrombospondin-1-like, partial</t>
  </si>
  <si>
    <t>TRINITY_DN196644_c0_g1</t>
  </si>
  <si>
    <t>TRINITY_DN206136_c0_g1</t>
  </si>
  <si>
    <t>K05126</t>
  </si>
  <si>
    <t>K04145</t>
  </si>
  <si>
    <t>putative tyrosine-protein kinase receptor Tie-1-like</t>
  </si>
  <si>
    <t>dopamine receptor D2; G-protein coupled receptor activity</t>
  </si>
  <si>
    <t>K01426</t>
  </si>
  <si>
    <t>TRINITY_DN206971_c1_g1</t>
  </si>
  <si>
    <t>TRINITY_DN174374_c0_g1</t>
  </si>
  <si>
    <t>fatty acid amide hydrolase activity</t>
  </si>
  <si>
    <t>TRINITY_DN187117_c0_g1</t>
  </si>
  <si>
    <t>TRINITY_DN214491_c4_g3</t>
  </si>
  <si>
    <t>TRINITY_DN178858_c2_g1</t>
  </si>
  <si>
    <t>TRINITY_DN199343_c0_g5</t>
  </si>
  <si>
    <t>K05480</t>
  </si>
  <si>
    <t>TNF(Tumour Necrosis Factor) family</t>
  </si>
  <si>
    <t>TRINITY_DN193504_c0_g5</t>
  </si>
  <si>
    <t>K09849</t>
  </si>
  <si>
    <t>TNF receptor-associated factor 5-like</t>
  </si>
  <si>
    <t>TRINITY_DN199814_c1_g1</t>
  </si>
  <si>
    <t>TRINITY_DN199314_c7_g1</t>
  </si>
  <si>
    <t>TRINITY_DN196127_c5_g2</t>
  </si>
  <si>
    <t>TRINITY_DN121343_c0_g1</t>
  </si>
  <si>
    <t>TRINITY_DN192985_c3_g2</t>
  </si>
  <si>
    <t>K17495</t>
  </si>
  <si>
    <t>Sushi repeat-containing protein SRPX2</t>
  </si>
  <si>
    <t>TRINITY_DN203363_c2_g2</t>
  </si>
  <si>
    <t>TRINITY_DN201580_c2_g1</t>
  </si>
  <si>
    <t>K11146</t>
  </si>
  <si>
    <t>TRINITY_DN218542_c2_g3</t>
  </si>
  <si>
    <t>K09608</t>
  </si>
  <si>
    <t>K05092, K04362,K12378</t>
  </si>
  <si>
    <t>Peyer's patch morphogenesis</t>
  </si>
  <si>
    <t>TRINITY_DN199109_c1_g15</t>
  </si>
  <si>
    <t>TRINITY_DN191858_c0_g1</t>
  </si>
  <si>
    <t>TRINITY_DN2969_c0_g1</t>
  </si>
  <si>
    <t>TRINITY_DN105575_c0_g2</t>
  </si>
  <si>
    <t>TRINITY_DN195893_c2_g11</t>
  </si>
  <si>
    <t>TRINITY_DN218418_c1_g1</t>
  </si>
  <si>
    <t xml:space="preserve">putative retinol dehydrogenase 2-like </t>
  </si>
  <si>
    <t>TRINITY_DN189276_c4_g1</t>
  </si>
  <si>
    <t>TRINITY_DN199599_c0_g2</t>
  </si>
  <si>
    <t>TRINITY_DN182449_c3_g1</t>
  </si>
  <si>
    <t>TRINITY_DN210886_c1_g4</t>
  </si>
  <si>
    <t>homophilic cell adhesion via plasma membrane adhesion molecules</t>
  </si>
  <si>
    <t>TRINITY_DN198521_c0_g1</t>
  </si>
  <si>
    <t xml:space="preserve"> K07766</t>
  </si>
  <si>
    <t>putative  diphosphoinositol polyphosphate phosphohydrolase 1-like isoform X3</t>
  </si>
  <si>
    <t>TRINITY_DN178179_c1_g1</t>
  </si>
  <si>
    <t>K04165</t>
  </si>
  <si>
    <t>TRINITY_DN203880_c0_g2</t>
  </si>
  <si>
    <t>K12473</t>
  </si>
  <si>
    <t xml:space="preserve">low-density lipoprotein receptor-like </t>
  </si>
  <si>
    <t>TRINITY_DN202849_c4_g3</t>
  </si>
  <si>
    <t>TRINITY_DN136985_c0_g1</t>
  </si>
  <si>
    <t>TRINITY_DN204424_c3_g2</t>
  </si>
  <si>
    <t>TRINITY_DN205392_c1_g12</t>
  </si>
  <si>
    <t>K07521</t>
  </si>
  <si>
    <t>Predicted protein</t>
  </si>
  <si>
    <t>TRINITY_DN198092_c1_g4</t>
  </si>
  <si>
    <t>TRINITY_DN206263_c0_g9</t>
  </si>
  <si>
    <t>TRINITY_DN184928_c0_g3</t>
  </si>
  <si>
    <t>K13907</t>
  </si>
  <si>
    <t>Leukocyte cysteine proteinase inhibitor 1-like</t>
  </si>
  <si>
    <t>TRINITY_DN154712_c0_g1</t>
  </si>
  <si>
    <t>TRINITY_DN198046_c0_g4</t>
  </si>
  <si>
    <t>TRINITY_DN204289_c1_g3</t>
  </si>
  <si>
    <t>TRINITY_DN221059_c8_g7</t>
  </si>
  <si>
    <t>K00699</t>
  </si>
  <si>
    <t>UDP-glucuronosyltransferase 1-5-like</t>
  </si>
  <si>
    <t>TRINITY_DN198307_c1_g3</t>
  </si>
  <si>
    <t>K06255</t>
  </si>
  <si>
    <t>TRINITY_DN192806_c0_g1</t>
  </si>
  <si>
    <t>TRINITY_DN203015_c2_g1</t>
  </si>
  <si>
    <t>TRINITY_DN215770_c6_g3</t>
  </si>
  <si>
    <t>Polycystin cation channel</t>
  </si>
  <si>
    <t>TRINITY_DN183441_c4_g2</t>
  </si>
  <si>
    <t>TRINITY_DN387349_c0_g1</t>
  </si>
  <si>
    <t>TRINITY_DN219089_c3_g2</t>
  </si>
  <si>
    <t>TRINITY_DN199109_c1_g14</t>
  </si>
  <si>
    <t>Bacterial protein of unknown function (DUF885)</t>
  </si>
  <si>
    <t>TRINITY_DN203219_c1_g3</t>
  </si>
  <si>
    <t>TRINITY_DN196539_c0_g4</t>
  </si>
  <si>
    <t>TRINITY_DN201048_c1_g1</t>
  </si>
  <si>
    <t>TRINITY_DN179556_c2_g4</t>
  </si>
  <si>
    <t>TRINITY_DN201500_c3_g1</t>
  </si>
  <si>
    <t>K08522</t>
  </si>
  <si>
    <t>TRINITY_DN203244_c1_g1</t>
  </si>
  <si>
    <t>K14385</t>
  </si>
  <si>
    <t>TRINITY_DN178386_c0_g1</t>
  </si>
  <si>
    <t>Belongs to the sodium solute symporter (SSF) (TC 2.A.21) family</t>
  </si>
  <si>
    <t>TRINITY_DN208441_c2_g1</t>
  </si>
  <si>
    <t>TRINITY_DN204195_c6_g9</t>
  </si>
  <si>
    <t>K17527</t>
  </si>
  <si>
    <t>intelectin</t>
  </si>
  <si>
    <t>TRINITY_DN184221_c0_g2</t>
  </si>
  <si>
    <t>K05095</t>
  </si>
  <si>
    <t xml:space="preserve">fibroblast growth factor receptor 4-like </t>
  </si>
  <si>
    <t>TRINITY_DN186857_c3_g2</t>
  </si>
  <si>
    <t>TRINITY_DN89595_c0_g2</t>
  </si>
  <si>
    <t>K05673</t>
  </si>
  <si>
    <t>TRINITY_DN200368_c0_g1</t>
  </si>
  <si>
    <t>TRINITY_DN113236_c0_g1</t>
  </si>
  <si>
    <t>K14943</t>
  </si>
  <si>
    <t>TRINITY_DN192762_c0_g1</t>
  </si>
  <si>
    <t>TRINITY_DN190403_c6_g4</t>
  </si>
  <si>
    <t>TRINITY_DN183088_c0_g2</t>
  </si>
  <si>
    <t>TRINITY_DN212010_c0_g2</t>
  </si>
  <si>
    <t>TRINITY_DN200613_c1_g10</t>
  </si>
  <si>
    <t>K20051</t>
  </si>
  <si>
    <t>K03158</t>
  </si>
  <si>
    <t>tumor necrosis factor receptor superfamily member 1A</t>
  </si>
  <si>
    <t>TRINITY_DN204613_c2_g12</t>
  </si>
  <si>
    <t>TRINITY_DN208161_c5_g2</t>
  </si>
  <si>
    <t>TRINITY_DN191515_c0_g7</t>
  </si>
  <si>
    <t>TRINITY_DN211470_c1_g5</t>
  </si>
  <si>
    <t>TRINITY_DN199109_c1_g5</t>
  </si>
  <si>
    <t>TRINITY_DN184024_c0_g2</t>
  </si>
  <si>
    <t>K17341</t>
  </si>
  <si>
    <t>hemicentin-1-like</t>
  </si>
  <si>
    <t>TRINITY_DN183766_c1_g1</t>
  </si>
  <si>
    <t>TRINITY_DN221037_c2_g3</t>
  </si>
  <si>
    <t>TRINITY_DN196513_c1_g1</t>
  </si>
  <si>
    <t>K03990</t>
  </si>
  <si>
    <t>complement component 3</t>
  </si>
  <si>
    <t>K06178,K06182,K06183</t>
  </si>
  <si>
    <t>TRINITY_DN214491_c4_g2</t>
  </si>
  <si>
    <t>rluF, Belongs to the pseudouridine synthase RsuA family</t>
  </si>
  <si>
    <t>TRINITY_DN199935_c0_g7</t>
  </si>
  <si>
    <t>K13884</t>
  </si>
  <si>
    <t>macrophage receptor with collagenous structure</t>
  </si>
  <si>
    <t>TRINITY_DN187118_c4_g1</t>
  </si>
  <si>
    <t>TRINITY_DN176356_c0_g4</t>
  </si>
  <si>
    <t>TRINITY_DN216040_c0_g1</t>
  </si>
  <si>
    <t>putative muscleblind-like protein 2 isoform X8</t>
  </si>
  <si>
    <t>K07440</t>
  </si>
  <si>
    <t>cholesterol 24-hydroxylase</t>
  </si>
  <si>
    <t>TRINITY_DN184802_c1_g4</t>
  </si>
  <si>
    <t>TRINITY_DN192413_c0_g1</t>
  </si>
  <si>
    <t>TRINITY_DN199675_c1_g1</t>
  </si>
  <si>
    <t>K11455</t>
  </si>
  <si>
    <t>chromobox protein 8</t>
  </si>
  <si>
    <t>K14462</t>
  </si>
  <si>
    <t>TRINITY_DN149035_c0_g1</t>
  </si>
  <si>
    <t>TRINITY_DN209259_c0_g2</t>
  </si>
  <si>
    <t>TRINITY_DN168017_c0_g1</t>
  </si>
  <si>
    <t>K21356</t>
  </si>
  <si>
    <t>mitofusin1</t>
  </si>
  <si>
    <t>TRINITY_DN172773_c0_g1</t>
  </si>
  <si>
    <t>TRINITY_DN202020_c1_g13</t>
  </si>
  <si>
    <t>TRINITY_DN198351_c1_g5</t>
  </si>
  <si>
    <t>TRINITY_DN197257_c2_g2</t>
  </si>
  <si>
    <t>TRINITY_DN184050_c0_g1</t>
  </si>
  <si>
    <t>TRINITY_DN221059_c7_g4</t>
  </si>
  <si>
    <t>TRINITY_DN195980_c3_g1</t>
  </si>
  <si>
    <t>TRINITY_DN183159_c0_g1</t>
  </si>
  <si>
    <t>TRINITY_DN189872_c1_g4</t>
  </si>
  <si>
    <t>TRINITY_DN214465_c6_g26</t>
  </si>
  <si>
    <t>TRINITY_DN197059_c0_g1</t>
  </si>
  <si>
    <t>TRINITY_DN221328_c16_g1</t>
  </si>
  <si>
    <t>TRINITY_DN199271_c0_g4</t>
  </si>
  <si>
    <t>TRINITY_DN136577_c0_g2</t>
  </si>
  <si>
    <t>TRINITY_DN202740_c2_g7</t>
  </si>
  <si>
    <t>TRINITY_DN203156_c3_g1</t>
  </si>
  <si>
    <t>K09487</t>
  </si>
  <si>
    <t>TRINITY_DN219089_c3_g3</t>
  </si>
  <si>
    <t>TRINITY_DN203078_c2_g1</t>
  </si>
  <si>
    <t>TRINITY_DN210688_c4_g3</t>
  </si>
  <si>
    <t>TRINITY_DN201178_c1_g1</t>
  </si>
  <si>
    <t xml:space="preserve"> K00699</t>
  </si>
  <si>
    <t>TRINITY_DN198351_c1_g20</t>
  </si>
  <si>
    <t xml:space="preserve">putative UDP-glucuronosyltransferase 1-5-like </t>
  </si>
  <si>
    <t>TRINITY_DN205272_c11_g1</t>
  </si>
  <si>
    <t>TRINITY_DN144426_c0_g1</t>
  </si>
  <si>
    <t>TRINITY_DN210460_c2_g1</t>
  </si>
  <si>
    <t xml:space="preserve">K01049 </t>
  </si>
  <si>
    <t>putative cholinesterase-like</t>
  </si>
  <si>
    <t>TRINITY_DN191232_c7_g2</t>
  </si>
  <si>
    <t>TRINITY_DN79057_c0_g1</t>
  </si>
  <si>
    <t>Sushi-repeat containing protein, X-linked 2</t>
  </si>
  <si>
    <t>TRINITY_DN217562_c2_g6</t>
  </si>
  <si>
    <t>TRINITY_DN302390_c0_g1</t>
  </si>
  <si>
    <t>TRINITY_DN219089_c2_g1</t>
  </si>
  <si>
    <t>TRINITY_DN200805_c2_g4</t>
  </si>
  <si>
    <t>TRINITY_DN204464_c0_g1</t>
  </si>
  <si>
    <t>TRINITY_DN204279_c0_g2</t>
  </si>
  <si>
    <t>TRINITY_DN220473_c2_g19</t>
  </si>
  <si>
    <t>TRINITY_DN189758_c1_g4</t>
  </si>
  <si>
    <t>K04722</t>
  </si>
  <si>
    <t>TRINITY_DN219935_c4_g3</t>
  </si>
  <si>
    <t>tumor necrosis factor receptor superfamily member 10C-like isoform X1</t>
  </si>
  <si>
    <t>TRINITY_DN205250_c4_g4</t>
  </si>
  <si>
    <t>TRINITY_DN73242_c0_g1</t>
  </si>
  <si>
    <t>K06238</t>
  </si>
  <si>
    <t>TRINITY_DN220473_c2_g13</t>
  </si>
  <si>
    <t>K05901</t>
  </si>
  <si>
    <t>TRINITY_DN197974_c0_g21</t>
  </si>
  <si>
    <t>K06252</t>
  </si>
  <si>
    <t>mesenchymal-epithelial cell signaling involved in prostate gland development</t>
  </si>
  <si>
    <t>TRINITY_DN208095_c1_g5</t>
  </si>
  <si>
    <t>TRINITY_DN178330_c1_g2</t>
  </si>
  <si>
    <t>K19755</t>
  </si>
  <si>
    <t>axoneme assembly</t>
  </si>
  <si>
    <t>TRINITY_DN161818_c0_g1</t>
  </si>
  <si>
    <t>TRINITY_DN182873_c0_g2</t>
  </si>
  <si>
    <t>TRINITY_DN303776_c0_g1</t>
  </si>
  <si>
    <t>TRINITY_DN207528_c4_g3</t>
  </si>
  <si>
    <t>K06494</t>
  </si>
  <si>
    <t>TRINITY_DN193194_c0_g1</t>
  </si>
  <si>
    <t>TRINITY_DN192983_c0_g8</t>
  </si>
  <si>
    <t>Cytochrome P450, family 46, subfamily A, polypeptide</t>
  </si>
  <si>
    <t>TRINITY_DN189161_c0_g4</t>
  </si>
  <si>
    <t>TRINITY_DN208022_c3_g2</t>
  </si>
  <si>
    <t>TRINITY_DN174426_c0_g1</t>
  </si>
  <si>
    <t>Acid trehalase-like</t>
  </si>
  <si>
    <t>TRINITY_DN154381_c0_g2</t>
  </si>
  <si>
    <t>TRINITY_DN203231_c1_g3</t>
  </si>
  <si>
    <t>TRINITY_DN190791_c0_g1</t>
  </si>
  <si>
    <t>K05039</t>
  </si>
  <si>
    <t>TRINITY_DN183324_c1_g2</t>
  </si>
  <si>
    <t>gamma-aminobutyric acid:sodium symporter activity</t>
  </si>
  <si>
    <t>TRINITY_DN175575_c0_g2</t>
  </si>
  <si>
    <t>TRINITY_DN198690_c4_g1</t>
  </si>
  <si>
    <t>TRINITY_DN193542_c1_g5</t>
  </si>
  <si>
    <t>TRINITY_DN439285_c0_g1</t>
  </si>
  <si>
    <t>TRINITY_DN157721_c0_g2</t>
  </si>
  <si>
    <t>TRINITY_DN204986_c1_g1</t>
  </si>
  <si>
    <t>TRINITY_DN198223_c0_g1</t>
  </si>
  <si>
    <t>TRINITY_DN201553_c1_g2</t>
  </si>
  <si>
    <t>K05692</t>
  </si>
  <si>
    <t>TRINITY_DN198650_c3_g1</t>
  </si>
  <si>
    <t>Actin</t>
  </si>
  <si>
    <t>TRINITY_DN198177_c1_g1</t>
  </si>
  <si>
    <t>TRINITY_DN195513_c0_g5</t>
  </si>
  <si>
    <t>K04515</t>
  </si>
  <si>
    <t>TRINITY_DN193422_c0_g1</t>
  </si>
  <si>
    <t>TRINITY_DN193330_c1_g1</t>
  </si>
  <si>
    <t xml:space="preserve"> uncharacterized skeletal organic matrix protein 7-like </t>
  </si>
  <si>
    <t>TRINITY_DN143057_c0_g1</t>
  </si>
  <si>
    <t>TRINITY_DN201001_c4_g5</t>
  </si>
  <si>
    <t>TRINITY_DN215097_c1_g3</t>
  </si>
  <si>
    <t>K01832,K07424,K17689,K17690,K17691,K17692,K17860</t>
  </si>
  <si>
    <t>TRINITY_DN185605_c2_g1</t>
  </si>
  <si>
    <t>thromboxane-A synthase activity</t>
  </si>
  <si>
    <t>TRINITY_DN216370_c1_g2</t>
  </si>
  <si>
    <t>TRINITY_DN199782_c2_g2</t>
  </si>
  <si>
    <t>Calumenin b</t>
  </si>
  <si>
    <t>TRINITY_DN190260_c0_g2</t>
  </si>
  <si>
    <t>TRINITY_DN184108_c1_g3</t>
  </si>
  <si>
    <t xml:space="preserve">putative macrophage receptor MARCO-like isoform X3 </t>
  </si>
  <si>
    <t>TRINITY_DN206339_c2_g2</t>
  </si>
  <si>
    <t>TRINITY_DN205516_c9_g2</t>
  </si>
  <si>
    <t>TRINITY_DN205955_c1_g4</t>
  </si>
  <si>
    <t>TRINITY_DN182811_c0_g3</t>
  </si>
  <si>
    <t>TRINITY_DN186307_c0_g2</t>
  </si>
  <si>
    <t>TRINITY_DN128147_c0_g2</t>
  </si>
  <si>
    <t>TRINITY_DN191171_c0_g1</t>
  </si>
  <si>
    <t>TRINITY_DN185796_c0_g1</t>
  </si>
  <si>
    <t>TRINITY_DN207722_c4_g3</t>
  </si>
  <si>
    <t>TRINITY_DN203873_c1_g2</t>
  </si>
  <si>
    <t>TRINITY_DN127792_c0_g1</t>
  </si>
  <si>
    <t>TRINITY_DN204604_c6_g2</t>
  </si>
  <si>
    <t>Dynamin, GTPase</t>
  </si>
  <si>
    <t>TRINITY_DN188127_c2_g5</t>
  </si>
  <si>
    <t>TRINITY_DN217160_c3_g4</t>
  </si>
  <si>
    <t>TRINITY_DN49450_c0_g2</t>
  </si>
  <si>
    <t>TRINITY_DN186133_c3_g5</t>
  </si>
  <si>
    <t>TRINITY_DN200795_c0_g1</t>
  </si>
  <si>
    <t>K19568</t>
  </si>
  <si>
    <t>K07189</t>
  </si>
  <si>
    <t>Starch/carbohydrate-binding module (family 53)</t>
  </si>
  <si>
    <t>TRINITY_DN190180_c1_g1</t>
  </si>
  <si>
    <t>TRINITY_DN210978_c1_g2</t>
  </si>
  <si>
    <t>TRINITY_DN178862_c3_g1</t>
  </si>
  <si>
    <t>TRINITY_DN208559_c2_g3</t>
  </si>
  <si>
    <t>K02471</t>
  </si>
  <si>
    <t>bacA</t>
  </si>
  <si>
    <t xml:space="preserve">metalloproteinase inhibitor 2-like isoform X1 </t>
  </si>
  <si>
    <t>TRINITY_DN189123_c1_g16</t>
  </si>
  <si>
    <t>TRINITY_DN214701_c2_g3</t>
  </si>
  <si>
    <t>TRINITY_DN257390_c0_g1</t>
  </si>
  <si>
    <t>TRINITY_DN180838_c7_g6</t>
  </si>
  <si>
    <t>TMEM151 family</t>
  </si>
  <si>
    <t>TRINITY_DN193422_c0_g3</t>
  </si>
  <si>
    <t>TRINITY_DN204431_c1_g3</t>
  </si>
  <si>
    <t>TRINITY_DN169741_c0_g1</t>
  </si>
  <si>
    <t>K06568</t>
  </si>
  <si>
    <t>TRINITY_DN214912_c3_g1</t>
  </si>
  <si>
    <t>von Willebrand factor (vWF) type A domain</t>
  </si>
  <si>
    <t>TRINITY_DN200035_c5_g1</t>
  </si>
  <si>
    <t>TRINITY_DN70283_c0_g2</t>
  </si>
  <si>
    <t>TRINITY_DN221004_c7_g1</t>
  </si>
  <si>
    <t>TRINITY_DN197848_c4_g4</t>
  </si>
  <si>
    <t>TRINITY_DN218256_c2_g3</t>
  </si>
  <si>
    <t>TRINITY_DN204371_c1_g2</t>
  </si>
  <si>
    <t>Tumor necrosis factor receptor / nerve growth factor receptor repeats.</t>
  </si>
  <si>
    <t>TRINITY_DN218452_c2_g3</t>
  </si>
  <si>
    <t>TRINITY_DN176067_c0_g1</t>
  </si>
  <si>
    <t>K00503</t>
  </si>
  <si>
    <t>DBH-like monooxygenase protein 1</t>
  </si>
  <si>
    <t>TRINITY_DN210429_c4_g1</t>
  </si>
  <si>
    <t>TRINITY_DN192283_c0_g1</t>
  </si>
  <si>
    <t>TRINITY_DN172472_c0_g2</t>
  </si>
  <si>
    <t>TRINITY_DN183601_c0_g1</t>
  </si>
  <si>
    <t>K06846</t>
  </si>
  <si>
    <t>Prostate stem cell antigen-like</t>
  </si>
  <si>
    <t>TRINITY_DN197919_c1_g2</t>
  </si>
  <si>
    <t>TRINITY_DN187712_c2_g2</t>
  </si>
  <si>
    <t>TRINITY_DN220364_c4_g5</t>
  </si>
  <si>
    <t>TRINITY_DN183405_c4_g1</t>
  </si>
  <si>
    <t>TRINITY_DN184091_c0_g1</t>
  </si>
  <si>
    <t>K05449</t>
  </si>
  <si>
    <t>balbiani ring protein 3-like</t>
  </si>
  <si>
    <t>TRINITY_DN194490_c1_g1</t>
  </si>
  <si>
    <t>TRINITY_DN185605_c2_g6</t>
  </si>
  <si>
    <t>TRINITY_DN165835_c0_g2</t>
  </si>
  <si>
    <t>TRINITY_DN204945_c1_g1</t>
  </si>
  <si>
    <t>TRINITY_DN167955_c0_g1</t>
  </si>
  <si>
    <t>TRINITY_DN212629_c2_g4</t>
  </si>
  <si>
    <t>TRINITY_DN186132_c4_g3</t>
  </si>
  <si>
    <t>K21626</t>
  </si>
  <si>
    <t>NFX1-type zinc finger-containing protein</t>
  </si>
  <si>
    <t>TRINITY_DN193296_c4_g1</t>
  </si>
  <si>
    <t>TRINITY_DN203770_c2_g1</t>
  </si>
  <si>
    <t>TRINITY_DN406023_c0_g1</t>
  </si>
  <si>
    <t>K05051</t>
  </si>
  <si>
    <t>TRINITY_DN200170_c0_g2</t>
  </si>
  <si>
    <t>TRINITY_DN196028_c0_g3</t>
  </si>
  <si>
    <t>TRINITY_DN169341_c0_g1</t>
  </si>
  <si>
    <t>K09542,K19766,K19769</t>
  </si>
  <si>
    <t>TRINITY_DN172719_c0_g4</t>
  </si>
  <si>
    <t>TRINITY_DN196311_c4_g2</t>
  </si>
  <si>
    <t>TRINITY_DN185832_c0_g1</t>
  </si>
  <si>
    <t>TRINITY_DN170066_c5_g2</t>
  </si>
  <si>
    <t>TRINITY_DN180456_c1_g7</t>
  </si>
  <si>
    <t>TRINITY_DN214928_c0_g3</t>
  </si>
  <si>
    <t>TRINITY_DN173542_c0_g1</t>
  </si>
  <si>
    <t>TRINITY_DN176951_c2_g7</t>
  </si>
  <si>
    <t>TRINITY_DN205528_c0_g6</t>
  </si>
  <si>
    <t>TRINITY_DN167259_c1_g1</t>
  </si>
  <si>
    <t>K10454,K10443</t>
  </si>
  <si>
    <t>K01488</t>
  </si>
  <si>
    <t xml:space="preserve">adenosine deaminase-like protein isoform X2 </t>
  </si>
  <si>
    <t>distal tubule morphogenesis, 	kelch-like protein 17 (actinfilin)</t>
  </si>
  <si>
    <t>TRINITY_DN169999_c1_g1</t>
  </si>
  <si>
    <t>TRINITY_DN193575_c3_g2</t>
  </si>
  <si>
    <t xml:space="preserve">galaxin-like </t>
  </si>
  <si>
    <t>TRINITY_DN25234_c0_g2</t>
  </si>
  <si>
    <t>TRINITY_DN193275_c0_g2</t>
  </si>
  <si>
    <t>K07998</t>
  </si>
  <si>
    <t>TRINITY_DN201020_c0_g1</t>
  </si>
  <si>
    <t>TRINITY_DN202479_c2_g1</t>
  </si>
  <si>
    <t>TRINITY_DN198633_c3_g2</t>
  </si>
  <si>
    <t>TRINITY_DN205503_c1_g6</t>
  </si>
  <si>
    <t>TRINITY_DN193039_c4_g5</t>
  </si>
  <si>
    <t>stress-induced mitochondrial fusion</t>
  </si>
  <si>
    <t>K02295</t>
  </si>
  <si>
    <t>cryptochrome</t>
  </si>
  <si>
    <t>TRINITY_DN162920_c0_g1</t>
  </si>
  <si>
    <t>TRINITY_DN187480_c2_g2</t>
  </si>
  <si>
    <t>TRINITY_DN180123_c1_g3</t>
  </si>
  <si>
    <t>TRINITY_DN193931_c0_g1</t>
  </si>
  <si>
    <t>calmodulin-dependent protein kinase activity</t>
  </si>
  <si>
    <t>TRINITY_DN215016_c1_g1</t>
  </si>
  <si>
    <t>TRINITY_DN201001_c4_g4</t>
  </si>
  <si>
    <t>TRINITY_DN189663_c1_g3</t>
  </si>
  <si>
    <t>TRINITY_DN181072_c0_g1</t>
  </si>
  <si>
    <t>TRINITY_DN188852_c0_g2</t>
  </si>
  <si>
    <t>TRINITY_DN197145_c0_g2</t>
  </si>
  <si>
    <t>TRINITY_DN201553_c1_g4</t>
  </si>
  <si>
    <t>TRINITY_DN209765_c1_g1</t>
  </si>
  <si>
    <t>TRINITY_DN171145_c2_g2</t>
  </si>
  <si>
    <t>TRINITY_DN216535_c1_g1</t>
  </si>
  <si>
    <t>TRINITY_DN74126_c0_g1</t>
  </si>
  <si>
    <t>TRINITY_DN437671_c0_g1</t>
  </si>
  <si>
    <t>Mab-21</t>
  </si>
  <si>
    <t>TRINITY_DN157508_c1_g1</t>
  </si>
  <si>
    <t>TRINITY_DN184239_c1_g1</t>
  </si>
  <si>
    <t>TRINITY_DN206242_c4_g4</t>
  </si>
  <si>
    <t>TRINITY_DN197327_c3_g2</t>
  </si>
  <si>
    <t>TRINITY_DN140915_c0_g1</t>
  </si>
  <si>
    <t>TRINITY_DN221098_c7_g5</t>
  </si>
  <si>
    <t>TRINITY_DN205405_c3_g1</t>
  </si>
  <si>
    <t>TRINITY_DN217206_c0_g25</t>
  </si>
  <si>
    <t>TRINITY_DN175095_c0_g1</t>
  </si>
  <si>
    <t>tumor necrosis factor receptor superfamily member 16</t>
  </si>
  <si>
    <t>TRINITY_DN185682_c0_g1</t>
  </si>
  <si>
    <t>TRINITY_DN226490_c0_g1</t>
  </si>
  <si>
    <t>TRINITY_DN221118_c1_g1</t>
  </si>
  <si>
    <t>Immunoglobulin C-2 Type</t>
  </si>
  <si>
    <t>TRINITY_DN220650_c4_g1</t>
  </si>
  <si>
    <t>TRINITY_DN30001_c0_g3</t>
  </si>
  <si>
    <t>TRINITY_DN55293_c0_g1</t>
  </si>
  <si>
    <t>TRINITY_DN190174_c0_g2</t>
  </si>
  <si>
    <t>K02259</t>
  </si>
  <si>
    <t>TRINITY_DN203427_c1_g2</t>
  </si>
  <si>
    <t>TRINITY_DN187917_c6_g5</t>
  </si>
  <si>
    <t>putative protein sidekick-2-like</t>
  </si>
  <si>
    <t>TRINITY_DN177429_c2_g1</t>
  </si>
  <si>
    <t>TRINITY_DN215887_c0_g5</t>
  </si>
  <si>
    <t>TRINITY_DN176584_c0_g1</t>
  </si>
  <si>
    <t>TRINITY_DN190761_c0_g2</t>
  </si>
  <si>
    <t>MAM and fibronectin type III domain-containing protein 1 (Fragment)</t>
  </si>
  <si>
    <t>Collagen triple helix</t>
  </si>
  <si>
    <t>TRINITY_DN196319_c0_g2</t>
  </si>
  <si>
    <t>TRINITY_DN218256_c2_g2</t>
  </si>
  <si>
    <t>TRINITY_DN168776_c1_g1</t>
  </si>
  <si>
    <t>K02112</t>
  </si>
  <si>
    <t>atpD,Produces ATP from ADP in the presence of a proton gradient across the membrane. The catalytic sites are hosted primarily by the beta subunits</t>
  </si>
  <si>
    <t>TRINITY_DN189084_c0_g2</t>
  </si>
  <si>
    <t>TRINITY_DN206836_c2_g5</t>
  </si>
  <si>
    <t>TRINITY_DN211470_c0_g2</t>
  </si>
  <si>
    <t>TRINITY_DN205405_c6_g1</t>
  </si>
  <si>
    <t>K21077</t>
  </si>
  <si>
    <t>TRINITY_DN220364_c4_g1</t>
  </si>
  <si>
    <t xml:space="preserve"> SH3 and PX domain-containing protein 2A-like</t>
  </si>
  <si>
    <t>TRINITY_DN176737_c3_g1</t>
  </si>
  <si>
    <t>TRINITY_DN195898_c1_g1</t>
  </si>
  <si>
    <t>TRINITY_DN214712_c3_g1</t>
  </si>
  <si>
    <t>TRINITY_DN174663_c0_g10</t>
  </si>
  <si>
    <t>K19899</t>
  </si>
  <si>
    <t>pancreatic secretory granule membrane major glycoprotein GP2</t>
  </si>
  <si>
    <t>TRINITY_DN265034_c0_g1</t>
  </si>
  <si>
    <t>TRINITY_DN217437_c3_g1</t>
  </si>
  <si>
    <t xml:space="preserve">FMRFamide neuropeptides-like </t>
  </si>
  <si>
    <t>TRINITY_DN204563_c3_g3</t>
  </si>
  <si>
    <t>K02439</t>
  </si>
  <si>
    <t>thiosulfate sulfurtransferase activity</t>
  </si>
  <si>
    <t>TRINITY_DN215443_c1_g1</t>
  </si>
  <si>
    <t>TRINITY_DN173774_c0_g3</t>
  </si>
  <si>
    <t>K11968</t>
  </si>
  <si>
    <t>protein polyubiquitination</t>
  </si>
  <si>
    <t>TRINITY_DN195328_c4_g2</t>
  </si>
  <si>
    <t>TRINITY_DN174786_c0_g3</t>
  </si>
  <si>
    <t>Cat eye syndrome</t>
  </si>
  <si>
    <t>TRINITY_DN198351_c1_g25</t>
  </si>
  <si>
    <t>TRINITY_DN191472_c1_g3</t>
  </si>
  <si>
    <t>TRINITY_DN216898_c1_g1</t>
  </si>
  <si>
    <t>TRINITY_DN201832_c1_g7</t>
  </si>
  <si>
    <t>K10291</t>
  </si>
  <si>
    <t>common myeloid progenitor cell proliferation</t>
  </si>
  <si>
    <t>TRINITY_DN201925_c0_g1</t>
  </si>
  <si>
    <t>TRINITY_DN207776_c0_g1</t>
  </si>
  <si>
    <t>TRINITY_DN185605_c2_g7</t>
  </si>
  <si>
    <t>hemicentin</t>
  </si>
  <si>
    <t>TRINITY_DN55150_c0_g1</t>
  </si>
  <si>
    <t>TRINITY_DN187141_c0_g2</t>
  </si>
  <si>
    <t>TRINITY_DN209179_c2_g8</t>
  </si>
  <si>
    <t>TRINITY_DN189234_c0_g2</t>
  </si>
  <si>
    <t>TRINITY_DN202909_c4_g4</t>
  </si>
  <si>
    <t>TRINITY_DN201589_c11_g2</t>
  </si>
  <si>
    <t>SOUL heme-binding protein</t>
  </si>
  <si>
    <t>TRINITY_DN184345_c1_g5</t>
  </si>
  <si>
    <t>TRINITY_DN217534_c0_g2</t>
  </si>
  <si>
    <t>blastula protease 10-like</t>
  </si>
  <si>
    <t>TRINITY_DN213513_c2_g1</t>
  </si>
  <si>
    <t>TRINITY_DN198587_c2_g1</t>
  </si>
  <si>
    <t>TRINITY_DN14759_c0_g1</t>
  </si>
  <si>
    <t>arrestin domain-containing protein 3-like</t>
  </si>
  <si>
    <t>TRINITY_DN190320_c0_g2</t>
  </si>
  <si>
    <t>TRINITY_DN187475_c0_g2</t>
  </si>
  <si>
    <t>K17834</t>
  </si>
  <si>
    <t>cyclic GMP-AMP synthase</t>
  </si>
  <si>
    <t>TRINITY_DN198597_c0_g1</t>
  </si>
  <si>
    <t>TRINITY_DN203430_c0_g1</t>
  </si>
  <si>
    <t>TRINITY_DN15028_c0_g2</t>
  </si>
  <si>
    <t>TRINITY_DN185173_c0_g2</t>
  </si>
  <si>
    <t>TRINITY_DN182670_c0_g2</t>
  </si>
  <si>
    <t>TRINITY_DN189872_c1_g5</t>
  </si>
  <si>
    <t>TRINITY_DN202375_c2_g2</t>
  </si>
  <si>
    <t>TRINITY_DN174786_c0_g2</t>
  </si>
  <si>
    <t>TRINITY_DN192000_c1_g2</t>
  </si>
  <si>
    <t>TRINITY_DN172441_c0_g1</t>
  </si>
  <si>
    <t>K01637</t>
  </si>
  <si>
    <t>TRINITY_DN205475_c5_g6</t>
  </si>
  <si>
    <t>TRINITY_DN207100_c0_g12</t>
  </si>
  <si>
    <t>TRINITY_DN50266_c0_g2</t>
  </si>
  <si>
    <t>TRINITY_DN180922_c1_g4</t>
  </si>
  <si>
    <t>TRINITY_DN204380_c3_g3</t>
  </si>
  <si>
    <t>TRINITY_DN201065_c3_g1</t>
  </si>
  <si>
    <t>G2F domain</t>
  </si>
  <si>
    <t>TRINITY_DN203412_c0_g1</t>
  </si>
  <si>
    <t>TRINITY_DN211722_c4_g12</t>
  </si>
  <si>
    <t>TRINITY_DN204604_c6_g8</t>
  </si>
  <si>
    <t>K04965</t>
  </si>
  <si>
    <t>store-operated calcium channel activity</t>
  </si>
  <si>
    <t>TRINITY_DN189957_c1_g1</t>
  </si>
  <si>
    <t>TRINITY_DN181461_c5_g2</t>
  </si>
  <si>
    <t>TRINITY_DN193254_c1_g4</t>
  </si>
  <si>
    <t>TRINITY_DN82222_c0_g2</t>
  </si>
  <si>
    <t>TRINITY_DN186509_c5_g1</t>
  </si>
  <si>
    <t>cell division</t>
  </si>
  <si>
    <t>TRINITY_DN191087_c2_g1</t>
  </si>
  <si>
    <t>TRINITY_DN204701_c2_g1</t>
  </si>
  <si>
    <t>TRINITY_DN205378_c0_g3</t>
  </si>
  <si>
    <t>K15276</t>
  </si>
  <si>
    <t>transporter</t>
  </si>
  <si>
    <t>K05155</t>
  </si>
  <si>
    <t>TRINITY_DN33335_c0_g1</t>
  </si>
  <si>
    <t>TRINITY_DN219223_c3_g4</t>
  </si>
  <si>
    <t>TRINITY_DN199109_c2_g1</t>
  </si>
  <si>
    <t>K05121</t>
  </si>
  <si>
    <t>K04362,K08252,K12378</t>
  </si>
  <si>
    <t xml:space="preserve"> angiopoietin-1 receptor-like </t>
  </si>
  <si>
    <t>protein kinase activity</t>
  </si>
  <si>
    <t>TRINITY_DN193885_c1_g3</t>
  </si>
  <si>
    <t>TRINITY_DN193734_c0_g11</t>
  </si>
  <si>
    <t>Protein kinase domain-containing protein</t>
  </si>
  <si>
    <t>TRINITY_DN60635_c0_g1</t>
  </si>
  <si>
    <t>TRINITY_DN210263_c2_g1</t>
  </si>
  <si>
    <t>TRINITY_DN171310_c0_g1</t>
  </si>
  <si>
    <t>TRINITY_DN182276_c2_g1</t>
  </si>
  <si>
    <t>TRINITY_DN45621_c0_g2</t>
  </si>
  <si>
    <t>TRINITY_DN175132_c0_g1</t>
  </si>
  <si>
    <t>K00830</t>
  </si>
  <si>
    <t>serine--pyruvate aminotransferase-like</t>
  </si>
  <si>
    <t>TRINITY_DN177907_c2_g4</t>
  </si>
  <si>
    <t>TRINITY_DN219936_c2_g2</t>
  </si>
  <si>
    <t>K07756</t>
  </si>
  <si>
    <t>KCS1, inositol phosphate biosynthetic process</t>
  </si>
  <si>
    <t>TRINITY_DN180595_c0_g1</t>
  </si>
  <si>
    <t>IPT/TIG domain</t>
  </si>
  <si>
    <t>TRINITY_DN70392_c0_g1</t>
  </si>
  <si>
    <t>TRINITY_DN202957_c2_g2</t>
  </si>
  <si>
    <t xml:space="preserve"> K06149</t>
  </si>
  <si>
    <t>TRINITY_DN184345_c1_g1</t>
  </si>
  <si>
    <t>Universal stress protein family</t>
  </si>
  <si>
    <t>TRINITY_DN202050_c6_g1</t>
  </si>
  <si>
    <t>K20096</t>
  </si>
  <si>
    <t>helicase activity</t>
  </si>
  <si>
    <t>TRINITY_DN198198_c1_g1</t>
  </si>
  <si>
    <t>TRINITY_DN61791_c0_g1</t>
  </si>
  <si>
    <t>TRINITY_DN218080_c3_g2</t>
  </si>
  <si>
    <t>K04079</t>
  </si>
  <si>
    <t>K10402</t>
  </si>
  <si>
    <t>kinesin 20</t>
  </si>
  <si>
    <t>TRINITY_DN181430_c3_g5</t>
  </si>
  <si>
    <t>TRINITY_DN204088_c0_g1</t>
  </si>
  <si>
    <t>K02948</t>
  </si>
  <si>
    <t>K00273</t>
  </si>
  <si>
    <t>Vacuolar sorting protein 9 (VPS9) domain</t>
  </si>
  <si>
    <t>TRINITY_DN183394_c1_g5</t>
  </si>
  <si>
    <t>TRINITY_DN64762_c0_g2</t>
  </si>
  <si>
    <t>TRINITY_DN192982_c6_g19</t>
  </si>
  <si>
    <t>TRINITY_DN182131_c0_g2</t>
  </si>
  <si>
    <t>TRINITY_DN220845_c4_g1</t>
  </si>
  <si>
    <t>TRINITY_DN199343_c0_g3</t>
  </si>
  <si>
    <t>K00639,K00652,K13614,K15674</t>
  </si>
  <si>
    <t>acetyltransferase</t>
  </si>
  <si>
    <t>TRINITY_DN202868_c4_g4</t>
  </si>
  <si>
    <t>TRINITY_DN74221_c0_g3</t>
  </si>
  <si>
    <t>carbohydrate binding</t>
  </si>
  <si>
    <t>TRINITY_DN188818_c2_g1</t>
  </si>
  <si>
    <t>TRINITY_DN218979_c5_g5</t>
  </si>
  <si>
    <t>K03068</t>
  </si>
  <si>
    <t>putative prolow-density lipoprotein receptor-related protein 1-like</t>
  </si>
  <si>
    <t>K05142</t>
  </si>
  <si>
    <t>tumor necrosis factor receptor superfamily member 4</t>
  </si>
  <si>
    <t>TRINITY_DN168840_c0_g1</t>
  </si>
  <si>
    <t>TRINITY_DN184312_c0_g1</t>
  </si>
  <si>
    <t>K01832,K07424</t>
  </si>
  <si>
    <t>heme binding</t>
  </si>
  <si>
    <t>TRINITY_DN183414_c0_g2</t>
  </si>
  <si>
    <t>TRINITY_DN123666_c0_g1</t>
  </si>
  <si>
    <t>TRINITY_DN210701_c2_g1</t>
  </si>
  <si>
    <t xml:space="preserve"> K06688</t>
  </si>
  <si>
    <t>Belongs to the ubiquitin-conjugating enzyme family</t>
  </si>
  <si>
    <t>TRINITY_DN205766_c4_g4</t>
  </si>
  <si>
    <t>TRINITY_DN183506_c0_g2</t>
  </si>
  <si>
    <t>TRINITY_DN141524_c0_g2</t>
  </si>
  <si>
    <t>TRINITY_DN215848_c4_g2</t>
  </si>
  <si>
    <t>TRINITY_DN201531_c1_g4</t>
  </si>
  <si>
    <t>TRINITY_DN125547_c0_g2</t>
  </si>
  <si>
    <t>TRINITY_DN63753_c0_g1</t>
  </si>
  <si>
    <t>TRINITY_DN204717_c4_g1</t>
  </si>
  <si>
    <t>K14390</t>
  </si>
  <si>
    <t>TRINITY_DN220509_c0_g1</t>
  </si>
  <si>
    <t>TRINITY_DN187535_c0_g1</t>
  </si>
  <si>
    <t>TRINITY_DN118628_c0_g1</t>
  </si>
  <si>
    <t>kinase-like protein</t>
  </si>
  <si>
    <t>TRINITY_DN7341_c0_g1</t>
  </si>
  <si>
    <t>TRINITY_DN205475_c7_g2</t>
  </si>
  <si>
    <t>TRINITY_DN209282_c5_g1</t>
  </si>
  <si>
    <t xml:space="preserve"> D-amino-acid oxidase-like, partial </t>
  </si>
  <si>
    <t>Copper type II ascorbate-dependent monooxygenase, N-terminal domain</t>
  </si>
  <si>
    <t>TRINITY_DN172649_c0_g1</t>
  </si>
  <si>
    <t>TRINITY_DN196159_c0_g1</t>
  </si>
  <si>
    <t>Carboxylesterase family</t>
  </si>
  <si>
    <t>TRINITY_DN173686_c5_g5</t>
  </si>
  <si>
    <t>TRINITY_DN215853_c0_g4</t>
  </si>
  <si>
    <t>TRINITY_DN193263_c2_g4</t>
  </si>
  <si>
    <t>TRINITY_DN175729_c0_g2</t>
  </si>
  <si>
    <t>TRINITY_DN126130_c0_g3</t>
  </si>
  <si>
    <t>TRINITY_DN190722_c0_g3</t>
  </si>
  <si>
    <t>TRINITY_DN212486_c0_g8</t>
  </si>
  <si>
    <t>TRINITY_DN199955_c1_g1</t>
  </si>
  <si>
    <t>TRINITY_DN175490_c0_g1</t>
  </si>
  <si>
    <t>K06550,K06756,K06757,K06760</t>
  </si>
  <si>
    <t>TRINITY_DN94753_c0_g2</t>
  </si>
  <si>
    <t>Cell adhesion molecule</t>
  </si>
  <si>
    <t>TRINITY_DN207874_c0_g5</t>
  </si>
  <si>
    <t>TRINITY_DN171347_c0_g1</t>
  </si>
  <si>
    <t>TRINITY_DN186268_c0_g2</t>
  </si>
  <si>
    <t>TRINITY_DN205002_c4_g1</t>
  </si>
  <si>
    <t>TRINITY_DN59570_c0_g1</t>
  </si>
  <si>
    <t>TRINITY_DN177596_c1_g2</t>
  </si>
  <si>
    <t>tRNA-dihydrouridine(16/17) synthase [NAD(P)(+)]-like</t>
  </si>
  <si>
    <t>TRINITY_DN192682_c0_g1</t>
  </si>
  <si>
    <t>TRINITY_DN213457_c1_g6</t>
  </si>
  <si>
    <t>TRINITY_DN198629_c5_g4</t>
  </si>
  <si>
    <t>TRINITY_DN463772_c0_g1</t>
  </si>
  <si>
    <t>TRINITY_DN30889_c0_g2</t>
  </si>
  <si>
    <t>K17725</t>
  </si>
  <si>
    <t>TRINITY_DN201775_c0_g1</t>
  </si>
  <si>
    <t>TRINITY_DN191087_c2_g2</t>
  </si>
  <si>
    <t>TRINITY_DN198204_c2_g5</t>
  </si>
  <si>
    <t>TRINITY_DN219460_c3_g3</t>
  </si>
  <si>
    <t>TRINITY_DN39947_c0_g1</t>
  </si>
  <si>
    <t>TRINITY_DN185347_c0_g3</t>
  </si>
  <si>
    <t>TRINITY_DN211075_c2_g4</t>
  </si>
  <si>
    <t>TRINITY_DN191546_c2_g1</t>
  </si>
  <si>
    <t>TRINITY_DN155159_c0_g1</t>
  </si>
  <si>
    <t>K04955,K21867</t>
  </si>
  <si>
    <t>voltage-gated potassium channel activity</t>
  </si>
  <si>
    <t>K07917</t>
  </si>
  <si>
    <t>TRINITY_DN113910_c0_g1</t>
  </si>
  <si>
    <t>TRINITY_DN210203_c1_g4</t>
  </si>
  <si>
    <t>TRINITY_DN205475_c7_g12</t>
  </si>
  <si>
    <t>K15003</t>
  </si>
  <si>
    <t>TRINITY_DN202525_c5_g1</t>
  </si>
  <si>
    <t>TRINITY_DN203667_c3_g1</t>
  </si>
  <si>
    <t>TRINITY_DN220288_c1_g2</t>
  </si>
  <si>
    <t>TRINITY_DN11112_c0_g1</t>
  </si>
  <si>
    <t>TRINITY_DN189872_c1_g2</t>
  </si>
  <si>
    <t>K19769</t>
  </si>
  <si>
    <t>TRINITY_DN188900_c1_g1</t>
  </si>
  <si>
    <t>TRINITY_DN179311_c7_g1</t>
  </si>
  <si>
    <t xml:space="preserve">K16356 </t>
  </si>
  <si>
    <t>TRINITY_DN133853_c0_g1</t>
  </si>
  <si>
    <t>K20299</t>
  </si>
  <si>
    <t>HIT1, Vacuolar protein sorting-associated protein 53</t>
  </si>
  <si>
    <t>TRINITY_DN8046_c0_g1</t>
  </si>
  <si>
    <t>TRINITY_DN174619_c0_g2</t>
  </si>
  <si>
    <t>TRINITY_DN212634_c1_g1</t>
  </si>
  <si>
    <t>TRINITY_DN205369_c5_g5</t>
  </si>
  <si>
    <t>K19969</t>
  </si>
  <si>
    <t>2-epi-5-epi-valiolone synthase</t>
  </si>
  <si>
    <t>TRINITY_DN184269_c3_g8</t>
  </si>
  <si>
    <t>K16459</t>
  </si>
  <si>
    <t xml:space="preserve">putative RNA-directed DNA polymerase from transposon X-element </t>
  </si>
  <si>
    <t>CEP120,Centrosomal protein</t>
  </si>
  <si>
    <t>TRINITY_DN184193_c0_g2</t>
  </si>
  <si>
    <t>TRINITY_DN59717_c0_g1</t>
  </si>
  <si>
    <t>TRINITY_DN172750_c0_g1</t>
  </si>
  <si>
    <t xml:space="preserve"> K11038</t>
  </si>
  <si>
    <t>putative aerolysin-like</t>
  </si>
  <si>
    <t>TRINITY_DN191515_c0_g6</t>
  </si>
  <si>
    <t>TRINITY_DN147308_c0_g1</t>
  </si>
  <si>
    <t>TRINITY_DN203059_c0_g1</t>
  </si>
  <si>
    <t>TRINITY_DN394876_c0_g1</t>
  </si>
  <si>
    <t>TRINITY_DN210779_c5_g5</t>
  </si>
  <si>
    <t>TRINITY_DN181542_c0_g2</t>
  </si>
  <si>
    <t>TRINITY_DN215292_c0_g1</t>
  </si>
  <si>
    <t>K02163</t>
  </si>
  <si>
    <t>TRINITY_DN62698_c0_g1</t>
  </si>
  <si>
    <t>TRINITY_DN126478_c0_g2</t>
  </si>
  <si>
    <t>TRINITY_DN183612_c0_g2</t>
  </si>
  <si>
    <t>K17566</t>
  </si>
  <si>
    <t>TRINITY_DN192601_c1_g3</t>
  </si>
  <si>
    <t>TRINITY_DN156530_c0_g1</t>
  </si>
  <si>
    <t>TRINITY_DN132248_c0_g1</t>
  </si>
  <si>
    <t>TRINITY_DN196127_c5_g3</t>
  </si>
  <si>
    <t>TRINITY_DN216004_c6_g4</t>
  </si>
  <si>
    <t>TRINITY_DN198342_c2_g3</t>
  </si>
  <si>
    <t>TRINITY_DN97235_c0_g1</t>
  </si>
  <si>
    <t>TRINITY_DN182620_c0_g4</t>
  </si>
  <si>
    <t>TRINITY_DN201178_c0_g1</t>
  </si>
  <si>
    <t>TRINITY_DN185870_c0_g1</t>
  </si>
  <si>
    <t>TRINITY_DN180318_c0_g1</t>
  </si>
  <si>
    <t>TRINITY_DN132248_c0_g3</t>
  </si>
  <si>
    <t>TRINITY_DN204027_c0_g1</t>
  </si>
  <si>
    <t>TRINITY_DN204345_c1_g3</t>
  </si>
  <si>
    <t>TRINITY_DN195237_c2_g8</t>
  </si>
  <si>
    <t>TRINITY_DN159737_c0_g1</t>
  </si>
  <si>
    <t>TRINITY_DN90951_c0_g1</t>
  </si>
  <si>
    <t>TRINITY_DN199472_c1_g1</t>
  </si>
  <si>
    <t>TRINITY_DN197353_c5_g6</t>
  </si>
  <si>
    <t xml:space="preserve"> K14554</t>
  </si>
  <si>
    <t>TRINITY_DN196974_c1_g15</t>
  </si>
  <si>
    <t>TRINITY_DN211019_c4_g16</t>
  </si>
  <si>
    <t>TRINITY_DN169523_c0_g1</t>
  </si>
  <si>
    <t>TRINITY_DN204380_c1_g1</t>
  </si>
  <si>
    <t>TRINITY_DN182252_c0_g6</t>
  </si>
  <si>
    <t xml:space="preserve">K06568 </t>
  </si>
  <si>
    <t>coreceptor activity involved in Wnt signaling pathway, planar cell polarity pathway</t>
  </si>
  <si>
    <t>TRINITY_DN194275_c1_g1</t>
  </si>
  <si>
    <t>TRINITY_DN188977_c0_g1</t>
  </si>
  <si>
    <t>TRINITY_DN186925_c1_g1</t>
  </si>
  <si>
    <t>TRINITY_DN203289_c5_g2</t>
  </si>
  <si>
    <t>TRINITY_DN194615_c0_g4</t>
  </si>
  <si>
    <t>TRINITY_DN200872_c2_g6</t>
  </si>
  <si>
    <t>TRINITY_DN188500_c0_g1</t>
  </si>
  <si>
    <t xml:space="preserve">multidrug resistance-associated protein 4-like </t>
  </si>
  <si>
    <t>K07424</t>
  </si>
  <si>
    <t>TRINITY_DN203787_c6_g1</t>
  </si>
  <si>
    <t>TRINITY_DN209774_c3_g1</t>
  </si>
  <si>
    <t xml:space="preserve"> calcium/calmodulin-dependent protein kinase type II alpha chain-like</t>
  </si>
  <si>
    <t>TRINITY_DN205448_c23_g1</t>
  </si>
  <si>
    <t>TRINITY_DN196311_c0_g1</t>
  </si>
  <si>
    <t>TRINITY_DN204475_c5_g5</t>
  </si>
  <si>
    <t>TRINITY_DN204930_c0_g1</t>
  </si>
  <si>
    <t>TRINITY_DN180930_c0_g4</t>
  </si>
  <si>
    <t>TRINITY_DN205033_c25_g2</t>
  </si>
  <si>
    <t>TRINITY_DN179904_c1_g2</t>
  </si>
  <si>
    <t>TRINITY_DN205042_c5_g13</t>
  </si>
  <si>
    <t>TRINITY_DN171174_c0_g4</t>
  </si>
  <si>
    <t>TRINITY_DN188023_c0_g3</t>
  </si>
  <si>
    <t>TRINITY_DN201553_c1_g5</t>
  </si>
  <si>
    <t>TRINITY_DN206201_c1_g3</t>
  </si>
  <si>
    <t>TRINITY_DN186673_c3_g1</t>
  </si>
  <si>
    <t>TRINITY_DN215097_c3_g1</t>
  </si>
  <si>
    <t xml:space="preserve"> tumor necrosis factor receptor superfamily member 16-like</t>
  </si>
  <si>
    <t>K17689,K01832,K07424</t>
  </si>
  <si>
    <t>TRINITY_DN197288_c0_g1</t>
  </si>
  <si>
    <t>TRINITY_DN79672_c0_g1</t>
  </si>
  <si>
    <t>K18309</t>
  </si>
  <si>
    <t xml:space="preserve">N-acetyltransferase 8-like </t>
  </si>
  <si>
    <t>TRINITY_DN176848_c0_g1</t>
  </si>
  <si>
    <t>TRINITY_DN128055_c0_g2</t>
  </si>
  <si>
    <t>TRINITY_DN178022_c2_g1</t>
  </si>
  <si>
    <t>TRINITY_DN204605_c1_g2</t>
  </si>
  <si>
    <t>TRINITY_DN197097_c3_g6</t>
  </si>
  <si>
    <t>TRINITY_DN191056_c0_g1</t>
  </si>
  <si>
    <t>TRINITY_DN205006_c1_g13</t>
  </si>
  <si>
    <t>TRINITY_DN185236_c6_g1</t>
  </si>
  <si>
    <t>TRINITY_DN177723_c0_g1</t>
  </si>
  <si>
    <t>TRINITY_DN200242_c0_g7</t>
  </si>
  <si>
    <t>TRINITY_DN188023_c0_g5</t>
  </si>
  <si>
    <t>TRINITY_DN185508_c0_g1</t>
  </si>
  <si>
    <t>TRINITY_DN199109_c1_g16</t>
  </si>
  <si>
    <t>TRINITY_DN142845_c0_g1</t>
  </si>
  <si>
    <t xml:space="preserve">fibroblast growth factor receptor 2-like </t>
  </si>
  <si>
    <t>TRINITY_DN205405_c7_g2</t>
  </si>
  <si>
    <t>TRINITY_DN216904_c2_g1</t>
  </si>
  <si>
    <t>TRINITY_DN194110_c1_g4</t>
  </si>
  <si>
    <t>TRINITY_DN197755_c2_g10</t>
  </si>
  <si>
    <t>TRINITY_DN190149_c0_g1</t>
  </si>
  <si>
    <t>iron assimilation by reduction and transport</t>
  </si>
  <si>
    <t>TRINITY_DN167197_c0_g3</t>
  </si>
  <si>
    <t>TRINITY_DN176108_c1_g6</t>
  </si>
  <si>
    <t>TRINITY_DN183766_c1_g2</t>
  </si>
  <si>
    <t>TRINITY_DN214928_c0_g5</t>
  </si>
  <si>
    <t>TRINITY_DN183983_c0_g9</t>
  </si>
  <si>
    <t>TRINITY_DN172750_c0_g2</t>
  </si>
  <si>
    <t>TRINITY_DN188774_c2_g14</t>
  </si>
  <si>
    <t>TRINITY_DN147572_c0_g1</t>
  </si>
  <si>
    <t>TRINITY_DN167955_c0_g2</t>
  </si>
  <si>
    <t>TRINITY_DN209823_c0_g5</t>
  </si>
  <si>
    <t>TRINITY_DN190446_c0_g1</t>
  </si>
  <si>
    <t>TRINITY_DN209252_c0_g3</t>
  </si>
  <si>
    <t>TRINITY_DN170082_c0_g1</t>
  </si>
  <si>
    <t>TRINITY_DN118766_c0_g2</t>
  </si>
  <si>
    <t>TRINITY_DN165346_c1_g1</t>
  </si>
  <si>
    <t>TRINITY_DN206287_c2_g1</t>
  </si>
  <si>
    <t>TRINITY_DN188232_c0_g2</t>
  </si>
  <si>
    <t>K09310</t>
  </si>
  <si>
    <t>TRINITY_DN170336_c4_g1</t>
  </si>
  <si>
    <t>TRINITY_DN219962_c3_g3</t>
  </si>
  <si>
    <t>TRINITY_DN176301_c0_g1</t>
  </si>
  <si>
    <t>TRINITY_DN194638_c0_g5</t>
  </si>
  <si>
    <t xml:space="preserve">putative uncharacterized skeletal organic matrix protein 8-like </t>
  </si>
  <si>
    <t>TRINITY_DN186123_c1_g1</t>
  </si>
  <si>
    <t>TRINITY_DN212480_c7_g3</t>
  </si>
  <si>
    <t>small cysteine-rich protein 5-like</t>
  </si>
  <si>
    <t>TRINITY_DN203165_c6_g4</t>
  </si>
  <si>
    <t>TRINITY_DN197116_c4_g1</t>
  </si>
  <si>
    <t>TRINITY_DN124004_c0_g2</t>
  </si>
  <si>
    <t>TRINITY_DN182276_c2_g2</t>
  </si>
  <si>
    <t>TRINITY_DN211065_c1_g2</t>
  </si>
  <si>
    <t>TRINITY_DN194960_c2_g1</t>
  </si>
  <si>
    <t>Myb/SANT-like DNA-binding domain</t>
  </si>
  <si>
    <t>TRINITY_DN199467_c3_g1</t>
  </si>
  <si>
    <t>K11167</t>
  </si>
  <si>
    <t>retinol dehydrogenase activity</t>
  </si>
  <si>
    <t>TRINITY_DN204380_c3_g4</t>
  </si>
  <si>
    <t>TRINITY_DN171145_c2_g6</t>
  </si>
  <si>
    <t>TRINITY_DN207100_c0_g10</t>
  </si>
  <si>
    <t>TRINITY_DN205369_c5_g1</t>
  </si>
  <si>
    <t>TRINITY_DN210288_c6_g1</t>
  </si>
  <si>
    <t>TRINITY_DN203450_c2_g1</t>
  </si>
  <si>
    <t>TRINITY_DN212889_c1_g2</t>
  </si>
  <si>
    <t>TRINITY_DN205505_c27_g18</t>
  </si>
  <si>
    <t>TRINITY_DN207704_c2_g1</t>
  </si>
  <si>
    <t>TRINITY_DN218256_c2_g7</t>
  </si>
  <si>
    <t>TRINITY_DN203877_c1_g2</t>
  </si>
  <si>
    <t>TRINITY_DN141540_c0_g1</t>
  </si>
  <si>
    <t>TRINITY_DN167447_c1_g1</t>
  </si>
  <si>
    <t>TRINITY_DN196289_c2_g2</t>
  </si>
  <si>
    <t>TRINITY_DN173609_c2_g3</t>
  </si>
  <si>
    <t>TRINITY_DN155452_c0_g1</t>
  </si>
  <si>
    <t>TRINITY_DN196001_c1_g3</t>
  </si>
  <si>
    <t>K03479</t>
  </si>
  <si>
    <t>sensory perception of sound</t>
  </si>
  <si>
    <t>K09402</t>
  </si>
  <si>
    <t>TRINITY_DN208495_c6_g1</t>
  </si>
  <si>
    <t>TRINITY_DN193333_c1_g1</t>
  </si>
  <si>
    <t>TRINITY_DN172893_c0_g1</t>
  </si>
  <si>
    <t>TRINITY_DN197628_c1_g2</t>
  </si>
  <si>
    <t>K09490</t>
  </si>
  <si>
    <t>TRINITY_DN185525_c0_g1</t>
  </si>
  <si>
    <t>TRINITY_DN202351_c3_g10</t>
  </si>
  <si>
    <t>galaxin-like</t>
  </si>
  <si>
    <t>TRINITY_DN195446_c10_g1</t>
  </si>
  <si>
    <t>TRINITY_DN202156_c2_g6</t>
  </si>
  <si>
    <t>K19511</t>
  </si>
  <si>
    <t>K15275</t>
  </si>
  <si>
    <t>peroxidase activity</t>
  </si>
  <si>
    <t>TRINITY_DN161074_c0_g1</t>
  </si>
  <si>
    <t>TRINITY_DN182106_c0_g4</t>
  </si>
  <si>
    <t>TRINITY_DN119743_c0_g1</t>
  </si>
  <si>
    <t>TRINITY_DN204678_c6_g3</t>
  </si>
  <si>
    <t>K16353</t>
  </si>
  <si>
    <t>cell adhesion</t>
  </si>
  <si>
    <t>TRINITY_DN198825_c0_g1</t>
  </si>
  <si>
    <t>TRINITY_DN196813_c3_g1</t>
  </si>
  <si>
    <t>K01874</t>
  </si>
  <si>
    <t>Belongs to the class-I aminoacyl-tRNA synthetase family</t>
  </si>
  <si>
    <t>TRINITY_DN107142_c0_g2</t>
  </si>
  <si>
    <t>TRINITY_DN182312_c1_g2</t>
  </si>
  <si>
    <t>TRINITY_DN205556_c0_g1</t>
  </si>
  <si>
    <t>TRINITY_DN196367_c2_g1</t>
  </si>
  <si>
    <t>TRINITY_DN216698_c2_g2</t>
  </si>
  <si>
    <t>TRINITY_DN203078_c2_g3</t>
  </si>
  <si>
    <t>mannose binding</t>
  </si>
  <si>
    <t>TRINITY_DN176884_c1_g1</t>
  </si>
  <si>
    <t>TRINITY_DN193543_c2_g2</t>
  </si>
  <si>
    <t>K03174</t>
  </si>
  <si>
    <t>TNF receptor-associated factor 3-like, partial</t>
  </si>
  <si>
    <t>TRINITY_DN185347_c2_g10</t>
  </si>
  <si>
    <t>TRINITY_DN190777_c0_g1</t>
  </si>
  <si>
    <t>TRINITY_DN187204_c0_g2</t>
  </si>
  <si>
    <t>TRINITY_DN202010_c2_g4</t>
  </si>
  <si>
    <t>putative  VWFA and cache domain-containing protein 1-like</t>
  </si>
  <si>
    <t>TRINITY_DN41863_c0_g1</t>
  </si>
  <si>
    <t>TRINITY_DN203524_c3_g3</t>
  </si>
  <si>
    <t>VWFA and cache domain-containing protein 1-like isoform X2</t>
  </si>
  <si>
    <t>TRINITY_DN190119_c0_g2</t>
  </si>
  <si>
    <t>TNF receptor-associated factor 5-like, partial</t>
  </si>
  <si>
    <t>TRINITY_DN183983_c0_g7</t>
  </si>
  <si>
    <t>TRINITY_DN193459_c0_g1</t>
  </si>
  <si>
    <t>TRINITY_DN174731_c0_g1</t>
  </si>
  <si>
    <t>TRINITY_DN198935_c2_g2</t>
  </si>
  <si>
    <t>tetratricopeptide repeat protein 38-like isoform X1</t>
  </si>
  <si>
    <t>TRINITY_DN200907_c1_g2</t>
  </si>
  <si>
    <t>TRINITY_DN177442_c4_g1</t>
  </si>
  <si>
    <t>TRINITY_DN176054_c0_g4</t>
  </si>
  <si>
    <t>TRINITY_DN185381_c1_g1</t>
  </si>
  <si>
    <t>TRINITY_DN205214_c20_g6</t>
  </si>
  <si>
    <t>TRINITY_DN190858_c0_g3</t>
  </si>
  <si>
    <t>TRINITY_DN66076_c0_g1</t>
  </si>
  <si>
    <t>TRINITY_DN197954_c2_g1</t>
  </si>
  <si>
    <t>TRINITY_DN201001_c4_g11</t>
  </si>
  <si>
    <t>TRINITY_DN200632_c1_g7</t>
  </si>
  <si>
    <t>Uncharacterized protein</t>
  </si>
  <si>
    <t>TRINITY_DN204391_c5_g20</t>
  </si>
  <si>
    <t>TRINITY_DN166908_c0_g1</t>
  </si>
  <si>
    <t>TRINITY_DN203854_c0_g2</t>
  </si>
  <si>
    <t>TRINITY_DN184691_c0_g1</t>
  </si>
  <si>
    <t>TRINITY_DN192799_c5_g2</t>
  </si>
  <si>
    <t>TRINITY_DN204588_c2_g1</t>
  </si>
  <si>
    <t>TRINITY_DN179024_c1_g1</t>
  </si>
  <si>
    <t>TRINITY_DN171296_c1_g4</t>
  </si>
  <si>
    <t>TRINITY_DN179620_c0_g1</t>
  </si>
  <si>
    <t>TRINITY_DN205006_c1_g5</t>
  </si>
  <si>
    <t>TRINITY_DN168638_c0_g2</t>
  </si>
  <si>
    <t>TRINITY_DN193075_c0_g13</t>
  </si>
  <si>
    <t>TRINITY_DN187141_c0_g3</t>
  </si>
  <si>
    <t>TRINITY_DN201725_c4_g2</t>
  </si>
  <si>
    <t>TRINITY_DN197525_c0_g6</t>
  </si>
  <si>
    <t>putative mucin-3A-like</t>
  </si>
  <si>
    <t>TRINITY_DN204604_c6_g6</t>
  </si>
  <si>
    <t>TRINITY_DN198043_c0_g2</t>
  </si>
  <si>
    <t>coadhesin-like, partial</t>
  </si>
  <si>
    <t>TRINITY_DN182265_c2_g9</t>
  </si>
  <si>
    <t>TRINITY_DN179241_c0_g1</t>
  </si>
  <si>
    <t>TRINITY_DN184345_c1_g4</t>
  </si>
  <si>
    <t xml:space="preserve"> blastula protease 10-like</t>
  </si>
  <si>
    <t>TRINITY_DN201671_c0_g3</t>
  </si>
  <si>
    <t>TRINITY_DN199001_c3_g1</t>
  </si>
  <si>
    <t>K06792</t>
  </si>
  <si>
    <t>putative fibulin-1-like, partial</t>
  </si>
  <si>
    <t>TRINITY_DN195092_c10_g1</t>
  </si>
  <si>
    <t>K10345</t>
  </si>
  <si>
    <t xml:space="preserve">SPRY domain-containing SOCS box protein 3-like </t>
  </si>
  <si>
    <t>TRINITY_DN170751_c2_g2</t>
  </si>
  <si>
    <t xml:space="preserve">Alpha-N-acetylgalactosamine-specific lectin </t>
  </si>
  <si>
    <t>TRINITY_DN187101_c2_g1</t>
  </si>
  <si>
    <t>TRINITY_DN193194_c0_g3</t>
  </si>
  <si>
    <t>TRINITY_DN204986_c1_g2</t>
  </si>
  <si>
    <t>TRINITY_DN195591_c0_g1</t>
  </si>
  <si>
    <t>K04142</t>
  </si>
  <si>
    <t xml:space="preserve"> dopamine D2-like receptor </t>
  </si>
  <si>
    <t>TRINITY_DN164969_c3_g2</t>
  </si>
  <si>
    <t>TRINITY_DN193619_c0_g5</t>
  </si>
  <si>
    <t>TRINITY_DN204924_c3_g2</t>
  </si>
  <si>
    <t>TNF receptor-associated factor 3-like</t>
  </si>
  <si>
    <t>TRINITY_DN189042_c0_g1</t>
  </si>
  <si>
    <t>TRINITY_DN202283_c0_g1</t>
  </si>
  <si>
    <t>K06558</t>
  </si>
  <si>
    <t>putative macrophage scavenger receptor types I and II-like isoform X3 [</t>
  </si>
  <si>
    <t>TRINITY_DN167949_c0_g2</t>
  </si>
  <si>
    <t>TRINITY_DN188023_c0_g2</t>
  </si>
  <si>
    <t>TRINITY_DN202283_c1_g4</t>
  </si>
  <si>
    <t>TRINITY_DN195150_c4_g3</t>
  </si>
  <si>
    <t>TRINITY_DN200870_c5_g2</t>
  </si>
  <si>
    <t>TRINITY_DN194150_c1_g11</t>
  </si>
  <si>
    <t>TRINITY_DN187768_c0_g2</t>
  </si>
  <si>
    <t xml:space="preserve"> neuroligin-4, Y-linked-like</t>
  </si>
  <si>
    <t>TRINITY_DN191473_c0_g3</t>
  </si>
  <si>
    <t xml:space="preserve">TNF receptor-associated factor 5-like, partial </t>
  </si>
  <si>
    <t>TRINITY_DN190919_c0_g8</t>
  </si>
  <si>
    <t>TRINITY_DN178501_c0_g2</t>
  </si>
  <si>
    <t>TRINITY_DN200504_c4_g1</t>
  </si>
  <si>
    <t>TRINITY_DN168116_c0_g1</t>
  </si>
  <si>
    <t>uncharacterized skeletal organic matrix protein 5-like</t>
  </si>
  <si>
    <t>TRINITY_DN183257_c3_g4</t>
  </si>
  <si>
    <t>TRINITY_DN181723_c4_g5</t>
  </si>
  <si>
    <t>TRINITY_DN202827_c1_g4</t>
  </si>
  <si>
    <t>K04199</t>
  </si>
  <si>
    <t>melanocyte-stimulating hormone receptor-like, partial</t>
  </si>
  <si>
    <t>TRINITY_DN192039_c0_g1</t>
  </si>
  <si>
    <t>TRINITY_DN198204_c2_g11</t>
  </si>
  <si>
    <t>TRINITY_DN191515_c0_g3</t>
  </si>
  <si>
    <t>TRINITY_DN205482_c11_g2</t>
  </si>
  <si>
    <t>TRINITY_DN184771_c2_g2</t>
  </si>
  <si>
    <t>TRINITY_DN188431_c1_g2</t>
  </si>
  <si>
    <t>TRINITY_DN192196_c0_g1</t>
  </si>
  <si>
    <t>TRINITY_DN184345_c1_g7</t>
  </si>
  <si>
    <t>putative  blastula protease 10-like</t>
  </si>
  <si>
    <t>TRINITY_DN192765_c0_g1</t>
  </si>
  <si>
    <t>TRINITY_DN202837_c2_g12</t>
  </si>
  <si>
    <t>TRINITY_DN187124_c2_g2</t>
  </si>
  <si>
    <t xml:space="preserve"> papilin-like</t>
  </si>
  <si>
    <t>TRINITY_DN179932_c2_g15</t>
  </si>
  <si>
    <t>putative ABC transporter B family member 1-like</t>
  </si>
  <si>
    <t>TRINITY_DN190030_c0_g1</t>
  </si>
  <si>
    <t>TRINITY_DN190386_c0_g2</t>
  </si>
  <si>
    <t>GFP-like fluorescent chromoprotein cFP484</t>
  </si>
  <si>
    <t>TRINITY_DN202136_c1_g5</t>
  </si>
  <si>
    <t>K04605</t>
  </si>
  <si>
    <t>TRINITY_DN186835_c2_g9</t>
  </si>
  <si>
    <t>K06051</t>
  </si>
  <si>
    <t>Putative delta-like protein D</t>
  </si>
  <si>
    <t>TRINITY_DN190224_c0_g2</t>
  </si>
  <si>
    <t xml:space="preserve"> basement membrane-specific heparan sulfate proteoglycan core protein-lik</t>
  </si>
  <si>
    <t>TRINITY_DN205202_c14_g5</t>
  </si>
  <si>
    <t>granulins-like</t>
  </si>
  <si>
    <t>TRINITY_DN192573_c3_g1</t>
  </si>
  <si>
    <t>TRINITY_DN180807_c0_g7</t>
  </si>
  <si>
    <t>Predicted protein (Fragment)</t>
  </si>
  <si>
    <t>TRINITY_DN172844_c1_g1</t>
  </si>
  <si>
    <t>TRINITY_DN171324_c0_g1</t>
  </si>
  <si>
    <t>K08467</t>
  </si>
  <si>
    <t>Potassium channel (Fragment)</t>
  </si>
  <si>
    <t>TRINITY_DN186849_c3_g5</t>
  </si>
  <si>
    <t>K04200</t>
  </si>
  <si>
    <t xml:space="preserve">putative adrenocorticotropic hormone receptor-like </t>
  </si>
  <si>
    <t>TRINITY_DN174450_c1_g1</t>
  </si>
  <si>
    <t>TRINITY_DN193096_c4_g3</t>
  </si>
  <si>
    <t>uncharacterized protein LOC106181466</t>
  </si>
  <si>
    <t>TRINITY_DN196011_c1_g4</t>
  </si>
  <si>
    <t>TRINITY_DN202934_c6_g7</t>
  </si>
  <si>
    <t>B-box type zinc finger protein ncl-1 (Fragment)</t>
  </si>
  <si>
    <t>TRINITY_DN191071_c2_g2</t>
  </si>
  <si>
    <t>TRINITY_DN193876_c0_g1</t>
  </si>
  <si>
    <t>TRINITY_DN197342_c1_g8</t>
  </si>
  <si>
    <t>TRINITY_DN182518_c0_g2</t>
  </si>
  <si>
    <t>TRINITY_DN188745_c1_g2</t>
  </si>
  <si>
    <t>TRINITY_DN200418_c1_g2</t>
  </si>
  <si>
    <t>K09225</t>
  </si>
  <si>
    <t>TRINITY_DN196112_c6_g9</t>
  </si>
  <si>
    <t>Vitellogenin (Fragment)</t>
  </si>
  <si>
    <t>TRINITY_DN197843_c0_g1</t>
  </si>
  <si>
    <t>TRINITY_DN181705_c0_g2</t>
  </si>
  <si>
    <t>TRINITY_DN190659_c0_g2</t>
  </si>
  <si>
    <t>TRINITY_DN183750_c1_g1</t>
  </si>
  <si>
    <t>TRINITY_DN192408_c3_g2</t>
  </si>
  <si>
    <t>K08132</t>
  </si>
  <si>
    <t>TRINITY_DN195972_c2_g3</t>
  </si>
  <si>
    <t>TRINITY_DN179409_c0_g1</t>
  </si>
  <si>
    <t>K03768</t>
  </si>
  <si>
    <t xml:space="preserve">peptidyl-prolyl cis-trans isomerase 6-like </t>
  </si>
  <si>
    <t>TRINITY_DN191747_c1_g3</t>
  </si>
  <si>
    <t>TRINITY_DN187297_c4_g1</t>
  </si>
  <si>
    <t>TRINITY_DN197185_c1_g3</t>
  </si>
  <si>
    <t>K06236</t>
  </si>
  <si>
    <t>collagen alpha-2(I) chain-like</t>
  </si>
  <si>
    <t>TRINITY_DN169419_c0_g1</t>
  </si>
  <si>
    <t>TRINITY_DN181876_c0_g1</t>
  </si>
  <si>
    <t xml:space="preserve"> K08133 </t>
  </si>
  <si>
    <t>collagen alpha-1(XIV) chain-like isoform X2)</t>
  </si>
  <si>
    <t>TRINITY_DN178836_c1_g1</t>
  </si>
  <si>
    <t>TRINITY_DN178734_c0_g1</t>
  </si>
  <si>
    <t>TRINITY_DN186017_c2_g10</t>
  </si>
  <si>
    <t>TRINITY_DN196342_c3_g4</t>
  </si>
  <si>
    <t>TRINITY_DN194868_c3_g1</t>
  </si>
  <si>
    <t>K04984</t>
  </si>
  <si>
    <t>TRINITY_DN180807_c0_g1</t>
  </si>
  <si>
    <t>TRINITY_DN186003_c0_g4</t>
  </si>
  <si>
    <t xml:space="preserve">K01315 </t>
  </si>
  <si>
    <t>plasminogen-like</t>
  </si>
  <si>
    <t>TRINITY_DN169864_c0_g2</t>
  </si>
  <si>
    <t>TRINITY_DN166176_c0_g1</t>
  </si>
  <si>
    <t>K09401</t>
  </si>
  <si>
    <t>Forkhead box 2b1 protein</t>
  </si>
  <si>
    <t>TRINITY_DN201890_c1_g2</t>
  </si>
  <si>
    <t>TRINITY_DN180807_c0_g4</t>
  </si>
  <si>
    <t>TRINITY_DN172634_c0_g1</t>
  </si>
  <si>
    <t>TRINITY_DN188891_c1_g2</t>
  </si>
  <si>
    <t>sushi, von Willebrand factor type A, EGF and pentraxin domain-containing protein 1-like</t>
  </si>
  <si>
    <t>TRINITY_DN184015_c0_g1</t>
  </si>
  <si>
    <t>TRINITY_DN198417_c1_g3</t>
  </si>
  <si>
    <t>TRINITY_DN169377_c0_g1</t>
  </si>
  <si>
    <t>TRINITY_DN191091_c3_g8</t>
  </si>
  <si>
    <t>TRINITY_DN201110_c0_g1</t>
  </si>
  <si>
    <t xml:space="preserve">solute carrier family 26 member 6-like </t>
  </si>
  <si>
    <t>TRINITY_DN166659_c0_g2</t>
  </si>
  <si>
    <t>TRINITY_DN200634_c2_g8</t>
  </si>
  <si>
    <t>TRINITY_DN173950_c1_g1</t>
  </si>
  <si>
    <t>K14387</t>
  </si>
  <si>
    <t>TRINITY_DN192685_c0_g3</t>
  </si>
  <si>
    <t>TRINITY_DN172040_c0_g2</t>
  </si>
  <si>
    <t>TRINITY_DN171021_c0_g1</t>
  </si>
  <si>
    <t>TRINITY_DN185922_c0_g1</t>
  </si>
  <si>
    <t>TRINITY_DN188246_c0_g1</t>
  </si>
  <si>
    <t>Euphy</t>
  </si>
  <si>
    <t>TRINITY_DN201110_c0_g3</t>
  </si>
  <si>
    <t xml:space="preserve"> K14704</t>
  </si>
  <si>
    <t>TRINITY_DN175843_c1_g1</t>
  </si>
  <si>
    <t>K13443</t>
  </si>
  <si>
    <t>TRINITY_DN189455_c2_g3</t>
  </si>
  <si>
    <t>TRINITY_DN184969_c0_g1</t>
  </si>
  <si>
    <t>TRINITY_DN196229_c3_g9</t>
  </si>
  <si>
    <t>TRINITY_DN174974_c0_g1</t>
  </si>
  <si>
    <t>TRINITY_DN186702_c4_g4</t>
  </si>
  <si>
    <t>K16342</t>
  </si>
  <si>
    <t>TRINITY_DN168315_c0_g1</t>
  </si>
  <si>
    <t>TRINITY_DN183568_c0_g1</t>
  </si>
  <si>
    <t>Myosin essential light chain</t>
  </si>
  <si>
    <t>TRINITY_DN171762_c1_g3</t>
  </si>
  <si>
    <t>TRINITY_DN193685_c0_g2</t>
  </si>
  <si>
    <t>TRINITY_DN192838_c2_g3</t>
  </si>
  <si>
    <t>TRINITY_DN185324_c3_g4</t>
  </si>
  <si>
    <t>TRINITY_DN181047_c0_g1</t>
  </si>
  <si>
    <t>TRINITY_DN164306_c0_g1</t>
  </si>
  <si>
    <t>TRINITY_DN178854_c0_g1</t>
  </si>
  <si>
    <t>K01194</t>
  </si>
  <si>
    <t>TRINITY_DN176074_c7_g1</t>
  </si>
  <si>
    <t xml:space="preserve">solute carrier family 23 member 1-like </t>
  </si>
  <si>
    <t>TRINITY_DN179193_c4_g8</t>
  </si>
  <si>
    <t>TRINITY_DN191438_c0_g1</t>
  </si>
  <si>
    <t>TRINITY_DN33776_c0_g1</t>
  </si>
  <si>
    <t>TRINITY_DN180707_c0_g1</t>
  </si>
  <si>
    <t>TRINITY_DN196493_c3_g1</t>
  </si>
  <si>
    <t>K00521</t>
  </si>
  <si>
    <t>Ferric reductase-like transmembrane component family protein/Ferric chelate reductase/ferric reduction oxidase</t>
  </si>
  <si>
    <t>TRINITY_DN182095_c8_g15</t>
  </si>
  <si>
    <t>TRINITY_DN200249_c0_g4</t>
  </si>
  <si>
    <t>protein artichoke-like</t>
  </si>
  <si>
    <t>TRINITY_DN201649_c3_g2</t>
  </si>
  <si>
    <t>K19719</t>
  </si>
  <si>
    <t>TRINITY_DN168417_c3_g1</t>
  </si>
  <si>
    <t>TRINITY_DN269502_c0_g1</t>
  </si>
  <si>
    <t>TRINITY_DN180830_c3_g2</t>
  </si>
  <si>
    <t>TRINITY_DN62387_c0_g1</t>
  </si>
  <si>
    <t>TRINITY_DN195881_c3_g1</t>
  </si>
  <si>
    <t>TRINITY_DN177214_c1_g5</t>
  </si>
  <si>
    <t>TRINITY_DN193328_c0_g1</t>
  </si>
  <si>
    <t>Pregnancy-associated glycoprotein</t>
  </si>
  <si>
    <t>TRINITY_DN57165_c0_g1</t>
  </si>
  <si>
    <t>TRINITY_DN186462_c3_g11</t>
  </si>
  <si>
    <t>TRINITY_DN39819_c0_g1</t>
  </si>
  <si>
    <t>TRINITY_DN197786_c3_g2</t>
  </si>
  <si>
    <t>TRINITY_DN268889_c0_g1</t>
  </si>
  <si>
    <t>TRINITY_DN174878_c1_g9</t>
  </si>
  <si>
    <t>psbH</t>
  </si>
  <si>
    <t>TRINITY_DN27406_c0_g1</t>
  </si>
  <si>
    <t>TRINITY_DN179965_c6_g1</t>
  </si>
  <si>
    <t>TRINITY_DN227143_c0_g1</t>
  </si>
  <si>
    <t>TRINITY_DN177478_c2_g1</t>
  </si>
  <si>
    <t>putative proline--tRNA ligase C19C7.06</t>
  </si>
  <si>
    <t>TRINITY_DN304491_c0_g1</t>
  </si>
  <si>
    <t>K05181</t>
  </si>
  <si>
    <t>Caveolin</t>
  </si>
  <si>
    <t>TRINITY_DN167652_c0_g1</t>
  </si>
  <si>
    <t>TRINITY_DN66289_c0_g2</t>
  </si>
  <si>
    <t>TRINITY_DN178881_c2_g3</t>
  </si>
  <si>
    <t>TRINITY_DN377094_c0_g1</t>
  </si>
  <si>
    <t>TRINITY_DN199764_c0_g1</t>
  </si>
  <si>
    <t>TRINITY_DN88736_c0_g1</t>
  </si>
  <si>
    <t>TRINITY_DN166044_c0_g2</t>
  </si>
  <si>
    <t>TRINITY_DN304615_c0_g1</t>
  </si>
  <si>
    <t>TRINITY_DN167371_c2_g2</t>
  </si>
  <si>
    <t>Arylesterase/paraoxonase</t>
  </si>
  <si>
    <t>TRINITY_DN343827_c0_g1</t>
  </si>
  <si>
    <t>TRINITY_DN196045_c1_g5</t>
  </si>
  <si>
    <t>TRINITY_DN229494_c0_g1</t>
  </si>
  <si>
    <t>TRINITY_DN184385_c0_g1</t>
  </si>
  <si>
    <t>TRINITY_DN53563_c0_g2</t>
  </si>
  <si>
    <t>K13649</t>
  </si>
  <si>
    <t>K10599</t>
  </si>
  <si>
    <t xml:space="preserve">Pre-mRNA-processing factor 19 </t>
  </si>
  <si>
    <t>TRINITY_DN196932_c3_g1</t>
  </si>
  <si>
    <t>TRINITY_DN63236_c0_g1</t>
  </si>
  <si>
    <t>TRINITY_DN183407_c1_g3</t>
  </si>
  <si>
    <t>TRINITY_DN31520_c0_g1</t>
  </si>
  <si>
    <t>K10351</t>
  </si>
  <si>
    <t>TRINITY_DN87488_c0_g1</t>
  </si>
  <si>
    <t>TRINITY_DN190790_c7_g25</t>
  </si>
  <si>
    <t>CARP3</t>
  </si>
  <si>
    <t>TRINITY_DN47116_c0_g1</t>
  </si>
  <si>
    <t>TRINITY_DN203806_c1_g11</t>
  </si>
  <si>
    <t>putative ammonium transporter 3</t>
  </si>
  <si>
    <t>TRINITY_DN269650_c0_g1</t>
  </si>
  <si>
    <t>TRINITY_DN193025_c2_g1</t>
  </si>
  <si>
    <t>K09648</t>
  </si>
  <si>
    <t>Mitochondrial inner membrane protease subunit 2 (EC 3.4.21.-) (IMP2-like protein)</t>
  </si>
  <si>
    <t>TRINITY_DN193226_c3_g1</t>
  </si>
  <si>
    <t>TRINITY_DN190157_c0_g5</t>
  </si>
  <si>
    <t>TRINITY_DN197534_c0_g2</t>
  </si>
  <si>
    <t>cartilage intermediate layer protein 1-like</t>
  </si>
  <si>
    <t>TRINITY_DN167652_c0_g2</t>
  </si>
  <si>
    <t>TRINITY_DN70501_c0_g1</t>
  </si>
  <si>
    <t>TRINITY_DN182950_c1_g1</t>
  </si>
  <si>
    <t>TRINITY_DN167396_c1_g2</t>
  </si>
  <si>
    <t>TRINITY_DN202778_c1_g1</t>
  </si>
  <si>
    <t>TRINITY_DN175742_c0_g3</t>
  </si>
  <si>
    <t>K10396</t>
  </si>
  <si>
    <t>Interferon-inducible GTPase 5</t>
  </si>
  <si>
    <t>TRINITY_DN187297_c2_g2</t>
  </si>
  <si>
    <t>TRINITY_DN175742_c0_g2</t>
  </si>
  <si>
    <t>TRINITY_DN95632_c0_g2</t>
  </si>
  <si>
    <t>TRINITY_DN187297_c3_g3</t>
  </si>
  <si>
    <t>TRINITY_DN78442_c0_g1</t>
  </si>
  <si>
    <t>TRINITY_DN167710_c0_g1</t>
  </si>
  <si>
    <t>TRINITY_DN186124_c0_g2</t>
  </si>
  <si>
    <t>TRINITY_DN305896_c0_g1</t>
  </si>
  <si>
    <t xml:space="preserve"> ZP domain-containing protein-like</t>
  </si>
  <si>
    <t>putative lipase</t>
  </si>
  <si>
    <t>TRINITY_DN186462_c3_g1</t>
  </si>
  <si>
    <t>TRINITY_DN75351_c0_g1</t>
  </si>
  <si>
    <t>TRINITY_DN99156_c0_g1</t>
  </si>
  <si>
    <t>TRINITY_DN195345_c0_g1</t>
  </si>
  <si>
    <t>TRINITY_DN328032_c0_g1</t>
  </si>
  <si>
    <t>K04874</t>
  </si>
  <si>
    <t>TRINITY_DN211834_c0_g1</t>
  </si>
  <si>
    <t>TRINITY_DN202151_c2_g11</t>
  </si>
  <si>
    <t>TRINITY_DN191676_c0_g18</t>
  </si>
  <si>
    <t>K12021</t>
  </si>
  <si>
    <t>TRINITY_DN175524_c2_g1</t>
  </si>
  <si>
    <t>TRINITY_DN169954_c0_g1</t>
  </si>
  <si>
    <t>TRINITY_DN347990_c0_g1</t>
  </si>
  <si>
    <t>TRINITY_DN166309_c0_g2</t>
  </si>
  <si>
    <t>TRINITY_DN272616_c0_g1</t>
  </si>
  <si>
    <t>TRINITY_DN87658_c0_g1</t>
  </si>
  <si>
    <t>TRINITY_DN203953_c1_g4</t>
  </si>
  <si>
    <t>Collagen alpha-1(II) chain</t>
  </si>
  <si>
    <t>putative Bromodomain and WD repeat-containing protein 1</t>
  </si>
  <si>
    <t>TRINITY_DN203953_c1_g2</t>
  </si>
  <si>
    <t>TRINITY_DN81050_c0_g1</t>
  </si>
  <si>
    <t>K11494</t>
  </si>
  <si>
    <t>TRINITY_DN201110_c0_g2</t>
  </si>
  <si>
    <t>TRINITY_DN179660_c4_g5</t>
  </si>
  <si>
    <t>TRINITY_DN48346_c0_g1</t>
  </si>
  <si>
    <t>TRINITY_DN175882_c2_g1</t>
  </si>
  <si>
    <t>protein-glutamine gamma-glutamyltransferase K</t>
  </si>
  <si>
    <t>TRINITY_DN74815_c0_g1</t>
  </si>
  <si>
    <t>TRINITY_DN68571_c0_g2</t>
  </si>
  <si>
    <t>TRINITY_DN184257_c3_g1</t>
  </si>
  <si>
    <t>TRINITY_DN99612_c0_g1</t>
  </si>
  <si>
    <t>TRINITY_DN59253_c0_g2</t>
  </si>
  <si>
    <t>Collagen alpha chain (Fragment)</t>
  </si>
  <si>
    <t>TRINITY_DN383718_c0_g1</t>
  </si>
  <si>
    <t>Methyltransferase family (Fragment)</t>
  </si>
  <si>
    <t>TRINITY_DN207257_c0_g2</t>
  </si>
  <si>
    <t>Esterase, SGNH hydrolase-type, subgroup</t>
  </si>
  <si>
    <t>TRINITY_DN191682_c3_g5</t>
  </si>
  <si>
    <t>TRINITY_DN48009_c0_g2</t>
  </si>
  <si>
    <t>TRINITY_DN69647_c0_g2</t>
  </si>
  <si>
    <t>TRINITY_DN202690_c3_g4</t>
  </si>
  <si>
    <t>TRINITY_DN31842_c0_g1</t>
  </si>
  <si>
    <t>TRINITY_DN187335_c3_g8</t>
  </si>
  <si>
    <t>TRINITY_DN206271_c0_g1</t>
  </si>
  <si>
    <t>putative ubiquitin ligase</t>
  </si>
  <si>
    <t>TRINITY_DN227120_c0_g1</t>
  </si>
  <si>
    <t>TRINITY_DN87135_c0_g1</t>
  </si>
  <si>
    <t xml:space="preserve">putative E3 ubiquitin-protein ligase HERC2-like </t>
  </si>
  <si>
    <t>TRINITY_DN23345_c0_g1</t>
  </si>
  <si>
    <t>TRINITY_DN181856_c0_g2</t>
  </si>
  <si>
    <t>TRINITY_DN186835_c2_g1</t>
  </si>
  <si>
    <t xml:space="preserve"> Dynamin-related protein 1D [Symbiodinium microadriaticum]</t>
  </si>
  <si>
    <t>TRINITY_DN168320_c0_g1</t>
  </si>
  <si>
    <t>TRINITY_DN183268_c0_g1</t>
  </si>
  <si>
    <t>TRINITY_DN28296_c0_g1</t>
  </si>
  <si>
    <t>K12751</t>
  </si>
  <si>
    <t>TRINITY_DN195976_c0_g1</t>
  </si>
  <si>
    <t>TRINITY_DN62135_c0_g2</t>
  </si>
  <si>
    <t>K00108</t>
  </si>
  <si>
    <t>Choline dehydrogenase, putative</t>
  </si>
  <si>
    <t>TRINITY_DN181257_c6_g3</t>
  </si>
  <si>
    <t>TRINITY_DN32969_c0_g1</t>
  </si>
  <si>
    <t>TRINITY_DN183937_c3_g2</t>
  </si>
  <si>
    <t>TRINITY_DN169860_c1_g1</t>
  </si>
  <si>
    <t>TRINITY_DN165446_c0_g1</t>
  </si>
  <si>
    <t>TRINITY_DN188176_c0_g2</t>
  </si>
  <si>
    <t>TRINITY_DN200285_c4_g1</t>
  </si>
  <si>
    <t>TRINITY_DN313910_c0_g1</t>
  </si>
  <si>
    <t>TRINITY_DN203938_c1_g1</t>
  </si>
  <si>
    <t>TRINITY_DN186835_c2_g10</t>
  </si>
  <si>
    <t>TRINITY_DN168073_c0_g2</t>
  </si>
  <si>
    <t>delta-like protein D</t>
  </si>
  <si>
    <t>TRINITY_DN170218_c0_g1</t>
  </si>
  <si>
    <t>TRINITY_DN191676_c0_g14</t>
  </si>
  <si>
    <t>TRINITY_DN198889_c0_g1</t>
  </si>
  <si>
    <t>TRINITY_DN306572_c0_g1</t>
  </si>
  <si>
    <t>TRINITY_DN385892_c0_g1</t>
  </si>
  <si>
    <t>TRINITY_DN201683_c1_g1</t>
  </si>
  <si>
    <t>TRINITY_DN173365_c0_g3</t>
  </si>
  <si>
    <t>TRINITY_DN175613_c0_g1</t>
  </si>
  <si>
    <t>TRINITY_DN191676_c0_g8</t>
  </si>
  <si>
    <t>TRINITY_DN187710_c0_g3</t>
  </si>
  <si>
    <t>TRINITY_DN191676_c0_g9</t>
  </si>
  <si>
    <t>TRINITY_DN170512_c0_g1</t>
  </si>
  <si>
    <t>TRINITY_DN165387_c0_g1</t>
  </si>
  <si>
    <t>TRINITY_DN49500_c0_g1</t>
  </si>
  <si>
    <t>TRINITY_DN186847_c2_g2</t>
  </si>
  <si>
    <t>Eukaryotic translation initiation factor 4G</t>
  </si>
  <si>
    <t>TRINITY_DN48914_c0_g1</t>
  </si>
  <si>
    <t xml:space="preserve">putative  glycosyltransferase </t>
  </si>
  <si>
    <t>TRINITY_DN200649_c2_g4</t>
  </si>
  <si>
    <t>TRINITY_DN36076_c0_g1</t>
  </si>
  <si>
    <t xml:space="preserve"> MAM and LDL-receptor class A domain-containing protein 1-like isoform X2</t>
  </si>
  <si>
    <t>TRINITY_DN191071_c2_g4</t>
  </si>
  <si>
    <t>TRINITY_DN165638_c0_g1</t>
  </si>
  <si>
    <t>TRINITY_DN90789_c0_g2</t>
  </si>
  <si>
    <t>putative collagen alpha-1(I) chain-like</t>
  </si>
  <si>
    <t>TRINITY_DN188428_c1_g1</t>
  </si>
  <si>
    <t>TRINITY_DN74722_c0_g2</t>
  </si>
  <si>
    <t xml:space="preserve"> K14195</t>
  </si>
  <si>
    <t>Accumulation-associated protein (Fragment)</t>
  </si>
  <si>
    <t>TRINITY_DN190764_c0_g1</t>
  </si>
  <si>
    <t>3-methyl-2-oxobutanoate hydroxymethyltransferase</t>
  </si>
  <si>
    <t>TRINITY_DN170021_c0_g1</t>
  </si>
  <si>
    <t>TRINITY_DN200922_c4_g10</t>
  </si>
  <si>
    <t>TRINITY_DN91427_c0_g1</t>
  </si>
  <si>
    <t>TRINITY_DN192785_c2_g3</t>
  </si>
  <si>
    <t>TRINITY_DN36453_c0_g1</t>
  </si>
  <si>
    <t>K18757</t>
  </si>
  <si>
    <t>Lupus La protein-like A</t>
  </si>
  <si>
    <t>TRINITY_DN178221_c0_g1</t>
  </si>
  <si>
    <t>TRINITY_DN32866_c0_g1</t>
  </si>
  <si>
    <t>TRINITY_DN188290_c1_g7</t>
  </si>
  <si>
    <t>TRINITY_DN386213_c0_g2</t>
  </si>
  <si>
    <t>TRINITY_DN187218_c1_g10</t>
  </si>
  <si>
    <t>K08076</t>
  </si>
  <si>
    <t>TRINITY_DN188361_c1_g3</t>
  </si>
  <si>
    <t>TRINITY_DN176969_c3_g2</t>
  </si>
  <si>
    <t>K06278</t>
  </si>
  <si>
    <t>TRINITY_DN169885_c1_g4</t>
  </si>
  <si>
    <t>TRINITY_DN182249_c2_g6</t>
  </si>
  <si>
    <t>TRINITY_DN193910_c0_g1</t>
  </si>
  <si>
    <t>Ankyrin repeat domain-containing protein 50</t>
  </si>
  <si>
    <t>TRINITY_DN195643_c2_g1</t>
  </si>
  <si>
    <t>TRINITY_DN67074_c0_g1</t>
  </si>
  <si>
    <t>TRINITY_DN62976_c0_g3</t>
  </si>
  <si>
    <t>TRINITY_DN194987_c0_g1</t>
  </si>
  <si>
    <t>TRINITY_DN67269_c0_g2</t>
  </si>
  <si>
    <t>TRINITY_DN180544_c2_g2</t>
  </si>
  <si>
    <t>Serine/threonine-protein kinase 33</t>
  </si>
  <si>
    <t>TRINITY_DN180501_c0_g2</t>
  </si>
  <si>
    <t>TRINITY_DN95992_c0_g2</t>
  </si>
  <si>
    <t>TRINITY_DN191676_c0_g13</t>
  </si>
  <si>
    <t xml:space="preserve">granulins-like </t>
  </si>
  <si>
    <t>TRINITY_DN183583_c0_g3</t>
  </si>
  <si>
    <t>TRINITY_DN96111_c0_g2</t>
  </si>
  <si>
    <t>TRINITY_DN177864_c4_g2</t>
  </si>
  <si>
    <t>ABC1 family protein (Chaperonin), putative</t>
  </si>
  <si>
    <t>TRINITY_DN303855_c0_g2</t>
  </si>
  <si>
    <t>TRINITY_DN174605_c4_g7</t>
  </si>
  <si>
    <t>collagen alpha-1(I) chain-like</t>
  </si>
  <si>
    <t>TRINITY_DN47704_c0_g1</t>
  </si>
  <si>
    <t>TRINITY_DN173756_c1_g1</t>
  </si>
  <si>
    <t>TRINITY_DN196547_c1_g1</t>
  </si>
  <si>
    <t>K18592</t>
  </si>
  <si>
    <t>TRINITY_DN186462_c3_g12</t>
  </si>
  <si>
    <t>K10385</t>
  </si>
  <si>
    <t xml:space="preserve">putative loricrin-like </t>
  </si>
  <si>
    <t>TRINITY_DN175101_c2_g2</t>
  </si>
  <si>
    <t>TRINITY_DN196675_c1_g8</t>
  </si>
  <si>
    <t>TRINITY_DN191053_c5_g2</t>
  </si>
  <si>
    <t xml:space="preserve">Peridinin-chlorophyll a-binding protein, chloroplastic </t>
  </si>
  <si>
    <t>TRINITY_DN49680_c0_g1</t>
  </si>
  <si>
    <t>TRINITY_DN178316_c8_g2</t>
  </si>
  <si>
    <t>Ribosomal large subunit pseudouridine synthase C</t>
  </si>
  <si>
    <t>TRINITY_DN92577_c1_g2</t>
  </si>
  <si>
    <t>TRINITY_DN168273_c0_g1</t>
  </si>
  <si>
    <t>UBX domain-containing protein 11</t>
  </si>
  <si>
    <t>TRINITY_DN84297_c0_g2</t>
  </si>
  <si>
    <t>TRINITY_DN204350_c2_g7</t>
  </si>
  <si>
    <t>TRINITY_DN364800_c0_g1</t>
  </si>
  <si>
    <t>TRINITY_DN201192_c3_g5</t>
  </si>
  <si>
    <t>TRINITY_DN7551_c0_g2</t>
  </si>
  <si>
    <t>TRINITY_DN171609_c6_g2</t>
  </si>
  <si>
    <t>TRINITY_DN62534_c0_g3</t>
  </si>
  <si>
    <t>TRINITY_DN205202_c14_g3</t>
  </si>
  <si>
    <t>TRINITY_DN71183_c0_g1</t>
  </si>
  <si>
    <t>TRINITY_DN202417_c1_g13</t>
  </si>
  <si>
    <t>putative hexose phosphate transport protein</t>
  </si>
  <si>
    <t>TRINITY_DN84899_c0_g2</t>
  </si>
  <si>
    <t>K03353</t>
  </si>
  <si>
    <t>Anaphase-promoting complex</t>
  </si>
  <si>
    <t>TRINITY_DN193305_c2_g9</t>
  </si>
  <si>
    <t>TRINITY_DN95789_c0_g1</t>
  </si>
  <si>
    <t xml:space="preserve">K17527 </t>
  </si>
  <si>
    <t>intelectin-2-like</t>
  </si>
  <si>
    <t>TRINITY_DN195379_c0_g5</t>
  </si>
  <si>
    <t>TRINITY_DN17513_c0_g2</t>
  </si>
  <si>
    <t>TRINITY_DN191694_c3_g1</t>
  </si>
  <si>
    <t xml:space="preserve">Sodium channel protein 60E </t>
  </si>
  <si>
    <t>TRINITY_DN32139_c0_g2</t>
  </si>
  <si>
    <t>K18542</t>
  </si>
  <si>
    <t>TRINITY_DN185645_c1_g2</t>
  </si>
  <si>
    <t>Alpha-galactosidase (EC 3.2.1.22) (Melibiase)</t>
  </si>
  <si>
    <t>TRINITY_DN69465_c0_g1</t>
  </si>
  <si>
    <t>TRINITY_DN183937_c3_g4</t>
  </si>
  <si>
    <t>TRINITY_DN99775_c0_g1</t>
  </si>
  <si>
    <t>ankyrin repeat protein</t>
  </si>
  <si>
    <t>TRINITY_DN191445_c3_g3</t>
  </si>
  <si>
    <t>TRINITY_DN37746_c0_g1</t>
  </si>
  <si>
    <t>Hemicentin-1</t>
  </si>
  <si>
    <t>TRINITY_DN94688_c0_g4</t>
  </si>
  <si>
    <t>TRINITY_DN175882_c2_g2</t>
  </si>
  <si>
    <t>putative carboxymuconolactone decarboxylase family protein</t>
  </si>
  <si>
    <t>TRINITY_DN400173_c0_g1</t>
  </si>
  <si>
    <t>TRINITY_DN28698_c0_g1</t>
  </si>
  <si>
    <t>TRINITY_DN183869_c5_g1</t>
  </si>
  <si>
    <t>TRINITY_DN50963_c0_g2</t>
  </si>
  <si>
    <t>TRINITY_DN167684_c1_g2</t>
  </si>
  <si>
    <t>TRINITY_DN201161_c0_g3</t>
  </si>
  <si>
    <t xml:space="preserve">putative Calcium-dependent protein kinase 2 </t>
  </si>
  <si>
    <t>TRINITY_DN72426_c0_g4</t>
  </si>
  <si>
    <t>TRINITY_DN85551_c0_g1</t>
  </si>
  <si>
    <t>TRINITY_DN68316_c0_g1</t>
  </si>
  <si>
    <t>TRINITY_DN200649_c2_g1</t>
  </si>
  <si>
    <t>TRINITY_DN194513_c5_g3</t>
  </si>
  <si>
    <t>TRINITY_DN32798_c0_g2</t>
  </si>
  <si>
    <t>K01673</t>
  </si>
  <si>
    <t>Putative beta-type carbonic anhydrase (Fragment)</t>
  </si>
  <si>
    <t>K04230</t>
  </si>
  <si>
    <t>TRINITY_DN33552_c0_g2</t>
  </si>
  <si>
    <t>TRINITY_DN189918_c3_g1</t>
  </si>
  <si>
    <t xml:space="preserve">Pumilio-like 5 </t>
  </si>
  <si>
    <t>TRINITY_DN71504_c0_g1</t>
  </si>
  <si>
    <t>TRINITY_DN99106_c0_g1</t>
  </si>
  <si>
    <t>TRINITY_DN185251_c2_g1</t>
  </si>
  <si>
    <t>TRINITY_DN20643_c0_g2</t>
  </si>
  <si>
    <t>TRINITY_DN196255_c2_g3</t>
  </si>
  <si>
    <t>K17686</t>
  </si>
  <si>
    <t>putative copper-transporting ATPase HMA5</t>
  </si>
  <si>
    <t>TRINITY_DN49101_c0_g2</t>
  </si>
  <si>
    <t>TRINITY_DN181389_c0_g1</t>
  </si>
  <si>
    <t xml:space="preserve">acyl CoA:acetate/3-ketoacid CoA transferase </t>
  </si>
  <si>
    <t>TRINITY_DN51227_c0_g1</t>
  </si>
  <si>
    <t>K04251</t>
  </si>
  <si>
    <t xml:space="preserve"> Ankyrin repeat, PH and SEC7 domain containing protein secG</t>
  </si>
  <si>
    <t>TRINITY_DN8649_c0_g1</t>
  </si>
  <si>
    <t>TRINITY_DN180807_c0_g12</t>
  </si>
  <si>
    <t>TRINITY_DN190350_c1_g1</t>
  </si>
  <si>
    <t xml:space="preserve"> DEAD-box ATP-dependent RNA helicase 46 </t>
  </si>
  <si>
    <t>TRINITY_DN196046_c0_g2</t>
  </si>
  <si>
    <t>TRINITY_DN62702_c0_g3</t>
  </si>
  <si>
    <t>K10290</t>
  </si>
  <si>
    <t>TRINITY_DN194918_c1_g1</t>
  </si>
  <si>
    <t>TRINITY_DN48890_c0_g1</t>
  </si>
  <si>
    <t>K10400</t>
  </si>
  <si>
    <t>kinesin-like protein KIF15</t>
  </si>
  <si>
    <t>TRINITY_DN193728_c1_g4</t>
  </si>
  <si>
    <t>TRINITY_DN33274_c0_g1</t>
  </si>
  <si>
    <t>putative cobW-domain-containing protein</t>
  </si>
  <si>
    <t>TRINITY_DN184669_c2_g4</t>
  </si>
  <si>
    <t>TRINITY_DN74860_c0_g2</t>
  </si>
  <si>
    <t xml:space="preserve">Phosphoenolpyruvate phosphomutase </t>
  </si>
  <si>
    <t>TRINITY_DN48517_c0_g1</t>
  </si>
  <si>
    <t>TRINITY_DN171245_c0_g1</t>
  </si>
  <si>
    <t>TRINITY_DN33774_c0_g2</t>
  </si>
  <si>
    <t>TRINITY_DN188579_c5_g2</t>
  </si>
  <si>
    <t xml:space="preserve">Betaine aldehyde dehydrogenase </t>
  </si>
  <si>
    <t>TRINITY_DN70694_c0_g1</t>
  </si>
  <si>
    <t>TRINITY_DN167459_c0_g2</t>
  </si>
  <si>
    <t>TRINITY_DN166077_c0_g1</t>
  </si>
  <si>
    <t>Carbohydrate-binding domain-containing protein C2E1P3.05c</t>
  </si>
  <si>
    <t>TRINITY_DN74860_c0_g1</t>
  </si>
  <si>
    <t>skin secretory protein xP2-like</t>
  </si>
  <si>
    <t>TRINITY_DN197084_c1_g1</t>
  </si>
  <si>
    <t>K00939</t>
  </si>
  <si>
    <t>chloroplast adenylate kinase</t>
  </si>
  <si>
    <t>TRINITY_DN68623_c0_g2</t>
  </si>
  <si>
    <t>TRINITY_DN202406_c3_g4</t>
  </si>
  <si>
    <t>Ras-related protein Rab-35</t>
  </si>
  <si>
    <t>TRINITY_DN88098_c0_g1</t>
  </si>
  <si>
    <t>TRINITY_DN184287_c0_g1</t>
  </si>
  <si>
    <t xml:space="preserve">Tyrosyl-DNA phosphodiesterase 1 </t>
  </si>
  <si>
    <t>TRINITY_DN19878_c0_g1</t>
  </si>
  <si>
    <t>TRINITY_DN198404_c2_g10</t>
  </si>
  <si>
    <t>K01192</t>
  </si>
  <si>
    <t>Glycoside hydrolase family 2 sugar binding protein</t>
  </si>
  <si>
    <t>TRINITY_DN36578_c0_g2</t>
  </si>
  <si>
    <t>TRINITY_DN187297_c4_g4</t>
  </si>
  <si>
    <t>TRINITY_DN165718_c0_g2</t>
  </si>
  <si>
    <t>TRINITY_DN191445_c3_g4</t>
  </si>
  <si>
    <t>TRINITY_DN16698_c0_g2</t>
  </si>
  <si>
    <t>TRINITY_DN176649_c0_g2</t>
  </si>
  <si>
    <t>TRINITY_DN89993_c0_g2</t>
  </si>
  <si>
    <t>TRINITY_DN199778_c3_g1</t>
  </si>
  <si>
    <t xml:space="preserve">putative Insulin-degrading enzyme </t>
  </si>
  <si>
    <t>TRINITY_DN386920_c0_g1</t>
  </si>
  <si>
    <t>TRINITY_DN72460_c0_g1</t>
  </si>
  <si>
    <t>TRINITY_DN70478_c0_g3</t>
  </si>
  <si>
    <t>TRINITY_DN170077_c2_g2</t>
  </si>
  <si>
    <t>TRINITY_DN181589_c0_g2</t>
  </si>
  <si>
    <t>K13761</t>
  </si>
  <si>
    <t>High affinity cGMP-specific 3',5'-cyclic phosphodiesterase 9A</t>
  </si>
  <si>
    <t>TRINITY_DN68656_c0_g1</t>
  </si>
  <si>
    <t>TRINITY_DN167371_c3_g3</t>
  </si>
  <si>
    <t>Methylmalonic aciduria and homocystinuria type D-like, mitochondrial</t>
  </si>
  <si>
    <t>TRINITY_DN202482_c1_g1</t>
  </si>
  <si>
    <t>TRINITY_DN191436_c1_g1</t>
  </si>
  <si>
    <t>TRINITY_DN202720_c9_g1</t>
  </si>
  <si>
    <t>K02575</t>
  </si>
  <si>
    <t>Nitrate transporter (Fragment)</t>
  </si>
  <si>
    <t>TRINITY_DN215680_c0_g1</t>
  </si>
  <si>
    <t>TRINITY_DN173088_c0_g1</t>
  </si>
  <si>
    <t>TRINITY_DN174605_c4_g5</t>
  </si>
  <si>
    <t>TRINITY_DN69360_c0_g1</t>
  </si>
  <si>
    <t>TRINITY_DN95221_c0_g1</t>
  </si>
  <si>
    <t>TRINITY_DN172415_c0_g2</t>
  </si>
  <si>
    <t>TRINITY_DN179368_c0_g1</t>
  </si>
  <si>
    <t>TRINITY_DN170689_c0_g3</t>
  </si>
  <si>
    <t xml:space="preserve">Ankyrin-3 </t>
  </si>
  <si>
    <t>TRINITY_DN172814_c0_g2</t>
  </si>
  <si>
    <t>TRINITY_DN170509_c0_g1</t>
  </si>
  <si>
    <t>mucin-like protein</t>
  </si>
  <si>
    <t>TRINITY_DN167634_c0_g2</t>
  </si>
  <si>
    <t>TRINITY_DN89886_c0_g1</t>
  </si>
  <si>
    <t>TRINITY_DN179366_c0_g1</t>
  </si>
  <si>
    <t>TRINITY_DN173287_c3_g7</t>
  </si>
  <si>
    <t>K06901</t>
  </si>
  <si>
    <t>putative permease</t>
  </si>
  <si>
    <t>TRINITY_DN172607_c0_g1</t>
  </si>
  <si>
    <t>TRINITY_DN62509_c0_g2</t>
  </si>
  <si>
    <t>K00116</t>
  </si>
  <si>
    <t>TRINITY_DN194022_c2_g4</t>
  </si>
  <si>
    <t>putative malate:quinone oxidoreductase</t>
  </si>
  <si>
    <t>TRINITY_DN194114_c0_g7</t>
  </si>
  <si>
    <t>TRINITY_DN178117_c1_g2</t>
  </si>
  <si>
    <t>TRINITY_DN181109_c0_g1</t>
  </si>
  <si>
    <t>TRINITY_DN178936_c1_g2</t>
  </si>
  <si>
    <t xml:space="preserve">LINE-1 retrotransposable element ORF2 protein </t>
  </si>
  <si>
    <t>TRINITY_DN190646_c0_g2</t>
  </si>
  <si>
    <t>TRINITY_DN187599_c0_g15</t>
  </si>
  <si>
    <t>TRINITY_DN198404_c2_g4</t>
  </si>
  <si>
    <t>Rab5B protein</t>
  </si>
  <si>
    <t>TRINITY_DN194114_c0_g10</t>
  </si>
  <si>
    <t>putative myophilin-like</t>
  </si>
  <si>
    <t>TRINITY_DN95765_c0_g1</t>
  </si>
  <si>
    <t>TRINITY_DN181913_c0_g1</t>
  </si>
  <si>
    <t>TRINITY_DN97634_c0_g2</t>
  </si>
  <si>
    <t>TRINITY_DN183177_c0_g1</t>
  </si>
  <si>
    <t>TRINITY_DN191747_c1_g4</t>
  </si>
  <si>
    <t>Ammonium transporter (Fragment)</t>
  </si>
  <si>
    <t>K04986</t>
  </si>
  <si>
    <t>TRINITY_DN396071_c0_g1</t>
  </si>
  <si>
    <t>TRINITY_DN96118_c0_g1</t>
  </si>
  <si>
    <t>K04988</t>
  </si>
  <si>
    <t>TRINITY_DN87990_c1_g2</t>
  </si>
  <si>
    <t>TRINITY_DN167844_c0_g1</t>
  </si>
  <si>
    <t>TRINITY_DN180464_c3_g1</t>
  </si>
  <si>
    <t>TRINITY_DN205202_c14_g4</t>
  </si>
  <si>
    <t>TRINITY_DN194114_c0_g6</t>
  </si>
  <si>
    <t>TRINITY_DN195485_c0_g3</t>
  </si>
  <si>
    <t>TRINITY_DN202482_c1_g7</t>
  </si>
  <si>
    <t>TRINITY_DN204530_c3_g28</t>
  </si>
  <si>
    <t>TRINITY_DN189094_c1_g1</t>
  </si>
  <si>
    <t>TRINITY_DN176967_c0_g3</t>
  </si>
  <si>
    <t>Pentatricopeptide repeat-containing protein, chloroplastic</t>
  </si>
  <si>
    <t>TRINITY_DN1784_c0_g1</t>
  </si>
  <si>
    <t>TRINITY_DN201441_c3_g8</t>
  </si>
  <si>
    <t>Dna J-like protein 2 (Fragment)</t>
  </si>
  <si>
    <t>TRINITY_DN194114_c0_g12</t>
  </si>
  <si>
    <t>TRINITY_DN372267_c0_g1</t>
  </si>
  <si>
    <t>TRINITY_DN202482_c1_g20</t>
  </si>
  <si>
    <t>TRINITY_DN186019_c0_g1</t>
  </si>
  <si>
    <t>TRINITY_DN194114_c0_g9</t>
  </si>
  <si>
    <t>K00059</t>
  </si>
  <si>
    <t xml:space="preserve">putative 3-oxoacyl-[acyl-carrier-protein] reductase FabG </t>
  </si>
  <si>
    <t>TRINITY_DN188868_c0_g2</t>
  </si>
  <si>
    <t>TRINITY_DN188074_c0_g1</t>
  </si>
  <si>
    <t>TRINITY_DN186814_c0_g1</t>
  </si>
  <si>
    <t>TRINITY_DN81969_c0_g2</t>
  </si>
  <si>
    <t>TRINITY_DN62234_c0_g1</t>
  </si>
  <si>
    <t>Ethanolamine-phosphate cytidylyltransferase</t>
  </si>
  <si>
    <t>TRINITY_DN387825_c0_g1</t>
  </si>
  <si>
    <t>TRINITY_DN201601_c3_g4</t>
  </si>
  <si>
    <t>TRINITY_DN53430_c0_g1</t>
  </si>
  <si>
    <t>TRINITY_DN194628_c1_g2</t>
  </si>
  <si>
    <t>K04451</t>
  </si>
  <si>
    <t>cellular tumor antigen p53-like</t>
  </si>
  <si>
    <t>TRINITY_DN175926_c0_g1</t>
  </si>
  <si>
    <t>TRINITY_DN199863_c3_g2</t>
  </si>
  <si>
    <t>K04255</t>
  </si>
  <si>
    <t>TRINITY_DN192541_c1_g1</t>
  </si>
  <si>
    <t>Neurofilament heavy polypeptide (Fragment)</t>
  </si>
  <si>
    <t>TRINITY_DN202732_c0_g5</t>
  </si>
  <si>
    <t>Variable membrane protein, putative</t>
  </si>
  <si>
    <t>TRINITY_DN30940_c0_g2</t>
  </si>
  <si>
    <t>K00253</t>
  </si>
  <si>
    <t>Isovaleryl-dehydrogenase</t>
  </si>
  <si>
    <t>TRINITY_DN202732_c0_g3</t>
  </si>
  <si>
    <t>TRINITY_DN186429_c0_g3</t>
  </si>
  <si>
    <t>TRINITY_DN202482_c1_g5</t>
  </si>
  <si>
    <t>TRINITY_DN189094_c0_g2</t>
  </si>
  <si>
    <t>putative E3 ubiquitin-protein ligase HERC1</t>
  </si>
  <si>
    <t>TRINITY_DN82819_c0_g1</t>
  </si>
  <si>
    <t>TRINITY_DN182544_c0_g1</t>
  </si>
  <si>
    <t>TRINITY_DN183776_c1_g1</t>
  </si>
  <si>
    <t>TRINITY_DN4663_c0_g1</t>
  </si>
  <si>
    <t xml:space="preserve"> Receptor-likey region, transmembrane domain- and RING domain-containing protein 6</t>
  </si>
  <si>
    <t>TRINITY_DN189262_c0_g1</t>
  </si>
  <si>
    <t xml:space="preserve">putative Poly(U)-specific endoribonuclease </t>
  </si>
  <si>
    <t>TRINITY_DN72642_c0_g2</t>
  </si>
  <si>
    <t>TRINITY_DN194828_c0_g2</t>
  </si>
  <si>
    <t>TRINITY_DN202482_c1_g2</t>
  </si>
  <si>
    <t>TRINITY_DN36236_c0_g1</t>
  </si>
  <si>
    <t>Acetolactate synthase, mitochondrial</t>
  </si>
  <si>
    <t>TRINITY_DN188257_c1_g3</t>
  </si>
  <si>
    <t>TRINITY_DN287170_c0_g1</t>
  </si>
  <si>
    <t>putative Histone-lysine N-methyltransferase setd3</t>
  </si>
  <si>
    <t>TRINITY_DN41030_c0_g1</t>
  </si>
  <si>
    <t>TRINITY_DN412803_c0_g1</t>
  </si>
  <si>
    <t>TRINITY_DN204931_c11_g1</t>
  </si>
  <si>
    <t>Copia protein</t>
  </si>
  <si>
    <t>TRINITY_DN265525_c0_g1</t>
  </si>
  <si>
    <t>TRINITY_DN87229_c0_g1</t>
  </si>
  <si>
    <t>TRINITY_DN202482_c1_g4</t>
  </si>
  <si>
    <t>TRINITY_DN49464_c0_g1</t>
  </si>
  <si>
    <t>TRINITY_DN390776_c0_g1</t>
  </si>
  <si>
    <t>TRINITY_DN26327_c0_g2</t>
  </si>
  <si>
    <t>TRINITY_DN185211_c0_g2</t>
  </si>
  <si>
    <t>Surface-anchored protein</t>
  </si>
  <si>
    <t>TRINITY_DN171688_c0_g1</t>
  </si>
  <si>
    <t>TRINITY_DN172744_c0_g1</t>
  </si>
  <si>
    <t>Dynein-1-alpha heavy chain, flagellar inner arm I1 complex, putative</t>
  </si>
  <si>
    <t>TRINITY_DN27893_c0_g2</t>
  </si>
  <si>
    <t xml:space="preserve"> putative E3 ubiquitin-protein ligase HERC1</t>
  </si>
  <si>
    <t>TRINITY_DN425988_c4_g6</t>
  </si>
  <si>
    <t xml:space="preserve"> putative oligosaccharyltransferase complex subunit OSTC-like </t>
  </si>
  <si>
    <t>TRINITY_DN454064_c0_g8</t>
  </si>
  <si>
    <t xml:space="preserve"> uncharacterized protein LOC110066675 Ofav</t>
  </si>
  <si>
    <t>TRINITY_DN452178_c3_g5</t>
  </si>
  <si>
    <t>TRINITY_DN431164_c1_g2</t>
  </si>
  <si>
    <t xml:space="preserve">acid trehalase-like protein 1 </t>
  </si>
  <si>
    <t>TRINITY_DN429131_c1_g6</t>
  </si>
  <si>
    <t>TRINITY_DN419371_c3_g1</t>
  </si>
  <si>
    <t>microfibril-associated glycoprotein 4-like</t>
  </si>
  <si>
    <t>TRINITY_DN424151_c0_g2</t>
  </si>
  <si>
    <t>alpha-actinin-like</t>
  </si>
  <si>
    <t>TRINITY_DN412587_c3_g5</t>
  </si>
  <si>
    <t xml:space="preserve">NFX1-type zinc finger-containing protein 1-like </t>
  </si>
  <si>
    <t>TRINITY_DN392772_c4_g2</t>
  </si>
  <si>
    <t>K11997</t>
  </si>
  <si>
    <t>TRINITY_DN244853_c0_g2</t>
  </si>
  <si>
    <t>uncharacterized protein LOC110065941 Ofav</t>
  </si>
  <si>
    <t>TRINITY_DN410337_c0_g4</t>
  </si>
  <si>
    <t>universal stress protein A-like protein</t>
  </si>
  <si>
    <t>TRINITY_DN416512_c0_g3</t>
  </si>
  <si>
    <t>K11095</t>
  </si>
  <si>
    <t>TRINITY_DN424584_c0_g1</t>
  </si>
  <si>
    <t>collagen alpha-1(XXV) chain-like, partial</t>
  </si>
  <si>
    <t>TRINITY_DN263862_c0_g2</t>
  </si>
  <si>
    <t>usherin-like</t>
  </si>
  <si>
    <t>TRINITY_DN448007_c0_g2</t>
  </si>
  <si>
    <t xml:space="preserve"> uncharacterized protein LOC110055539 Ofav</t>
  </si>
  <si>
    <t>TRINITY_DN411125_c2_g8</t>
  </si>
  <si>
    <t>TRINITY_DN423369_c3_g1</t>
  </si>
  <si>
    <t>K02891</t>
  </si>
  <si>
    <t>60S ribosomal protein L22-like</t>
  </si>
  <si>
    <t>TRINITY_DN412060_c4_g3</t>
  </si>
  <si>
    <t>putative RNA recognition protein</t>
  </si>
  <si>
    <t>TRINITY_DN454975_c1_g1</t>
  </si>
  <si>
    <t>putative CUB and peptidase domain-containing protein 1-like</t>
  </si>
  <si>
    <t>TRINITY_DN455333_c5_g5</t>
  </si>
  <si>
    <t>neural cell adhesion molecule 2-like isoform X2</t>
  </si>
  <si>
    <t>TRINITY_DN438112_c1_g5</t>
  </si>
  <si>
    <t>TRINITY_DN456238_c2_g13</t>
  </si>
  <si>
    <t>ephrin type-B receptor 3-like</t>
  </si>
  <si>
    <t>TRINITY_DN316670_c0_g2</t>
  </si>
  <si>
    <t>TRINITY_DN427071_c2_g3</t>
  </si>
  <si>
    <t>TRINITY_DN417410_c3_g7</t>
  </si>
  <si>
    <t xml:space="preserve">putative dnaJ homolog subfamily A member 1-like </t>
  </si>
  <si>
    <t>TRINITY_DN423993_c0_g2</t>
  </si>
  <si>
    <t xml:space="preserve">S-antigen protein-like </t>
  </si>
  <si>
    <t>TRINITY_DN412798_c1_g1</t>
  </si>
  <si>
    <t>translocase of chloroplast 159, chloroplastic-like*</t>
  </si>
  <si>
    <t>TRINITY_DN447052_c0_g18</t>
  </si>
  <si>
    <t>tubulin beta chain</t>
  </si>
  <si>
    <t>TRINITY_DN437368_c1_g9</t>
  </si>
  <si>
    <t>K18422</t>
  </si>
  <si>
    <t xml:space="preserve"> putative helicase MOV-10</t>
  </si>
  <si>
    <t>TRINITY_DN442856_c1_g14</t>
  </si>
  <si>
    <t>GTPase HRas</t>
  </si>
  <si>
    <t>TRINITY_DN436502_c1_g1</t>
  </si>
  <si>
    <t xml:space="preserve"> chitinase-3-like protein 1 isoform X1</t>
  </si>
  <si>
    <t>TRINITY_DN376697_c0_g2</t>
  </si>
  <si>
    <t>TRINITY_DN402013_c2_g3</t>
  </si>
  <si>
    <t>TRINITY_DN430304_c1_g6</t>
  </si>
  <si>
    <t>uncharacterized protein LOC110055539 Ofav</t>
  </si>
  <si>
    <t>TRINITY_DN384961_c2_g2</t>
  </si>
  <si>
    <t>TRINITY_DN350671_c0_g7</t>
  </si>
  <si>
    <t>TRINITY_DN447052_c0_g14</t>
  </si>
  <si>
    <t>TRINITY_DN424265_c1_g1</t>
  </si>
  <si>
    <t>Cdc42 splice variant 3</t>
  </si>
  <si>
    <t>TRINITY_DN444709_c0_g1</t>
  </si>
  <si>
    <t>chitobiosyldiphosphodolichol beta-mannosyltransferase-like</t>
  </si>
  <si>
    <t>TRINITY_DN449457_c1_g11</t>
  </si>
  <si>
    <t>K17266</t>
  </si>
  <si>
    <t>major vault protein-like isoform X1</t>
  </si>
  <si>
    <t>TRINITY_DN432573_c1_g3</t>
  </si>
  <si>
    <t>uncharacterized protein LOC110040910 Ofav</t>
  </si>
  <si>
    <t>TRINITY_DN416242_c1_g1</t>
  </si>
  <si>
    <t>TRINITY_DN167225_c0_g2</t>
  </si>
  <si>
    <t xml:space="preserve"> uncharacterized protein LOC110045657 Ofav</t>
  </si>
  <si>
    <t>TRINITY_DN444318_c1_g1</t>
  </si>
  <si>
    <t>TRINITY_DN397212_c0_g1</t>
  </si>
  <si>
    <t>K12373</t>
  </si>
  <si>
    <t>TRINITY_DN251284_c0_g1</t>
  </si>
  <si>
    <t>TRINITY_DN350671_c0_g5</t>
  </si>
  <si>
    <t>next to BRCA1 gene 1 protein-like</t>
  </si>
  <si>
    <t>TRINITY_DN455521_c2_g5</t>
  </si>
  <si>
    <t xml:space="preserve">Tetratricopeptide repeat protein 28 </t>
  </si>
  <si>
    <t>TRINITY_DN445526_c1_g2</t>
  </si>
  <si>
    <t>uncharacterized protein LOC110040677 Ofav</t>
  </si>
  <si>
    <t>TRINITY_DN444573_c6_g7</t>
  </si>
  <si>
    <t>TRINITY_DN185443_c0_g2</t>
  </si>
  <si>
    <t>K17938</t>
  </si>
  <si>
    <t xml:space="preserve">neuronal growth regulator 1-like, partial </t>
  </si>
  <si>
    <t>TRINITY_DN368820_c0_g3</t>
  </si>
  <si>
    <t>TRINITY_DN423036_c1_g3</t>
  </si>
  <si>
    <t>putative myosin-10-like</t>
  </si>
  <si>
    <t>TRINITY_DN413167_c0_g2</t>
  </si>
  <si>
    <t>ryncolin-1-like</t>
  </si>
  <si>
    <t>TRINITY_DN379950_c0_g4</t>
  </si>
  <si>
    <t>TRINITY_DN218546_c0_g1</t>
  </si>
  <si>
    <t>K18985</t>
  </si>
  <si>
    <t>TRINITY_DN438507_c1_g4</t>
  </si>
  <si>
    <t xml:space="preserve"> uncharacterized protein LOC110063171 Ofav</t>
  </si>
  <si>
    <t>TRINITY_DN453532_c2_g3</t>
  </si>
  <si>
    <t>TRINITY_DN379977_c1_g2</t>
  </si>
  <si>
    <t>TRINITY_DN418694_c2_g9</t>
  </si>
  <si>
    <t>TRINITY_DN218677_c0_g2</t>
  </si>
  <si>
    <t>TRINITY_DN412798_c1_g3</t>
  </si>
  <si>
    <t>translocase of chloroplast 159, chloroplastic-like</t>
  </si>
  <si>
    <t>TRINITY_DN164001_c0_g1</t>
  </si>
  <si>
    <t>TRINITY_DN425413_c1_g1</t>
  </si>
  <si>
    <t>TRINITY_DN429600_c2_g14</t>
  </si>
  <si>
    <t>TRINITY_DN290958_c0_g3</t>
  </si>
  <si>
    <t>hypothetical protein AK812_SmicGene45657</t>
  </si>
  <si>
    <t>TRINITY_DN233065_c0_g2</t>
  </si>
  <si>
    <t>K18106</t>
  </si>
  <si>
    <t>uncharacterized protein LOC110039834 Ofav</t>
  </si>
  <si>
    <t>TRINITY_DN427006_c0_g1</t>
  </si>
  <si>
    <t>TRINITY_DN272387_c0_g2</t>
  </si>
  <si>
    <t>uncharacterized protein LOC110053675 Ofav</t>
  </si>
  <si>
    <t>TRINITY_DN434926_c3_g13</t>
  </si>
  <si>
    <t xml:space="preserve">hypothetical protein AK812_SmicGene22805 </t>
  </si>
  <si>
    <t xml:space="preserve">MAM and LDL-receptor class A domain-containing protein 1-like </t>
  </si>
  <si>
    <t>TRINITY_DN235610_c0_g1</t>
  </si>
  <si>
    <t>TRINITY_DN431071_c4_g7</t>
  </si>
  <si>
    <t>TRINITY_DN166534_c0_g2</t>
  </si>
  <si>
    <t>TRINITY_DN47677_c0_g3</t>
  </si>
  <si>
    <t>receptor-type tyrosine-protein phosphatase delta-like</t>
  </si>
  <si>
    <t>TRINITY_DN400858_c0_g5</t>
  </si>
  <si>
    <t>TRINITY_DN242675_c0_g2</t>
  </si>
  <si>
    <t xml:space="preserve">multiple epidermal growth factor-like domains protein 11 </t>
  </si>
  <si>
    <t>TRINITY_DN426284_c2_g4</t>
  </si>
  <si>
    <t>TRINITY_DN267139_c0_g1</t>
  </si>
  <si>
    <t>K11251</t>
  </si>
  <si>
    <t xml:space="preserve">histone H2A-like </t>
  </si>
  <si>
    <t>TRINITY_DN379950_c0_g1</t>
  </si>
  <si>
    <t>TRINITY_DN253788_c0_g1</t>
  </si>
  <si>
    <t>K18055</t>
  </si>
  <si>
    <t>tRNAPhe (7-(3-amino-3-carboxypropyl)wyosine37-C2)-hydroxylase activity</t>
  </si>
  <si>
    <t>TRINITY_DN413491_c2_g6</t>
  </si>
  <si>
    <t>TRINITY_DN166534_c0_g1</t>
  </si>
  <si>
    <t>short-chain collagen C4-like</t>
  </si>
  <si>
    <t>TRINITY_DN412600_c0_g5</t>
  </si>
  <si>
    <t xml:space="preserve">chymotrypsinogen A-like </t>
  </si>
  <si>
    <t>TRINITY_DN450170_c0_g1</t>
  </si>
  <si>
    <t>NACHT, LRR and PYD domains-containing protein 10-like</t>
  </si>
  <si>
    <t>TRINITY_DN453572_c4_g5</t>
  </si>
  <si>
    <t>TRINITY_DN271638_c0_g2</t>
  </si>
  <si>
    <t>K05111</t>
  </si>
  <si>
    <t xml:space="preserve"> ephrin type-A receptor 4-like</t>
  </si>
  <si>
    <t>TRINITY_DN427410_c0_g1</t>
  </si>
  <si>
    <t>TRINITY_DN529041_c0_g1</t>
  </si>
  <si>
    <t>TRINITY_DN427197_c1_g2</t>
  </si>
  <si>
    <t>TRINITY_DN413342_c0_g5</t>
  </si>
  <si>
    <t>TRINITY_DN429543_c2_g5</t>
  </si>
  <si>
    <t>TRINITY_DN421982_c1_g9</t>
  </si>
  <si>
    <t xml:space="preserve"> UDP-glucuronosyltransferase 1-5-like</t>
  </si>
  <si>
    <t>TRINITY_DN246184_c0_g2</t>
  </si>
  <si>
    <t>TRINITY_DN397793_c1_g1</t>
  </si>
  <si>
    <t>K13576,K14207,K14990,K14991,K14992,K14993</t>
  </si>
  <si>
    <t>TRINITY_DN452110_c12_g21</t>
  </si>
  <si>
    <t xml:space="preserve">putative  protein NLRC3-like </t>
  </si>
  <si>
    <t>TRINITY_DN455777_c7_g5</t>
  </si>
  <si>
    <t>uncharacterized protein LOC110053592 Ofav</t>
  </si>
  <si>
    <t>TRINITY_DN358425_c0_g5</t>
  </si>
  <si>
    <t>TRINITY_DN394308_c1_g4</t>
  </si>
  <si>
    <t>ELMO domain-containing protein 2</t>
  </si>
  <si>
    <t>Uncharacterized skeletal organic matrix protein 7; Short=Uncharacterized SOMP-7</t>
  </si>
  <si>
    <t>TRINITY_DN431784_c0_g3</t>
  </si>
  <si>
    <t>TRINITY_DN365759_c0_g1</t>
  </si>
  <si>
    <t xml:space="preserve"> NFX1-type zinc finger-containing protein 1-like</t>
  </si>
  <si>
    <t>TRINITY_DN422496_c1_g1</t>
  </si>
  <si>
    <t>TRINITY_DN772375_c0_g1</t>
  </si>
  <si>
    <t>TRINITY_DN373188_c1_g1</t>
  </si>
  <si>
    <t>TRINITY_DN428770_c0_g1</t>
  </si>
  <si>
    <t>K03839</t>
  </si>
  <si>
    <t xml:space="preserve"> flavodoxin</t>
  </si>
  <si>
    <t>TRINITY_DN423993_c2_g1</t>
  </si>
  <si>
    <t>TRINITY_DN539698_c0_g1</t>
  </si>
  <si>
    <t>uncharacterized protein LOC107354831 Adig</t>
  </si>
  <si>
    <t>TRINITY_DN453602_c16_g18</t>
  </si>
  <si>
    <t>TRINITY_DN254142_c0_g2</t>
  </si>
  <si>
    <t>TRINITY_DN439745_c0_g5</t>
  </si>
  <si>
    <t xml:space="preserve"> Transmembrane protein TauE-like </t>
  </si>
  <si>
    <t>TRINITY_DN455605_c3_g1</t>
  </si>
  <si>
    <t>TRINITY_DN214196_c0_g2</t>
  </si>
  <si>
    <t xml:space="preserve"> nesprin-1-like isoform X1 </t>
  </si>
  <si>
    <t xml:space="preserve"> Bacteroid development protein BacA</t>
  </si>
  <si>
    <t>TRINITY_DN95884_c0_g1</t>
  </si>
  <si>
    <t>K09568</t>
  </si>
  <si>
    <t>TRINITY_DN428471_c1_g4</t>
  </si>
  <si>
    <t>TRINITY_DN584338_c0_g1</t>
  </si>
  <si>
    <t>TRINITY_DN347685_c0_g1</t>
  </si>
  <si>
    <t xml:space="preserve">piwi </t>
  </si>
  <si>
    <t>TRINITY_DN455963_c3_g2</t>
  </si>
  <si>
    <t>TRINITY_DN185547_c0_g2</t>
  </si>
  <si>
    <t>numb-like protein isoform X2</t>
  </si>
  <si>
    <t>TRINITY_DN426126_c6_g1</t>
  </si>
  <si>
    <t xml:space="preserve"> START-domain</t>
  </si>
  <si>
    <t>TRINITY_DN416302_c2_g2</t>
  </si>
  <si>
    <t>TRINITY_DN449457_c1_g18</t>
  </si>
  <si>
    <t>putative sodium-coupled neutral amino acid transporter 5</t>
  </si>
  <si>
    <t>TRINITY_DN419306_c0_g2</t>
  </si>
  <si>
    <t>basic phospholipase A2 nigroxin B-like</t>
  </si>
  <si>
    <t xml:space="preserve">ZIP family transporter: zinc iron ion </t>
  </si>
  <si>
    <t>TRINITY_DN393932_c5_g5</t>
  </si>
  <si>
    <t>TRINITY_DN298896_c0_g2</t>
  </si>
  <si>
    <t>kelch-like protein 28</t>
  </si>
  <si>
    <t>TRINITY_DN432015_c1_g2</t>
  </si>
  <si>
    <t>uncharacterized protein LOC110067361 Ofav</t>
  </si>
  <si>
    <t>hypothetical protein AK812_SmicGene33273</t>
  </si>
  <si>
    <t>TRINITY_DN422618_c3_g9</t>
  </si>
  <si>
    <t>TRINITY_DN842007_c0_g2</t>
  </si>
  <si>
    <t>TRINITY_DN413156_c2_g2</t>
  </si>
  <si>
    <t>K03648</t>
  </si>
  <si>
    <t xml:space="preserve">hypothetical protein AK812_SmicGene36097 </t>
  </si>
  <si>
    <t xml:space="preserve">putative uracil-DNA glycosylase-like </t>
  </si>
  <si>
    <t>TRINITY_DN388789_c6_g10</t>
  </si>
  <si>
    <t>TRINITY_DN446346_c2_g5</t>
  </si>
  <si>
    <t>K07374</t>
  </si>
  <si>
    <t xml:space="preserve">Tubulin alpha-3 chain </t>
  </si>
  <si>
    <t>TRINITY_DN425254_c0_g1</t>
  </si>
  <si>
    <t>hypothetical protein AK812_SmicGene30109, photosynthesis</t>
  </si>
  <si>
    <t>TRINITY_DN444977_c1_g2</t>
  </si>
  <si>
    <t>TRINITY_DN847927_c0_g1</t>
  </si>
  <si>
    <t>TRINITY_DN448984_c4_g4</t>
  </si>
  <si>
    <t>TRINITY_DN446616_c1_g6</t>
  </si>
  <si>
    <t xml:space="preserve"> Pentatricopeptide repeat-containing protein, chloroplastic</t>
  </si>
  <si>
    <t>TRINITY_DN434148_c2_g2</t>
  </si>
  <si>
    <t>TRINITY_DN62352_c0_g1</t>
  </si>
  <si>
    <t>TRINITY_DN405441_c0_g3</t>
  </si>
  <si>
    <t>TRINITY_DN343862_c0_g2</t>
  </si>
  <si>
    <t>TRINITY_DN454749_c3_g5</t>
  </si>
  <si>
    <t xml:space="preserve"> MATH and LRR domain-containing protein PFE0570w-like </t>
  </si>
  <si>
    <t>TRINITY_DN378813_c0_g3</t>
  </si>
  <si>
    <t>leucyl/phenylalanyl-tRNA protein transferase, putative T.cruzei</t>
  </si>
  <si>
    <t>putative Myosin-2 heavy chain</t>
  </si>
  <si>
    <t>TRINITY_DN434115_c3_g10</t>
  </si>
  <si>
    <t>allene oxide synthase-lipoxygenase protein-like</t>
  </si>
  <si>
    <t>TRINITY_DN454035_c3_g9</t>
  </si>
  <si>
    <t xml:space="preserve"> uncharacterized protein LOC110062407 Ofav</t>
  </si>
  <si>
    <t>TRINITY_DN455115_c2_g7</t>
  </si>
  <si>
    <t>Peptidyl-prolyl cis-trans isomerase FKBP1A</t>
  </si>
  <si>
    <t xml:space="preserve">EGF-like repeat and discoidin I-like domain-containing protein 3 </t>
  </si>
  <si>
    <t>TRINITY_DN411598_c0_g1</t>
  </si>
  <si>
    <t>TRINITY_DN846035_c0_g1</t>
  </si>
  <si>
    <t>TRINITY_DN443467_c4_g10</t>
  </si>
  <si>
    <t xml:space="preserve"> leucine-rich repeat serine/threonine-protein kinase 2-like</t>
  </si>
  <si>
    <t>TRINITY_DN355613_c1_g1</t>
  </si>
  <si>
    <t>uncharacterized protein LOC107328096 Adig</t>
  </si>
  <si>
    <t>TRINITY_DN390706_c1_g4</t>
  </si>
  <si>
    <t>TRINITY_DN365716_c0_g3</t>
  </si>
  <si>
    <t xml:space="preserve"> tubulin alpha chain-like protein </t>
  </si>
  <si>
    <t>TRINITY_DN411296_c1_g2</t>
  </si>
  <si>
    <t>chymotrypsinogen A-like isoform X2</t>
  </si>
  <si>
    <t>TRINITY_DN372022_c0_g1</t>
  </si>
  <si>
    <t>TRINITY_DN765378_c0_g1</t>
  </si>
  <si>
    <t>TRINITY_DN412917_c3_g3</t>
  </si>
  <si>
    <t>TRINITY_DN406909_c5_g8</t>
  </si>
  <si>
    <t>uncharacterized protein LOC110069750 Ofav</t>
  </si>
  <si>
    <t>TRINITY_DN428060_c9_g1</t>
  </si>
  <si>
    <t>peroxidasin-like</t>
  </si>
  <si>
    <t>TRINITY_DN855588_c0_g1</t>
  </si>
  <si>
    <t>TRINITY_DN327776_c0_g2</t>
  </si>
  <si>
    <t xml:space="preserve">putative laminin subunit gamma-1-like </t>
  </si>
  <si>
    <t>TRINITY_DN292969_c0_g3</t>
  </si>
  <si>
    <t>TRINITY_DN424004_c1_g2</t>
  </si>
  <si>
    <t>TRINITY_DN527200_c0_g1</t>
  </si>
  <si>
    <t>E3 ubiquitin-protein ligase DZIP3-like</t>
  </si>
  <si>
    <t>TRINITY_DN431867_c0_g5</t>
  </si>
  <si>
    <t xml:space="preserve">putative collectin-12-like </t>
  </si>
  <si>
    <t>TRINITY_DN439760_c0_g16</t>
  </si>
  <si>
    <t xml:space="preserve"> ephrin type-A receptor 2-like </t>
  </si>
  <si>
    <t>TRINITY_DN430447_c1_g8</t>
  </si>
  <si>
    <t>TRINITY_DN404577_c0_g3</t>
  </si>
  <si>
    <t xml:space="preserve"> uncharacterized protein LOC110054211 Ofav</t>
  </si>
  <si>
    <t>TRINITY_DN379162_c0_g3</t>
  </si>
  <si>
    <t>TRINITY_DN433697_c2_g5</t>
  </si>
  <si>
    <t>TRINITY_DN427738_c0_g1</t>
  </si>
  <si>
    <t>TRINITY_DN432697_c1_g2</t>
  </si>
  <si>
    <t xml:space="preserve"> uncharacterized protein LOC110057460 Ofav</t>
  </si>
  <si>
    <t>TRINITY_DN438583_c1_g5</t>
  </si>
  <si>
    <t>TRINITY_DN328474_c0_g1</t>
  </si>
  <si>
    <t>glutamate--cysteine ligase regulatory subunit-like</t>
  </si>
  <si>
    <t>TRINITY_DN414514_c1_g1</t>
  </si>
  <si>
    <t xml:space="preserve"> Chitobiase,Beta-hexosaminidase</t>
  </si>
  <si>
    <t>uncharacterized protein LOC110058011 Ofav</t>
  </si>
  <si>
    <t>TRINITY_DN423908_c2_g1</t>
  </si>
  <si>
    <t>TRINITY_DN456766_c32_g4</t>
  </si>
  <si>
    <t>equilibrative nucleoside transporter 1-like isoform X3</t>
  </si>
  <si>
    <t xml:space="preserve">D-galacturonate reductase </t>
  </si>
  <si>
    <t>TRINITY_DN410669_c0_g6</t>
  </si>
  <si>
    <t>TRINITY_DN412108_c6_g5</t>
  </si>
  <si>
    <t xml:space="preserve"> protein NLRC5-like</t>
  </si>
  <si>
    <t>TRINITY_DN177058_c0_g1</t>
  </si>
  <si>
    <t xml:space="preserve">putative apolipoprotein L3-like isoform X1 </t>
  </si>
  <si>
    <t>TRINITY_DN345303_c0_g2</t>
  </si>
  <si>
    <t>hypothetical protein NEMVEDRAFT_v1g149450</t>
  </si>
  <si>
    <t>TRINITY_DN450936_c0_g3</t>
  </si>
  <si>
    <t>putative nucleotide-binding oligomerization domain-containing protein 2-like isoform X4</t>
  </si>
  <si>
    <t>TRINITY_DN456625_c21_g21</t>
  </si>
  <si>
    <t>TRINITY_DN177322_c0_g2</t>
  </si>
  <si>
    <t xml:space="preserve">Pentatricopeptide repeat-containing protein MRL1, chloroplastic </t>
  </si>
  <si>
    <t>TRINITY_DN437612_c0_g6</t>
  </si>
  <si>
    <t>TRINITY_DN211144_c0_g1</t>
  </si>
  <si>
    <t>TRINITY_DN455777_c7_g13</t>
  </si>
  <si>
    <t xml:space="preserve">minicircle PSII CP47 apoprotein (psbI) </t>
  </si>
  <si>
    <t>TRINITY_DN424959_c0_g2</t>
  </si>
  <si>
    <t xml:space="preserve"> uncharacterized protein LOC110053592 Ofav</t>
  </si>
  <si>
    <t>TRINITY_DN432907_c1_g2</t>
  </si>
  <si>
    <t xml:space="preserve"> 6-phosphogluconolactonase</t>
  </si>
  <si>
    <t>putative twitchin-like isoform X1</t>
  </si>
  <si>
    <t>TRINITY_DN447265_c1_g1</t>
  </si>
  <si>
    <t>retinal dehydrogenase 1-like, partial</t>
  </si>
  <si>
    <t>TRINITY_DN418395_c4_g2</t>
  </si>
  <si>
    <t>TRINITY_DN341974_c0_g4</t>
  </si>
  <si>
    <t>TRINITY_DN449334_c1_g3</t>
  </si>
  <si>
    <t>putative mannose-specific lectin-like</t>
  </si>
  <si>
    <t>TRINITY_DN452305_c4_g5</t>
  </si>
  <si>
    <t xml:space="preserve"> ephrin type-A receptor 4a-like</t>
  </si>
  <si>
    <t>TRINITY_DN308554_c0_g1</t>
  </si>
  <si>
    <t>TRINITY_DN403915_c0_g5</t>
  </si>
  <si>
    <t xml:space="preserve">beta tubulin-like protein </t>
  </si>
  <si>
    <t>TRINITY_DN435164_c2_g1</t>
  </si>
  <si>
    <t xml:space="preserve"> Golgi reassembly-stacking protein 2-like</t>
  </si>
  <si>
    <t>TRINITY_DN393388_c0_g3</t>
  </si>
  <si>
    <t>TRINITY_DN445096_c2_g6</t>
  </si>
  <si>
    <t>TRINITY_DN410061_c3_g2</t>
  </si>
  <si>
    <t xml:space="preserve"> translation elongation factor 1A</t>
  </si>
  <si>
    <t>TRINITY_DN365716_c0_g1</t>
  </si>
  <si>
    <t xml:space="preserve">Tubulin alpha-1 chain </t>
  </si>
  <si>
    <t>TRINITY_DN411543_c3_g5</t>
  </si>
  <si>
    <t>TRINITY_DN393525_c4_g12</t>
  </si>
  <si>
    <t>TRINITY_DN442567_c3_g4</t>
  </si>
  <si>
    <t>uncharacterized protein LOC110042420 Ofav</t>
  </si>
  <si>
    <t>TRINITY_DN430488_c2_g1</t>
  </si>
  <si>
    <t>TRINITY_DN217614_c0_g1</t>
  </si>
  <si>
    <t xml:space="preserve"> thrombospondin-type laminin G domain and EAR repeat-containing protein-like, partial</t>
  </si>
  <si>
    <t>TRINITY_DN358774_c0_g1</t>
  </si>
  <si>
    <t>helicase with zinc finger domain 2-like isoform X2</t>
  </si>
  <si>
    <t>TRINITY_DN347615_c0_g2</t>
  </si>
  <si>
    <t>uncharacterized protein LOC110048910 Ofav</t>
  </si>
  <si>
    <t>TRINITY_DN430854_c7_g2</t>
  </si>
  <si>
    <t>TRINITY_DN246571_c0_g1</t>
  </si>
  <si>
    <t>TRINITY_DN358011_c0_g1</t>
  </si>
  <si>
    <t>TRINITY_DN337082_c0_g2</t>
  </si>
  <si>
    <t>uncharacterized protein LOC110039864 Ofav</t>
  </si>
  <si>
    <t>TRINITY_DN416974_c1_g2</t>
  </si>
  <si>
    <t>TRINITY_DN360932_c0_g2</t>
  </si>
  <si>
    <t>TRINITY_DN428060_c9_g5</t>
  </si>
  <si>
    <t>von Willebrand factor D and EGF domain-containing protein-like</t>
  </si>
  <si>
    <t>TRINITY_DN397708_c0_g3</t>
  </si>
  <si>
    <t>TRINITY_DN448408_c0_g3</t>
  </si>
  <si>
    <t>TRINITY_DN615777_c0_g1</t>
  </si>
  <si>
    <t>putative complement C2-like isoform X1</t>
  </si>
  <si>
    <t>TRINITY_DN420692_c1_g11</t>
  </si>
  <si>
    <t xml:space="preserve">short-chain collagen C4-like isoform X10 </t>
  </si>
  <si>
    <t>TRINITY_DN261267_c0_g1</t>
  </si>
  <si>
    <t>TRINITY_DN408391_c3_g1</t>
  </si>
  <si>
    <t>TRINITY_DN169931_c0_g1</t>
  </si>
  <si>
    <t>TRINITY_DN439239_c3_g7</t>
  </si>
  <si>
    <t>NFX1-type zinc finger-containing protein 1-like</t>
  </si>
  <si>
    <t>TRINITY_DN283873_c0_g1</t>
  </si>
  <si>
    <t xml:space="preserve"> bromodomain adjacent to zinc finger domain protein 1A-like</t>
  </si>
  <si>
    <t>TRINITY_DN431457_c1_g7</t>
  </si>
  <si>
    <t>TRINITY_DN447052_c0_g2</t>
  </si>
  <si>
    <t>TRINITY_DN413506_c2_g20</t>
  </si>
  <si>
    <t>hypothetical protein NEMVEDRAFT_v1g69016</t>
  </si>
  <si>
    <t>TRINITY_DN309543_c0_g2</t>
  </si>
  <si>
    <t>TRINITY_DN166150_c0_g2</t>
  </si>
  <si>
    <t>K00412</t>
  </si>
  <si>
    <t xml:space="preserve">cytochrome b </t>
  </si>
  <si>
    <t>TRINITY_DN227721_c0_g1</t>
  </si>
  <si>
    <t>TRINITY_DN427352_c7_g1</t>
  </si>
  <si>
    <t>TRINITY_DN418949_c0_g1</t>
  </si>
  <si>
    <t xml:space="preserve">CAP-Gly domain-containing linker protein 3-like </t>
  </si>
  <si>
    <t>TRINITY_DN290217_c0_g1</t>
  </si>
  <si>
    <t>K02901</t>
  </si>
  <si>
    <t>60S ribosomal protein L27-like</t>
  </si>
  <si>
    <t>TRINITY_DN272325_c0_g4</t>
  </si>
  <si>
    <t>activator of 90 kDa heat shock protein ATPase homolog 1-like]</t>
  </si>
  <si>
    <t>TRINITY_DN299868_c0_g1</t>
  </si>
  <si>
    <t>K02997</t>
  </si>
  <si>
    <t xml:space="preserve">40S ribosomal protein S9 </t>
  </si>
  <si>
    <t>TRINITY_DN360620_c1_g2</t>
  </si>
  <si>
    <t>TRINITY_DN431840_c1_g3</t>
  </si>
  <si>
    <t xml:space="preserve"> C-type lectin</t>
  </si>
  <si>
    <t>TRINITY_DN449312_c1_g4</t>
  </si>
  <si>
    <t>beta tubulin</t>
  </si>
  <si>
    <t>TRINITY_DN298935_c0_g1</t>
  </si>
  <si>
    <t>putative sodium/potassium-transporting ATPase subunit alpha-3-like isoform X3</t>
  </si>
  <si>
    <t>TRINITY_DN433109_c2_g3</t>
  </si>
  <si>
    <t>TRINITY_DN417374_c1_g4</t>
  </si>
  <si>
    <t xml:space="preserve">microfibril-associated glycoprotein 4-like </t>
  </si>
  <si>
    <t>TRINITY_DN363207_c0_g1</t>
  </si>
  <si>
    <t xml:space="preserve"> uncharacterized skeletal organic matrix protein 5-like</t>
  </si>
  <si>
    <t>TRINITY_DN433334_c2_g9</t>
  </si>
  <si>
    <t>TRINITY_DN411125_c2_g5</t>
  </si>
  <si>
    <t>TRINITY_DN428813_c5_g4</t>
  </si>
  <si>
    <t>uncharacterized protein LOC110040398 Ofav</t>
  </si>
  <si>
    <t>TRINITY_DN454258_c3_g6</t>
  </si>
  <si>
    <t>TRINITY_DN439659_c0_g6</t>
  </si>
  <si>
    <t>hypothetical protein AC249_AIPGENE6730</t>
  </si>
  <si>
    <t>TRINITY_DN441030_c5_g5</t>
  </si>
  <si>
    <t>TRINITY_DN443625_c0_g1</t>
  </si>
  <si>
    <t>TRINITY_DN445671_c1_g16</t>
  </si>
  <si>
    <t>putative peroxidasin homolog</t>
  </si>
  <si>
    <t>TRINITY_DN455115_c1_g4</t>
  </si>
  <si>
    <t>lactadherin-like</t>
  </si>
  <si>
    <t>TRINITY_DN453572_c4_g8</t>
  </si>
  <si>
    <t xml:space="preserve"> ephrin type-A receptor 4-like </t>
  </si>
  <si>
    <t>TRINITY_DN417533_c0_g4</t>
  </si>
  <si>
    <t xml:space="preserve">enoyl-CoA delta isomerase 2, mitochondrial-like </t>
  </si>
  <si>
    <t>TRINITY_DN439891_c1_g2</t>
  </si>
  <si>
    <t>TRINITY_DN409750_c1_g3</t>
  </si>
  <si>
    <t xml:space="preserve"> polyubiquitin-B</t>
  </si>
  <si>
    <t>TRINITY_DN441338_c1_g15</t>
  </si>
  <si>
    <t>TRINITY_DN436600_c0_g1</t>
  </si>
  <si>
    <t>uncharacterized protein LOC110060791 Ofav</t>
  </si>
  <si>
    <t>TRINITY_DN439568_c3_g10</t>
  </si>
  <si>
    <t>K12667</t>
  </si>
  <si>
    <t xml:space="preserve"> dolichyl-diphosphooligosaccharide--protein glycosyltransferase subunit 2-like</t>
  </si>
  <si>
    <t>TRINITY_DN448705_c2_g7</t>
  </si>
  <si>
    <t>K21248</t>
  </si>
  <si>
    <t xml:space="preserve"> vacuole membrane protein 1-like</t>
  </si>
  <si>
    <t>TRINITY_DN431642_c3_g4</t>
  </si>
  <si>
    <t>K00799</t>
  </si>
  <si>
    <t>microsomal glutathione S-transferase 1-like</t>
  </si>
  <si>
    <t>TRINITY_DN447593_c2_g10</t>
  </si>
  <si>
    <t>TRINITY_DN352923_c1_g1</t>
  </si>
  <si>
    <t>TRINITY_DN455503_c0_g3</t>
  </si>
  <si>
    <t>TRINITY_DN434314_c3_g7</t>
  </si>
  <si>
    <t>TRINITY_DN337319_c0_g4</t>
  </si>
  <si>
    <t>TRINITY_DN341062_c0_g1</t>
  </si>
  <si>
    <t>putative chromodomain-helicase-DNA-binding protein 4-like</t>
  </si>
  <si>
    <t>TRINITY_DN399465_c1_g1</t>
  </si>
  <si>
    <t xml:space="preserve"> integrin alpha-X-like</t>
  </si>
  <si>
    <t>TRINITY_DN445760_c2_g11</t>
  </si>
  <si>
    <t>TRINITY_DN346155_c0_g2</t>
  </si>
  <si>
    <t xml:space="preserve"> ubiquitin carboxyl-terminal hydrolase 19-like </t>
  </si>
  <si>
    <t>TRINITY_DN433864_c0_g1</t>
  </si>
  <si>
    <t>TRINITY_DN436549_c2_g1</t>
  </si>
  <si>
    <t>TRINITY_DN451523_c3_g17</t>
  </si>
  <si>
    <t>TRINITY_DN451827_c3_g1</t>
  </si>
  <si>
    <t>K06063</t>
  </si>
  <si>
    <t>SNW domain-containing protein 1-like</t>
  </si>
  <si>
    <t>TRINITY_DN436960_c6_g1</t>
  </si>
  <si>
    <t>uncharacterized protein LOC110050467 Ofav</t>
  </si>
  <si>
    <t>TRINITY_DN381218_c0_g1</t>
  </si>
  <si>
    <t xml:space="preserve">putative ras-associating and dilute domain-containing protein-like </t>
  </si>
  <si>
    <t>TRINITY_DN422108_c3_g1</t>
  </si>
  <si>
    <t>TRINITY_DN426682_c5_g3</t>
  </si>
  <si>
    <t>TRINITY_DN417606_c2_g4</t>
  </si>
  <si>
    <t>E3 ubiquitin-protein ligase TRIM71-like</t>
  </si>
  <si>
    <t>TRINITY_DN430447_c1_g14</t>
  </si>
  <si>
    <t>TRINITY_DN454064_c0_g6</t>
  </si>
  <si>
    <t>uncharacterized protein LOC110042137 Ofav</t>
  </si>
  <si>
    <t>TRINITY_DN356374_c0_g1</t>
  </si>
  <si>
    <t xml:space="preserve">myosin-10-like </t>
  </si>
  <si>
    <t>TRINITY_DN456238_c2_g16</t>
  </si>
  <si>
    <t>K05110</t>
  </si>
  <si>
    <t xml:space="preserve">ephrin type-B receptor 1-like isoform X1 </t>
  </si>
  <si>
    <t>TRINITY_DN427129_c2_g2</t>
  </si>
  <si>
    <t>TRINITY_DN422472_c0_g4</t>
  </si>
  <si>
    <t>Pancreatic Triacylglyceride Lipase-like protein 2</t>
  </si>
  <si>
    <t>TRINITY_DN443653_c1_g1</t>
  </si>
  <si>
    <t xml:space="preserve"> E3 ubiquitin-protein ligase DZIP3-like</t>
  </si>
  <si>
    <t>TRINITY_DN438446_c2_g4</t>
  </si>
  <si>
    <t>latent-transforming growth factor beta-binding protein 2-like</t>
  </si>
  <si>
    <t>TRINITY_DN375489_c1_g1</t>
  </si>
  <si>
    <t>TRINITY_DN455049_c3_g1</t>
  </si>
  <si>
    <t>TRINITY_DN427194_c1_g3</t>
  </si>
  <si>
    <t>TRINITY_DN429152_c2_g1</t>
  </si>
  <si>
    <t>TRINITY_DN415445_c0_g13</t>
  </si>
  <si>
    <t>TRINITY_DN448856_c2_g3</t>
  </si>
  <si>
    <t>TRINITY_DN402142_c0_g2</t>
  </si>
  <si>
    <t>K14007</t>
  </si>
  <si>
    <t xml:space="preserve">protein transport protein Sec24C-like </t>
  </si>
  <si>
    <t>TRINITY_DN362618_c0_g1</t>
  </si>
  <si>
    <t>TRINITY_DN302163_c0_g1</t>
  </si>
  <si>
    <t>TRINITY_DN449498_c2_g5</t>
  </si>
  <si>
    <t>TRINITY_DN289656_c0_g3</t>
  </si>
  <si>
    <t>TRINITY_DN249243_c0_g1</t>
  </si>
  <si>
    <t>putative WD repeat-containing protein 7-like isoform X1</t>
  </si>
  <si>
    <t>TRINITY_DN314421_c0_g2</t>
  </si>
  <si>
    <t>TRINITY_DN409616_c2_g19</t>
  </si>
  <si>
    <t>ephrin type-B receptor 1-like</t>
  </si>
  <si>
    <t>TRINITY_DN401262_c0_g3</t>
  </si>
  <si>
    <t>putative  ras-specific guanine nucleotide-releasing factor RalGPS2-like</t>
  </si>
  <si>
    <t>TRINITY_DN426362_c2_g3</t>
  </si>
  <si>
    <t xml:space="preserve"> probable RNA-dependent RNA polymerase 1</t>
  </si>
  <si>
    <t>TRINITY_DN453808_c3_g1</t>
  </si>
  <si>
    <t>TRINITY_DN381030_c1_g2</t>
  </si>
  <si>
    <t>TRINITY_DN418708_c2_g8</t>
  </si>
  <si>
    <t>TRINITY_DN423993_c0_g1</t>
  </si>
  <si>
    <t>S-antigen protein-like</t>
  </si>
  <si>
    <t>TRINITY_DN350767_c0_g3</t>
  </si>
  <si>
    <t>TRINITY_DN446485_c0_g2</t>
  </si>
  <si>
    <t xml:space="preserve"> Transposon TX1 uncharacterized 149 kDa protein</t>
  </si>
  <si>
    <t>TRINITY_DN387314_c0_g1</t>
  </si>
  <si>
    <t>putative coatomer subunit delta-like</t>
  </si>
  <si>
    <t>TRINITY_DN402137_c5_g12</t>
  </si>
  <si>
    <t>TRINITY_DN249981_c0_g3</t>
  </si>
  <si>
    <t>E3 ubiquitin-protein ligase UBR4-like</t>
  </si>
  <si>
    <t>TRINITY_DN450853_c3_g1</t>
  </si>
  <si>
    <t xml:space="preserve"> NFX1-type zinc finger-containing protein 1-like </t>
  </si>
  <si>
    <t>TRINITY_DN420687_c0_g3</t>
  </si>
  <si>
    <t>K04556</t>
  </si>
  <si>
    <t>E3 ubiquitin-protein ligase parkin-like</t>
  </si>
  <si>
    <t>TRINITY_DN429779_c3_g5</t>
  </si>
  <si>
    <t>putative DNA replication complex GINS protein SLD5-like</t>
  </si>
  <si>
    <t>TRINITY_DN266188_c0_g1</t>
  </si>
  <si>
    <t>proline dehydrogenase 1, mitochondrial-like</t>
  </si>
  <si>
    <t>TRINITY_DN411061_c0_g1</t>
  </si>
  <si>
    <t>TRINITY_DN413234_c0_g1</t>
  </si>
  <si>
    <t>TRINITY_DN431586_c4_g6</t>
  </si>
  <si>
    <t xml:space="preserve">tetratricopeptide repeat protein 28-like </t>
  </si>
  <si>
    <t>TRINITY_DN429533_c1_g9</t>
  </si>
  <si>
    <t>zinc finger protein 554-like</t>
  </si>
  <si>
    <t>TRINITY_DN115914_c0_g1</t>
  </si>
  <si>
    <t>TRINITY_DN210738_c0_g1</t>
  </si>
  <si>
    <t>putative CCR4-NOT transcription complex subunit 1-like</t>
  </si>
  <si>
    <t>TRINITY_DN438195_c1_g1</t>
  </si>
  <si>
    <t xml:space="preserve"> titin-like isoform X3</t>
  </si>
  <si>
    <t>TRINITY_DN410440_c1_g2</t>
  </si>
  <si>
    <t xml:space="preserve"> cytochrome P450 monooxygenase tcpC-like isoform X1</t>
  </si>
  <si>
    <t>TRINITY_DN434471_c1_g3</t>
  </si>
  <si>
    <t>TRINITY_DN120262_c0_g1</t>
  </si>
  <si>
    <t>hypothetical protein NEMVEDRAFT_v1g149131</t>
  </si>
  <si>
    <t>TRINITY_DN426716_c1_g2</t>
  </si>
  <si>
    <t xml:space="preserve"> complement C3</t>
  </si>
  <si>
    <t>TRINITY_DN383904_c0_g1</t>
  </si>
  <si>
    <t>TRINITY_DN454656_c3_g2</t>
  </si>
  <si>
    <t xml:space="preserve"> ATP-dependent RNA helicase DDX19A-like isoform X4</t>
  </si>
  <si>
    <t>TRINITY_DN440794_c0_g4</t>
  </si>
  <si>
    <t>TRINITY_DN385023_c0_g4</t>
  </si>
  <si>
    <t>TRINITY_DN431179_c1_g1</t>
  </si>
  <si>
    <t>TRINITY_DN455828_c6_g3</t>
  </si>
  <si>
    <t>K06058</t>
  </si>
  <si>
    <t xml:space="preserve"> E3 ubiquitin-protein ligase DTX3L-like</t>
  </si>
  <si>
    <t>TRINITY_DN422074_c2_g1</t>
  </si>
  <si>
    <t xml:space="preserve">helicase with zinc finger domain 2-like </t>
  </si>
  <si>
    <t>TRINITY_DN416922_c5_g11</t>
  </si>
  <si>
    <t>TRINITY_DN352054_c0_g2</t>
  </si>
  <si>
    <t>putative exocyst complex component 2-like</t>
  </si>
  <si>
    <t>TRINITY_DN442068_c1_g8</t>
  </si>
  <si>
    <t>RNA-binding protein with multiple splicing-like</t>
  </si>
  <si>
    <t>TRINITY_DN427672_c0_g5</t>
  </si>
  <si>
    <t>TRINITY_DN431067_c2_g2</t>
  </si>
  <si>
    <t>TRINITY_DN406628_c0_g4</t>
  </si>
  <si>
    <t>TRINITY_DN432697_c2_g1</t>
  </si>
  <si>
    <t>TRINITY_DN438805_c1_g10</t>
  </si>
  <si>
    <t xml:space="preserve"> putative cingulin-like </t>
  </si>
  <si>
    <t>TRINITY_DN422693_c3_g7</t>
  </si>
  <si>
    <t>K12309</t>
  </si>
  <si>
    <t>beta-galactosidase-like</t>
  </si>
  <si>
    <t>TRINITY_DN407290_c2_g2</t>
  </si>
  <si>
    <t>TRINITY_DN414979_c2_g3</t>
  </si>
  <si>
    <t>putative neuronal growth regulator 1-like</t>
  </si>
  <si>
    <t>TRINITY_DN245848_c0_g2</t>
  </si>
  <si>
    <t xml:space="preserve"> E3 ubiquitin-protein ligase TRIM71-like</t>
  </si>
  <si>
    <t>TRINITY_DN455877_c9_g23</t>
  </si>
  <si>
    <t>TRINITY_DN444812_c2_g12</t>
  </si>
  <si>
    <t xml:space="preserve">  tumor necrosis factor receptor superfamily member 21-like</t>
  </si>
  <si>
    <t>TRINITY_DN309050_c0_g2</t>
  </si>
  <si>
    <t xml:space="preserve"> stimulated by retinoic acid gene 6 protein homolog isoform X2 </t>
  </si>
  <si>
    <t>TRINITY_DN332127_c0_g1</t>
  </si>
  <si>
    <t>TRINITY_DN438875_c0_g7</t>
  </si>
  <si>
    <t xml:space="preserve"> uncharacterized protein LOC110047924 isoform X2</t>
  </si>
  <si>
    <t>TRINITY_DN454234_c2_g8</t>
  </si>
  <si>
    <t xml:space="preserve">glutathione S-transferase-like isoform X2 </t>
  </si>
  <si>
    <t>TRINITY_DN436513_c5_g2</t>
  </si>
  <si>
    <t xml:space="preserve"> short-chain collagen C4-like</t>
  </si>
  <si>
    <t>TRINITY_DN348656_c0_g2</t>
  </si>
  <si>
    <t>TRINITY_DN415606_c5_g3</t>
  </si>
  <si>
    <t>uncharacterized protein LOC110051217, partial Ofav</t>
  </si>
  <si>
    <t>TRINITY_DN447941_c0_g4</t>
  </si>
  <si>
    <t>TRINITY_DN297632_c0_g1</t>
  </si>
  <si>
    <t>TRINITY_DN413968_c3_g15</t>
  </si>
  <si>
    <t>TRINITY_DN369362_c0_g2</t>
  </si>
  <si>
    <t>TRINITY_DN412097_c0_g3</t>
  </si>
  <si>
    <t>TRINITY_DN423710_c0_g4</t>
  </si>
  <si>
    <t xml:space="preserve"> putative uracil-DNA glycosylase-like [Hydra vulgaris]</t>
  </si>
  <si>
    <t>TRINITY_DN429180_c0_g6</t>
  </si>
  <si>
    <t>TRINITY_DN365620_c0_g6</t>
  </si>
  <si>
    <t>protein turtle homolog A-like isoform X1</t>
  </si>
  <si>
    <t>TRINITY_DN401332_c0_g2</t>
  </si>
  <si>
    <t>phospholipase A2 A2-actitoxin-Cgg2a-like isoform X2</t>
  </si>
  <si>
    <t>TRINITY_DN452110_c12_g2</t>
  </si>
  <si>
    <t>protein NLRC3-like</t>
  </si>
  <si>
    <t>TRINITY_DN366517_c0_g1</t>
  </si>
  <si>
    <t xml:space="preserve"> basement membrane-specific heparan sulfate proteoglycan core protein-like </t>
  </si>
  <si>
    <t>TRINITY_DN415753_c4_g5</t>
  </si>
  <si>
    <t>putative  collagen alpha-3(VI) chain-like</t>
  </si>
  <si>
    <t>TRINITY_DN440497_c2_g7</t>
  </si>
  <si>
    <t>TRINITY_DN226100_c0_g2</t>
  </si>
  <si>
    <t>putative condensin</t>
  </si>
  <si>
    <t>TRINITY_DN469439_c0_g1</t>
  </si>
  <si>
    <t>TRINITY_DN433285_c0_g7</t>
  </si>
  <si>
    <t xml:space="preserve">protein NLRC3-like </t>
  </si>
  <si>
    <t>TRINITY_DN380064_c0_g1</t>
  </si>
  <si>
    <t xml:space="preserve">protein furry homolog-like </t>
  </si>
  <si>
    <t>TRINITY_DN420859_c3_g7</t>
  </si>
  <si>
    <t>K01365</t>
  </si>
  <si>
    <t xml:space="preserve">putative cathepsin L1-like isoform X4 </t>
  </si>
  <si>
    <t>TRINITY_DN255814_c1_g1</t>
  </si>
  <si>
    <t>TRINITY_DN314612_c0_g3</t>
  </si>
  <si>
    <t xml:space="preserve">putative CST complex subunit CTC1-like </t>
  </si>
  <si>
    <t>TRINITY_DN175268_c0_g1</t>
  </si>
  <si>
    <t>TRINITY_DN453711_c5_g1</t>
  </si>
  <si>
    <t>uncharacterized protein LOC110040338 Ofav</t>
  </si>
  <si>
    <t>TRINITY_DN402202_c6_g18</t>
  </si>
  <si>
    <t>TRINITY_DN434959_c1_g5</t>
  </si>
  <si>
    <t>TRINITY_DN419375_c0_g2</t>
  </si>
  <si>
    <t>persulfide dioxygenase ETHE1, mitochondrial-like</t>
  </si>
  <si>
    <t>TRINITY_DN451827_c3_g12</t>
  </si>
  <si>
    <t>TRINITY_DN428197_c0_g3</t>
  </si>
  <si>
    <t>uncharacterized protein LOC110043500 Ofav</t>
  </si>
  <si>
    <t>TRINITY_DN328711_c0_g2</t>
  </si>
  <si>
    <t xml:space="preserve">putative glutamate--cysteine ligase regulatory subunit-like isoform X2 </t>
  </si>
  <si>
    <t>TRINITY_DN454682_c2_g8</t>
  </si>
  <si>
    <t>uncharacterized protein LOC110051022, partial Ofav</t>
  </si>
  <si>
    <t>TRINITY_DN251134_c0_g2</t>
  </si>
  <si>
    <t xml:space="preserve"> uncharacterized protein LOC110043812 Ofav</t>
  </si>
  <si>
    <t>TRINITY_DN453470_c3_g5</t>
  </si>
  <si>
    <t>leucine-rich repeat-containing protein 28-like isoform X1</t>
  </si>
  <si>
    <t>TRINITY_DN399419_c3_g1</t>
  </si>
  <si>
    <t xml:space="preserve">collagen triple helix repeat-containing protein 1-like </t>
  </si>
  <si>
    <t>TRINITY_DN188747_c0_g1</t>
  </si>
  <si>
    <t>TRINITY_DN441334_c0_g3</t>
  </si>
  <si>
    <t>K04565</t>
  </si>
  <si>
    <t xml:space="preserve">superoxide dismutase [Cu-Zn]-like </t>
  </si>
  <si>
    <t>TRINITY_DN360106_c0_g4</t>
  </si>
  <si>
    <t>TRINITY_DN437810_c3_g1</t>
  </si>
  <si>
    <t>uncharacterized protein LOC110055917 Ofav</t>
  </si>
  <si>
    <t>TRINITY_DN427425_c0_g17</t>
  </si>
  <si>
    <t xml:space="preserve">deleted in malignant brain tumors 1 protein-like </t>
  </si>
  <si>
    <t>TRINITY_DN425068_c0_g1</t>
  </si>
  <si>
    <t>TRINITY_DN411073_c0_g1</t>
  </si>
  <si>
    <t>TRINITY_DN453758_c0_g1</t>
  </si>
  <si>
    <t>putative glutamic acid-rich protein-like CARP?</t>
  </si>
  <si>
    <t>TRINITY_DN402670_c1_g1</t>
  </si>
  <si>
    <t>protein sax-3-like isoform X1</t>
  </si>
  <si>
    <t>TRINITY_DN427043_c0_g2</t>
  </si>
  <si>
    <t>hemicentin-1-like isoform X3</t>
  </si>
  <si>
    <t>TRINITY_DN510656_c0_g1</t>
  </si>
  <si>
    <t xml:space="preserve"> uncharacterized protein LOC107346129 isoform X2 Adig</t>
  </si>
  <si>
    <t>TRINITY_DN406578_c6_g1</t>
  </si>
  <si>
    <t>uncharacterized protein LOC110048808 Ofav</t>
  </si>
  <si>
    <t>TRINITY_DN122056_c0_g1</t>
  </si>
  <si>
    <t>TRINITY_DN417512_c0_g1</t>
  </si>
  <si>
    <t>TRINITY_DN447095_c12_g23</t>
  </si>
  <si>
    <t>TRINITY_DN263767_c0_g3</t>
  </si>
  <si>
    <t>TRINITY_DN351047_c2_g1</t>
  </si>
  <si>
    <t xml:space="preserve">uncharacterized protein LOC110064290 Ofav </t>
  </si>
  <si>
    <t>TRINITY_DN438023_c5_g6</t>
  </si>
  <si>
    <t>TRINITY_DN438678_c5_g2</t>
  </si>
  <si>
    <t>TRINITY_DN455414_c4_g1</t>
  </si>
  <si>
    <t>putative RNA-directed DNA polymerase from transposon BS</t>
  </si>
  <si>
    <t>TRINITY_DN281714_c0_g2</t>
  </si>
  <si>
    <t xml:space="preserve"> A disintegrin and metalloproteinase with thrombospondin motifs 9-like </t>
  </si>
  <si>
    <t>TRINITY_DN423845_c3_g2</t>
  </si>
  <si>
    <t>TRINITY_DN421110_c0_g1</t>
  </si>
  <si>
    <t>TRINITY_DN440097_c0_g1</t>
  </si>
  <si>
    <t>uncharacterized protein LOC110062256 Ofav</t>
  </si>
  <si>
    <t>TRINITY_DN434547_c3_g4</t>
  </si>
  <si>
    <t>uncharacterized protein LOC107333238 Adig</t>
  </si>
  <si>
    <t>TRINITY_DN447339_c0_g9</t>
  </si>
  <si>
    <t>K01195</t>
  </si>
  <si>
    <t xml:space="preserve">beta-glucuronidase-like </t>
  </si>
  <si>
    <t>TRINITY_DN411062_c1_g1</t>
  </si>
  <si>
    <t>neurogenic locus notch homolog protein 1-like</t>
  </si>
  <si>
    <t>TRINITY_DN427372_c4_g1</t>
  </si>
  <si>
    <t xml:space="preserve">BTB/POZ domain-containing protein KCTD21-like </t>
  </si>
  <si>
    <t>TRINITY_DN387975_c0_g2</t>
  </si>
  <si>
    <t>calpain-9-like</t>
  </si>
  <si>
    <t>TRINITY_DN420347_c2_g3</t>
  </si>
  <si>
    <t>uncharacterized protein LOC110061836  Ofav</t>
  </si>
  <si>
    <t>TRINITY_DN440794_c0_g9</t>
  </si>
  <si>
    <t>TRINITY_DN421590_c0_g1</t>
  </si>
  <si>
    <t>TRINITY_DN353994_c0_g1</t>
  </si>
  <si>
    <t>TRINITY_DN358425_c0_g3</t>
  </si>
  <si>
    <t>TRINITY_DN431372_c6_g14</t>
  </si>
  <si>
    <t>TRINITY_DN447016_c4_g7</t>
  </si>
  <si>
    <t>TRINITY_DN444003_c2_g9</t>
  </si>
  <si>
    <t>uncharacterized protein LOC107356836 Adig</t>
  </si>
  <si>
    <t>TRINITY_DN430500_c0_g2</t>
  </si>
  <si>
    <t>NACHT, LRR and PYD domains-containing protein 3-like</t>
  </si>
  <si>
    <t>TRINITY_DN434830_c0_g2</t>
  </si>
  <si>
    <t>TRINITY_DN434857_c1_g1</t>
  </si>
  <si>
    <t>TRINITY_DN384616_c0_g1</t>
  </si>
  <si>
    <t>uncharacterized protein LOC110063554 Ofav</t>
  </si>
  <si>
    <t>TRINITY_DN409264_c1_g1</t>
  </si>
  <si>
    <t>TRINITY_DN426834_c4_g12</t>
  </si>
  <si>
    <t>uncharacterized protein LOC110048129 Ofav</t>
  </si>
  <si>
    <t>TRINITY_DN565442_c0_g1</t>
  </si>
  <si>
    <t>putative ryncolin-1-like</t>
  </si>
  <si>
    <t>TRINITY_DN431372_c4_g1</t>
  </si>
  <si>
    <t>TRINITY_DN452731_c1_g1</t>
  </si>
  <si>
    <t xml:space="preserve">putative ryncolin-2-like isoform X2 </t>
  </si>
  <si>
    <t>TRINITY_DN266531_c0_g2</t>
  </si>
  <si>
    <t>TRINITY_DN455209_c1_g6</t>
  </si>
  <si>
    <t>TRINITY_DN412855_c0_g2</t>
  </si>
  <si>
    <t>putative nuclear factor NF-kappa-B p105 subunit-like isoform X1</t>
  </si>
  <si>
    <t>TRINITY_DN432318_c0_g11</t>
  </si>
  <si>
    <t>neurogenic locus notch homolog protein 2-like isoform X1</t>
  </si>
  <si>
    <t>TRINITY_DN446609_c0_g16</t>
  </si>
  <si>
    <t>K16866</t>
  </si>
  <si>
    <t xml:space="preserve"> metalloproteinase inhibitor 3-like </t>
  </si>
  <si>
    <t>TRINITY_DN413120_c1_g4</t>
  </si>
  <si>
    <t>TRINITY_DN446609_c0_g4</t>
  </si>
  <si>
    <t>TRINITY_DN218240_c0_g2</t>
  </si>
  <si>
    <t>TRINITY_DN376976_c1_g4</t>
  </si>
  <si>
    <t>TRINITY_DN437346_c2_g13</t>
  </si>
  <si>
    <t>uncharacterized protein LOC107328452 Adig</t>
  </si>
  <si>
    <t>TRINITY_DN338234_c0_g2</t>
  </si>
  <si>
    <t>TRINITY_DN260467_c0_g1</t>
  </si>
  <si>
    <t>TRINITY_DN425988_c4_g5</t>
  </si>
  <si>
    <t xml:space="preserve">putative oligosaccharyltransferase complex subunit OSTC-like </t>
  </si>
  <si>
    <t>TRINITY_DN294467_c0_g2</t>
  </si>
  <si>
    <t>putative  FAS-associated factor 2-like</t>
  </si>
  <si>
    <t>TRINITY_DN421484_c0_g7</t>
  </si>
  <si>
    <t>TRINITY_DN434547_c3_g3</t>
  </si>
  <si>
    <t>TRINITY_DN453860_c6_g7</t>
  </si>
  <si>
    <t>hypothetical protein AC249_AIPGENE20398</t>
  </si>
  <si>
    <t>TRINITY_DN437359_c0_g7</t>
  </si>
  <si>
    <t>TRINITY_DN115914_c0_g2</t>
  </si>
  <si>
    <t>TRINITY_DN242945_c0_g2</t>
  </si>
  <si>
    <t>TRINITY_DN435667_c2_g4</t>
  </si>
  <si>
    <t>TRINITY_DN403940_c1_g1</t>
  </si>
  <si>
    <t>K10746</t>
  </si>
  <si>
    <t xml:space="preserve">putative exonuclease 1-like </t>
  </si>
  <si>
    <t>TRINITY_DN453860_c6_g8</t>
  </si>
  <si>
    <t>TRINITY_DN444303_c0_g12</t>
  </si>
  <si>
    <t>TRINITY_DN441118_c3_g1</t>
  </si>
  <si>
    <t>TRINITY_DN295112_c0_g1</t>
  </si>
  <si>
    <t>putative inositol 1,4,5-trisphosphate receptor-like</t>
  </si>
  <si>
    <t>TRINITY_DN427943_c3_g2</t>
  </si>
  <si>
    <t>TRINITY_DN454798_c1_g1</t>
  </si>
  <si>
    <t xml:space="preserve"> uncharacterized protein LOC110047845 Ofav</t>
  </si>
  <si>
    <t>TRINITY_DN416671_c2_g10</t>
  </si>
  <si>
    <t xml:space="preserve"> hemicentin-1-like isoform X2</t>
  </si>
  <si>
    <t>TRINITY_DN418763_c2_g19</t>
  </si>
  <si>
    <t>TRINITY_DN367220_c0_g1</t>
  </si>
  <si>
    <t xml:space="preserve">ephrin type-B receptor 1-B-like </t>
  </si>
  <si>
    <t>TRINITY_DN414484_c4_g3</t>
  </si>
  <si>
    <t>K16506</t>
  </si>
  <si>
    <t xml:space="preserve"> neurogenic locus notch homolog protein 1-like</t>
  </si>
  <si>
    <t>TRINITY_DN441565_c1_g9</t>
  </si>
  <si>
    <t>K11875</t>
  </si>
  <si>
    <t>proteasome assembly chaperone 1-like</t>
  </si>
  <si>
    <t>TRINITY_DN417357_c3_g1</t>
  </si>
  <si>
    <t>TRINITY_DN418156_c2_g4</t>
  </si>
  <si>
    <t>TRINITY_DN47677_c0_g2</t>
  </si>
  <si>
    <t xml:space="preserve">putative  receptor-type tyrosine-protein phosphatase delta-like </t>
  </si>
  <si>
    <t>TRINITY_DN454779_c10_g8</t>
  </si>
  <si>
    <t>TRINITY_DN350934_c0_g3</t>
  </si>
  <si>
    <t>TRINITY_DN448868_c0_g3</t>
  </si>
  <si>
    <t>TRINITY_DN306910_c0_g1</t>
  </si>
  <si>
    <t>TRINITY_DN438876_c2_g2</t>
  </si>
  <si>
    <t xml:space="preserve"> hemicentin-1-like isoform X3</t>
  </si>
  <si>
    <t>TRINITY_DN442351_c2_g2</t>
  </si>
  <si>
    <t>TRINITY_DN408440_c3_g2</t>
  </si>
  <si>
    <t>igLON family member 5-like</t>
  </si>
  <si>
    <t>TRINITY_DN407749_c0_g1</t>
  </si>
  <si>
    <t>TRINITY_DN399840_c0_g2</t>
  </si>
  <si>
    <t>TRINITY_DN435573_c0_g2</t>
  </si>
  <si>
    <t>TRINITY_DN391017_c0_g1</t>
  </si>
  <si>
    <t>TRINITY_DN432318_c0_g5</t>
  </si>
  <si>
    <t>polycystic kidney disease and receptor for egg jelly-related protein-like isoform X1</t>
  </si>
  <si>
    <t>TRINITY_DN443763_c1_g6</t>
  </si>
  <si>
    <t>folate receptor gamma-like</t>
  </si>
  <si>
    <t>TRINITY_DN431623_c2_g7</t>
  </si>
  <si>
    <t>TRINITY_DN401410_c0_g1</t>
  </si>
  <si>
    <t xml:space="preserve"> Exonuclease 1</t>
  </si>
  <si>
    <t>TRINITY_DN418465_c3_g9</t>
  </si>
  <si>
    <t>TRINITY_DN446659_c3_g1</t>
  </si>
  <si>
    <t>TRINITY_DN414681_c1_g5</t>
  </si>
  <si>
    <t>TRINITY_DN443453_c3_g4</t>
  </si>
  <si>
    <t>TRINITY_DN383904_c0_g2</t>
  </si>
  <si>
    <t>TRINITY_DN440515_c2_g8</t>
  </si>
  <si>
    <t>TRINITY_DN411751_c6_g6</t>
  </si>
  <si>
    <t>aldose 1-epimerase-like</t>
  </si>
  <si>
    <t>TRINITY_DN435867_c3_g1</t>
  </si>
  <si>
    <t>K10089</t>
  </si>
  <si>
    <t>cation-dependent mannose-6-phosphate receptor-like</t>
  </si>
  <si>
    <t>TRINITY_DN443456_c2_g1</t>
  </si>
  <si>
    <t>K00030</t>
  </si>
  <si>
    <t xml:space="preserve">isocitrate dehydrogenase [NAD] subunit gamma, mitochondrial-like </t>
  </si>
  <si>
    <t>TRINITY_DN369453_c1_g1</t>
  </si>
  <si>
    <t>TRINITY_DN191458_c0_g2</t>
  </si>
  <si>
    <t>TRINITY_DN336248_c0_g3</t>
  </si>
  <si>
    <t>putative prostaglandin E synthase 2-like</t>
  </si>
  <si>
    <t>TRINITY_DN336248_c0_g2</t>
  </si>
  <si>
    <t>TRINITY_DN409501_c3_g4</t>
  </si>
  <si>
    <t>TRINITY_DN402443_c0_g3</t>
  </si>
  <si>
    <t xml:space="preserve">sterile alpha motif domain-containing protein 9-like </t>
  </si>
  <si>
    <t>TRINITY_DN416898_c0_g2</t>
  </si>
  <si>
    <t>TRINITY_DN417422_c3_g17</t>
  </si>
  <si>
    <t>TRINITY_DN432404_c1_g11</t>
  </si>
  <si>
    <t>nucleobindin-2-like</t>
  </si>
  <si>
    <t>TRINITY_DN439848_c0_g13</t>
  </si>
  <si>
    <t xml:space="preserve">tRNA wybutosine-synthesizing protein 5-like isoform X1 </t>
  </si>
  <si>
    <t>TRINITY_DN443584_c0_g4</t>
  </si>
  <si>
    <t>TRINITY_DN404857_c0_g11</t>
  </si>
  <si>
    <t>Fibropellin-3</t>
  </si>
  <si>
    <t>TRINITY_DN378958_c2_g3</t>
  </si>
  <si>
    <t>TRINITY_DN433015_c1_g1</t>
  </si>
  <si>
    <t>TRINITY_DN455777_c5_g4</t>
  </si>
  <si>
    <t>TRINITY_DN174249_c0_g2</t>
  </si>
  <si>
    <t>TRINITY_DN345287_c0_g1</t>
  </si>
  <si>
    <t>uncharacterized protein LOC110045208 Ofav</t>
  </si>
  <si>
    <t>TRINITY_DN350754_c0_g1</t>
  </si>
  <si>
    <t xml:space="preserve"> roundabout homolog 1-like </t>
  </si>
  <si>
    <t>TRINITY_DN436547_c1_g1</t>
  </si>
  <si>
    <t>uncharacterized prote Ofavin LOC110042701</t>
  </si>
  <si>
    <t>TRINITY_DN445116_c2_g10</t>
  </si>
  <si>
    <t xml:space="preserve"> ketimine reductase mu-crystallin-like </t>
  </si>
  <si>
    <t>TRINITY_DN318839_c0_g3</t>
  </si>
  <si>
    <t>K11254</t>
  </si>
  <si>
    <t xml:space="preserve">histone 4 </t>
  </si>
  <si>
    <t>TRINITY_DN375235_c0_g1</t>
  </si>
  <si>
    <t xml:space="preserve">putative PAB-dependent poly(A)-specific ribonuclease subunit PAN2-like </t>
  </si>
  <si>
    <t>TRINITY_DN249243_c0_g2</t>
  </si>
  <si>
    <t>putative  WD repeat-containing protein 7-like isoform X1</t>
  </si>
  <si>
    <t>TRINITY_DN415685_c1_g10</t>
  </si>
  <si>
    <t>K15111</t>
  </si>
  <si>
    <t xml:space="preserve">S-adenosylmethionine mitochondrial carrier protein-like isoform X2 </t>
  </si>
  <si>
    <t>TRINITY_DN443580_c1_g12</t>
  </si>
  <si>
    <t xml:space="preserve">soma ferritin-like isoform X6 </t>
  </si>
  <si>
    <t>TRINITY_DN417507_c0_g7</t>
  </si>
  <si>
    <t xml:space="preserve">discoidin domain-containing receptor 2-like isoform X3 </t>
  </si>
  <si>
    <t>TRINITY_DN451821_c1_g2</t>
  </si>
  <si>
    <t>uncharacterized protein LOC110068440 Ofav</t>
  </si>
  <si>
    <t>TRINITY_DN383987_c0_g2</t>
  </si>
  <si>
    <t>exonuclease 1-like</t>
  </si>
  <si>
    <t>TRINITY_DN369771_c1_g1</t>
  </si>
  <si>
    <t>K05127</t>
  </si>
  <si>
    <t xml:space="preserve"> inactive tyrosine-protein kinase 7-like isoform X1</t>
  </si>
  <si>
    <t>TRINITY_DN429132_c0_g4</t>
  </si>
  <si>
    <t>TRINITY_DN438072_c3_g5</t>
  </si>
  <si>
    <t>uncharacterized protein LOC110052781 Ofav</t>
  </si>
  <si>
    <t>TRINITY_DN367246_c0_g1</t>
  </si>
  <si>
    <t>uncharacterized protein LOC110057173 Ofav</t>
  </si>
  <si>
    <t>TRINITY_DN385218_c0_g4</t>
  </si>
  <si>
    <t xml:space="preserve"> uncharacterized protein LOC110059888 Ofav</t>
  </si>
  <si>
    <t>TRINITY_DN414600_c0_g14</t>
  </si>
  <si>
    <t>TRINITY_DN208224_c0_g3</t>
  </si>
  <si>
    <t>TRINITY_DN455777_c7_g7</t>
  </si>
  <si>
    <t>TRINITY_DN411810_c1_g1</t>
  </si>
  <si>
    <t xml:space="preserve">serine/threonine-protein phosphatase 6 regulatory ankyrin repeat subunit C-like </t>
  </si>
  <si>
    <t>TRINITY_DN401009_c1_g2</t>
  </si>
  <si>
    <t>hemicentin-2-like</t>
  </si>
  <si>
    <t>TRINITY_DN426086_c2_g6</t>
  </si>
  <si>
    <t>uncharacterized protein LOC110047208 Ofav</t>
  </si>
  <si>
    <t>TRINITY_DN444709_c0_g2</t>
  </si>
  <si>
    <t xml:space="preserve">putative chitobiosyldiphosphodolichol beta-mannosyltransferase-like </t>
  </si>
  <si>
    <t>TRINITY_DN455164_c5_g3</t>
  </si>
  <si>
    <t>uncharacterized protein LOC110056902 Ofav</t>
  </si>
  <si>
    <t>TRINITY_DN453088_c5_g8</t>
  </si>
  <si>
    <t xml:space="preserve"> uncharacterized protein LOC110049557 Ofav</t>
  </si>
  <si>
    <t>TRINITY_DN446609_c0_g7</t>
  </si>
  <si>
    <t>metalloproteinase inhibitor 3-like</t>
  </si>
  <si>
    <t>TRINITY_DN425452_c1_g1</t>
  </si>
  <si>
    <t>TRINITY_DN424264_c1_g3</t>
  </si>
  <si>
    <t>TRINITY_DN427740_c0_g2</t>
  </si>
  <si>
    <t xml:space="preserve">putative DNA-dependent protein kinase catalytic subunit-like </t>
  </si>
  <si>
    <t>TRINITY_DN402392_c0_g14</t>
  </si>
  <si>
    <t xml:space="preserve">protein NLRC3-like isoform X1 </t>
  </si>
  <si>
    <t>TRINITY_DN448557_c8_g25</t>
  </si>
  <si>
    <t>protein sidekick-1-like</t>
  </si>
  <si>
    <t>TRINITY_DN370358_c0_g3</t>
  </si>
  <si>
    <t xml:space="preserve">kelch-like protein 12 </t>
  </si>
  <si>
    <t>TRINITY_DN427743_c4_g5</t>
  </si>
  <si>
    <t>collagen triple helix repeat-containing protein 1-like</t>
  </si>
  <si>
    <t>TRINITY_DN312026_c1_g1</t>
  </si>
  <si>
    <t>TRINITY_DN451463_c1_g5</t>
  </si>
  <si>
    <t xml:space="preserve"> THAP domain-containing protein 2-like</t>
  </si>
  <si>
    <t>TRINITY_DN423313_c4_g1</t>
  </si>
  <si>
    <t>EGF-like repeat and discoidin I-like domain-containing protein 3</t>
  </si>
  <si>
    <t>TRINITY_DN359871_c0_g1</t>
  </si>
  <si>
    <t>uncharacterized protein LOC110058028  Ofav</t>
  </si>
  <si>
    <t>TRINITY_DN442208_c3_g18</t>
  </si>
  <si>
    <t xml:space="preserve"> kelch-like protein 14</t>
  </si>
  <si>
    <t>TRINITY_DN415397_c0_g6</t>
  </si>
  <si>
    <t xml:space="preserve"> kelch-like protein diablo</t>
  </si>
  <si>
    <t>TRINITY_DN264514_c0_g2</t>
  </si>
  <si>
    <t>putative  myb-like protein A</t>
  </si>
  <si>
    <t>TRINITY_DN217689_c0_g1</t>
  </si>
  <si>
    <t>uncharacterized protein LOC107338235 isoform X1 Adig</t>
  </si>
  <si>
    <t>TRINITY_DN443580_c1_g5</t>
  </si>
  <si>
    <t>K00522</t>
  </si>
  <si>
    <t xml:space="preserve">ferritin </t>
  </si>
  <si>
    <t>TRINITY_DN446717_c6_g4</t>
  </si>
  <si>
    <t xml:space="preserve">sortilin-related receptor-like </t>
  </si>
  <si>
    <t>TRINITY_DN378204_c0_g4</t>
  </si>
  <si>
    <t xml:space="preserve">putative steroid 17-alpha-hydroxylase/17,20 lyase-like </t>
  </si>
  <si>
    <t>TRINITY_DN448294_c1_g1</t>
  </si>
  <si>
    <t>TRINITY_DN450567_c3_g7</t>
  </si>
  <si>
    <t>K03848</t>
  </si>
  <si>
    <t xml:space="preserve"> dolichyl pyrophosphate Man9GlcNAc2 alpha-1,3-glucosyltransferase-like </t>
  </si>
  <si>
    <t>TRINITY_DN431355_c3_g3</t>
  </si>
  <si>
    <t>TRINITY_DN437787_c3_g6</t>
  </si>
  <si>
    <t>TRINITY_DN230189_c0_g1</t>
  </si>
  <si>
    <t xml:space="preserve"> zinc finger protein 239-like </t>
  </si>
  <si>
    <t>TRINITY_DN429088_c3_g6</t>
  </si>
  <si>
    <t>TRINITY_DN429648_c1_g1</t>
  </si>
  <si>
    <t>transient-receptor-potential-like protein</t>
  </si>
  <si>
    <t>TRINITY_DN448557_c8_g18</t>
  </si>
  <si>
    <t>K06768</t>
  </si>
  <si>
    <t>putative Down syndrome cell adhesion molecule homolog</t>
  </si>
  <si>
    <t>TRINITY_DN450449_c5_g6</t>
  </si>
  <si>
    <t>TRINITY_DN449202_c0_g5</t>
  </si>
  <si>
    <t>TRINITY_DN441255_c3_g17</t>
  </si>
  <si>
    <t>TRINITY_DN322447_c0_g1</t>
  </si>
  <si>
    <t>TRINITY_DN450467_c6_g1</t>
  </si>
  <si>
    <t>TRINITY_DN301999_c0_g3</t>
  </si>
  <si>
    <t xml:space="preserve">putative Down syndrome cell adhesion molecule-like protein 1 homolog </t>
  </si>
  <si>
    <t>TRINITY_DN415942_c0_g1</t>
  </si>
  <si>
    <t>protein turtle homolog A-like isoform X2</t>
  </si>
  <si>
    <t>TRINITY_DN425211_c3_g3</t>
  </si>
  <si>
    <t xml:space="preserve"> uncharacterized protein LOC110040899 Ofav</t>
  </si>
  <si>
    <t>TRINITY_DN419610_c0_g1</t>
  </si>
  <si>
    <t>TRINITY_DN441434_c0_g4</t>
  </si>
  <si>
    <t>uncharacterized protein C3orf67 homolog, partial Ofav</t>
  </si>
  <si>
    <t>TRINITY_DN426040_c5_g17</t>
  </si>
  <si>
    <t>TRINITY_DN455726_c2_g8</t>
  </si>
  <si>
    <t>nephrocystin-3-like</t>
  </si>
  <si>
    <t>TRINITY_DN377324_c0_g1</t>
  </si>
  <si>
    <t>TRINITY_DN245246_c0_g2</t>
  </si>
  <si>
    <t xml:space="preserve">putative ATP-binding cassette sub-family A member 2-like </t>
  </si>
  <si>
    <t>TRINITY_DN437083_c4_g6</t>
  </si>
  <si>
    <t xml:space="preserve"> nephrocystin-3-like</t>
  </si>
  <si>
    <t>TRINITY_DN698720_c0_g1</t>
  </si>
  <si>
    <t>TRINITY_DN423428_c1_g5</t>
  </si>
  <si>
    <t>uncharacterized protein LOC110068412 Ofav</t>
  </si>
  <si>
    <t>TRINITY_DN429410_c8_g6</t>
  </si>
  <si>
    <t>TRINITY_DN394027_c0_g1</t>
  </si>
  <si>
    <t>TRINITY_DN175717_c0_g2</t>
  </si>
  <si>
    <t>K13963</t>
  </si>
  <si>
    <t>serpin B6-like</t>
  </si>
  <si>
    <t>TRINITY_DN379162_c0_g1</t>
  </si>
  <si>
    <t>TRINITY_DN417613_c4_g3</t>
  </si>
  <si>
    <t>TRINITY_DN428522_c1_g5</t>
  </si>
  <si>
    <t xml:space="preserve">fibrillin-2-like </t>
  </si>
  <si>
    <t>TRINITY_DN414802_c0_g8</t>
  </si>
  <si>
    <t>TRINITY_DN449589_c4_g2</t>
  </si>
  <si>
    <t xml:space="preserve"> uncharacterized protein LOC110055917 Ofav</t>
  </si>
  <si>
    <t>TRINITY_DN428518_c3_g4</t>
  </si>
  <si>
    <t>TRINITY_DN443679_c0_g1</t>
  </si>
  <si>
    <t>TRINITY_DN296696_c0_g1</t>
  </si>
  <si>
    <t>uncharacterized protein LOC107338235 isoform X1</t>
  </si>
  <si>
    <t>TRINITY_DN339761_c0_g1</t>
  </si>
  <si>
    <t xml:space="preserve"> glycine-rich domain-containing protein 1-like</t>
  </si>
  <si>
    <t>TRINITY_DN417738_c2_g1</t>
  </si>
  <si>
    <t>TRINITY_DN430304_c1_g3</t>
  </si>
  <si>
    <t>TRINITY_DN367950_c0_g3</t>
  </si>
  <si>
    <t xml:space="preserve">putative neurogenic locus Notch protein-like isoform X1 </t>
  </si>
  <si>
    <t>TRINITY_DN394430_c0_g4</t>
  </si>
  <si>
    <t>E3 ubiquitin-protein ligase DTX3L-like</t>
  </si>
  <si>
    <t>TRINITY_DN318289_c1_g2</t>
  </si>
  <si>
    <t>TRINITY_DN300225_c0_g4</t>
  </si>
  <si>
    <t>TRINITY_DN427997_c0_g1</t>
  </si>
  <si>
    <t>TRINITY_DN226100_c0_g1</t>
  </si>
  <si>
    <t xml:space="preserve">condensin complex subunit 2-like </t>
  </si>
  <si>
    <t>TRINITY_DN417228_c3_g4</t>
  </si>
  <si>
    <t>putative calreticulin-like isoform X2</t>
  </si>
  <si>
    <t>TRINITY_DN350426_c1_g1</t>
  </si>
  <si>
    <t xml:space="preserve"> Glutathione reductase, mitochondrial </t>
  </si>
  <si>
    <t>TRINITY_DN445917_c1_g10</t>
  </si>
  <si>
    <t>K00451</t>
  </si>
  <si>
    <t xml:space="preserve"> homogentisate 1,2-dioxygenase-like</t>
  </si>
  <si>
    <t>TRINITY_DN424086_c2_g2</t>
  </si>
  <si>
    <t>TRINITY_DN85348_c0_g1</t>
  </si>
  <si>
    <t xml:space="preserve">myb-like protein A </t>
  </si>
  <si>
    <t>TRINITY_DN445917_c1_g17</t>
  </si>
  <si>
    <t xml:space="preserve">homogentisate 1,2-dioxygenase-like </t>
  </si>
  <si>
    <t>TRINITY_DN424115_c3_g6</t>
  </si>
  <si>
    <t>TRINITY_DN351767_c0_g2</t>
  </si>
  <si>
    <t>TRINITY_DN413167_c0_g4</t>
  </si>
  <si>
    <t xml:space="preserve">ryncolin-4-like isoform X2 </t>
  </si>
  <si>
    <t>TRINITY_DN433822_c0_g6</t>
  </si>
  <si>
    <t xml:space="preserve"> adhesion G protein-coupled receptor E2-like </t>
  </si>
  <si>
    <t>TRINITY_DN439215_c1_g4</t>
  </si>
  <si>
    <t>TRINITY_DN218358_c1_g1</t>
  </si>
  <si>
    <t>TRINITY_DN188809_c1_g6</t>
  </si>
  <si>
    <t>TRINITY_DN188768_c0_g1</t>
  </si>
  <si>
    <t>TRINITY_DN214662_c4_g1</t>
  </si>
  <si>
    <t>TRINITY_DN188688_c2_g3</t>
  </si>
  <si>
    <t>TRINITY_DN180914_c2_g4</t>
  </si>
  <si>
    <t>TRINITY_DN206291_c0_g3</t>
  </si>
  <si>
    <t>TRINITY_DN210653_c4_g1</t>
  </si>
  <si>
    <t>TRINITY_DN207079_c5_g2</t>
  </si>
  <si>
    <t>TRINITY_DN188010_c0_g3</t>
  </si>
  <si>
    <t>TRINITY_DN153911_c0_g1</t>
  </si>
  <si>
    <t>TRINITY_DN200980_c0_g1</t>
  </si>
  <si>
    <t>TRINITY_DN212861_c0_g4</t>
  </si>
  <si>
    <t>TRINITY_DN189000_c2_g10</t>
  </si>
  <si>
    <t>TRINITY_DN172468_c0_g2</t>
  </si>
  <si>
    <t>TRINITY_DN221059_c8_g1</t>
  </si>
  <si>
    <t>TRINITY_DN217244_c5_g1</t>
  </si>
  <si>
    <t>TRINITY_DN213408_c2_g1</t>
  </si>
  <si>
    <t>TRINITY_DN180766_c0_g1</t>
  </si>
  <si>
    <t>TRINITY_DN197071_c0_g2</t>
  </si>
  <si>
    <t>TRINITY_DN164783_c1_g4</t>
  </si>
  <si>
    <t>TRINITY_DN219859_c4_g4</t>
  </si>
  <si>
    <t>TRINITY_DN189605_c0_g3</t>
  </si>
  <si>
    <t>TRINITY_DN218678_c2_g4</t>
  </si>
  <si>
    <t>TRINITY_DN201500_c3_g2</t>
  </si>
  <si>
    <t>TRINITY_DN208997_c1_g4</t>
  </si>
  <si>
    <t>TRINITY_DN218401_c3_g14</t>
  </si>
  <si>
    <t>TRINITY_DN213251_c0_g1</t>
  </si>
  <si>
    <t>TRINITY_DN210412_c4_g3</t>
  </si>
  <si>
    <t>TRINITY_DN212730_c0_g2</t>
  </si>
  <si>
    <t>TRINITY_DN221340_c18_g16</t>
  </si>
  <si>
    <t>TRINITY_DN192085_c0_g6</t>
  </si>
  <si>
    <t>TRINITY_DN46345_c0_g1</t>
  </si>
  <si>
    <t>TRINITY_DN219680_c7_g1</t>
  </si>
  <si>
    <t>TRINITY_DN214176_c1_g3</t>
  </si>
  <si>
    <t>TRINITY_DN189207_c0_g1</t>
  </si>
  <si>
    <t>TRINITY_DN184221_c1_g2</t>
  </si>
  <si>
    <t>TRINITY_DN204760_c0_g1</t>
  </si>
  <si>
    <t>TRINITY_DN190416_c3_g1</t>
  </si>
  <si>
    <t>TRINITY_DN221059_c8_g2</t>
  </si>
  <si>
    <t>TRINITY_DN211715_c2_g1</t>
  </si>
  <si>
    <t>TRINITY_DN194443_c1_g2</t>
  </si>
  <si>
    <t>TRINITY_DN179742_c0_g1</t>
  </si>
  <si>
    <t>TRINITY_DN221059_c8_g9</t>
  </si>
  <si>
    <t>TRINITY_DN210886_c0_g2</t>
  </si>
  <si>
    <t>TRINITY_DN168386_c0_g1</t>
  </si>
  <si>
    <t>TRINITY_DN188364_c1_g1</t>
  </si>
  <si>
    <t>TRINITY_DN148521_c1_g1</t>
  </si>
  <si>
    <t>TRINITY_DN83394_c0_g1</t>
  </si>
  <si>
    <t>TRINITY_DN210833_c0_g1</t>
  </si>
  <si>
    <t>TRINITY_DN196798_c1_g7</t>
  </si>
  <si>
    <t>TRINITY_DN189900_c2_g2</t>
  </si>
  <si>
    <t>TRINITY_DN207381_c3_g2</t>
  </si>
  <si>
    <t>TRINITY_DN219530_c2_g1</t>
  </si>
  <si>
    <t>TRINITY_DN213795_c1_g1</t>
  </si>
  <si>
    <t>TRINITY_DN194443_c1_g5</t>
  </si>
  <si>
    <t>TRINITY_DN193187_c0_g6</t>
  </si>
  <si>
    <t>TRINITY_DN145319_c0_g1</t>
  </si>
  <si>
    <t>TRINITY_DN156990_c0_g2</t>
  </si>
  <si>
    <t>TRINITY_DN130781_c0_g1</t>
  </si>
  <si>
    <t>TRINITY_DN210833_c1_g2</t>
  </si>
  <si>
    <t>TRINITY_DN195645_c0_g1</t>
  </si>
  <si>
    <t>TRINITY_DN181233_c0_g1</t>
  </si>
  <si>
    <t>TRINITY_DN220077_c2_g1</t>
  </si>
  <si>
    <t>TRINITY_DN197080_c1_g2</t>
  </si>
  <si>
    <t>TRINITY_DN178774_c0_g3</t>
  </si>
  <si>
    <t>TRINITY_DN197648_c3_g1</t>
  </si>
  <si>
    <t>TRINITY_DN208685_c0_g1</t>
  </si>
  <si>
    <t>TRINITY_DN218296_c2_g1</t>
  </si>
  <si>
    <t>TRINITY_DN203068_c1_g8</t>
  </si>
  <si>
    <t>TRINITY_DN60865_c0_g1</t>
  </si>
  <si>
    <t>TRINITY_DN131748_c0_g1</t>
  </si>
  <si>
    <t>TRINITY_DN196857_c0_g1</t>
  </si>
  <si>
    <t>TRINITY_DN199691_c0_g1</t>
  </si>
  <si>
    <t>TRINITY_DN191389_c1_g1</t>
  </si>
  <si>
    <t>TRINITY_DN211777_c6_g2</t>
  </si>
  <si>
    <t>TRINITY_DN136302_c0_g1</t>
  </si>
  <si>
    <t>TRINITY_DN199424_c1_g2</t>
  </si>
  <si>
    <t>TRINITY_DN214912_c3_g2</t>
  </si>
  <si>
    <t>TRINITY_DN297657_c0_g1</t>
  </si>
  <si>
    <t>TRINITY_DN198859_c5_g1</t>
  </si>
  <si>
    <t>TRINITY_DN204380_c2_g3</t>
  </si>
  <si>
    <t>TRINITY_DN137449_c0_g1</t>
  </si>
  <si>
    <t>TRINITY_DN81263_c0_g2</t>
  </si>
  <si>
    <t>TRINITY_DN203289_c5_g1</t>
  </si>
  <si>
    <t>TRINITY_DN210078_c3_g3</t>
  </si>
  <si>
    <t>TRINITY_DN157845_c0_g1</t>
  </si>
  <si>
    <t>TRINITY_DN124377_c0_g1</t>
  </si>
  <si>
    <t>TRINITY_DN201474_c2_g8</t>
  </si>
  <si>
    <t>TRINITY_DN202312_c5_g2</t>
  </si>
  <si>
    <t>TRINITY_DN213212_c7_g2</t>
  </si>
  <si>
    <t>TRINITY_DN204642_c3_g1</t>
  </si>
  <si>
    <t>TRINITY_DN203913_c3_g2</t>
  </si>
  <si>
    <t>TRINITY_DN198139_c0_g1</t>
  </si>
  <si>
    <t>TRINITY_DN87095_c0_g1</t>
  </si>
  <si>
    <t>TRINITY_DN149463_c0_g1</t>
  </si>
  <si>
    <t>TRINITY_DN167413_c0_g1</t>
  </si>
  <si>
    <t>TRINITY_DN216704_c3_g7</t>
  </si>
  <si>
    <t>TRINITY_DN217337_c5_g3</t>
  </si>
  <si>
    <t>TRINITY_DN221098_c6_g1</t>
  </si>
  <si>
    <t>TRINITY_DN220182_c1_g1</t>
  </si>
  <si>
    <t>TRINITY_DN189672_c0_g1</t>
  </si>
  <si>
    <t>TRINITY_DN204229_c0_g2</t>
  </si>
  <si>
    <t>TRINITY_DN214289_c0_g8</t>
  </si>
  <si>
    <t>TRINITY_DN28171_c0_g1</t>
  </si>
  <si>
    <t>TRINITY_DN167128_c0_g1</t>
  </si>
  <si>
    <t>TRINITY_DN206226_c0_g2</t>
  </si>
  <si>
    <t>TRINITY_DN151670_c0_g1</t>
  </si>
  <si>
    <t>TRINITY_DN210245_c8_g2</t>
  </si>
  <si>
    <t>TRINITY_DN198903_c2_g2</t>
  </si>
  <si>
    <t>TRINITY_DN183143_c0_g1</t>
  </si>
  <si>
    <t>TRINITY_DN206830_c2_g2</t>
  </si>
  <si>
    <t>TRINITY_DN214713_c0_g5</t>
  </si>
  <si>
    <t>TRINITY_DN137418_c0_g3</t>
  </si>
  <si>
    <t>TRINITY_DN210327_c2_g3</t>
  </si>
  <si>
    <t>TRINITY_DN198899_c0_g2</t>
  </si>
  <si>
    <t>TRINITY_DN210582_c2_g3</t>
  </si>
  <si>
    <t>TRINITY_DN157311_c0_g1</t>
  </si>
  <si>
    <t>TRINITY_DN213793_c0_g1</t>
  </si>
  <si>
    <t>TRINITY_DN189741_c0_g1</t>
  </si>
  <si>
    <t>TRINITY_DN158537_c0_g2</t>
  </si>
  <si>
    <t>TRINITY_DN202719_c1_g1</t>
  </si>
  <si>
    <t>TRINITY_DN89199_c0_g2</t>
  </si>
  <si>
    <t>TRINITY_DN205852_c1_g3</t>
  </si>
  <si>
    <t>TRINITY_DN207594_c8_g3</t>
  </si>
  <si>
    <t>TRINITY_DN140244_c0_g2</t>
  </si>
  <si>
    <t>TRINITY_DN127888_c0_g1</t>
  </si>
  <si>
    <t>TRINITY_DN444852_c0_g1</t>
  </si>
  <si>
    <t>TRINITY_DN200264_c0_g2</t>
  </si>
  <si>
    <t>TRINITY_DN203869_c1_g1</t>
  </si>
  <si>
    <t>TRINITY_DN194140_c1_g2</t>
  </si>
  <si>
    <t>TRINITY_DN196379_c3_g7</t>
  </si>
  <si>
    <t>TRINITY_DN22747_c0_g2</t>
  </si>
  <si>
    <t>TRINITY_DN195730_c0_g2</t>
  </si>
  <si>
    <t>TRINITY_DN212917_c3_g5</t>
  </si>
  <si>
    <t>TRINITY_DN214522_c0_g3</t>
  </si>
  <si>
    <t>TRINITY_DN200332_c1_g5</t>
  </si>
  <si>
    <t>TRINITY_DN214015_c1_g2</t>
  </si>
  <si>
    <t>TRINITY_DN219406_c3_g4</t>
  </si>
  <si>
    <t>TRINITY_DN87049_c0_g1</t>
  </si>
  <si>
    <t>TRINITY_DN213737_c1_g1</t>
  </si>
  <si>
    <t>TRINITY_DN220077_c0_g1</t>
  </si>
  <si>
    <t>TRINITY_DN217337_c5_g5</t>
  </si>
  <si>
    <t>TRINITY_DN179735_c1_g1</t>
  </si>
  <si>
    <t>TRINITY_DN206014_c2_g2</t>
  </si>
  <si>
    <t>TRINITY_DN219416_c8_g5</t>
  </si>
  <si>
    <t>TRINITY_DN202889_c0_g1</t>
  </si>
  <si>
    <t>TRINITY_DN206040_c4_g4</t>
  </si>
  <si>
    <t>TRINITY_DN62138_c0_g1</t>
  </si>
  <si>
    <t>TRINITY_DN212650_c1_g6</t>
  </si>
  <si>
    <t>TRINITY_DN199840_c3_g4</t>
  </si>
  <si>
    <t>TRINITY_DN216914_c0_g4</t>
  </si>
  <si>
    <t>TRINITY_DN220077_c1_g1</t>
  </si>
  <si>
    <t>TRINITY_DN198859_c11_g1</t>
  </si>
  <si>
    <t>TRINITY_DN202565_c1_g1</t>
  </si>
  <si>
    <t>TRINITY_DN119092_c0_g2</t>
  </si>
  <si>
    <t>TRINITY_DN172045_c0_g1</t>
  </si>
  <si>
    <t>TRINITY_DN203883_c0_g1</t>
  </si>
  <si>
    <t>TRINITY_DN195200_c4_g4</t>
  </si>
  <si>
    <t>TRINITY_DN210327_c2_g2</t>
  </si>
  <si>
    <t>TRINITY_DN220427_c4_g3</t>
  </si>
  <si>
    <t>TRINITY_DN216613_c3_g1</t>
  </si>
  <si>
    <t>TRINITY_DN97266_c0_g1</t>
  </si>
  <si>
    <t>TRINITY_DN192373_c2_g1</t>
  </si>
  <si>
    <t>TRINITY_DN161989_c0_g2</t>
  </si>
  <si>
    <t>TRINITY_DN43269_c0_g1</t>
  </si>
  <si>
    <t>TRINITY_DN204594_c1_g1</t>
  </si>
  <si>
    <t>TRINITY_DN194289_c9_g1</t>
  </si>
  <si>
    <t>TRINITY_DN199048_c0_g1</t>
  </si>
  <si>
    <t>TRINITY_DN113355_c0_g1</t>
  </si>
  <si>
    <t>TRINITY_DN173410_c0_g2</t>
  </si>
  <si>
    <t>TRINITY_DN57650_c0_g2</t>
  </si>
  <si>
    <t>TRINITY_DN192178_c7_g5</t>
  </si>
  <si>
    <t>TRINITY_DN220518_c1_g1</t>
  </si>
  <si>
    <t>TRINITY_DN193118_c1_g1</t>
  </si>
  <si>
    <t>TRINITY_DN214912_c3_g3</t>
  </si>
  <si>
    <t>TRINITY_DN209003_c0_g1</t>
  </si>
  <si>
    <t>TRINITY_DN218256_c1_g1</t>
  </si>
  <si>
    <t>TRINITY_DN220509_c1_g2</t>
  </si>
  <si>
    <t>GO:0003674,GO:0005102,GO:0005488,GO:0005515,GO:0005575,GO:0005622,GO:0005623,GO:0005634,GO:0005737,GO:0005739,GO:0006457,GO:0008150,GO:0009987,GO:0030424,GO:0030425,GO:0030544,GO:0031072,GO:0036477,GO:0042995,GO:0043005,GO:0043226,GO:0043227,GO:0043229,GO:0043231,GO:0044087,GO:0044424,GO:0044444,GO:0044463,GO:0044464,GO:0044877,GO:0048519,GO:0048523,GO:0050750,GO:0050789,GO:0050794,GO:0051087,GO:0051128,GO:0051129,GO:0065007,GO:0070325,GO:0070628,GO:0070852,GO:0090083,GO:0090084,GO:0097447,GO:0097458,GO:0120025,GO:0120038</t>
  </si>
  <si>
    <t>GO:0001894,GO:0001895,GO:0002139,GO:0002141,GO:0002142,GO:0003008,GO:0003674,GO:0005488,GO:0005515,GO:0005518,GO:0005575,GO:0005576,GO:0005604,GO:0005622,GO:0005623,GO:0005737,GO:0005886,GO:0007275,GO:0007399,GO:0007423,GO:0007600,GO:0007605,GO:0008092,GO:0008150,GO:0008544,GO:0009888,GO:0009913,GO:0009987,GO:0016020,GO:0016324,GO:0017022,GO:0022008,GO:0030154,GO:0030182,GO:0030855,GO:0031012,GO:0031252,GO:0031253,GO:0031256,GO:0032420,GO:0032421,GO:0032501,GO:0032502,GO:0032589,GO:0032991,GO:0035315,GO:0042490,GO:0042592,GO:0042995,GO:0043005,GO:0043226,GO:0043583,GO:0044421,GO:0044422,GO:0044424,GO:0044425,GO:0044459,GO:0044463,GO:0044464,GO:0044877,GO:0045177,GO:0045494,GO:0045595,GO:0045596,GO:0048496,GO:0048513,GO:0048519,GO:0048523,GO:0048699,GO:0048731,GO:0048839,GO:0048856,GO:0048869,GO:0048871,GO:0050789,GO:0050793,GO:0050794,GO:0050877,GO:0050953,GO:0050954,GO:0051093,GO:0060113,GO:0060171,GO:0060249,GO:0060429,GO:0062023,GO:0065007,GO:0065008,GO:0071944,GO:0097458,GO:0098590,GO:0098858,GO:0098862,GO:0120025,GO:0120038</t>
  </si>
  <si>
    <t>GO:0000041,GO:0003674,GO:0005488,GO:0005506,GO:0005575,GO:0005576,GO:0005622,GO:0005623,GO:0005737,GO:0005739,GO:0005794,GO:0006810,GO:0006811,GO:0006812,GO:0006826,GO:0006873,GO:0006875,GO:0006879,GO:0006880,GO:0007275,GO:0008043,GO:0008150,GO:0008198,GO:0008283,GO:0009605,GO:0009607,GO:0009620,GO:0009636,GO:0009791,GO:0009987,GO:0010035,GO:0010038,GO:0010039,GO:0012505,GO:0019725,GO:0030001,GO:0030003,GO:0032501,GO:0032502,GO:0032991,GO:0034220,GO:0034755,GO:0042221,GO:0042592,GO:0043167,GO:0043169,GO:0043207,GO:0043226,GO:0043227,GO:0043229,GO:0043231,GO:0044424,GO:0044444,GO:0044464,GO:0045169,GO:0046872,GO:0046914,GO:0046916,GO:0048856,GO:0048878,GO:0050801,GO:0050896,GO:0051179,GO:0051234,GO:0051235,GO:0051238,GO:0051641,GO:0051651,GO:0051704,GO:0051707,GO:0055065,GO:0055072,GO:0055076,GO:0055080,GO:0055082,GO:0055085,GO:0061687,GO:0065007,GO:0065008,GO:0070288,GO:0097286,GO:0097577,GO:0098655,GO:0098657,GO:0098659,GO:0098660,GO:0098662,GO:0098711,GO:0098739,GO:0098754,GO:0098771,GO:0099587,GO:1990461</t>
  </si>
  <si>
    <t>GO:0003674,GO:0005488,GO:0005515,GO:0005575,GO:0005622,GO:0005623,GO:0005737,GO:0005829,GO:0006950,GO:0007275,GO:0007568,GO:0008150,GO:0008340,GO:0009266,GO:0009408,GO:0009628,GO:0009790,GO:0009792,GO:0010259,GO:0032501,GO:0032502,GO:0044424,GO:0044444,GO:0044464,GO:0048856,GO:0050896,GO:0051082</t>
  </si>
  <si>
    <t>GO:0005575,GO:0005622,GO:0005623,GO:0005634,GO:0005654,GO:0031974,GO:0031981,GO:0043226,GO:0043227,GO:0043229,GO:0043231,GO:0043233,GO:0044422,GO:0044424,GO:0044428,GO:0044446,GO:0044464,GO:0070013</t>
  </si>
  <si>
    <t>GO:0001101,GO:0001516,GO:0001676,GO:0003008,GO:0003013,GO:0003018,GO:0003674,GO:0003824,GO:0004796,GO:0005575,GO:0005622,GO:0005623,GO:0005737,GO:0005783,GO:0005789,GO:0006082,GO:0006629,GO:0006631,GO:0006633,GO:0006636,GO:0006690,GO:0006692,GO:0006693,GO:0006873,GO:0008015,GO:0008150,GO:0008152,GO:0008610,GO:0009058,GO:0009636,GO:0009987,GO:0010033,GO:0012505,GO:0016020,GO:0016053,GO:0016491,GO:0016627,GO:0016628,GO:0016853,GO:0016860,GO:0019229,GO:0019369,GO:0019371,GO:0019725,GO:0019752,GO:0030002,GO:0030320,GO:0030644,GO:0031984,GO:0032501,GO:0032787,GO:0033559,GO:0033993,GO:0035150,GO:0035296,GO:0036134,GO:0042175,GO:0042221,GO:0042493,GO:0042592,GO:0043226,GO:0043227,GO:0043229,GO:0043231,GO:0043436,GO:0044057,GO:0044237,GO:0044238,GO:0044249,GO:0044255,GO:0044281,GO:0044283,GO:0044422,GO:0044424,GO:0044425,GO:0044432,GO:0044444,GO:0044446,GO:0044464,GO:0045471,GO:0045907,GO:0046394,GO:0046456,GO:0046457,GO:0046677,GO:0048518,GO:0048878,GO:0050789,GO:0050801,GO:0050880,GO:0050896,GO:0051239,GO:0051240,GO:0055064,GO:0055081,GO:0055082,GO:0055083,GO:0055114,GO:0065007,GO:0065008,GO:0070542,GO:0071704,GO:0072330,GO:0090066,GO:0097305,GO:0097746,GO:0098771,GO:0098827,GO:1901568,GO:1901570,GO:1901576,GO:1901700,GO:1903522,GO:1903524</t>
  </si>
  <si>
    <t>GO:0000003,GO:0000578,GO:0001655,GO:0001709,GO:0002009,GO:0003002,GO:0003006,GO:0003674,GO:0003824,GO:0004672,GO:0004713,GO:0004714,GO:0004888,GO:0005575,GO:0005623,GO:0005886,GO:0005887,GO:0006355,GO:0006357,GO:0006464,GO:0006468,GO:0006793,GO:0006796,GO:0006807,GO:0006928,GO:0007154,GO:0007165,GO:0007166,GO:0007167,GO:0007169,GO:0007275,GO:0007276,GO:0007277,GO:0007278,GO:0007280,GO:0007350,GO:0007351,GO:0007354,GO:0007362,GO:0007369,GO:0007389,GO:0007442,GO:0007443,GO:0007552,GO:0008150,GO:0008152,GO:0008293,GO:0008354,GO:0008595,GO:0009314,GO:0009416,GO:0009453,GO:0009605,GO:0009628,GO:0009653,GO:0009790,GO:0009798,GO:0009880,GO:0009888,GO:0009889,GO:0009948,GO:0009952,GO:0009987,GO:0010468,GO:0010556,GO:0016020,GO:0016021,GO:0016301,GO:0016310,GO:0016477,GO:0016740,GO:0016772,GO:0016773,GO:0018108,GO:0018193,GO:0018212,GO:0019199,GO:0019219,GO:0019222,GO:0019538,GO:0019953,GO:0022412,GO:0022414,GO:0023052,GO:0030154,GO:0031224,GO:0031226,GO:0031323,GO:0031326,GO:0032501,GO:0032502,GO:0032504,GO:0035239,GO:0035282,GO:0035295,GO:0036211,GO:0038023,GO:0038083,GO:0040008,GO:0040011,GO:0040014,GO:0040015,GO:0042330,GO:0042331,GO:0043170,GO:0043412,GO:0044237,GO:0044238,GO:0044260,GO:0044267,GO:0044425,GO:0044459,GO:0044464,GO:0044703,GO:0045165,GO:0045926,GO:0046777,GO:0046957,GO:0048468,GO:0048513,GO:0048519,GO:0048546,GO:0048565,GO:0048598,GO:0048609,GO:0048619,GO:0048638,GO:0048640,GO:0048729,GO:0048731,GO:0048856,GO:0048869,GO:0048870,GO:0050789,GO:0050793,GO:0050794,GO:0050896,GO:0051093,GO:0051171,GO:0051179,GO:0051239,GO:0051241,GO:0051252,GO:0051674,GO:0051704,GO:0051716,GO:0052129,GO:0055123,GO:0060089,GO:0060255,GO:0060429,GO:0060562,GO:0061326,GO:0061333,GO:0061525,GO:0065007,GO:0071704,GO:0071944,GO:0072001,GO:0072002,GO:0080090,GO:0140096,GO:1901564,GO:1903506,GO:2000112,GO:2001141</t>
  </si>
  <si>
    <t>GO:0000003,GO:0000323,GO:0001669,GO:0001775,GO:0002080,GO:0002081,GO:0002252,GO:0002263,GO:0002274,GO:0002275,GO:0002283,GO:0002366,GO:0002376,GO:0002443,GO:0002444,GO:0002446,GO:0003674,GO:0003824,GO:0004553,GO:0004560,GO:0005488,GO:0005575,GO:0005576,GO:0005615,GO:0005622,GO:0005623,GO:0005737,GO:0005764,GO:0005766,GO:0005773,GO:0005775,GO:0005783,GO:0005788,GO:0005886,GO:0005975,GO:0005996,GO:0006004,GO:0006022,GO:0006026,GO:0006027,GO:0006464,GO:0006629,GO:0006643,GO:0006664,GO:0006807,GO:0006810,GO:0006887,GO:0006950,GO:0006952,GO:0006955,GO:0007338,GO:0007339,GO:0008037,GO:0008150,GO:0008152,GO:0009056,GO:0009057,GO:0009566,GO:0009605,GO:0009607,GO:0009617,GO:0009987,GO:0009988,GO:0012505,GO:0012506,GO:0015928,GO:0016020,GO:0016042,GO:0016137,GO:0016139,GO:0016192,GO:0016787,GO:0016798,GO:0019318,GO:0019377,GO:0019538,GO:0019953,GO:0022414,GO:0030141,GO:0030203,GO:0030246,GO:0030659,GO:0030667,GO:0031090,GO:0031410,GO:0031974,GO:0031982,GO:0031983,GO:0032940,GO:0034774,GO:0035036,GO:0035578,GO:0036094,GO:0036211,GO:0036230,GO:0042119,GO:0042582,GO:0042742,GO:0042806,GO:0043170,GO:0043202,GO:0043207,GO:0043226,GO:0043227,GO:0043229,GO:0043231,GO:0043233,GO:0043299,GO:0043312,GO:0043412,GO:0043687,GO:0043900,GO:0043903,GO:0044237,GO:0044238,GO:0044242,GO:0044248,GO:0044255,GO:0044260,GO:0044267,GO:0044281,GO:0044421,GO:0044422,GO:0044424,GO:0044425,GO:0044432,GO:0044433,GO:0044437,GO:0044444,GO:0044446,GO:0044464,GO:0044703,GO:0045055,GO:0045321,GO:0046466,GO:0046903,GO:0048029,GO:0050789,GO:0050896,GO:0051179,GO:0051234,GO:0051704,GO:0051707,GO:0060205,GO:0065007,GO:0070013,GO:0071704,GO:0071944,GO:0097223,GO:0097524,GO:0097708,GO:0098542,GO:0098588,GO:0098589,GO:0098805,GO:0099503,GO:1901135,GO:1901136,GO:1901564,GO:1901565,GO:1901575,GO:1901657,GO:1901658,GO:1903509,GO:2000535</t>
  </si>
  <si>
    <t>Macin</t>
  </si>
  <si>
    <t>GO:0000003,GO:0000302,GO:0001542,GO:0001554,GO:0001676,GO:0001890,GO:0001893,GO:0001894,GO:0002237,GO:0002673,GO:0002675,GO:0003006,GO:0003674,GO:0003824,GO:0004620,GO:0004622,GO:0004623,GO:0005488,GO:0005509,GO:0005515,GO:0005543,GO:0005544,GO:0005575,GO:0005622,GO:0005623,GO:0005634,GO:0005737,GO:0005739,GO:0005740,GO:0005743,GO:0005783,GO:0005789,GO:0005794,GO:0005811,GO:0005829,GO:0006082,GO:0006575,GO:0006629,GO:0006631,GO:0006644,GO:0006650,GO:0006654,GO:0006658,GO:0006663,GO:0006690,GO:0006793,GO:0006796,GO:0006807,GO:0006810,GO:0006811,GO:0006820,GO:0006869,GO:0006950,GO:0006979,GO:0007275,GO:0007276,GO:0007292,GO:0007548,GO:0007565,GO:0007568,GO:0007584,GO:0008150,GO:0008152,GO:0008284,GO:0008289,GO:0008406,GO:0008585,GO:0008610,GO:0008654,GO:0008970,GO:0009058,GO:0009266,GO:0009408,GO:0009605,GO:0009607,GO:0009617,GO:0009628,GO:0009636,GO:0009719,GO:0009725,GO:0009888,GO:0009889,GO:0009891,GO:0009893,GO:0009987,GO:0009991,GO:0010033,GO:0010035,GO:0010038,GO:0010226,GO:0010243,GO:0010565,GO:0010638,GO:0010876,GO:0010941,GO:0010942,GO:0012505,GO:0014070,GO:0015711,GO:0015718,GO:0015849,GO:0015908,GO:0015909,GO:0016020,GO:0016053,GO:0016298,GO:0016787,GO:0016788,GO:0017144,GO:0019216,GO:0019217,GO:0019222,GO:0019369,GO:0019637,GO:0019752,GO:0019866,GO:0019899,GO:0019953,GO:0022414,GO:0022602,GO:0030141,GO:0030278,GO:0030500,GO:0030501,GO:0030728,GO:0031090,GO:0031323,GO:0031325,GO:0031326,GO:0031328,GO:0031338,GO:0031340,GO:0031347,GO:0031349,GO:0031392,GO:0031394,GO:0031410,GO:0031620,GO:0031622,GO:0031650,GO:0031652,GO:0031667,GO:0031960,GO:0031966,GO:0031967,GO:0031975,GO:0031982,GO:0031984,GO:0032048,GO:0032101,GO:0032103,GO:0032309,GO:0032496,GO:0032501,GO:0032502,GO:0032504,GO:0032787,GO:0032879,GO:0033036,GO:0033043,GO:0033273,GO:0033280,GO:0033559,GO:0033993,GO:0035035,GO:0035965,GO:0036148,GO:0036149,GO:0036150,GO:0036151,GO:0036152,GO:0042127,GO:0042175,GO:0042221,GO:0042304,GO:0042493,GO:0042542,GO:0042588,GO:0042592,GO:0042698,GO:0042981,GO:0043065,GO:0043067,GO:0043068,GO:0043129,GO:0043167,GO:0043168,GO:0043169,GO:0043207,GO:0043226,GO:0043227,GO:0043228,GO:0043229,GO:0043231,GO:0043232,GO:0043436,GO:0044237,GO:0044238,GO:0044249,GO:0044255,GO:0044281,GO:0044283,GO:0044422,GO:0044424,GO:0044425,GO:0044429,GO:0044432,GO:0044444,GO:0044446,GO:0044464,GO:0044703,GO:0044706,GO:0045017,GO:0045137,GO:0045723,GO:0045778,GO:0045834,GO:0045923,GO:0046394,GO:0046456,GO:0046469,GO:0046470,GO:0046471,GO:0046473,GO:0046474,GO:0046486,GO:0046488,GO:0046545,GO:0046660,GO:0046677,GO:0046697,GO:0046717,GO:0046872,GO:0046889,GO:0046890,GO:0046903,GO:0046942,GO:0047498,GO:0048471,GO:0048511,GO:0048513,GO:0048518,GO:0048522,GO:0048545,GO:0048583,GO:0048584,GO:0048608,GO:0048609,GO:0048731,GO:0048856,GO:0048871,GO:0048875,GO:0048878,GO:0050482,GO:0050727,GO:0050729,GO:0050789,GO:0050793,GO:0050794,GO:0050896,GO:0051049,GO:0051050,GO:0051094,GO:0051128,GO:0051130,GO:0051179,GO:0051234,GO:0051239,GO:0051240,GO:0051384,GO:0051592,GO:0051597,GO:0051704,GO:0051707,GO:0051716,GO:0052689,GO:0060135,GO:0060249,GO:0060627,GO:0061458,GO:0062012,GO:0062013,GO:0065007,GO:0065008,GO:0070167,GO:0070169,GO:0070887,GO:0071236,GO:0071702,GO:0071704,GO:0071715,GO:0080090,GO:0080134,GO:0090407,GO:0097164,GO:0097708,GO:0098827,GO:0099503,GO:1901564,GO:1901566,GO:1901568,GO:1901570,GO:1901571,GO:1901576,GO:1901698,GO:1901700,GO:1903963,GO:2000026,GO:2001279,GO:2001280</t>
  </si>
  <si>
    <t>GO:0006810,GO:0006897,GO:0006909,GO:0008150,GO:0016192,GO:0051179,GO:0051234,GO:0098657</t>
  </si>
  <si>
    <t>GO:0003674,GO:0003824,GO:0004497,GO:0005488,GO:0005575,GO:0005622,GO:0005623,GO:0005737,GO:0005783,GO:0005789,GO:0006066,GO:0006082,GO:0006629,GO:0006694,GO:0006699,GO:0006706,GO:0006707,GO:0006805,GO:0007275,GO:0007399,GO:0008150,GO:0008152,GO:0008202,GO:0008203,GO:0008206,GO:0008395,GO:0008610,GO:0009056,GO:0009058,GO:0009410,GO:0009987,GO:0012505,GO:0016020,GO:0016042,GO:0016053,GO:0016125,GO:0016127,GO:0016491,GO:0016705,GO:0016709,GO:0019752,GO:0020037,GO:0031090,GO:0031984,GO:0032501,GO:0032502,GO:0032787,GO:0033781,GO:0042175,GO:0042221,GO:0043226,GO:0043227,GO:0043229,GO:0043231,GO:0043436,GO:0044237,GO:0044238,GO:0044249,GO:0044281,GO:0044282,GO:0044283,GO:0044422,GO:0044424,GO:0044425,GO:0044432,GO:0044444,GO:0044446,GO:0044464,GO:0046164,GO:0046394,GO:0046906,GO:0048037,GO:0048731,GO:0048856,GO:0050896,GO:0051716,GO:0055114,GO:0070887,GO:0071466,GO:0071704,GO:0072330,GO:0097159,GO:0098827,GO:1901360,GO:1901361,GO:1901362,GO:1901363,GO:1901575,GO:1901576,GO:1901615,GO:1901616,GO:1901617,GO:1902652</t>
  </si>
  <si>
    <t>GO:0003674,GO:0005102,GO:0005488,GO:0005515,GO:0005575,GO:0005576,GO:0005615,GO:0005622,GO:0005623,GO:0005737,GO:0005886,GO:0006928,GO:0007155,GO:0007610,GO:0008150,GO:0009986,GO:0009987,GO:0010594,GO:0010595,GO:0010632,GO:0010634,GO:0016020,GO:0019220,GO:0019222,GO:0019838,GO:0022603,GO:0022610,GO:0030334,GO:0030335,GO:0031323,GO:0032879,GO:0036458,GO:0040011,GO:0040012,GO:0040017,GO:0042325,GO:0042802,GO:0043535,GO:0043536,GO:0044087,GO:0044089,GO:0044421,GO:0044424,GO:0044425,GO:0044456,GO:0044459,GO:0044464,GO:0045202,GO:0045765,GO:0045766,GO:0048518,GO:0048522,GO:0048870,GO:0050789,GO:0050793,GO:0050794,GO:0050803,GO:0050807,GO:0051094,GO:0051128,GO:0051130,GO:0051174,GO:0051179,GO:0051239,GO:0051240,GO:0051270,GO:0051272,GO:0051674,GO:0051960,GO:0051962,GO:0051963,GO:0051965,GO:0060076,GO:0065007,GO:0065008,GO:0071625,GO:0071944,GO:0090049,GO:0090050,GO:0097060,GO:0098590,GO:0098609,GO:1901342,GO:1903670,GO:1903672,GO:1904018,GO:2000026,GO:2000145,GO:2000147</t>
  </si>
  <si>
    <t>K02A2.6-like</t>
  </si>
  <si>
    <t>GO:0005575,GO:0005576,GO:0005604,GO:0005622,GO:0005623,GO:0005737,GO:0005938,GO:0008150,GO:0009605,GO:0009607,GO:0009617,GO:0030054,GO:0031012,GO:0043207,GO:0044421,GO:0044424,GO:0044444,GO:0044464,GO:0050896,GO:0051704,GO:0051707,GO:0062023,GO:0071944,GO:0099568</t>
  </si>
  <si>
    <t>GO:0003674,GO:0003824,GO:0004812,GO:0004825,GO:0005575,GO:0005622,GO:0005623,GO:0005634,GO:0005730,GO:0005737,GO:0005829,GO:0006082,GO:0006139,GO:0006351,GO:0006355,GO:0006356,GO:0006399,GO:0006412,GO:0006418,GO:0006431,GO:0006518,GO:0006520,GO:0006725,GO:0006807,GO:0006950,GO:0007154,GO:0008150,GO:0008152,GO:0009058,GO:0009059,GO:0009267,GO:0009303,GO:0009605,GO:0009719,GO:0009725,GO:0009889,GO:0009891,GO:0009893,GO:0009987,GO:0009991,GO:0010033,GO:0010243,GO:0010467,GO:0010468,GO:0010556,GO:0010557,GO:0010604,GO:0010628,GO:0016070,GO:0016072,GO:0016874,GO:0016875,GO:0017101,GO:0018130,GO:0019219,GO:0019222,GO:0019438,GO:0019538,GO:0019752,GO:0031323,GO:0031325,GO:0031326,GO:0031328,GO:0031667,GO:0031668,GO:0031669,GO:0031974,GO:0031981,GO:0032774,GO:0032868,GO:0032869,GO:0032870,GO:0032991,GO:0033554,GO:0034641,GO:0034645,GO:0034654,GO:0034660,GO:0036119,GO:0036120,GO:0042221,GO:0042594,GO:0043038,GO:0043039,GO:0043043,GO:0043170,GO:0043226,GO:0043227,GO:0043228,GO:0043229,GO:0043231,GO:0043232,GO:0043233,GO:0043434,GO:0043436,GO:0043603,GO:0043604,GO:0044237,GO:0044238,GO:0044249,GO:0044260,GO:0044267,GO:0044271,GO:0044281,GO:0044422,GO:0044424,GO:0044428,GO:0044444,GO:0044446,GO:0044464,GO:0045893,GO:0045935,GO:0045943,GO:0046483,GO:0048518,GO:0048522,GO:0050789,GO:0050794,GO:0050896,GO:0051171,GO:0051173,GO:0051252,GO:0051254,GO:0051716,GO:0060255,GO:0065007,GO:0070013,GO:0070848,GO:0070849,GO:0070887,GO:0071310,GO:0071363,GO:0071364,GO:0071375,GO:0071417,GO:0071495,GO:0071496,GO:0071704,GO:0080090,GO:0090304,GO:0097659,GO:0098781,GO:0140098,GO:0140101,GO:1901360,GO:1901362,GO:1901564,GO:1901566,GO:1901576,GO:1901652,GO:1901653,GO:1901698,GO:1901699,GO:1901700,GO:1901701,GO:1901836,GO:1901838,GO:1902680,GO:1903506,GO:1903508,GO:2000112,GO:2001141</t>
  </si>
  <si>
    <t>GO:0003674,GO:0005215,GO:0005216,GO:0005253,GO:0005254,GO:0005310,GO:0005342,GO:0005452,GO:0005575,GO:0005623,GO:0005886,GO:0005887,GO:0006810,GO:0006811,GO:0006812,GO:0006816,GO:0006820,GO:0006821,GO:0006835,GO:0006855,GO:0006873,GO:0006885,GO:0008028,GO:0008150,GO:0008272,GO:0008324,GO:0008509,GO:0008514,GO:0009987,GO:0015075,GO:0015085,GO:0015103,GO:0015106,GO:0015108,GO:0015116,GO:0015238,GO:0015267,GO:0015291,GO:0015297,GO:0015301,GO:0015318,GO:0015499,GO:0015698,GO:0015701,GO:0015711,GO:0015718,GO:0015724,GO:0015849,GO:0015893,GO:0016020,GO:0016021,GO:0019531,GO:0019532,GO:0019725,GO:0022803,GO:0022804,GO:0022838,GO:0022857,GO:0022890,GO:0030001,GO:0030003,GO:0030004,GO:0030641,GO:0031224,GO:0031226,GO:0034220,GO:0042221,GO:0042391,GO:0042493,GO:0042592,GO:0042891,GO:0042895,GO:0044425,GO:0044459,GO:0044464,GO:0046873,GO:0046942,GO:0046943,GO:0048878,GO:0050801,GO:0050896,GO:0051179,GO:0051234,GO:0051453,GO:0055067,GO:0055080,GO:0055082,GO:0055085,GO:0065007,GO:0065008,GO:0070588,GO:0070838,GO:0071702,GO:0071944,GO:0072348,GO:0072511,GO:0098655,GO:0098656,GO:0098660,GO:0098661,GO:0098662,GO:0098771,GO:0099516,GO:1901682,GO:1902358,GO:1902476,GO:1903825,GO:1905039</t>
  </si>
  <si>
    <t>GO:0000922,GO:0001655,GO:0001656,GO:0001822,GO:0002251,GO:0002376,GO:0002385,GO:0002386,GO:0002404,GO:0002406,GO:0002412,GO:0003008,GO:0003674,GO:0003823,GO:0005488,GO:0005575,GO:0005576,GO:0005615,GO:0005622,GO:0005623,GO:0005737,GO:0005794,GO:0005796,GO:0005819,GO:0005856,GO:0005886,GO:0005929,GO:0006810,GO:0006928,GO:0006950,GO:0006952,GO:0006955,GO:0006968,GO:0007155,GO:0007157,GO:0007159,GO:0007275,GO:0007588,GO:0008150,GO:0008285,GO:0009888,GO:0009987,GO:0010033,GO:0012505,GO:0015630,GO:0016020,GO:0016192,GO:0016323,GO:0016324,GO:0016477,GO:0019864,GO:0019865,GO:0019898,GO:0022610,GO:0031224,GO:0031225,GO:0031410,GO:0031974,GO:0031982,GO:0032501,GO:0032502,GO:0035295,GO:0040011,GO:0042127,GO:0042221,GO:0042592,GO:0042995,GO:0043226,GO:0043227,GO:0043228,GO:0043229,GO:0043231,GO:0043232,GO:0043233,GO:0044421,GO:0044422,GO:0044424,GO:0044425,GO:0044430,GO:0044431,GO:0044444,GO:0044446,GO:0044459,GO:0044464,GO:0044877,GO:0045056,GO:0045121,GO:0045177,GO:0048513,GO:0048519,GO:0048523,GO:0048731,GO:0048856,GO:0048870,GO:0048878,GO:0050789,GO:0050794,GO:0050801,GO:0050896,GO:0050900,GO:0051179,GO:0051234,GO:0051674,GO:0060429,GO:0061326,GO:0065007,GO:0065008,GO:0070013,GO:0071944,GO:0072001,GO:0072006,GO:0072009,GO:0072017,GO:0072021,GO:0072023,GO:0072025,GO:0072070,GO:0072073,GO:0072080,GO:0072170,GO:0072207,GO:0072218,GO:0072221,GO:0072233,GO:0072234,GO:0072235,GO:0072236,GO:0072243,GO:0097529,GO:0097530,GO:0097708,GO:0098589,GO:0098590,GO:0098609,GO:0098742,GO:0098805,GO:0098857,GO:0120025,GO:1990266</t>
  </si>
  <si>
    <t>GO:0000099,GO:0000101,GO:0002376,GO:0003333,GO:0003674,GO:0003823,GO:0005215,GO:0005342,GO:0005488,GO:0005575,GO:0005623,GO:0005886,GO:0005887,GO:0005903,GO:0006810,GO:0006811,GO:0006820,GO:0006865,GO:0006928,GO:0008150,GO:0008509,GO:0008514,GO:0009987,GO:0015075,GO:0015171,GO:0015175,GO:0015179,GO:0015184,GO:0015291,GO:0015297,GO:0015318,GO:0015711,GO:0015804,GO:0015807,GO:0015811,GO:0015849,GO:0016020,GO:0016021,GO:0016043,GO:0016324,GO:0016477,GO:0022607,GO:0022804,GO:0022857,GO:0031224,GO:0031226,GO:0031253,GO:0031526,GO:0033218,GO:0034220,GO:0040011,GO:0042277,GO:0042605,GO:0042995,GO:0043933,GO:0044085,GO:0044425,GO:0044459,GO:0044463,GO:0044464,GO:0045177,GO:0046942,GO:0046943,GO:0048870,GO:0050900,GO:0051179,GO:0051234,GO:0051674,GO:0055085,GO:0065003,GO:0071702,GO:0071705,GO:0071840,GO:0071944,GO:0072337,GO:0072348,GO:0072349,GO:0098590,GO:0098656,GO:0098862,GO:0120025,GO:0120038,GO:1901682,GO:1902475,GO:1903825,GO:1905039</t>
  </si>
  <si>
    <t>GO:0002009,GO:0002165,GO:0003674,GO:0005198,GO:0005201,GO:0005575,GO:0005576,GO:0007275,GO:0007424,GO:0007444,GO:0007472,GO:0007475,GO:0007476,GO:0007552,GO:0007560,GO:0007591,GO:0008150,GO:0008362,GO:0008587,GO:0009653,GO:0009791,GO:0009886,GO:0009887,GO:0009888,GO:0022404,GO:0031012,GO:0032501,GO:0032502,GO:0035107,GO:0035114,GO:0035120,GO:0035220,GO:0035239,GO:0035295,GO:0040003,GO:0040005,GO:0042303,GO:0042335,GO:0044421,GO:0044719,GO:0048513,GO:0048563,GO:0048569,GO:0048707,GO:0048729,GO:0048731,GO:0048736,GO:0048737,GO:0048856,GO:0060429,GO:0060541,GO:0060562,GO:0065007,GO:0065008,GO:0090066</t>
  </si>
  <si>
    <t>GO:0003674,GO:0003824,GO:0004812,GO:0004825,GO:0005575,GO:0005622,GO:0005623,GO:0005737,GO:0005829,GO:0006082,GO:0006139,GO:0006399,GO:0006412,GO:0006418,GO:0006431,GO:0006518,GO:0006520,GO:0006725,GO:0006807,GO:0008150,GO:0008152,GO:0009058,GO:0009059,GO:0009987,GO:0010467,GO:0016070,GO:0016874,GO:0016875,GO:0017101,GO:0019538,GO:0019752,GO:0032991,GO:0034641,GO:0034645,GO:0034660,GO:0043038,GO:0043039,GO:0043043,GO:0043170,GO:0043436,GO:0043603,GO:0043604,GO:0044237,GO:0044238,GO:0044249,GO:0044260,GO:0044267,GO:0044271,GO:0044281,GO:0044424,GO:0044444,GO:0044464,GO:0046483,GO:0071704,GO:0090304,GO:0140098,GO:0140101,GO:1901360,GO:1901564,GO:1901566,GO:1901576</t>
  </si>
  <si>
    <t>GO:0003333,GO:0003674,GO:0005215,GO:0005283,GO:0005298,GO:0005342,GO:0005343,GO:0005416,GO:0005575,GO:0005623,GO:0005886,GO:0005887,GO:0006810,GO:0006811,GO:0006812,GO:0006814,GO:0006820,GO:0006855,GO:0006865,GO:0008150,GO:0008324,GO:0008509,GO:0008514,GO:0015075,GO:0015077,GO:0015081,GO:0015171,GO:0015175,GO:0015179,GO:0015193,GO:0015238,GO:0015291,GO:0015293,GO:0015294,GO:0015318,GO:0015370,GO:0015672,GO:0015711,GO:0015804,GO:0015807,GO:0015824,GO:0015849,GO:0015893,GO:0016020,GO:0016021,GO:0022804,GO:0022857,GO:0022890,GO:0030001,GO:0031224,GO:0031226,GO:0034220,GO:0035524,GO:0035725,GO:0042221,GO:0042493,GO:0044425,GO:0044459,GO:0044464,GO:0046873,GO:0046942,GO:0046943,GO:0050896,GO:0051179,GO:0051234,GO:0055085,GO:0071702,GO:0071705,GO:0071944,GO:0098655,GO:0098656,GO:0098660,GO:0098662,GO:1902475,GO:1903825,GO:1905039</t>
  </si>
  <si>
    <t>GO:0003674,GO:0003824,GO:0004745,GO:0005575,GO:0005622,GO:0005623,GO:0005737,GO:0005783,GO:0005789,GO:0008150,GO:0008152,GO:0010522,GO:0010880,GO:0010959,GO:0012505,GO:0014801,GO:0016020,GO:0016491,GO:0016528,GO:0016529,GO:0016614,GO:0016616,GO:0031090,GO:0031984,GO:0032879,GO:0033017,GO:0034762,GO:0034765,GO:0042175,GO:0043226,GO:0043227,GO:0043229,GO:0043231,GO:0043269,GO:0044422,GO:0044424,GO:0044425,GO:0044432,GO:0044444,GO:0044446,GO:0044464,GO:0050789,GO:0050794,GO:0051049,GO:0051279,GO:0051282,GO:0051924,GO:0055114,GO:0060341,GO:0065007,GO:0065008,GO:0098588,GO:0098827,GO:1903169,GO:1904062</t>
  </si>
  <si>
    <t>GO:0000122,GO:0000166,GO:0000988,GO:0000989,GO:0001076,GO:0001191,GO:0003674,GO:0003824,GO:0003950,GO:0005488,GO:0005575,GO:0005622,GO:0005623,GO:0005634,GO:0006355,GO:0006357,GO:0006464,GO:0006471,GO:0006807,GO:0008150,GO:0008152,GO:0009889,GO:0009890,GO:0009892,GO:0009987,GO:0010468,GO:0010556,GO:0010558,GO:0010605,GO:0010629,GO:0016740,GO:0016757,GO:0016763,GO:0019219,GO:0019222,GO:0019538,GO:0031323,GO:0031324,GO:0031326,GO:0031327,GO:0036094,GO:0036211,GO:0043167,GO:0043168,GO:0043170,GO:0043226,GO:0043227,GO:0043229,GO:0043231,GO:0043412,GO:0044237,GO:0044238,GO:0044260,GO:0044267,GO:0044424,GO:0044464,GO:0045892,GO:0045934,GO:0048037,GO:0048519,GO:0048523,GO:0050662,GO:0050789,GO:0050794,GO:0051171,GO:0051172,GO:0051252,GO:0051253,GO:0051287,GO:0060255,GO:0065007,GO:0070212,GO:0070403,GO:0071704,GO:0080090,GO:0097159,GO:0140110,GO:1901265,GO:1901363,GO:1901564,GO:1902679,GO:1903506,GO:1903507,GO:2000112,GO:2000113,GO:2001141</t>
  </si>
  <si>
    <t>GO:0000003,GO:0000132,GO:0000226,GO:0000278,GO:0000902,GO:0000904,GO:0001101,GO:0001501,GO:0001558,GO:0001667,GO:0001932,GO:0002009,GO:0002064,GO:0002165,GO:0002252,GO:0002376,GO:0003007,GO:0003381,GO:0003382,GO:0003383,GO:0003384,GO:0003674,GO:0004888,GO:0005102,GO:0005178,GO:0005488,GO:0005509,GO:0005515,GO:0005575,GO:0005622,GO:0005623,GO:0005737,GO:0005768,GO:0005886,GO:0005887,GO:0005911,GO:0005912,GO:0005913,GO:0005918,GO:0005919,GO:0006582,GO:0006725,GO:0006928,GO:0006935,GO:0006950,GO:0006952,GO:0006955,GO:0006996,GO:0007010,GO:0007017,GO:0007043,GO:0007049,GO:0007154,GO:0007155,GO:0007156,GO:0007157,GO:0007158,GO:0007159,GO:0007160,GO:0007163,GO:0007165,GO:0007166,GO:0007167,GO:0007169,GO:0007173,GO:0007272,GO:0007275,GO:0007369,GO:0007399,GO:0007409,GO:0007411,GO:0007413,GO:0007417,GO:0007420,GO:0007424,GO:0007444,GO:0007507,GO:0007552,GO:0007560,GO:0007610,GO:0007617,GO:0007618,GO:0007619,GO:0008037,GO:0008038,GO:0008045,GO:0008049,GO:0008050,GO:0008092,GO:0008150,GO:0008152,GO:0008361,GO:0008366,GO:0009410,GO:0009605,GO:0009611,GO:0009636,GO:0009653,GO:0009719,GO:0009725,GO:0009790,GO:0009791,GO:0009792,GO:0009886,GO:0009887,GO:0009888,GO:0009893,GO:0009897,GO:0009966,GO:0009967,GO:0009986,GO:0009987,GO:0010001,GO:0010033,GO:0010243,GO:0010468,GO:0010604,GO:0010628,GO:0010646,GO:0010647,GO:0010720,GO:0010769,GO:0010770,GO:0010810,GO:0010811,GO:0010975,GO:0010976,GO:0012505,GO:0014070,GO:0014823,GO:0016020,GO:0016021,GO:0016043,GO:0016049,GO:0016319,GO:0016328,GO:0016358,GO:0016477,GO:0017154,GO:0018958,GO:0019098,GO:0019220,GO:0019222,GO:0019748,GO:0019904,GO:0019953,GO:0019991,GO:0021675,GO:0021682,GO:0021700,GO:0021782,GO:0022008,GO:0022402,GO:0022407,GO:0022409,GO:0022414,GO:0022603,GO:0022604,GO:0022607,GO:0022610,GO:0023051,GO:0023052,GO:0023056,GO:0030010,GO:0030016,GO:0030017,GO:0030029,GO:0030030,GO:0030048,GO:0030054,GO:0030154,GO:0030155,GO:0030165,GO:0030175,GO:0030182,GO:0030307,GO:0030424,GO:0030425,GO:0030426,GO:0030427,GO:0030506,GO:0030516,GO:0030673,GO:0030855,GO:0031099,GO:0031102,GO:0031103,GO:0031175,GO:0031224,GO:0031226,GO:0031252,GO:0031253,GO:0031256,GO:0031323,GO:0031344,GO:0031346,GO:0031399,GO:0031406,GO:0031410,GO:0031589,GO:0031960,GO:0031982,GO:0032101,GO:0032268,GO:0032501,GO:0032502,GO:0032504,GO:0032535,GO:0032589,GO:0032590,GO:0032809,GO:0032870,GO:0032879,GO:0032989,GO:0032990,GO:0033267,GO:0033554,GO:0033563,GO:0033564,GO:0033627,GO:0033631,GO:0033691,GO:0033993,GO:0034109,GO:0034329,GO:0034330,GO:0035006,GO:0035010,GO:0035011,GO:0035150,GO:0035151,GO:0035152,GO:0035239,GO:0035295,GO:0035690,GO:0036094,GO:0036477,GO:0038023,GO:0038127,GO:0040001,GO:0040007,GO:0040008,GO:0040011,GO:0040012,GO:0042063,GO:0042074,GO:0042221,GO:0042325,GO:0042330,GO:0042440,GO:0042493,GO:0042734,GO:0042802,GO:0042995,GO:0043005,GO:0043025,GO:0043167,GO:0043168,GO:0043169,GO:0043177,GO:0043195,GO:0043200,GO:0043226,GO:0043227,GO:0043228,GO:0043229,GO:0043232,GO:0043292,GO:0043296,GO:0043297,GO:0043408,GO:0043621,GO:0043679,GO:0044085,GO:0044237,GO:0044292,GO:0044294,GO:0044295,GO:0044297,GO:0044298,GO:0044304,GO:0044306,GO:0044422,GO:0044424,GO:0044425,GO:0044444,GO:0044449,GO:0044456,GO:0044459,GO:0044463,GO:0044464,GO:0044703,GO:0044877,GO:0045087,GO:0045121,GO:0045202,GO:0045216,GO:0045471,GO:0045595,GO:0045597,GO:0045664,GO:0045666,GO:0045773,GO:0045785,GO:0045924,GO:0045927,GO:0046677,GO:0046872,GO:0048036,GO:0048468,GO:0048513,GO:0048518,GO:0048522,GO:0048545,GO:0048563,GO:0048569,GO:0048583,GO:0048584,GO:0048588,GO:0048589,GO:0048598,GO:0048609,GO:0048638,GO:0048639,GO:0048666,GO:0048667,GO:0048675,GO:0048678,GO:0048699,GO:0048707,GO:0048729,GO:0048731,GO:0048812,GO:0048813,GO:0048814,GO:0048856,GO:0048858,GO:0048869,GO:0048870,GO:0050767,GO:0050769,GO:0050770,GO:0050772,GO:0050773,GO:0050775,GO:0050789,GO:0050793,GO:0050794,GO:0050808,GO:0050839,GO:0050848,GO:0050850,GO:0050896,GO:0050900,GO:0050920,GO:0051094,GO:0051128,GO:0051130,GO:0051171,GO:0051174,GO:0051179,GO:0051216,GO:0051234,GO:0051239,GO:0051240,GO:0051246,GO:0051270,GO:0051293,GO:0051294,GO:0051384,GO:0051640,GO:0051641,GO:0051649,GO:0051653,GO:0051656,GO:0051674,GO:0051704,GO:0051716,GO:0051960,GO:0051962,GO:0060089,GO:0060179,GO:0060180,GO:0060255,GO:0060284,GO:0060322,GO:0060429,GO:0060536,GO:0060541,GO:0060560,GO:0060562,GO:0060856,GO:0060857,GO:0061343,GO:0061387,GO:0061448,GO:0061564,GO:0065007,GO:0065008,GO:0070160,GO:0070161,GO:0070252,GO:0070372,GO:0070593,GO:0070848,GO:0070887,GO:0071229,GO:0071230,GO:0071236,GO:0071310,GO:0071361,GO:0071363,GO:0071383,GO:0071384,GO:0071385,GO:0071396,GO:0071407,GO:0071417,GO:0071466,GO:0071495,GO:0071526,GO:0071542,GO:0071548,GO:0071549,GO:0071559,GO:0071560,GO:0071695,GO:0071704,GO:0071840,GO:0071944,GO:0072359,GO:0072499,GO:0080090,GO:0090066,GO:0097060,GO:0097066,GO:0097067,GO:0097068,GO:0097069,GO:0097237,GO:0097305,GO:0097306,GO:0097327,GO:0097367,GO:0097447,GO:0097458,GO:0097485,GO:0097708,GO:0098552,GO:0098589,GO:0098590,GO:0098609,GO:0098742,GO:0098793,GO:0098805,GO:0098857,GO:0098858,GO:0099080,GO:0099081,GO:0099512,GO:0106030,GO:0120025,GO:0120035,GO:0120036,GO:0120038,GO:0120039,GO:0150034,GO:1900006,GO:1901360,GO:1901615,GO:1901654,GO:1901655,GO:1901698,GO:1901699,GO:1901700,GO:1901701,GO:1902531,GO:1902533,GO:1902667,GO:1902850,GO:1903047,GO:1903859,GO:1904386,GO:1904387,GO:1990089,GO:1990090,GO:1990138,GO:2000026</t>
  </si>
  <si>
    <t>GO:0001505,GO:0003674,GO:0003824,GO:0004497,GO:0004500,GO:0005488,GO:0005507,GO:0005575,GO:0005576,GO:0005615,GO:0005622,GO:0005623,GO:0005737,GO:0005783,GO:0005789,GO:0006066,GO:0006576,GO:0006584,GO:0006589,GO:0006725,GO:0006807,GO:0008150,GO:0008152,GO:0009056,GO:0009058,GO:0009308,GO:0009309,GO:0009712,GO:0009713,GO:0009987,GO:0012505,GO:0012506,GO:0016020,GO:0016491,GO:0016705,GO:0016715,GO:0017144,GO:0018958,GO:0019336,GO:0019438,GO:0019439,GO:0019614,GO:0030141,GO:0030659,GO:0030667,GO:0031090,GO:0031410,GO:0031982,GO:0031984,GO:0034641,GO:0042133,GO:0042136,GO:0042175,GO:0042401,GO:0042415,GO:0042417,GO:0042420,GO:0042421,GO:0042423,GO:0042424,GO:0042439,GO:0042737,GO:0043167,GO:0043169,GO:0043226,GO:0043227,GO:0043229,GO:0043231,GO:0044106,GO:0044237,GO:0044248,GO:0044249,GO:0044271,GO:0044281,GO:0044283,GO:0044421,GO:0044422,GO:0044424,GO:0044425,GO:0044432,GO:0044433,GO:0044444,GO:0044446,GO:0044464,GO:0046165,GO:0046189,GO:0046333,GO:0046872,GO:0046914,GO:0055114,GO:0065007,GO:0065008,GO:0071704,GO:0097164,GO:0097708,GO:0098588,GO:0098805,GO:0098827,GO:0099503,GO:1901360,GO:1901361,GO:1901362,GO:1901564,GO:1901565,GO:1901566,GO:1901575,GO:1901576,GO:1901615,GO:1901616,GO:1901617</t>
  </si>
  <si>
    <t>GO:0003674,GO:0005488,GO:0005515,GO:0008157,GO:0019899,GO:0019902,GO:0019903</t>
  </si>
  <si>
    <t>GO:0002576,GO:0005575,GO:0005576,GO:0005622,GO:0005623,GO:0005737,GO:0005829,GO:0006810,GO:0006887,GO:0008150,GO:0009987,GO:0016192,GO:0032940,GO:0044424,GO:0044444,GO:0044464,GO:0045055,GO:0046903,GO:0051179,GO:0051234</t>
  </si>
  <si>
    <t>GO:0000003,GO:0003674,GO:0005488,GO:0005534,GO:0005575,GO:0005576,GO:0005615,GO:0007320,GO:0007610,GO:0007617,GO:0007618,GO:0007620,GO:0008104,GO:0008150,GO:0019098,GO:0019953,GO:0022414,GO:0030246,GO:0032501,GO:0032504,GO:0033036,GO:0036094,GO:0044421,GO:0044703,GO:0044706,GO:0045924,GO:0046008,GO:0046692,GO:0048029,GO:0048609,GO:0051179,GO:0051704,GO:0060180,GO:0065007,GO:0065008</t>
  </si>
  <si>
    <t>GO:0000003,GO:0000902,GO:0000904,GO:0003006,GO:0003674,GO:0003779,GO:0005488,GO:0005515,GO:0005575,GO:0005618,GO:0005622,GO:0005623,GO:0005737,GO:0005773,GO:0005829,GO:0005856,GO:0005884,GO:0006996,GO:0007010,GO:0007015,GO:0007623,GO:0008092,GO:0008150,GO:0009653,GO:0009826,GO:0009846,GO:0009856,GO:0009860,GO:0009932,GO:0009987,GO:0015629,GO:0016043,GO:0016049,GO:0022414,GO:0022607,GO:0030029,GO:0030036,GO:0030154,GO:0030312,GO:0032432,GO:0032501,GO:0032502,GO:0032989,GO:0040007,GO:0043226,GO:0043227,GO:0043228,GO:0043229,GO:0043231,GO:0043232,GO:0044085,GO:0044422,GO:0044424,GO:0044430,GO:0044444,GO:0044446,GO:0044464,GO:0044706,GO:0044877,GO:0048468,GO:0048511,GO:0048588,GO:0048589,GO:0048856,GO:0048868,GO:0048869,GO:0051015,GO:0051017,GO:0051639,GO:0051704,GO:0051764,GO:0060560,GO:0061572,GO:0071840,GO:0071944,GO:0097435,GO:0099080,GO:0099081,GO:0099512,GO:0099513</t>
  </si>
  <si>
    <t>GO:0005575,GO:0005622,GO:0005623,GO:0005737,GO:0044424,GO:0044464</t>
  </si>
  <si>
    <t>GO:0000003,GO:0000226,GO:0000228,GO:0000793,GO:0000794,GO:0001520,GO:0001578,GO:0003006,GO:0005575,GO:0005622,GO:0005623,GO:0005634,GO:0005694,GO:0005737,GO:0005819,GO:0005829,GO:0005856,GO:0005929,GO:0006996,GO:0007010,GO:0007017,GO:0007276,GO:0007281,GO:0007283,GO:0007286,GO:0008150,GO:0009987,GO:0015630,GO:0016043,GO:0019953,GO:0022412,GO:0022414,GO:0022607,GO:0030030,GO:0030031,GO:0030154,GO:0031514,GO:0031974,GO:0031981,GO:0032501,GO:0032502,GO:0032504,GO:0035082,GO:0036126,GO:0042995,GO:0043226,GO:0043227,GO:0043228,GO:0043229,GO:0043231,GO:0043232,GO:0043233,GO:0044085,GO:0044422,GO:0044424,GO:0044428,GO:0044430,GO:0044441,GO:0044444,GO:0044446,GO:0044463,GO:0044464,GO:0044703,GO:0044782,GO:0048232,GO:0048468,GO:0048515,GO:0048609,GO:0048856,GO:0048869,GO:0051704,GO:0060271,GO:0070013,GO:0070925,GO:0071840,GO:0072687,GO:0097223,GO:0097729,GO:0099080,GO:0099081,GO:0099512,GO:0099513,GO:0120025,GO:0120031,GO:0120036,GO:0120038</t>
  </si>
  <si>
    <t>GO:0003674,GO:0005215,GO:0005342,GO:0005343,GO:0005402,GO:0005575,GO:0005622,GO:0005623,GO:0005737,GO:0005886,GO:0005887,GO:0005903,GO:0005975,GO:0005996,GO:0006082,GO:0006139,GO:0006725,GO:0006732,GO:0006766,GO:0006767,GO:0006807,GO:0006810,GO:0006811,GO:0006812,GO:0006814,GO:0006820,GO:0006950,GO:0006979,GO:0007275,GO:0007399,GO:0007417,GO:0007420,GO:0008150,GO:0008152,GO:0008324,GO:0008509,GO:0008514,GO:0008520,GO:0008643,GO:0009636,GO:0009925,GO:0009987,GO:0015075,GO:0015077,GO:0015081,GO:0015144,GO:0015145,GO:0015205,GO:0015229,GO:0015291,GO:0015293,GO:0015294,GO:0015318,GO:0015370,GO:0015672,GO:0015711,GO:0015749,GO:0015849,GO:0015851,GO:0015882,GO:0016020,GO:0016021,GO:0016323,GO:0016324,GO:0019752,GO:0019852,GO:0022804,GO:0022857,GO:0022890,GO:0030001,GO:0030323,GO:0030324,GO:0031224,GO:0031226,GO:0032501,GO:0032502,GO:0033300,GO:0034219,GO:0034220,GO:0034641,GO:0035295,GO:0035461,GO:0035725,GO:0042221,GO:0043226,GO:0043229,GO:0043436,GO:0044237,GO:0044238,GO:0044281,GO:0044424,GO:0044425,GO:0044459,GO:0044464,GO:0045177,GO:0045178,GO:0046483,GO:0046873,GO:0046942,GO:0046943,GO:0048513,GO:0048731,GO:0048856,GO:0050896,GO:0051119,GO:0051179,GO:0051180,GO:0051181,GO:0051182,GO:0051184,GO:0051185,GO:0051186,GO:0051234,GO:0055085,GO:0060322,GO:0060541,GO:0070633,GO:0070837,GO:0070890,GO:0070904,GO:0071702,GO:0071704,GO:0071705,GO:0071944,GO:0090482,GO:0098590,GO:0098655,GO:0098656,GO:0098660,GO:0098662,GO:0098862,GO:1901360,GO:1903825,GO:1905039</t>
  </si>
  <si>
    <t>GO:0003674,GO:0005488,GO:0005575,GO:0008061,GO:0008144,GO:0016020,GO:0097367</t>
  </si>
  <si>
    <t>GO:0000981,GO:0003674,GO:0003700,GO:0006355,GO:0006357,GO:0008150,GO:0009889,GO:0010468,GO:0010556,GO:0019219,GO:0019222,GO:0031323,GO:0031326,GO:0050789,GO:0050794,GO:0051171,GO:0051252,GO:0060255,GO:0065007,GO:0080090,GO:0140110,GO:1903506,GO:2000112,GO:2001141</t>
  </si>
  <si>
    <t>GO:0000166,GO:0002237,GO:0003674,GO:0003824,GO:0004012,GO:0005215,GO:0005319,GO:0005324,GO:0005342,GO:0005488,GO:0005524,GO:0005548,GO:0005575,GO:0005622,GO:0005623,GO:0005737,GO:0005886,GO:0005887,GO:0006082,GO:0006690,GO:0006691,GO:0006725,GO:0006766,GO:0006767,GO:0006807,GO:0006810,GO:0006811,GO:0006820,GO:0006855,GO:0006857,GO:0006869,GO:0006928,GO:0006935,GO:0006950,GO:0006979,GO:0008028,GO:0008144,GO:0008150,GO:0008152,GO:0008509,GO:0008514,GO:0008559,GO:0009235,GO:0009605,GO:0009607,GO:0009617,GO:0009719,GO:0009725,GO:0009987,GO:0010033,GO:0010243,GO:0010876,GO:0010941,GO:0014070,GO:0015075,GO:0015103,GO:0015125,GO:0015238,GO:0015318,GO:0015399,GO:0015405,GO:0015420,GO:0015431,GO:0015432,GO:0015562,GO:0015698,GO:0015711,GO:0015718,GO:0015721,GO:0015722,GO:0015748,GO:0015833,GO:0015849,GO:0015850,GO:0015889,GO:0015893,GO:0015908,GO:0015909,GO:0015911,GO:0015914,GO:0016020,GO:0016021,GO:0016043,GO:0016323,GO:0016462,GO:0016477,GO:0016787,GO:0016817,GO:0016818,GO:0016887,GO:0017076,GO:0017111,GO:0017144,GO:0019752,GO:0022804,GO:0022857,GO:0030334,GO:0030335,GO:0030554,GO:0031224,GO:0031226,GO:0032355,GO:0032496,GO:0032553,GO:0032555,GO:0032559,GO:0032879,GO:0033013,GO:0033036,GO:0033283,GO:0033284,GO:0033285,GO:0033700,GO:0033993,GO:0034040,GO:0034204,GO:0034220,GO:0034634,GO:0034635,GO:0034762,GO:0034764,GO:0034775,GO:0035443,GO:0035461,GO:0035639,GO:0035672,GO:0035673,GO:0036094,GO:0040011,GO:0040012,GO:0040017,GO:0042221,GO:0042330,GO:0042493,GO:0042623,GO:0042626,GO:0042886,GO:0042887,GO:0042908,GO:0042910,GO:0042937,GO:0042939,GO:0043167,GO:0043168,GO:0043207,GO:0043225,GO:0043436,GO:0043492,GO:0044237,GO:0044281,GO:0044424,GO:0044425,GO:0044459,GO:0044464,GO:0045332,GO:0046483,GO:0046618,GO:0046623,GO:0046624,GO:0046717,GO:0046903,GO:0046942,GO:0046943,GO:0048518,GO:0048519,GO:0048522,GO:0048523,GO:0048583,GO:0048584,GO:0048870,GO:0050789,GO:0050794,GO:0050896,GO:0051049,GO:0051050,GO:0051179,GO:0051180,GO:0051181,GO:0051184,GO:0051186,GO:0051234,GO:0051270,GO:0051272,GO:0051674,GO:0051704,GO:0051707,GO:0051716,GO:0055085,GO:0060326,GO:0060548,GO:0061024,GO:0065007,GO:0065008,GO:0070887,GO:0071702,GO:0071704,GO:0071705,GO:0071840,GO:0071944,GO:0071997,GO:0072337,GO:0072348,GO:0072349,GO:0090482,GO:0097035,GO:0097159,GO:0097367,GO:0098590,GO:0098656,GO:0099039,GO:0099133,GO:1901214,GO:1901215,GO:1901265,GO:1901360,GO:1901363,GO:1901564,GO:1901568,GO:1901618,GO:1901682,GO:1901698,GO:1901700,GO:1902001,GO:1903825,GO:1904680,GO:1905039,GO:1905699,GO:1905701,GO:2000145,GO:2000147,GO:2001023,GO:2001025</t>
  </si>
  <si>
    <t>GO:0002237,GO:0003674,GO:0004857,GO:0004866,GO:0005575,GO:0005576,GO:0005615,GO:0005623,GO:0005886,GO:0005901,GO:0006807,GO:0006950,GO:0007596,GO:0007598,GO:0007599,GO:0008150,GO:0008152,GO:0009605,GO:0009607,GO:0009611,GO:0009617,GO:0009719,GO:0009725,GO:0009892,GO:0009986,GO:0009987,GO:0010033,GO:0010466,GO:0010605,GO:0010951,GO:0014070,GO:0016020,GO:0019222,GO:0019538,GO:0030162,GO:0030193,GO:0030195,GO:0030234,GO:0030414,GO:0031323,GO:0031324,GO:0032101,GO:0032102,GO:0032268,GO:0032269,GO:0032355,GO:0032496,GO:0032501,GO:0032870,GO:0033993,GO:0034097,GO:0042060,GO:0042221,GO:0043086,GO:0043170,GO:0043207,GO:0044092,GO:0044238,GO:0044421,GO:0044425,GO:0044459,GO:0044464,GO:0044853,GO:0045121,GO:0045861,GO:0048519,GO:0048523,GO:0048545,GO:0048583,GO:0048585,GO:0050789,GO:0050790,GO:0050794,GO:0050817,GO:0050818,GO:0050819,GO:0050878,GO:0050896,GO:0051171,GO:0051172,GO:0051239,GO:0051241,GO:0051246,GO:0051248,GO:0051336,GO:0051346,GO:0051704,GO:0051707,GO:0051716,GO:0052547,GO:0052548,GO:0060255,GO:0061041,GO:0061045,GO:0061134,GO:0061135,GO:0065007,GO:0065008,GO:0065009,GO:0070555,GO:0070887,GO:0071216,GO:0071219,GO:0071222,GO:0071310,GO:0071345,GO:0071347,GO:0071383,GO:0071396,GO:0071407,GO:0071495,GO:0071704,GO:0071944,GO:0072376,GO:0072378,GO:0080090,GO:0080134,GO:0098589,GO:0098590,GO:0098772,GO:0098805,GO:0098857,GO:1900046,GO:1900047,GO:1901564,GO:1901700,GO:1901701,GO:1903034,GO:1903035</t>
  </si>
  <si>
    <t>GO:0003674,GO:0003824,GO:0004089,GO:0005575,GO:0005576,GO:0005615,GO:0005622,GO:0005623,GO:0005737,GO:0005783,GO:0005791,GO:0005793,GO:0005794,GO:0005802,GO:0005886,GO:0005903,GO:0006810,GO:0006811,GO:0006820,GO:0006885,GO:0007275,GO:0008150,GO:0009719,GO:0009725,GO:0009897,GO:0009986,GO:0010033,GO:0012505,GO:0012506,GO:0014070,GO:0015669,GO:0015670,GO:0015701,GO:0015711,GO:0015893,GO:0016020,GO:0016324,GO:0016528,GO:0016529,GO:0016829,GO:0016835,GO:0016836,GO:0019755,GO:0030133,GO:0030141,GO:0030658,GO:0030659,GO:0030667,GO:0031090,GO:0031224,GO:0031225,GO:0031226,GO:0031233,GO:0031253,GO:0031362,GO:0031410,GO:0031526,GO:0031982,GO:0031984,GO:0032501,GO:0032502,GO:0033993,GO:0042221,GO:0042383,GO:0042493,GO:0042592,GO:0042995,GO:0043226,GO:0043227,GO:0043229,GO:0043230,GO:0043231,GO:0044421,GO:0044422,GO:0044424,GO:0044425,GO:0044431,GO:0044433,GO:0044444,GO:0044446,GO:0044459,GO:0044463,GO:0044464,GO:0045177,GO:0046658,GO:0048471,GO:0048513,GO:0048545,GO:0048731,GO:0048856,GO:0048878,GO:0050801,GO:0050896,GO:0051179,GO:0051234,GO:0055067,GO:0055080,GO:0065007,GO:0065008,GO:0070062,GO:0071702,GO:0071944,GO:0097708,GO:0098552,GO:0098588,GO:0098590,GO:0098771,GO:0098791,GO:0098805,GO:0098862,GO:0099503,GO:0120025,GO:0120038,GO:1903561</t>
  </si>
  <si>
    <t>GO:0000166,GO:0003674,GO:0003824,GO:0004012,GO:0005215,GO:0005319,GO:0005324,GO:0005488,GO:0005524,GO:0005548,GO:0005575,GO:0005622,GO:0005623,GO:0005737,GO:0005886,GO:0005887,GO:0006082,GO:0006690,GO:0006691,GO:0006725,GO:0006766,GO:0006767,GO:0006807,GO:0006810,GO:0006811,GO:0006820,GO:0006855,GO:0006857,GO:0006869,GO:0006928,GO:0006935,GO:0006950,GO:0006979,GO:0008144,GO:0008150,GO:0008152,GO:0008509,GO:0008514,GO:0008559,GO:0009235,GO:0009605,GO:0009987,GO:0010876,GO:0010941,GO:0015075,GO:0015103,GO:0015238,GO:0015318,GO:0015399,GO:0015405,GO:0015420,GO:0015431,GO:0015562,GO:0015698,GO:0015711,GO:0015718,GO:0015748,GO:0015833,GO:0015849,GO:0015889,GO:0015893,GO:0015908,GO:0015909,GO:0015911,GO:0015914,GO:0016020,GO:0016021,GO:0016043,GO:0016323,GO:0016462,GO:0016477,GO:0016787,GO:0016817,GO:0016818,GO:0016887,GO:0017076,GO:0017111,GO:0017144,GO:0019752,GO:0022804,GO:0022857,GO:0030334,GO:0030335,GO:0030554,GO:0031224,GO:0031226,GO:0032553,GO:0032555,GO:0032559,GO:0032879,GO:0033013,GO:0033036,GO:0033700,GO:0034040,GO:0034204,GO:0034220,GO:0034634,GO:0034635,GO:0034762,GO:0034764,GO:0034775,GO:0035443,GO:0035461,GO:0035639,GO:0035672,GO:0035673,GO:0036094,GO:0040011,GO:0040012,GO:0040017,GO:0042221,GO:0042330,GO:0042493,GO:0042623,GO:0042626,GO:0042886,GO:0042887,GO:0042908,GO:0042910,GO:0042937,GO:0042939,GO:0043167,GO:0043168,GO:0043225,GO:0043436,GO:0043492,GO:0044237,GO:0044281,GO:0044424,GO:0044425,GO:0044459,GO:0044464,GO:0045332,GO:0046483,GO:0046618,GO:0046623,GO:0046624,GO:0046942,GO:0048518,GO:0048519,GO:0048522,GO:0048523,GO:0048583,GO:0048584,GO:0048870,GO:0050789,GO:0050794,GO:0050896,GO:0051049,GO:0051050,GO:0051179,GO:0051180,GO:0051181,GO:0051184,GO:0051186,GO:0051234,GO:0051270,GO:0051272,GO:0051674,GO:0051716,GO:0055085,GO:0060326,GO:0060548,GO:0061024,GO:0065007,GO:0065008,GO:0070887,GO:0071702,GO:0071704,GO:0071705,GO:0071840,GO:0071944,GO:0071997,GO:0072337,GO:0072348,GO:0072349,GO:0090482,GO:0097035,GO:0097159,GO:0097367,GO:0098590,GO:0098656,GO:0099039,GO:0099133,GO:1901214,GO:1901215,GO:1901265,GO:1901360,GO:1901363,GO:1901564,GO:1901568,GO:1901682,GO:1902001,GO:1903825,GO:1904680,GO:1905039,GO:1905699,GO:1905701,GO:2000145,GO:2000147,GO:2001023,GO:2001025</t>
  </si>
  <si>
    <t>GO:0000165,GO:0001709,GO:0002376,GO:0003674,GO:0005102,GO:0005126,GO:0005164,GO:0005488,GO:0005515,GO:0005575,GO:0005576,GO:0005615,GO:0005623,GO:0005886,GO:0005887,GO:0006464,GO:0006468,GO:0006582,GO:0006725,GO:0006793,GO:0006796,GO:0006807,GO:0006810,GO:0006897,GO:0006909,GO:0006911,GO:0006915,GO:0006950,GO:0006952,GO:0006955,GO:0007154,GO:0007165,GO:0007166,GO:0007254,GO:0007275,GO:0007399,GO:0008104,GO:0008150,GO:0008152,GO:0008219,GO:0008283,GO:0009605,GO:0009607,GO:0009617,GO:0009987,GO:0010324,GO:0010646,GO:0010648,GO:0012501,GO:0014009,GO:0016020,GO:0016021,GO:0016043,GO:0016192,GO:0016310,GO:0018958,GO:0019538,GO:0019725,GO:0019748,GO:0022008,GO:0023014,GO:0023051,GO:0023052,GO:0023057,GO:0030154,GO:0031098,GO:0031224,GO:0031226,GO:0031644,GO:0031646,GO:0032501,GO:0032502,GO:0032813,GO:0033036,GO:0033554,GO:0035006,GO:0035556,GO:0036211,GO:0042063,GO:0042440,GO:0042592,GO:0042742,GO:0043170,GO:0043207,GO:0043277,GO:0043412,GO:0043652,GO:0044057,GO:0044214,GO:0044237,GO:0044238,GO:0044260,GO:0044267,GO:0044421,GO:0044425,GO:0044459,GO:0044464,GO:0045087,GO:0045165,GO:0045167,GO:0045176,GO:0048518,GO:0048519,GO:0048523,GO:0048731,GO:0048856,GO:0048869,GO:0050789,GO:0050794,GO:0050804,GO:0050805,GO:0050829,GO:0050896,GO:0051179,GO:0051234,GO:0051239,GO:0051240,GO:0051403,GO:0051704,GO:0051707,GO:0051716,GO:0051930,GO:0051931,GO:0060249,GO:0061024,GO:0065007,GO:0065008,GO:0070050,GO:0071704,GO:0071840,GO:0071944,GO:0089717,GO:0097190,GO:0097191,GO:0098542,GO:0098657,GO:0099024,GO:0099177,GO:1900073,GO:1900074,GO:1901360,GO:1901564,GO:1901615,GO:1904058</t>
  </si>
  <si>
    <t>GO:0001676,GO:0002933,GO:0003674,GO:0003824,GO:0004497,GO:0005488,GO:0005496,GO:0005506,GO:0005515,GO:0005575,GO:0005622,GO:0005623,GO:0005737,GO:0005783,GO:0005789,GO:0006066,GO:0006082,GO:0006629,GO:0006631,GO:0006633,GO:0006694,GO:0006706,GO:0006720,GO:0006721,GO:0006766,GO:0006775,GO:0006805,GO:0006807,GO:0007568,GO:0007584,GO:0008144,GO:0008150,GO:0008152,GO:0008202,GO:0008207,GO:0008209,GO:0008289,GO:0008390,GO:0008395,GO:0008610,GO:0009056,GO:0009058,GO:0009110,GO:0009410,GO:0009605,GO:0009607,GO:0009617,GO:0009719,GO:0009725,GO:0009820,GO:0009822,GO:0009893,GO:0009987,GO:0009991,GO:0010033,GO:0010035,GO:0010038,GO:0010468,GO:0010604,GO:0010628,GO:0010817,GO:0012505,GO:0014070,GO:0016020,GO:0016042,GO:0016053,GO:0016098,GO:0016491,GO:0016705,GO:0016725,GO:0017144,GO:0019222,GO:0019751,GO:0019752,GO:0019825,GO:0019899,GO:0030258,GO:0030343,GO:0031090,GO:0031667,GO:0031960,GO:0031984,GO:0032451,GO:0032502,GO:0032787,GO:0033695,GO:0033993,GO:0034641,GO:0034754,GO:0034875,GO:0036094,GO:0036378,GO:0042175,GO:0042180,GO:0042221,GO:0042359,GO:0042362,GO:0042368,GO:0042445,GO:0042446,GO:0042448,GO:0042493,GO:0042737,GO:0042738,GO:0042759,GO:0043167,GO:0043169,GO:0043207,GO:0043226,GO:0043227,GO:0043229,GO:0043231,GO:0043436,GO:0044107,GO:0044108,GO:0044237,GO:0044238,GO:0044248,GO:0044249,GO:0044255,GO:0044270,GO:0044281,GO:0044283,GO:0044422,GO:0044424,GO:0044425,GO:0044432,GO:0044444,GO:0044446,GO:0044464,GO:0046165,GO:0046173,GO:0046394,GO:0046483,GO:0046686,GO:0046872,GO:0046914,GO:0048518,GO:0048545,GO:0050649,GO:0050789,GO:0050896,GO:0051384,GO:0051704,GO:0051707,GO:0051716,GO:0055114,GO:0060255,GO:0065007,GO:0065008,GO:0070576,GO:0070640,GO:0070643,GO:0070887,GO:0070988,GO:0070989,GO:0071466,GO:0071704,GO:0072330,GO:0097159,GO:0098827,GO:0101020,GO:1901360,GO:1901361,GO:1901362,GO:1901564,GO:1901565,GO:1901575,GO:1901576,GO:1901615,GO:1901617,GO:1902652</t>
  </si>
  <si>
    <t>GO:0005575,GO:0005622,GO:0005623,GO:0005634,GO:0005694,GO:0005700,GO:0005703,GO:0005737,GO:0006139,GO:0006259,GO:0006265,GO:0006325,GO:0006355,GO:0006725,GO:0006807,GO:0006996,GO:0007549,GO:0008150,GO:0008152,GO:0009047,GO:0009889,GO:0009891,GO:0009893,GO:0009987,GO:0010468,GO:0010556,GO:0010557,GO:0010604,GO:0010628,GO:0010911,GO:0010912,GO:0016043,GO:0019219,GO:0019222,GO:0031323,GO:0031325,GO:0031326,GO:0031328,GO:0032781,GO:0034641,GO:0040029,GO:0043085,GO:0043170,GO:0043226,GO:0043227,GO:0043228,GO:0043229,GO:0043231,GO:0043232,GO:0043462,GO:0044093,GO:0044237,GO:0044238,GO:0044260,GO:0044422,GO:0044424,GO:0044427,GO:0044446,GO:0044464,GO:0045893,GO:0045935,GO:0046483,GO:0048518,GO:0048522,GO:0050789,GO:0050790,GO:0050794,GO:0051171,GO:0051173,GO:0051252,GO:0051254,GO:0051276,GO:0051336,GO:0051345,GO:0060255,GO:0065007,GO:0065009,GO:0071103,GO:0071704,GO:0071840,GO:0080090,GO:0090304,GO:0098687,GO:1901360,GO:1902680,GO:1903506,GO:1903508,GO:2000112,GO:2000371,GO:2000373,GO:2001141</t>
  </si>
  <si>
    <t>GO:0000003,GO:0000139,GO:0001669,GO:0001890,GO:0001893,GO:0002080,GO:0002376,GO:0003006,GO:0003674,GO:0005215,GO:0005342,GO:0005575,GO:0005622,GO:0005623,GO:0005737,GO:0005739,GO:0005794,GO:0005886,GO:0005887,GO:0006082,GO:0006090,GO:0006810,GO:0006811,GO:0006820,GO:0006928,GO:0007154,GO:0007165,GO:0007166,GO:0007275,GO:0007565,GO:0007566,GO:0008028,GO:0008104,GO:0008150,GO:0008152,GO:0008509,GO:0008514,GO:0009653,GO:0009719,GO:0009725,GO:0009887,GO:0009888,GO:0009987,GO:0010033,GO:0010035,GO:0010038,GO:0010243,GO:0012505,GO:0012506,GO:0014070,GO:0014074,GO:0015075,GO:0015318,GO:0015711,GO:0015718,GO:0015849,GO:0016020,GO:0016021,GO:0016043,GO:0016477,GO:0019752,GO:0022411,GO:0022414,GO:0022617,GO:0022857,GO:0023052,GO:0030141,GO:0030198,GO:0030659,GO:0030667,GO:0031090,GO:0031224,GO:0031226,GO:0031410,GO:0031982,GO:0031984,GO:0032501,GO:0032502,GO:0032504,GO:0032787,GO:0033036,GO:0034220,GO:0034613,GO:0040011,GO:0042221,GO:0042383,GO:0042475,GO:0042476,GO:0043062,GO:0043226,GO:0043227,GO:0043229,GO:0043231,GO:0043434,GO:0043436,GO:0044237,GO:0044281,GO:0044422,GO:0044424,GO:0044425,GO:0044431,GO:0044433,GO:0044444,GO:0044446,GO:0044459,GO:0044464,GO:0044703,GO:0044706,GO:0045121,GO:0046683,GO:0046689,GO:0046697,GO:0046942,GO:0046943,GO:0048513,GO:0048608,GO:0048609,GO:0048731,GO:0048856,GO:0048870,GO:0050789,GO:0050794,GO:0050896,GO:0050900,GO:0051179,GO:0051234,GO:0051591,GO:0051641,GO:0051674,GO:0051704,GO:0051716,GO:0055085,GO:0060135,GO:0061458,GO:0065007,GO:0070727,GO:0071702,GO:0071704,GO:0071840,GO:0071944,GO:0072657,GO:0072659,GO:0097223,GO:0097708,GO:0098588,GO:0098589,GO:0098656,GO:0098791,GO:0098805,GO:0098857,GO:0099503,GO:1901652,GO:1901698,GO:1901700,GO:1903825,GO:1905039,GO:1990778</t>
  </si>
  <si>
    <t>GO:0000151,GO:0000209,GO:0000723,GO:0003674,GO:0003824,GO:0004842,GO:0005488,GO:0005515,GO:0005575,GO:0005622,GO:0005623,GO:0005737,GO:0005829,GO:0006139,GO:0006259,GO:0006464,GO:0006508,GO:0006511,GO:0006725,GO:0006807,GO:0006996,GO:0007568,GO:0008150,GO:0008152,GO:0008283,GO:0008285,GO:0009056,GO:0009057,GO:0009314,GO:0009628,GO:0009889,GO:0009891,GO:0009893,GO:0009987,GO:0010212,GO:0010468,GO:0010498,GO:0010556,GO:0010557,GO:0010604,GO:0010608,GO:0010638,GO:0016043,GO:0016567,GO:0016740,GO:0019005,GO:0019219,GO:0019222,GO:0019538,GO:0019725,GO:0019787,GO:0019941,GO:0030163,GO:0031146,GO:0031323,GO:0031325,GO:0031326,GO:0031328,GO:0031396,GO:0031398,GO:0031399,GO:0031401,GO:0031461,GO:0031647,GO:0031648,GO:0032200,GO:0032204,GO:0032206,GO:0032210,GO:0032212,GO:0032268,GO:0032270,GO:0032446,GO:0032502,GO:0032879,GO:0032880,GO:0032991,GO:0033043,GO:0033044,GO:0034641,GO:0035726,GO:0036211,GO:0042127,GO:0042592,GO:0042802,GO:0042803,GO:0043161,GO:0043170,GO:0043412,GO:0043632,GO:0043687,GO:0044237,GO:0044238,GO:0044248,GO:0044257,GO:0044260,GO:0044265,GO:0044267,GO:0044424,GO:0044444,GO:0044464,GO:0045935,GO:0046483,GO:0046983,GO:0048145,GO:0048147,GO:0048518,GO:0048519,GO:0048522,GO:0048523,GO:0048583,GO:0050789,GO:0050794,GO:0050896,GO:0051052,GO:0051054,GO:0051128,GO:0051130,GO:0051171,GO:0051173,GO:0051246,GO:0051247,GO:0051276,GO:0051603,GO:0051716,GO:0051726,GO:0060249,GO:0060255,GO:0060341,GO:0061630,GO:0061659,GO:0065007,GO:0065008,GO:0070647,GO:0071214,GO:0071478,GO:0071479,GO:0071704,GO:0071840,GO:0080090,GO:0080134,GO:0080135,GO:0090304,GO:0104004,GO:0140096,GO:1900180,GO:1900181,GO:1901360,GO:1901564,GO:1901565,GO:1901575,GO:1901976,GO:1902494,GO:1902914,GO:1902916,GO:1903320,GO:1903322,GO:1903827,GO:1903828,GO:1904356,GO:1904358,GO:1990234,GO:2000001,GO:2000112,GO:2000278,GO:2000573,GO:2001020,GO:2001252</t>
  </si>
  <si>
    <t>GO:0003674,GO:0003824,GO:0004089,GO:0005488,GO:0005575,GO:0005623,GO:0005886,GO:0006810,GO:0006811,GO:0006820,GO:0006885,GO:0008150,GO:0008270,GO:0015669,GO:0015670,GO:0015701,GO:0015711,GO:0015893,GO:0016020,GO:0016021,GO:0016829,GO:0016835,GO:0016836,GO:0019755,GO:0031224,GO:0042221,GO:0042493,GO:0042592,GO:0043167,GO:0043169,GO:0044425,GO:0044464,GO:0046872,GO:0046914,GO:0048878,GO:0050801,GO:0050896,GO:0051179,GO:0051234,GO:0055064,GO:0055067,GO:0055080,GO:0055081,GO:0055083,GO:0065007,GO:0065008,GO:0071702,GO:0071944,GO:0098771</t>
  </si>
  <si>
    <t>GO:0001885,GO:0002064,GO:0003158,GO:0003674,GO:0005488,GO:0005575,GO:0005911,GO:0005912,GO:0005918,GO:0006810,GO:0006950,GO:0007043,GO:0007275,GO:0007424,GO:0008150,GO:0009888,GO:0009987,GO:0016043,GO:0022607,GO:0030054,GO:0030154,GO:0030246,GO:0030855,GO:0032501,GO:0032502,GO:0033554,GO:0034329,GO:0034330,GO:0034331,GO:0034976,GO:0035002,GO:0035150,GO:0035151,GO:0035152,GO:0035159,GO:0042044,GO:0042045,GO:0043296,GO:0043954,GO:0044085,GO:0045216,GO:0045217,GO:0045446,GO:0048468,GO:0048731,GO:0048856,GO:0048869,GO:0050896,GO:0051179,GO:0051234,GO:0051716,GO:0060429,GO:0060541,GO:0061028,GO:0061689,GO:0065007,GO:0065008,GO:0070160,GO:0070161,GO:0070633,GO:0071840,GO:0090066,GO:0090557,GO:1904274</t>
  </si>
  <si>
    <t>GO:0000003,GO:0000122,GO:0000976,GO:0000977,GO:0000978,GO:0000981,GO:0000982,GO:0000987,GO:0001012,GO:0001067,GO:0001077,GO:0001228,GO:0001525,GO:0001568,GO:0001944,GO:0002119,GO:0002164,GO:0003674,GO:0003676,GO:0003677,GO:0003690,GO:0003700,GO:0003712,GO:0003714,GO:0005488,GO:0005515,GO:0005575,GO:0005622,GO:0005623,GO:0005634,GO:0005654,GO:0005737,GO:0005739,GO:0006139,GO:0006351,GO:0006355,GO:0006357,GO:0006366,GO:0006725,GO:0006807,GO:0006950,GO:0007154,GO:0007165,GO:0007275,GO:0007610,GO:0008150,GO:0008152,GO:0009058,GO:0009059,GO:0009611,GO:0009653,GO:0009791,GO:0009889,GO:0009890,GO:0009891,GO:0009892,GO:0009893,GO:0009987,GO:0010453,GO:0010467,GO:0010468,GO:0010556,GO:0010557,GO:0010558,GO:0010604,GO:0010605,GO:0010628,GO:0010629,GO:0016070,GO:0017053,GO:0018130,GO:0018991,GO:0019098,GO:0019219,GO:0019222,GO:0019438,GO:0022414,GO:0023052,GO:0030154,GO:0031323,GO:0031324,GO:0031325,GO:0031326,GO:0031327,GO:0031328,GO:0031974,GO:0031981,GO:0032422,GO:0032501,GO:0032502,GO:0032504,GO:0032774,GO:0032991,GO:0034641,GO:0034645,GO:0034654,GO:0035239,GO:0035295,GO:0040025,GO:0042060,GO:0042659,GO:0043170,GO:0043226,GO:0043227,GO:0043229,GO:0043231,GO:0043233,GO:0043565,GO:0044212,GO:0044237,GO:0044238,GO:0044249,GO:0044260,GO:0044271,GO:0044422,GO:0044424,GO:0044428,GO:0044444,GO:0044446,GO:0044451,GO:0044464,GO:0045595,GO:0045892,GO:0045893,GO:0045934,GO:0045935,GO:0045944,GO:0046483,GO:0048513,GO:0048514,GO:0048518,GO:0048519,GO:0048522,GO:0048523,GO:0048569,GO:0048609,GO:0048646,GO:0048731,GO:0048856,GO:0048869,GO:0050789,GO:0050793,GO:0050794,GO:0050896,GO:0051171,GO:0051172,GO:0051173,GO:0051252,GO:0051253,GO:0051254,GO:0051716,GO:0060255,GO:0065007,GO:0070013,GO:0071704,GO:0072358,GO:0072359,GO:0080090,GO:0090304,GO:0090568,GO:0090571,GO:0097159,GO:0097659,GO:0140110,GO:1901360,GO:1901362,GO:1901363,GO:1901576,GO:1902679,GO:1902680,GO:1903506,GO:1903507,GO:1903508,GO:1990837,GO:2000112,GO:2000113,GO:2001141</t>
  </si>
  <si>
    <t>GO:0000003,GO:0001655,GO:0001763,GO:0001968,GO:0002009,GO:0003006,GO:0003401,GO:0003674,GO:0005488,GO:0005515,GO:0005575,GO:0005576,GO:0005604,GO:0005614,GO:0005622,GO:0005623,GO:0005737,GO:0005783,GO:0005788,GO:0006464,GO:0006807,GO:0006950,GO:0007154,GO:0007155,GO:0007162,GO:0007267,GO:0007275,GO:0007399,GO:0007528,GO:0008150,GO:0008152,GO:0008284,GO:0009611,GO:0009653,GO:0009887,GO:0009888,GO:0009893,GO:0009987,GO:0010468,GO:0010604,GO:0010628,GO:0012505,GO:0014012,GO:0016043,GO:0019222,GO:0019538,GO:0022008,GO:0022414,GO:0022610,GO:0022612,GO:0023052,GO:0030030,GO:0030154,GO:0030155,GO:0030182,GO:0030198,GO:0030323,GO:0030324,GO:0030850,GO:0031012,GO:0031099,GO:0031102,GO:0031103,GO:0031175,GO:0031974,GO:0032501,GO:0032502,GO:0033554,GO:0035239,GO:0035295,GO:0036211,GO:0040007,GO:0042127,GO:0043062,GO:0043170,GO:0043226,GO:0043227,GO:0043229,GO:0043231,GO:0043233,GO:0043394,GO:0043412,GO:0043687,GO:0044237,GO:0044238,GO:0044260,GO:0044267,GO:0044421,GO:0044422,GO:0044424,GO:0044432,GO:0044444,GO:0044446,GO:0044464,GO:0045545,GO:0048468,GO:0048513,GO:0048518,GO:0048519,GO:0048522,GO:0048523,GO:0048589,GO:0048608,GO:0048666,GO:0048678,GO:0048699,GO:0048729,GO:0048731,GO:0048732,GO:0048754,GO:0048856,GO:0048869,GO:0050789,GO:0050794,GO:0050808,GO:0050896,GO:0051716,GO:0060255,GO:0060425,GO:0060429,GO:0060441,GO:0060447,GO:0060512,GO:0060541,GO:0060560,GO:0060562,GO:0060602,GO:0060638,GO:0060739,GO:0060740,GO:0061138,GO:0061458,GO:0061564,GO:0062023,GO:0065007,GO:0070013,GO:0071704,GO:0071840,GO:0097367,GO:0120036,GO:1901564</t>
  </si>
  <si>
    <t>GO:0002119,GO:0002164,GO:0003674,GO:0005198,GO:0005575,GO:0005576,GO:0005604,GO:0005622,GO:0005623,GO:0005737,GO:0006928,GO:0006996,GO:0007010,GO:0007044,GO:0007154,GO:0007165,GO:0007166,GO:0007167,GO:0007169,GO:0007275,GO:0007517,GO:0008150,GO:0008543,GO:0009653,GO:0009719,GO:0009790,GO:0009791,GO:0009792,GO:0009887,GO:0009987,GO:0010033,GO:0010927,GO:0016043,GO:0016477,GO:0022607,GO:0022612,GO:0023052,GO:0030029,GO:0030036,GO:0030154,GO:0030239,GO:0031012,GO:0031032,GO:0031581,GO:0032501,GO:0032502,GO:0032989,GO:0034329,GO:0034330,GO:0035295,GO:0040011,GO:0040012,GO:0040017,GO:0042221,GO:0042692,GO:0043226,GO:0043228,GO:0043229,GO:0043232,GO:0043292,GO:0043900,GO:0043902,GO:0044085,GO:0044344,GO:0044421,GO:0044422,GO:0044424,GO:0044444,GO:0044449,GO:0044464,GO:0048468,GO:0048513,GO:0048518,GO:0048565,GO:0048644,GO:0048646,GO:0048731,GO:0048732,GO:0048856,GO:0048869,GO:0048870,GO:0050789,GO:0050794,GO:0050896,GO:0051146,GO:0051179,GO:0051239,GO:0051240,GO:0051674,GO:0051716,GO:0055001,GO:0055002,GO:0055120,GO:0055123,GO:0060278,GO:0060279,GO:0060465,GO:0061061,GO:0062023,GO:0065007,GO:0070848,GO:0070887,GO:0070925,GO:0071310,GO:0071363,GO:0071495,GO:0071774,GO:0071840,GO:0097435,GO:0099080,GO:0099081,GO:0099512,GO:1905905,GO:2000241,GO:2000243</t>
  </si>
  <si>
    <t>GO:0000902,GO:0000904,GO:0001558,GO:0003008,GO:0003674,GO:0005102,GO:0005178,GO:0005488,GO:0005515,GO:0005575,GO:0005576,GO:0005623,GO:0006928,GO:0006935,GO:0007155,GO:0007158,GO:0007162,GO:0007275,GO:0007399,GO:0007409,GO:0007411,GO:0007417,GO:0007420,GO:0007610,GO:0007611,GO:0007612,GO:0007626,GO:0008150,GO:0008289,GO:0008306,GO:0008361,GO:0009605,GO:0009653,GO:0009986,GO:0009987,GO:0010646,GO:0010647,GO:0010648,GO:0010721,GO:0010769,GO:0010771,GO:0010975,GO:0010977,GO:0016020,GO:0016043,GO:0016477,GO:0021537,GO:0021885,GO:0022008,GO:0022029,GO:0022407,GO:0022408,GO:0022603,GO:0022604,GO:0022610,GO:0023051,GO:0023056,GO:0023057,GO:0030030,GO:0030154,GO:0030155,GO:0030182,GO:0030198,GO:0030308,GO:0030516,GO:0030517,GO:0030900,GO:0031012,GO:0031175,GO:0031344,GO:0031345,GO:0031644,GO:0031646,GO:0032101,GO:0032102,GO:0032501,GO:0032502,GO:0032535,GO:0032989,GO:0032990,GO:0035640,GO:0035641,GO:0040008,GO:0040011,GO:0042221,GO:0042330,GO:0043062,GO:0044057,GO:0044420,GO:0044421,GO:0044425,GO:0044464,GO:0044877,GO:0045121,GO:0045595,GO:0045596,GO:0045664,GO:0045665,GO:0045926,GO:0046625,GO:0048167,GO:0048468,GO:0048513,GO:0048518,GO:0048519,GO:0048522,GO:0048523,GO:0048583,GO:0048585,GO:0048638,GO:0048640,GO:0048666,GO:0048667,GO:0048679,GO:0048681,GO:0048686,GO:0048688,GO:0048690,GO:0048692,GO:0048699,GO:0048731,GO:0048812,GO:0048856,GO:0048858,GO:0048869,GO:0048870,GO:0050767,GO:0050768,GO:0050770,GO:0050771,GO:0050789,GO:0050793,GO:0050794,GO:0050804,GO:0050805,GO:0050806,GO:0050808,GO:0050839,GO:0050877,GO:0050885,GO:0050890,GO:0050896,GO:0050905,GO:0051093,GO:0051128,GO:0051129,GO:0051179,GO:0051239,GO:0051240,GO:0051241,GO:0051674,GO:0051960,GO:0051961,GO:0051966,GO:0051968,GO:0051969,GO:0051971,GO:0060284,GO:0060291,GO:0060322,GO:0061387,GO:0061564,GO:0065007,GO:0065008,GO:0070570,GO:0070571,GO:0071840,GO:0072534,GO:0080134,GO:0080135,GO:0090066,GO:0097485,GO:0098589,GO:0098609,GO:0098805,GO:0098857,GO:0099177,GO:0120035,GO:0120036,GO:0120039,GO:1903034,GO:1903035,GO:2000026</t>
  </si>
  <si>
    <t>GO:0000902,GO:0003674,GO:0005488,GO:0005515,GO:0005575,GO:0005623,GO:0005886,GO:0005887,GO:0007155,GO:0007156,GO:0007275,GO:0007399,GO:0008150,GO:0009653,GO:0009987,GO:0016020,GO:0016021,GO:0016043,GO:0022008,GO:0022610,GO:0030030,GO:0030154,GO:0030182,GO:0031175,GO:0031224,GO:0031226,GO:0032501,GO:0032502,GO:0032989,GO:0032990,GO:0042802,GO:0044425,GO:0044459,GO:0044464,GO:0048468,GO:0048666,GO:0048699,GO:0048731,GO:0048812,GO:0048856,GO:0048858,GO:0048869,GO:0071840,GO:0071944,GO:0098609,GO:0098742,GO:0120036,GO:0120039</t>
  </si>
  <si>
    <t>K17592</t>
  </si>
  <si>
    <t>K01323,K09628</t>
  </si>
  <si>
    <t>K07937</t>
  </si>
  <si>
    <t>K09458,K14660</t>
  </si>
  <si>
    <t>K04721</t>
  </si>
  <si>
    <t>K01206</t>
  </si>
  <si>
    <t>K17307,K22017</t>
  </si>
  <si>
    <t>K05038</t>
  </si>
  <si>
    <t>K15261</t>
  </si>
  <si>
    <t>K06767</t>
  </si>
  <si>
    <t>K17275,K17276</t>
  </si>
  <si>
    <t>K11549</t>
  </si>
  <si>
    <t>K04266</t>
  </si>
  <si>
    <t>K02599,K17495</t>
  </si>
  <si>
    <t>K06688</t>
  </si>
  <si>
    <t>K05665,K05666,K05667,K05669,K05670</t>
  </si>
  <si>
    <t>K02183</t>
  </si>
  <si>
    <t>K03909</t>
  </si>
  <si>
    <t>K01672</t>
  </si>
  <si>
    <t>K14393</t>
  </si>
  <si>
    <t>K05665,K05667</t>
  </si>
  <si>
    <t>K05475,K16678</t>
  </si>
  <si>
    <t>K03173,K03174</t>
  </si>
  <si>
    <t>K04362,K12378</t>
  </si>
  <si>
    <t>K04375,K04376,K09430</t>
  </si>
  <si>
    <t>K22017</t>
  </si>
  <si>
    <t>HEPN domain</t>
  </si>
  <si>
    <t>Broad-Complex, Tramtrack and Bric a brac</t>
  </si>
  <si>
    <t>serine-type aminopeptidase activity</t>
  </si>
  <si>
    <t>ARF-like small GTPases; ARF, ADP-ribosylation factor</t>
  </si>
  <si>
    <t>Catalyzes the condensation reaction of fatty acid synthesis by the addition to an acyl acceptor of two carbons from malonyl-ACP</t>
  </si>
  <si>
    <t>FG-GAP repeat</t>
  </si>
  <si>
    <t>Stores iron in a soluble, non-toxic, readily available form. Important for iron homeostasis. Iron is taken up in the ferrous form and deposited as ferric hydroxides after oxidation</t>
  </si>
  <si>
    <t>Sushi, von Willebrand factor type A, EGF and pentraxin domain-containing protein 1-like</t>
  </si>
  <si>
    <t>Von Willebrand factor A</t>
  </si>
  <si>
    <t>Tumour necrosis factor family.</t>
  </si>
  <si>
    <t>alpha-L-fucosidase activity</t>
  </si>
  <si>
    <t>Phospholipase A2</t>
  </si>
  <si>
    <t>Domain of unknown function (DUF4149)</t>
  </si>
  <si>
    <t>cysteine-type endopeptidase activity</t>
  </si>
  <si>
    <t>Ferric-chelate reductase</t>
  </si>
  <si>
    <t>sequestering of TGFbeta in extracellular matrix</t>
  </si>
  <si>
    <t>methionyl-tRNA aminoacylation</t>
  </si>
  <si>
    <t>sodium channel activity</t>
  </si>
  <si>
    <t>Mucin 4, cell surface associated</t>
  </si>
  <si>
    <t>Belongs to the sodium neurotransmitter symporter (SNF) (TC 2.A.22) family</t>
  </si>
  <si>
    <t>Poly (ADP-ribose) polymerase</t>
  </si>
  <si>
    <t>CECR6/TMEM121 family</t>
  </si>
  <si>
    <t>Down syndrome cell adhesion</t>
  </si>
  <si>
    <t>actin filament network formation</t>
  </si>
  <si>
    <t>structural constituent of cuticle</t>
  </si>
  <si>
    <t>Spc24 subunit of Ndc80</t>
  </si>
  <si>
    <t>distal tubule morphogenesis</t>
  </si>
  <si>
    <t>G-protein coupled receptor activity</t>
  </si>
  <si>
    <t>Methyltransferase domain</t>
  </si>
  <si>
    <t>cysteine-type endopeptidase inhibitor activity</t>
  </si>
  <si>
    <t>ATPase activity, coupled to transmembrane movement of substances</t>
  </si>
  <si>
    <t>negative regulation of ryanodine-sensitive calcium-release channel activity</t>
  </si>
  <si>
    <t>Tissue factor pathway inhibitor (lipoprotein-associated coagulation inhibitor)</t>
  </si>
  <si>
    <t>ATP-binding cassette, sub-family C (CFTR MRP), member 1</t>
  </si>
  <si>
    <t>TNF receptor-associated factor</t>
  </si>
  <si>
    <t>scavenger receptor activity</t>
  </si>
  <si>
    <t>cytoskeleton organization</t>
  </si>
  <si>
    <t>Parallel beta-helix repeats</t>
  </si>
  <si>
    <t>purine-rich negative regulatory element binding</t>
  </si>
  <si>
    <t>negative regulation of axon extension involved in regeneration</t>
  </si>
  <si>
    <t>Epidermal growth factor-like domain.</t>
  </si>
  <si>
    <t>GO:0001775,GO:0002361,GO:0002376,GO:0002520,GO:0002521,GO:0002682,GO:0002683,GO:0002694,GO:0002695,GO:0003674,GO:0003824,GO:0004620,GO:0004623,GO:0005488,GO:0005515,GO:0005539,GO:0005575,GO:0005576,GO:0006575,GO:0006629,GO:0006644,GO:0006650,GO:0006654,GO:0006658,GO:0006793,GO:0006796,GO:0006807,GO:0006950,GO:0006952,GO:0006954,GO:0007162,GO:0007275,GO:0008150,GO:0008152,GO:0008201,GO:0008285,GO:0008610,GO:0008654,GO:0009058,GO:0009987,GO:0016298,GO:0016787,GO:0016788,GO:0019637,GO:0022407,GO:0022408,GO:0030097,GO:0030098,GO:0030154,GO:0030155,GO:0030217,GO:0032501,GO:0032502,GO:0032944,GO:0032945,GO:0035710,GO:0036148,GO:0036149,GO:0036150,GO:0036151,GO:0036152,GO:0042110,GO:0042127,GO:0042129,GO:0042130,GO:0043167,GO:0043168,GO:0043367,GO:0043394,GO:0043395,GO:0044237,GO:0044238,GO:0044249,GO:0044255,GO:0045017,GO:0045066,GO:0045321,GO:0046470,GO:0046471,GO:0046473,GO:0046474,GO:0046486,GO:0046488,GO:0046631,GO:0046632,GO:0046649,GO:0048513,GO:0048519,GO:0048523,GO:0048534,GO:0048731,GO:0048856,GO:0048869,GO:0050670,GO:0050672,GO:0050789,GO:0050794,GO:0050863,GO:0050865,GO:0050866,GO:0050868,GO:0050896,GO:0051249,GO:0051250,GO:0052689,GO:0065007,GO:0070663,GO:0070664,GO:0071704,GO:0090407,GO:0097164,GO:0097367,GO:1901564,GO:1901576,GO:1901681,GO:1903037,GO:1903038</t>
  </si>
  <si>
    <t>GO</t>
  </si>
  <si>
    <t>K01672,K18245</t>
  </si>
  <si>
    <t>K06254,K06825</t>
  </si>
  <si>
    <t>K19408,K17495</t>
  </si>
  <si>
    <t>K04266,K04145</t>
  </si>
  <si>
    <t>K14453,K14078</t>
  </si>
  <si>
    <t>K10443,K10454</t>
  </si>
  <si>
    <t>K01011,K02439</t>
  </si>
  <si>
    <t>K01735,K19969</t>
  </si>
  <si>
    <t>K04362,K08252,K12378,K05126</t>
  </si>
  <si>
    <t>K19636,K16353</t>
  </si>
  <si>
    <t>K06535,K19511</t>
  </si>
  <si>
    <t>carbonic anhydrase, positive regulation of dipeptide transport</t>
  </si>
  <si>
    <t>calcium ion binding, macrophage scavenger receptor 1</t>
  </si>
  <si>
    <t>mucin 3,von Willebrand factor D and EGF</t>
  </si>
  <si>
    <t>death receptor agonist activity, macrophage receptor with collagenous structure</t>
  </si>
  <si>
    <t>signaling receptor binding, ficolin</t>
  </si>
  <si>
    <t>solute carrier transporter, secondary active sulfate transmembrane transporter activity</t>
  </si>
  <si>
    <t>shikimate 3-dehydrogenase (NADP+) activity; 2-epi-valiolone synthase</t>
  </si>
  <si>
    <t>TRINITY_DN37018_c0_g2</t>
  </si>
  <si>
    <t>TRINITY_DN63757_c0_g1</t>
  </si>
  <si>
    <t>TRINITY_DN71836_c0_g1</t>
  </si>
  <si>
    <t>TRINITY_DN72209_c0_g2</t>
  </si>
  <si>
    <t>TRINITY_DN57635_c0_g1</t>
  </si>
  <si>
    <t>TRINITY_DN107447_c0_g1</t>
  </si>
  <si>
    <t>TRINITY_DN76713_c0_g1</t>
  </si>
  <si>
    <t>TRINITY_DN80400_c0_g2</t>
  </si>
  <si>
    <t>TRINITY_DN77887_c0_g1</t>
  </si>
  <si>
    <t>TRINITY_DN3651_c0_g2</t>
  </si>
  <si>
    <t>TRINITY_DN66988_c0_g1</t>
  </si>
  <si>
    <t>TRINITY_DN82277_c0_g1</t>
  </si>
  <si>
    <t>TRINITY_DN315734_c0_g1</t>
  </si>
  <si>
    <t>TRINITY_DN259981_c0_g2</t>
  </si>
  <si>
    <t>TRINITY_DN432608_c0_g1</t>
  </si>
  <si>
    <t>TRINITY_DN201260_c3_g5</t>
  </si>
  <si>
    <t>TRINITY_DN114728_c0_g2</t>
  </si>
  <si>
    <t>TRINITY_DN199776_c0_g1</t>
  </si>
  <si>
    <t>TRINITY_DN69831_c0_g2</t>
  </si>
  <si>
    <t>TRINITY_DN104674_c0_g2</t>
  </si>
  <si>
    <t>TRINITY_DN110231_c0_g2</t>
  </si>
  <si>
    <t>TRINITY_DN2484_c0_g2</t>
  </si>
  <si>
    <t>TRINITY_DN76041_c0_g1</t>
  </si>
  <si>
    <t>TRINITY_DN191166_c0_g3</t>
  </si>
  <si>
    <t>TRINITY_DN139147_c1_g1</t>
  </si>
  <si>
    <t>TRINITY_DN110788_c0_g1</t>
  </si>
  <si>
    <t>TRINITY_DN77674_c0_g1</t>
  </si>
  <si>
    <t>TRINITY_DN76931_c0_g2</t>
  </si>
  <si>
    <t>TRINITY_DN49814_c0_g1</t>
  </si>
  <si>
    <t>TRINITY_DN14835_c0_g1</t>
  </si>
  <si>
    <t>TRINITY_DN749_c0_g1</t>
  </si>
  <si>
    <t>TRINITY_DN388040_c0_g1</t>
  </si>
  <si>
    <t>TRINITY_DN123231_c0_g4</t>
  </si>
  <si>
    <t>TRINITY_DN52569_c0_g1</t>
  </si>
  <si>
    <t>TRINITY_DN78928_c0_g2</t>
  </si>
  <si>
    <t>TRINITY_DN48007_c0_g1</t>
  </si>
  <si>
    <t>TRINITY_DN54557_c0_g2</t>
  </si>
  <si>
    <t>TRINITY_DN53798_c0_g2</t>
  </si>
  <si>
    <t>TRINITY_DN180978_c0_g2</t>
  </si>
  <si>
    <t>TRINITY_DN15113_c0_g1</t>
  </si>
  <si>
    <t>TRINITY_DN62295_c0_g3</t>
  </si>
  <si>
    <t>TRINITY_DN36790_c0_g1</t>
  </si>
  <si>
    <t>TRINITY_DN34767_c0_g1</t>
  </si>
  <si>
    <t>TRINITY_DN90193_c0_g2</t>
  </si>
  <si>
    <t>TRINITY_DN52510_c0_g2</t>
  </si>
  <si>
    <t>TRINITY_DN168580_c0_g2</t>
  </si>
  <si>
    <t>TRINITY_DN23956_c0_g2</t>
  </si>
  <si>
    <t>TRINITY_DN69273_c0_g1</t>
  </si>
  <si>
    <t>TRINITY_DN187798_c1_g4</t>
  </si>
  <si>
    <t>TRINITY_DN184108_c1_g4</t>
  </si>
  <si>
    <t>TRINITY_DN63764_c0_g2</t>
  </si>
  <si>
    <t>TRINITY_DN50830_c0_g1</t>
  </si>
  <si>
    <t>TRINITY_DN209900_c0_g2</t>
  </si>
  <si>
    <t>TRINITY_DN208919_c0_g2</t>
  </si>
  <si>
    <t>TRINITY_DN259981_c0_g1</t>
  </si>
  <si>
    <t>TRINITY_DN123209_c0_g1</t>
  </si>
  <si>
    <t>TRINITY_DN76451_c0_g3</t>
  </si>
  <si>
    <t>TRINITY_DN68463_c0_g1</t>
  </si>
  <si>
    <t>TRINITY_DN64505_c0_g1</t>
  </si>
  <si>
    <t>TRINITY_DN431869_c0_g1</t>
  </si>
  <si>
    <t>TRINITY_DN63731_c0_g1</t>
  </si>
  <si>
    <t>TRINITY_DN152873_c0_g1</t>
  </si>
  <si>
    <t>TRINITY_DN63627_c0_g1</t>
  </si>
  <si>
    <t>TRINITY_DN798_c0_g1</t>
  </si>
  <si>
    <t>TRINITY_DN77029_c0_g3</t>
  </si>
  <si>
    <t>TRINITY_DN128076_c0_g3</t>
  </si>
  <si>
    <t>TRINITY_DN135875_c0_g1</t>
  </si>
  <si>
    <t>TRINITY_DN191306_c0_g1</t>
  </si>
  <si>
    <t>TRINITY_DN10343_c0_g2</t>
  </si>
  <si>
    <t>TRINITY_DN61626_c0_g1</t>
  </si>
  <si>
    <t>TRINITY_DN26197_c0_g1</t>
  </si>
  <si>
    <t>TRINITY_DN57872_c0_g2</t>
  </si>
  <si>
    <t>TRINITY_DN137076_c0_g2</t>
  </si>
  <si>
    <t>TRINITY_DN392983_c0_g2</t>
  </si>
  <si>
    <t>TRINITY_DN159317_c1_g1</t>
  </si>
  <si>
    <t>TRINITY_DN59375_c0_g2</t>
  </si>
  <si>
    <t>TRINITY_DN169098_c0_g1</t>
  </si>
  <si>
    <t>TRINITY_DN148016_c0_g1</t>
  </si>
  <si>
    <t>TRINITY_DN3678_c0_g1</t>
  </si>
  <si>
    <t>TRINITY_DN389360_c0_g2</t>
  </si>
  <si>
    <t>TRINITY_DN69268_c0_g3</t>
  </si>
  <si>
    <t>TRINITY_DN60669_c0_g2</t>
  </si>
  <si>
    <t>TRINITY_DN171666_c0_g1</t>
  </si>
  <si>
    <t>TRINITY_DN31935_c0_g2</t>
  </si>
  <si>
    <t>TRINITY_DN12325_c0_g2</t>
  </si>
  <si>
    <t>TRINITY_DN81641_c0_g1</t>
  </si>
  <si>
    <t>TRINITY_DN152405_c0_g1</t>
  </si>
  <si>
    <t>TRINITY_DN203859_c0_g2</t>
  </si>
  <si>
    <t>TRINITY_DN12554_c0_g2</t>
  </si>
  <si>
    <t>TRINITY_DN87461_c0_g1</t>
  </si>
  <si>
    <t>TRINITY_DN123509_c0_g2</t>
  </si>
  <si>
    <t>TRINITY_DN70825_c0_g1</t>
  </si>
  <si>
    <t>TRINITY_DN159490_c1_g2</t>
  </si>
  <si>
    <t>TRINITY_DN344147_c0_g2</t>
  </si>
  <si>
    <t>TRINITY_DN24066_c0_g1</t>
  </si>
  <si>
    <t>TRINITY_DN461703_c0_g1</t>
  </si>
  <si>
    <t>TRINITY_DN141524_c0_g3</t>
  </si>
  <si>
    <t>K13126</t>
  </si>
  <si>
    <t>K21396</t>
  </si>
  <si>
    <t>K01872</t>
  </si>
  <si>
    <t>K01892</t>
  </si>
  <si>
    <t>K10405</t>
  </si>
  <si>
    <t>K03553,K14160</t>
  </si>
  <si>
    <t>K01536</t>
  </si>
  <si>
    <t>K03403</t>
  </si>
  <si>
    <t>K00218</t>
  </si>
  <si>
    <t>K08994</t>
  </si>
  <si>
    <t>K14567</t>
  </si>
  <si>
    <t>K15692</t>
  </si>
  <si>
    <t>K14830</t>
  </si>
  <si>
    <t>K00428</t>
  </si>
  <si>
    <t>K02154</t>
  </si>
  <si>
    <t>K20444</t>
  </si>
  <si>
    <t>K12450</t>
  </si>
  <si>
    <t>K07241</t>
  </si>
  <si>
    <t>K06999</t>
  </si>
  <si>
    <t>K00471</t>
  </si>
  <si>
    <t>K01669</t>
  </si>
  <si>
    <t>K02088,K02206</t>
  </si>
  <si>
    <t>K05928</t>
  </si>
  <si>
    <t>K04460</t>
  </si>
  <si>
    <t>Protein phosphatase 2A homologues, catalytic domain.</t>
  </si>
  <si>
    <t>Belongs to the class I-like SAM-binding methyltransferase superfamily. gTMT family</t>
  </si>
  <si>
    <t>Vacuolar protein sorting-associated protein 53</t>
  </si>
  <si>
    <t>cyclin-dependent protein serine/threonine kinase activity</t>
  </si>
  <si>
    <t>DNA photolyase</t>
  </si>
  <si>
    <t>gamma-butyrobetaine dioxygenase activity</t>
  </si>
  <si>
    <t>Fic/DOC family</t>
  </si>
  <si>
    <t>Phospholipase/Carboxylesterase</t>
  </si>
  <si>
    <t>Sulfotransferase family</t>
  </si>
  <si>
    <t>High-affinity nickel-transport protein</t>
  </si>
  <si>
    <t>rhamnose biosynthetic enzyme</t>
  </si>
  <si>
    <t>macromolecule localization</t>
  </si>
  <si>
    <t>Belongs to the pseudouridine synthase RsuA family</t>
  </si>
  <si>
    <t>Produces ATP from ADP in the presence of a proton gradient across the membrane. The catalytic sites are hosted primarily by the beta subunits</t>
  </si>
  <si>
    <t>Essential component of the vacuolar proton pump (V- ATPase), a multimeric enzyme that catalyzes the translocation of protons across the membranes. Required for assembly and activity of the V-ATPase</t>
  </si>
  <si>
    <t>Peroxidase</t>
  </si>
  <si>
    <t>P21-activated protein kinase-interacting protein</t>
  </si>
  <si>
    <t>ABC transporter</t>
  </si>
  <si>
    <t>Receptor homology region, transmembrane domain- and RING domain-containing protein</t>
  </si>
  <si>
    <t>Utp14 protein</t>
  </si>
  <si>
    <t>pyrroline-5-carboxylate reductase activity</t>
  </si>
  <si>
    <t>Solute carrier family 18, subfamily B, member 1</t>
  </si>
  <si>
    <t>inositol phosphate biosynthetic process</t>
  </si>
  <si>
    <t>Serine hydrolase involved in the detoxification of formaldehyde</t>
  </si>
  <si>
    <t>(ABC) transporter</t>
  </si>
  <si>
    <t>regulation of photosynthesis, light reaction</t>
  </si>
  <si>
    <t>Taurine catabolism dioxygenase TauD, TfdA family</t>
  </si>
  <si>
    <t>PFAM regulator of chromosome condensation, RCC1</t>
  </si>
  <si>
    <t>TIGRFAM Light-dependent protochlorophyllide reductase</t>
  </si>
  <si>
    <t>ligase activity, forming nitrogen-metal bonds</t>
  </si>
  <si>
    <t>Peptidase family C69</t>
  </si>
  <si>
    <t>calcium-transporting ATPase activity</t>
  </si>
  <si>
    <t>Belongs to the protein kinase superfamily</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</si>
  <si>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</si>
  <si>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CSC1-like protein ERD4</t>
  </si>
  <si>
    <t>microtubule motor activity</t>
  </si>
  <si>
    <t>sulfuric ester hydrolase activity</t>
  </si>
  <si>
    <t>Histidyl-trna synthetase</t>
  </si>
  <si>
    <t>alanyl-tRNA aminoacylation</t>
  </si>
  <si>
    <t>Allomyces macrogynus ATCC 38327</t>
  </si>
  <si>
    <t>Protease prsW family</t>
  </si>
  <si>
    <t>Centrosomal protein</t>
  </si>
  <si>
    <t>Cytochrome p450</t>
  </si>
  <si>
    <t>Middle domain of eukaryotic initiation factor 4G (eIF4G)</t>
  </si>
  <si>
    <t>polyadenylate-binding protein</t>
  </si>
  <si>
    <t>GO:0003674,GO:0003824,GO:0004721,GO:0005488,GO:0005515,GO:0005575,GO:0005622,GO:0005623,GO:0005737,GO:0005819,GO:0005856,GO:0006464,GO:0006470,GO:0006793,GO:0006796,GO:0006807,GO:0008104,GO:0008150,GO:0008152,GO:0009987,GO:0015630,GO:0016311,GO:0016787,GO:0016788,GO:0016791,GO:0017157,GO:0019538,GO:0031072,GO:0032879,GO:0033036,GO:0033365,GO:0034613,GO:0036211,GO:0042578,GO:0043170,GO:0043226,GO:0043228,GO:0043229,GO:0043232,GO:0043412,GO:0044237,GO:0044238,GO:0044260,GO:0044267,GO:0044422,GO:0044424,GO:0044430,GO:0044446,GO:0044464,GO:0045920,GO:0048519,GO:0048523,GO:0050789,GO:0050794,GO:0051046,GO:0051048,GO:0051049,GO:0051051,GO:0051179,GO:0051641,GO:0051879,GO:0060627,GO:0065007,GO:0070727,GO:0071704,GO:0072686,GO:0140096,GO:1901564,GO:1903530,GO:1903531</t>
  </si>
  <si>
    <t>GO:0003674,GO:0003824,GO:0005575,GO:0005622,GO:0005623,GO:0005737,GO:0006766,GO:0006775,GO:0008150,GO:0008152,GO:0008168,GO:0008171,GO:0009058,GO:0009110,GO:0009507,GO:0009536,GO:0009987,GO:0010189,GO:0016740,GO:0016741,GO:0018130,GO:0032259,GO:0042360,GO:0042362,GO:0043226,GO:0043227,GO:0043229,GO:0043231,GO:0044237,GO:0044249,GO:0044281,GO:0044283,GO:0044424,GO:0044444,GO:0044464,GO:0046483,GO:0050342,GO:0071704,GO:1901360,GO:1901362,GO:1901576,GO:1901615,GO:1901617</t>
  </si>
  <si>
    <t>GO:0000139,GO:0000938,GO:0005575,GO:0005622,GO:0005623,GO:0005737,GO:0005739,GO:0005794,GO:0006810,GO:0006890,GO:0006950,GO:0006970,GO:0007009,GO:0008150,GO:0009266,GO:0009408,GO:0009628,GO:0009987,GO:0010256,GO:0010286,GO:0012505,GO:0016020,GO:0016043,GO:0016192,GO:0016197,GO:0016482,GO:0031090,GO:0031410,GO:0031982,GO:0031984,GO:0032991,GO:0042147,GO:0043226,GO:0043227,GO:0043229,GO:0043231,GO:0044422,GO:0044424,GO:0044431,GO:0044433,GO:0044444,GO:0044446,GO:0044464,GO:0046907,GO:0048193,GO:0050896,GO:0051179,GO:0051234,GO:0051641,GO:0051649,GO:0061024,GO:0071840,GO:0097708,GO:0098588,GO:0098791,GO:0099023</t>
  </si>
  <si>
    <t>GO:0000003,GO:0000075,GO:0000077,GO:0000082,GO:0000086,GO:0000122,GO:0000226,GO:0000278,GO:0000302,GO:0000307,GO:0000781,GO:0000793,GO:0000803,GO:0000805,GO:0000806,GO:0001654,GO:0002088,GO:0003674,GO:0003824,GO:0004672,GO:0004674,GO:0004693,GO:0005488,GO:0005515,GO:0005575,GO:0005622,GO:0005623,GO:0005634,GO:0005654,GO:0005667,GO:0005694,GO:0005737,GO:0005768,GO:0005813,GO:0005815,GO:0005819,GO:0005829,GO:0005856,GO:0006139,GO:0006259,GO:0006260,GO:0006275,GO:0006281,GO:0006325,GO:0006355,GO:0006357,GO:0006464,GO:0006468,GO:0006725,GO:0006793,GO:0006796,GO:0006807,GO:0006810,GO:0006811,GO:0006812,GO:0006813,GO:0006950,GO:0006974,GO:0006977,GO:0006979,GO:0006996,GO:0007010,GO:0007017,GO:0007049,GO:0007093,GO:0007098,GO:0007099,GO:0007154,GO:0007165,GO:0007264,GO:0007265,GO:0007275,GO:0007346,GO:0007423,GO:0008150,GO:0008152,GO:0008283,GO:0008284,GO:0009058,GO:0009059,GO:0009628,GO:0009636,GO:0009719,GO:0009725,GO:0009889,GO:0009890,GO:0009891,GO:0009892,GO:0009893,GO:0009966,GO:0009967,GO:0009987,GO:0010033,GO:0010035,GO:0010038,GO:0010243,GO:0010389,GO:0010468,GO:0010556,GO:0010557,GO:0010558,GO:0010564,GO:0010604,GO:0010605,GO:0010628,GO:0010629,GO:0010646,GO:0010647,GO:0010948,GO:0012505,GO:0014070,GO:0014074,GO:0015030,GO:0015630,GO:0015672,GO:0016043,GO:0016301,GO:0016310,GO:0016569,GO:0016570,GO:0016572,GO:0016604,GO:0016740,GO:0016772,GO:0016773,GO:0018105,GO:0018193,GO:0018209,GO:0019219,GO:0019222,GO:0019538,GO:0019904,GO:0022402,GO:0022414,GO:0022607,GO:0023051,GO:0023052,GO:0023056,GO:0030001,GO:0030154,GO:0030174,GO:0030330,GO:0030332,GO:0031023,GO:0031099,GO:0031100,GO:0031323,GO:0031324,GO:0031325,GO:0031326,GO:0031327,GO:0031328,GO:0031410,GO:0031570,GO:0031571,GO:0031974,GO:0031981,GO:0031982,GO:0032298,GO:0032355,GO:0032501,GO:0032502,GO:0032868,GO:0032869,GO:0032870,GO:0032991,GO:0033554,GO:0033993,GO:0034599,GO:0034614,GO:0034641,GO:0034645,GO:0035556,GO:0035690,GO:0036211,GO:0042127,GO:0042221,GO:0042493,GO:0042770,GO:0043010,GO:0043170,GO:0043226,GO:0043227,GO:0043228,GO:0043229,GO:0043231,GO:0043232,GO:0043233,GO:0043412,GO:0043434,GO:0044085,GO:0044237,GO:0044238,GO:0044249,GO:0044260,GO:0044267,GO:0044422,GO:0044424,GO:0044427,GO:0044428,GO:0044430,GO:0044444,GO:0044446,GO:0044451,GO:0044464,GO:0044770,GO:0044772,GO:0044773,GO:0044774,GO:0044783,GO:0044819,GO:0044839,GO:0044843,GO:0044877,GO:0045023,GO:0045471,GO:0045740,GO:0045786,GO:0045787,GO:0045892,GO:0045893,GO:0045930,GO:0045934,GO:0045935,GO:0046425,GO:0046427,GO:0046483,GO:0046677,GO:0046683,GO:0046686,GO:0048513,GO:0048518,GO:0048519,GO:0048522,GO:0048523,GO:0048583,GO:0048584,GO:0048731,GO:0048856,GO:0048869,GO:0050789,GO:0050794,GO:0050896,GO:0051052,GO:0051054,GO:0051171,GO:0051172,GO:0051173,GO:0051179,GO:0051234,GO:0051252,GO:0051253,GO:0051254,GO:0051276,GO:0051298,GO:0051321,GO:0051445,GO:0051591,GO:0051602,GO:0051716,GO:0051726,GO:0060255,GO:0060968,GO:0061695,GO:0065007,GO:0070013,GO:0070887,GO:0070925,GO:0071156,GO:0071158,GO:0071241,GO:0071310,GO:0071375,GO:0071417,GO:0071495,GO:0071704,GO:0071731,GO:0071732,GO:0071840,GO:0072331,GO:0072395,GO:0072401,GO:0072413,GO:0072422,GO:0072431,GO:0072686,GO:0080090,GO:0090068,GO:0090304,GO:0090329,GO:0097123,GO:0097124,GO:0097134,GO:0097135,GO:0097305,GO:0097366,GO:0097472,GO:0097708,GO:0098534,GO:0098687,GO:0140096,GO:1901360,GO:1901564,GO:1901576,GO:1901652,GO:1901653,GO:1901698,GO:1901699,GO:1901700,GO:1901701,GO:1901796,GO:1901987,GO:1901988,GO:1901990,GO:1901991,GO:1902170,GO:1902400,GO:1902402,GO:1902403,GO:1902494,GO:1902531,GO:1902533,GO:1902554,GO:1902679,GO:1902680,GO:1902749,GO:1902806,GO:1902807,GO:1902911,GO:1903047,GO:1903506,GO:1903507,GO:1903508,GO:1904892,GO:1904894,GO:1990234,GO:2000045,GO:2000105,GO:2000112,GO:2000113,GO:2000134,GO:2000241,GO:2001141</t>
  </si>
  <si>
    <t>GO:0000719,GO:0003674,GO:0003824,GO:0003904,GO:0003913,GO:0006139,GO:0006259,GO:0006281,GO:0006290,GO:0006725,GO:0006807,GO:0006950,GO:0006974,GO:0008150,GO:0008152,GO:0009987,GO:0016829,GO:0016830,GO:0033554,GO:0034641,GO:0043170,GO:0044237,GO:0044238,GO:0044260,GO:0046483,GO:0050896,GO:0051716,GO:0071704,GO:0090304,GO:0140097,GO:1901360</t>
  </si>
  <si>
    <t>GO:0005575,GO:0005622,GO:0005623,GO:0005737,GO:0005739,GO:0006996,GO:0007005,GO:0008150,GO:0009987,GO:0016043,GO:0043226,GO:0043227,GO:0043229,GO:0043231,GO:0044424,GO:0044444,GO:0044464,GO:0071840</t>
  </si>
  <si>
    <t>GO:0000165,GO:0000187,GO:0001817,GO:0001932,GO:0001934,GO:0002218,GO:0002221,GO:0002224,GO:0002237,GO:0002253,GO:0002376,GO:0002682,GO:0002684,GO:0002757,GO:0002758,GO:0002764,GO:0003674,GO:0003824,GO:0004672,GO:0004674,GO:0004683,GO:0005488,GO:0005515,GO:0005516,GO:0005575,GO:0005622,GO:0005623,GO:0005634,GO:0005654,GO:0005737,GO:0005813,GO:0005815,GO:0005829,GO:0005856,GO:0006082,GO:0006464,GO:0006468,GO:0006690,GO:0006691,GO:0006793,GO:0006796,GO:0006807,GO:0006810,GO:0006897,GO:0006907,GO:0006950,GO:0006952,GO:0006954,GO:0006974,GO:0007154,GO:0007165,GO:0007166,GO:0007167,GO:0007169,GO:0008150,GO:0008152,GO:0009605,GO:0009607,GO:0009617,GO:0009892,GO:0009893,GO:0009894,GO:0009895,GO:0009931,GO:0009966,GO:0009967,GO:0009987,GO:0010033,GO:0010468,GO:0010562,GO:0010604,GO:0010605,GO:0010608,GO:0010628,GO:0010646,GO:0010647,GO:0010857,GO:0015630,GO:0016192,GO:0016301,GO:0016310,GO:0016740,GO:0016772,GO:0016773,GO:0018105,GO:0018193,GO:0018209,GO:0019219,GO:0019220,GO:0019222,GO:0019538,GO:0019752,GO:0019899,GO:0019900,GO:0019901,GO:0023014,GO:0023051,GO:0023052,GO:0023056,GO:0031323,GO:0031324,GO:0031325,GO:0031329,GO:0031330,GO:0031347,GO:0031349,GO:0031399,GO:0031401,GO:0031974,GO:0031981,GO:0032147,GO:0032268,GO:0032270,GO:0032496,GO:0032675,GO:0032680,GO:0033554,GO:0033674,GO:0033993,GO:0034097,GO:0035556,GO:0035924,GO:0036211,GO:0042221,GO:0042325,GO:0042327,GO:0043085,GO:0043170,GO:0043207,GO:0043226,GO:0043227,GO:0043228,GO:0043229,GO:0043231,GO:0043232,GO:0043233,GO:0043405,GO:0043406,GO:0043408,GO:0043410,GO:0043412,GO:0043436,GO:0043487,GO:0043488,GO:0043489,GO:0043549,GO:0044093,GO:0044237,GO:0044238,GO:0044260,GO:0044267,GO:0044281,GO:0044351,GO:0044422,GO:0044424,GO:0044428,GO:0044430,GO:0044444,GO:0044446,GO:0044464,GO:0045088,GO:0045089,GO:0045859,GO:0045860,GO:0045934,GO:0045937,GO:0046777,GO:0048010,GO:0048255,GO:0048518,GO:0048519,GO:0048522,GO:0048523,GO:0048583,GO:0048584,GO:0050776,GO:0050778,GO:0050789,GO:0050790,GO:0050794,GO:0050896,GO:0051019,GO:0051171,GO:0051172,GO:0051173,GO:0051174,GO:0051179,GO:0051234,GO:0051239,GO:0051246,GO:0051247,GO:0051252,GO:0051253,GO:0051338,GO:0051347,GO:0051704,GO:0051707,GO:0051716,GO:0060255,GO:0061013,GO:0065007,GO:0065008,GO:0065009,GO:0070013,GO:0070848,GO:0070887,GO:0070935,GO:0071310,GO:0071363,GO:0071704,GO:0071900,GO:0071902,GO:0080090,GO:0080134,GO:0080135,GO:0098657,GO:0140096,GO:1900034,GO:1901564,GO:1901568,GO:1901700,GO:1902369,GO:1902373,GO:1902531,GO:1902533,GO:1903311,GO:1903312,GO:1903555</t>
  </si>
  <si>
    <t>GO:0000041,GO:0003674,GO:0005215,GO:0005575,GO:0005623,GO:0005886,GO:0005887,GO:0006810,GO:0006811,GO:0006812,GO:0008150,GO:0008324,GO:0015075,GO:0015099,GO:0015318,GO:0015675,GO:0016020,GO:0016021,GO:0022857,GO:0022890,GO:0030001,GO:0031224,GO:0031226,GO:0034220,GO:0035444,GO:0044425,GO:0044459,GO:0044464,GO:0044750,GO:0046873,GO:0046915,GO:0051179,GO:0051234,GO:0055085,GO:0071944,GO:0098655,GO:0098657,GO:0098659,GO:0098660,GO:0098662,GO:0098716,GO:0098739,GO:0099587</t>
  </si>
  <si>
    <t>GO:0003674,GO:0003824,GO:0005575,GO:0005622,GO:0005623,GO:0005737,GO:0005829,GO:0005911,GO:0006139,GO:0006725,GO:0006793,GO:0006807,GO:0006810,GO:0008150,GO:0008152,GO:0009058,GO:0009225,GO:0009226,GO:0009506,GO:0009812,GO:0009813,GO:0009914,GO:0009966,GO:0009987,GO:0010253,GO:0010280,GO:0010315,GO:0010646,GO:0010817,GO:0010928,GO:0016829,GO:0016835,GO:0016836,GO:0018130,GO:0019438,GO:0023051,GO:0030054,GO:0030154,GO:0032502,GO:0033478,GO:0034641,GO:0034654,GO:0042127,GO:0042440,GO:0044237,GO:0044238,GO:0044249,GO:0044271,GO:0044281,GO:0044424,GO:0044444,GO:0044464,GO:0046148,GO:0046483,GO:0048583,GO:0048869,GO:0050377,GO:0050789,GO:0050794,GO:0051179,GO:0051234,GO:0051552,GO:0051553,GO:0051554,GO:0051555,GO:0055044,GO:0055086,GO:0060918,GO:0065007,GO:0065008,GO:0071704,GO:1901135,GO:1901137,GO:1901360,GO:1901362,GO:1901576,GO:1901615,GO:1901617</t>
  </si>
  <si>
    <t>GO:0000154,GO:0000455,GO:0001522,GO:0003674,GO:0003824,GO:0005575,GO:0005622,GO:0005623,GO:0005737,GO:0005829,GO:0006139,GO:0006364,GO:0006396,GO:0006399,GO:0006400,GO:0006725,GO:0006807,GO:0008033,GO:0008150,GO:0008152,GO:0009451,GO:0009982,GO:0009987,GO:0010467,GO:0016070,GO:0016072,GO:0016853,GO:0016866,GO:0022613,GO:0031118,GO:0031119,GO:0034470,GO:0034641,GO:0034660,GO:0042254,GO:0043170,GO:0043412,GO:0044085,GO:0044237,GO:0044238,GO:0044424,GO:0044444,GO:0044464,GO:0046483,GO:0071704,GO:0071840,GO:0090304,GO:1901360</t>
  </si>
  <si>
    <t>GO:0003674,GO:0003824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0032991,GO:0033178,GO:0034220,GO:0034641,GO:0034654,GO:0036442,GO:0042623,GO:0042625,GO:0042626,GO:0043492,GO:0044237,GO:0044238,GO:0044249,GO:0044271,GO:0044281,GO:0044424,GO:0044425,GO:0044459,GO:0044464,GO:0044769,GO:0045259,GO:0045260,GO:0045261,GO:0045262,GO:0046034,GO:0046390,GO:0046483,GO:0046933,GO:0046961,GO:0051179,GO:0051234,GO:0055085,GO:0055086,GO:0071704,GO:0071944,GO:0072521,GO:0072522,GO:0090407,GO:0090662,GO:0098655,GO:0098660,GO:0098662,GO:0098796,GO:0098797,GO:0099131,GO:0099132,GO:1901135,GO:1901137,GO:1901293,GO:1901360,GO:1901362,GO:1901564,GO:1901566,GO:1901576,GO:1902600</t>
  </si>
  <si>
    <t>GO:0000302,GO:0003674,GO:0003824,GO:0004130,GO:0004601,GO:0006950,GO:0006979,GO:0008150,GO:0008152,GO:0009056,GO:0009636,GO:0009987,GO:0016209,GO:0016491,GO:0016684,GO:0016999,GO:0017001,GO:0017144,GO:0033554,GO:0034599,GO:0042221,GO:0042737,GO:0042743,GO:0042744,GO:0044237,GO:0044248,GO:0050896,GO:0051186,GO:0051187,GO:0051716,GO:0055114,GO:0070887,GO:0072593,GO:0097237,GO:0098754,GO:0098869,GO:1901700,GO:1990748</t>
  </si>
  <si>
    <t>GO:0005575,GO:0005622,GO:0005623,GO:0005634,GO:0005730,GO:0006139,GO:0006364,GO:0006396,GO:0006725,GO:0006807,GO:0008150,GO:0008152,GO:0008283,GO:0009966,GO:0009987,GO:0010467,GO:0010646,GO:0016070,GO:0016072,GO:0022613,GO:0023051,GO:0031974,GO:0031981,GO:0032502,GO:0034470,GO:0034641,GO:0034660,GO:0042254,GO:0042273,GO:0043170,GO:0043226,GO:0043227,GO:0043228,GO:0043229,GO:0043231,GO:0043232,GO:0043233,GO:0044085,GO:0044237,GO:0044238,GO:0044422,GO:0044424,GO:0044428,GO:0044446,GO:0044464,GO:0046483,GO:0048583,GO:0048856,GO:0050789,GO:0050794,GO:0060021,GO:0065007,GO:0070013,GO:0071704,GO:0071840,GO:0090304,GO:1901360,GO:1901796,GO:1902531</t>
  </si>
  <si>
    <t>GO:0000209,GO:0003674,GO:0003824,GO:0004842,GO:0005575,GO:0005622,GO:0005623,GO:0005737,GO:0006464,GO:0006807,GO:0008150,GO:0008152,GO:0009987,GO:0016567,GO:0016740,GO:0019538,GO:0019787,GO:0032446,GO:0036211,GO:0043170,GO:0043412,GO:0044237,GO:0044238,GO:0044260,GO:0044267,GO:0044424,GO:0044464,GO:0045786,GO:0048519,GO:0048523,GO:0050789,GO:0050794,GO:0051726,GO:0065007,GO:0070647,GO:0071704,GO:0140096,GO:1901564</t>
  </si>
  <si>
    <t>GO:0003674,GO:0005215,GO:0005575,GO:0005623,GO:0005886,GO:0005887,GO:0006810,GO:0008150,GO:0016020,GO:0016021,GO:0022857,GO:0031224,GO:0031226,GO:0044425,GO:0044459,GO:0044464,GO:0051179,GO:0051234,GO:0055085,GO:0071944</t>
  </si>
  <si>
    <t>GO:0000827,GO:0000828,GO:0000829,GO:0003674,GO:0003824,GO:0005575,GO:0005622,GO:0005623,GO:0005737,GO:0006066,GO:0006109,GO:0006793,GO:0006796,GO:0008150,GO:0008152,GO:0009058,GO:0009889,GO:0009987,GO:0010675,GO:0010919,GO:0016301,GO:0016310,GO:0016740,GO:0016772,GO:0016776,GO:0019220,GO:0019222,GO:0019637,GO:0019751,GO:0023052,GO:0031323,GO:0031326,GO:0032958,GO:0033200,GO:0043255,GO:0043647,GO:0044237,GO:0044281,GO:0044283,GO:0044424,GO:0044464,GO:0046165,GO:0046173,GO:0050789,GO:0050794,GO:0051174,GO:0062012,GO:0065007,GO:0071704,GO:0080090,GO:0090407,GO:1901576,GO:1901615,GO:1901617,GO:1902930</t>
  </si>
  <si>
    <t>GO:0003674,GO:0005215,GO:0005216,GO:0005244,GO:0005247,GO:0005253,GO:0005254,GO:0005575,GO:0005622,GO:0005623,GO:0005737,GO:0006091,GO:0006810,GO:0006811,GO:0006820,GO:0006821,GO:0006996,GO:0008150,GO:0008152,GO:0008308,GO:0008509,GO:0009507,GO:0009532,GO:0009533,GO:0009534,GO:0009536,GO:0009570,GO:0009579,GO:0009657,GO:0009668,GO:0009987,GO:0010027,GO:0010109,GO:0015075,GO:0015103,GO:0015108,GO:0015267,GO:0015318,GO:0015698,GO:0015979,GO:0016020,GO:0016043,GO:0019222,GO:0019684,GO:0022803,GO:0022832,GO:0022836,GO:0022838,GO:0022839,GO:0022857,GO:0031323,GO:0031976,GO:0031984,GO:0034220,GO:0034357,GO:0042548,GO:0042651,GO:0043226,GO:0043227,GO:0043229,GO:0043231,GO:0043467,GO:0044237,GO:0044422,GO:0044424,GO:0044434,GO:0044435,GO:0044436,GO:0044444,GO:0044446,GO:0044464,GO:0050789,GO:0050794,GO:0051179,GO:0051234,GO:0055085,GO:0061024,GO:0065007,GO:0071840,GO:0098656,GO:0098660,GO:0098661,GO:1902476</t>
  </si>
  <si>
    <t>GO:0003674,GO:0003824,GO:0005575,GO:0005622,GO:0005623,GO:0005737,GO:0005739,GO:0009507,GO:0009526,GO:0009528,GO:0009532,GO:0009536,GO:0009570,GO:0009706,GO:0009941,GO:0010007,GO:0016020,GO:0016851,GO:0016874,GO:0019866,GO:0031090,GO:0031967,GO:0031969,GO:0031975,GO:0032991,GO:0042170,GO:0043226,GO:0043227,GO:0043229,GO:0043231,GO:0044422,GO:0044424,GO:0044434,GO:0044435,GO:0044444,GO:0044446,GO:0044464,GO:0051002,GO:0051003,GO:1902494</t>
  </si>
  <si>
    <t>GO:0000166,GO:0000322,GO:0000323,GO:0000324,GO:0003674,GO:0003824,GO:0005215,GO:0005388,GO:0005488,GO:0005509,GO:0005524,GO:0005575,GO:0005622,GO:0005623,GO:0005737,GO:0005739,GO:0005773,GO:0005783,GO:0005789,GO:0005793,GO:0005886,GO:0006810,GO:0006811,GO:0006812,GO:0006813,GO:0006814,GO:0006816,GO:0006873,GO:0006874,GO:0006875,GO:0006937,GO:0006942,GO:0006950,GO:0006970,GO:0006972,GO:0007154,GO:0008144,GO:0008150,GO:0008324,GO:0008554,GO:0008556,GO:0009267,GO:0009268,GO:0009605,GO:0009628,GO:0009651,GO:0009987,GO:0009991,GO:0012505,GO:0014724,GO:0014819,GO:0015075,GO:0015077,GO:0015079,GO:0015081,GO:0015085,GO:0015318,GO:0015399,GO:0015405,GO:0015662,GO:0015672,GO:0016020,GO:0016021,GO:0016462,GO:0016528,GO:0016529,GO:0016787,GO:0016817,GO:0016818,GO:0016887,GO:0017076,GO:0017111,GO:0019725,GO:0019829,GO:0022804,GO:0022853,GO:0022857,GO:0022890,GO:0030001,GO:0030003,GO:0030016,GO:0030017,GO:0030554,GO:0031090,GO:0031224,GO:0031446,GO:0031448,GO:0031667,GO:0031668,GO:0031669,GO:0031672,GO:0031673,GO:0031674,GO:0031984,GO:0032553,GO:0032555,GO:0032559,GO:0033017,GO:0033554,GO:0034220,GO:0035639,GO:0035725,GO:0036094,GO:0042149,GO:0042175,GO:0042592,GO:0042594,GO:0042623,GO:0042625,GO:0042626,GO:0043167,GO:0043168,GO:0043169,GO:0043226,GO:0043227,GO:0043228,GO:0043229,GO:0043231,GO:0043232,GO:0043292,GO:0043492,GO:0044057,GO:0044422,GO:0044424,GO:0044425,GO:0044432,GO:0044444,GO:0044446,GO:0044449,GO:0044464,GO:0045932,GO:0045933,GO:0045988,GO:0045989,GO:0046872,GO:0046873,GO:0048471,GO:0048518,GO:0048519,GO:0048878,GO:0050789,GO:0050801,GO:0050896,GO:0051179,GO:0051208,GO:0051234,GO:0051235,GO:0051239,GO:0051240,GO:0051241,GO:0051716,GO:0055065,GO:0055074,GO:0055080,GO:0055082,GO:0055085,GO:0065007,GO:0065008,GO:0070588,GO:0070838,GO:0071435,GO:0071496,GO:0071804,GO:0071805,GO:0071944,GO:0072503,GO:0072507,GO:0072511,GO:0090257,GO:0090662,GO:0097159,GO:0097367,GO:0097623,GO:0098588,GO:0098655,GO:0098660,GO:0098662,GO:0098771,GO:0098827,GO:0099080,GO:0099081,GO:0099131,GO:0099132,GO:0099512,GO:0140115,GO:1901265,GO:1901363</t>
  </si>
  <si>
    <t>GO:0000075,GO:0000077,GO:0003674,GO:0003824,GO:0004672,GO:0004674,GO:0004683,GO:0005488,GO:0005515,GO:0005516,GO:0005575,GO:0005622,GO:0005623,GO:0005634,GO:0006139,GO:0006259,GO:0006260,GO:0006261,GO:0006275,GO:0006464,GO:0006468,GO:0006725,GO:0006793,GO:0006796,GO:0006807,GO:0006950,GO:0006974,GO:0006979,GO:0007154,GO:0007165,GO:0008150,GO:0008152,GO:0008156,GO:0009058,GO:0009059,GO:0009889,GO:0009890,GO:0009892,GO:0009987,GO:0010556,GO:0010558,GO:0010605,GO:0016301,GO:0016310,GO:0016740,GO:0016772,GO:0016773,GO:0018105,GO:0018107,GO:0018193,GO:0018209,GO:0018210,GO:0019219,GO:0019222,GO:0019538,GO:0023052,GO:0031323,GO:0031324,GO:0031326,GO:0031327,GO:0031570,GO:0033554,GO:0034599,GO:0034641,GO:0034645,GO:0035556,GO:0036211,GO:0042221,GO:0043170,GO:0043226,GO:0043227,GO:0043229,GO:0043231,GO:0043412,GO:0044237,GO:0044238,GO:0044249,GO:0044260,GO:0044267,GO:0044424,GO:0044464,GO:0045005,GO:0045786,GO:0045934,GO:0046483,GO:0048478,GO:0048519,GO:0048523,GO:0050789,GO:0050794,GO:0050896,GO:0051052,GO:0051053,GO:0051171,GO:0051172,GO:0051716,GO:0051726,GO:0060255,GO:0065007,GO:0070887,GO:0071704,GO:0080090,GO:0090304,GO:0090329,GO:0140096,GO:1901360,GO:1901564,GO:1901576,GO:2000104,GO:2000112,GO:2000113</t>
  </si>
  <si>
    <t>GO:0000150,GO:0000166,GO:0000287,GO:0000725,GO:0003674,GO:0003676,GO:0003677,GO:0003697,GO:0003824,GO:0004518,GO:0004519,GO:0004520,GO:0004536,GO:0005488,GO:0005524,GO:0005575,GO:0005622,GO:0005623,GO:0005737,GO:0005829,GO:0006139,GO:0006259,GO:0006281,GO:0006302,GO:0006310,GO:0006725,GO:0006807,GO:0006950,GO:0006974,GO:0007154,GO:0008094,GO:0008144,GO:0008150,GO:0008152,GO:0009292,GO:0009294,GO:0009314,GO:0009411,GO:0009416,GO:0009432,GO:0009605,GO:0009628,GO:0009650,GO:0009987,GO:0009991,GO:0016462,GO:0016787,GO:0016788,GO:0016817,GO:0016818,GO:0016887,GO:0017076,GO:0017111,GO:0030145,GO:0030420,GO:0030554,GO:0031668,GO:0032553,GO:0032555,GO:0032559,GO:0033554,GO:0034641,GO:0035639,GO:0036094,GO:0042148,GO:0042221,GO:0042623,GO:0043142,GO:0043167,GO:0043168,GO:0043169,GO:0043170,GO:0044237,GO:0044238,GO:0044260,GO:0044424,GO:0044444,GO:0044464,GO:0044764,GO:0046483,GO:0046677,GO:0046872,GO:0046914,GO:0050896,GO:0051704,GO:0051716,GO:0071496,GO:0071704,GO:0090304,GO:0090305,GO:0097159,GO:0097367,GO:0140097,GO:1901265,GO:1901360,GO:1901363</t>
  </si>
  <si>
    <t>GO:0005575,GO:0005622,GO:0005623,GO:0005737,GO:0005773,GO:0005774,GO:0005886,GO:0005911,GO:0009506,GO:0009507,GO:0009526,GO:0009536,GO:0009941,GO:0016020,GO:0030054,GO:0031090,GO:0031967,GO:0031975,GO:0043226,GO:0043227,GO:0043229,GO:0043231,GO:0044422,GO:0044424,GO:0044434,GO:0044435,GO:0044437,GO:0044444,GO:0044446,GO:0044464,GO:0055044,GO:0071944,GO:0098588,GO:0098805</t>
  </si>
  <si>
    <t>GO:0000003,GO:0000022,GO:0000070,GO:0000166,GO:0000212,GO:0000226,GO:0000278,GO:0000280,GO:0000819,GO:0000922,GO:0001578,GO:0003674,GO:0003774,GO:0003777,GO:0003824,GO:0005488,GO:0005515,GO:0005524,GO:0005575,GO:0005622,GO:0005623,GO:0005634,GO:0005737,GO:0005813,GO:0005815,GO:0005819,GO:0005856,GO:0005871,GO:0005874,GO:0005875,GO:0005876,GO:0006403,GO:0006810,GO:0006928,GO:0006996,GO:0007010,GO:0007017,GO:0007018,GO:0007049,GO:0007051,GO:0007052,GO:0007056,GO:0007059,GO:0007080,GO:0007088,GO:0007098,GO:0007100,GO:0007143,GO:0007276,GO:0007283,GO:0007292,GO:0007346,GO:0008144,GO:0008150,GO:0008569,GO:0009987,GO:0010564,GO:0010639,GO:0010824,GO:0010826,GO:0010948,GO:0010970,GO:0015630,GO:0015931,GO:0016043,GO:0016462,GO:0016787,GO:0016817,GO:0016818,GO:0016887,GO:0017076,GO:0017111,GO:0019953,GO:0022402,GO:0022412,GO:0022414,GO:0022607,GO:0030139,GO:0030496,GO:0030554,GO:0030705,GO:0031023,GO:0031410,GO:0031534,GO:0031616,GO:0031982,GO:0032501,GO:0032504,GO:0032553,GO:0032555,GO:0032559,GO:0032837,GO:0032886,GO:0032887,GO:0032888,GO:0032991,GO:0033036,GO:0033043,GO:0033044,GO:0033045,GO:0033047,GO:0035639,GO:0036094,GO:0036477,GO:0042623,GO:0042802,GO:0042803,GO:0043025,GO:0043167,GO:0043168,GO:0043226,GO:0043227,GO:0043228,GO:0043229,GO:0043231,GO:0043232,GO:0044085,GO:0044087,GO:0044297,GO:0044422,GO:0044424,GO:0044430,GO:0044444,GO:0044446,GO:0044464,GO:0044703,GO:0045132,GO:0045786,GO:0046605,GO:0046606,GO:0046907,GO:0046983,GO:0047496,GO:0048232,GO:0048285,GO:0048519,GO:0048523,GO:0048609,GO:0050000,GO:0050657,GO:0050658,GO:0050789,GO:0050794,GO:0051012,GO:0051028,GO:0051128,GO:0051129,GO:0051179,GO:0051225,GO:0051231,GO:0051234,GO:0051236,GO:0051276,GO:0051299,GO:0051303,GO:0051310,GO:0051321,GO:0051493,GO:0051494,GO:0051640,GO:0051641,GO:0051648,GO:0051649,GO:0051650,GO:0051656,GO:0051704,GO:0051726,GO:0051783,GO:0051983,GO:0060236,GO:0065007,GO:0070507,GO:0070925,GO:0071702,GO:0071705,GO:0071840,GO:0072382,GO:0072384,GO:0072385,GO:0072686,GO:0072687,GO:0090169,GO:0090224,GO:0090306,GO:0090307,GO:0097159,GO:0097367,GO:0097458,GO:0097708,GO:0098813,GO:0099080,GO:0099081,GO:0099111,GO:0099512,GO:0099513,GO:0099518,GO:0140013,GO:0140014,GO:1901265,GO:1901363,GO:1901673,GO:1902115,GO:1902850,GO:1903046,GO:1903047,GO:1990498,GO:1990939</t>
  </si>
  <si>
    <t>GO:0003008,GO:0003674,GO:0003824,GO:0005215,GO:0005275,GO:0005319,GO:0005575,GO:0005623,GO:0005886,GO:0006725,GO:0006726,GO:0006727,GO:0006810,GO:0006836,GO:0006856,GO:0006869,GO:0007600,GO:0007605,GO:0008055,GO:0008150,GO:0008152,GO:0009058,GO:0009987,GO:0010876,GO:0015248,GO:0015318,GO:0015399,GO:0015405,GO:0015837,GO:0015842,GO:0015850,GO:0015918,GO:0016020,GO:0016021,GO:0016462,GO:0016787,GO:0016817,GO:0016818,GO:0016887,GO:0017111,GO:0017127,GO:0018130,GO:0019438,GO:0019748,GO:0022804,GO:0022857,GO:0030301,GO:0031224,GO:0032501,GO:0033036,GO:0033060,GO:0034040,GO:0034041,GO:0042440,GO:0042441,GO:0042623,GO:0042626,GO:0043324,GO:0043473,GO:0043474,GO:0043492,GO:0044237,GO:0044249,GO:0044425,GO:0044464,GO:0044550,GO:0046148,GO:0046152,GO:0046158,GO:0046483,GO:0048066,GO:0048069,GO:0050877,GO:0050954,GO:0051179,GO:0051234,GO:0051641,GO:0051649,GO:0055085,GO:0071702,GO:0071704,GO:0071705,GO:0071944,GO:0098700,GO:0099504,GO:1901360,GO:1901362,GO:1901576,GO:1901618</t>
  </si>
  <si>
    <t>GO:0000139,GO:0000295,GO:0003674,GO:0005215,GO:0005346,GO:0005575,GO:0005622,GO:0005623,GO:0005737,GO:0005783,GO:0005789,GO:0005794,GO:0006810,GO:0006811,GO:0006820,GO:0006862,GO:0008150,GO:0008509,GO:0008514,GO:0012505,GO:0015075,GO:0015215,GO:0015216,GO:0015605,GO:0015711,GO:0015748,GO:0015865,GO:0015868,GO:0015931,GO:0015932,GO:0016020,GO:0016021,GO:0022857,GO:0030173,GO:0030176,GO:0031090,GO:0031224,GO:0031227,GO:0031228,GO:0031300,GO:0031301,GO:0031984,GO:0034220,GO:0042175,GO:0043226,GO:0043227,GO:0043229,GO:0043231,GO:0044422,GO:0044424,GO:0044425,GO:0044431,GO:0044432,GO:0044444,GO:0044446,GO:0044464,GO:0046963,GO:0046964,GO:0051179,GO:0051234,GO:0051503,GO:0055085,GO:0071702,GO:0071705,GO:0072348,GO:0072530,GO:0098588,GO:0098656,GO:0098791,GO:0098827,GO:1901264,GO:1901505,GO:1901679,GO:1901682,GO:1902559</t>
  </si>
  <si>
    <t>GO:0000339,GO:0003674,GO:0003676,GO:0003723,GO:0005488,GO:0005575,GO:0005622,GO:0005623,GO:0005737,GO:0005829,GO:0006412,GO:0006417,GO:0006446,GO:0006518,GO:0006807,GO:0008135,GO:0008150,GO:0008152,GO:0009058,GO:0009059,GO:0009889,GO:0009987,GO:0010467,GO:0010468,GO:0010556,GO:0010608,GO:0016281,GO:0019222,GO:0019538,GO:0031323,GO:0031326,GO:0032268,GO:0032991,GO:0034248,GO:0034641,GO:0034645,GO:0043043,GO:0043170,GO:0043603,GO:0043604,GO:0044237,GO:0044238,GO:0044249,GO:0044260,GO:0044267,GO:0044271,GO:0044424,GO:0044444,GO:0044464,GO:0050789,GO:0050794,GO:0051171,GO:0051246,GO:0060255,GO:0065007,GO:0071704,GO:0080090,GO:0097159,GO:1901363,GO:1901564,GO:1901566,GO:1901576,GO:2000112</t>
  </si>
  <si>
    <t>CEP120, Centrosomal protein</t>
  </si>
  <si>
    <t>TRINITY_DN199693_c1_g5</t>
  </si>
  <si>
    <t>TRINITY_DN202424_c3_g1</t>
  </si>
  <si>
    <t>TRINITY_DN176453_c1_g1</t>
  </si>
  <si>
    <t>TRINITY_DN189455_c2_g2</t>
  </si>
  <si>
    <t>TRINITY_DN185107_c3_g2</t>
  </si>
  <si>
    <t>TRINITY_DN200138_c3_g11</t>
  </si>
  <si>
    <t>TRINITY_DN200982_c0_g7</t>
  </si>
  <si>
    <t>TRINITY_DN179242_c0_g1</t>
  </si>
  <si>
    <t>TRINITY_DN178796_c0_g1</t>
  </si>
  <si>
    <t>TRINITY_DN170088_c0_g1</t>
  </si>
  <si>
    <t>TRINITY_DN203291_c2_g1</t>
  </si>
  <si>
    <t>TRINITY_DN186038_c1_g2</t>
  </si>
  <si>
    <t>TRINITY_DN190481_c1_g3</t>
  </si>
  <si>
    <t>TRINITY_DN191107_c1_g4</t>
  </si>
  <si>
    <t>TRINITY_DN198001_c3_g18</t>
  </si>
  <si>
    <t>TRINITY_DN195345_c0_g2</t>
  </si>
  <si>
    <t>TRINITY_DN69482_c0_g1</t>
  </si>
  <si>
    <t>TRINITY_DN188147_c3_g1</t>
  </si>
  <si>
    <t>TRINITY_DN188579_c2_g1</t>
  </si>
  <si>
    <t>TRINITY_DN181566_c1_g4</t>
  </si>
  <si>
    <t>TRINITY_DN192460_c6_g2</t>
  </si>
  <si>
    <t>TRINITY_DN203876_c2_g2</t>
  </si>
  <si>
    <t>TRINITY_DN187317_c0_g6</t>
  </si>
  <si>
    <t>TRINITY_DN196989_c4_g1</t>
  </si>
  <si>
    <t>TRINITY_DN204105_c11_g21</t>
  </si>
  <si>
    <t>TRINITY_DN265354_c0_g1</t>
  </si>
  <si>
    <t>TRINITY_DN168902_c0_g6</t>
  </si>
  <si>
    <t>TRINITY_DN180388_c0_g1</t>
  </si>
  <si>
    <t>TRINITY_DN174544_c0_g1</t>
  </si>
  <si>
    <t>TRINITY_DN184912_c1_g2</t>
  </si>
  <si>
    <t>TRINITY_DN177724_c2_g1</t>
  </si>
  <si>
    <t>TRINITY_DN195203_c0_g14</t>
  </si>
  <si>
    <t>TRINITY_DN191439_c1_g1</t>
  </si>
  <si>
    <t>TRINITY_DN179604_c0_g1</t>
  </si>
  <si>
    <t>TRINITY_DN187897_c1_g6</t>
  </si>
  <si>
    <t>TRINITY_DN96894_c0_g1</t>
  </si>
  <si>
    <t>TRINITY_DN179669_c1_g3</t>
  </si>
  <si>
    <t>TRINITY_DN179427_c1_g4</t>
  </si>
  <si>
    <t>TRINITY_DN197100_c0_g5</t>
  </si>
  <si>
    <t>TRINITY_DN196932_c17_g1</t>
  </si>
  <si>
    <t>TRINITY_DN189113_c2_g2</t>
  </si>
  <si>
    <t>TRINITY_DN203953_c1_g6</t>
  </si>
  <si>
    <t>TRINITY_DN205063_c4_g5</t>
  </si>
  <si>
    <t>TRINITY_DN183665_c1_g1</t>
  </si>
  <si>
    <t>TRINITY_DN185251_c2_g3</t>
  </si>
  <si>
    <t>TRINITY_DN185018_c1_g1</t>
  </si>
  <si>
    <t>TRINITY_DN178973_c0_g1</t>
  </si>
  <si>
    <t>TRINITY_DN203758_c5_g7</t>
  </si>
  <si>
    <t>TRINITY_DN190988_c7_g1</t>
  </si>
  <si>
    <t>TRINITY_DN190407_c0_g1</t>
  </si>
  <si>
    <t>TRINITY_DN18450_c0_g1</t>
  </si>
  <si>
    <t>TRINITY_DN194293_c1_g9</t>
  </si>
  <si>
    <t>TRINITY_DN171414_c1_g1</t>
  </si>
  <si>
    <t>TRINITY_DN198930_c1_g2</t>
  </si>
  <si>
    <t>TRINITY_DN179611_c2_g4</t>
  </si>
  <si>
    <t>TRINITY_DN186330_c5_g1</t>
  </si>
  <si>
    <t>TRINITY_DN203626_c1_g1</t>
  </si>
  <si>
    <t>TRINITY_DN196677_c0_g3</t>
  </si>
  <si>
    <t>TRINITY_DN178907_c2_g7</t>
  </si>
  <si>
    <t>TRINITY_DN192536_c2_g4</t>
  </si>
  <si>
    <t>TRINITY_DN205202_c15_g5</t>
  </si>
  <si>
    <t>TRINITY_DN192645_c0_g1</t>
  </si>
  <si>
    <t>TRINITY_DN202425_c4_g7</t>
  </si>
  <si>
    <t>TRINITY_DN202424_c1_g1</t>
  </si>
  <si>
    <t>TRINITY_DN193740_c1_g3</t>
  </si>
  <si>
    <t>TRINITY_DN193406_c1_g4</t>
  </si>
  <si>
    <t>TRINITY_DN189202_c4_g2</t>
  </si>
  <si>
    <t>TRINITY_DN204229_c1_g1</t>
  </si>
  <si>
    <t>TRINITY_DN178896_c0_g1</t>
  </si>
  <si>
    <t>TRINITY_DN177418_c0_g1</t>
  </si>
  <si>
    <t>TRINITY_DN169431_c1_g1</t>
  </si>
  <si>
    <t>TRINITY_DN183491_c0_g1</t>
  </si>
  <si>
    <t>TRINITY_DN79065_c0_g1</t>
  </si>
  <si>
    <t>TRINITY_DN172471_c1_g11</t>
  </si>
  <si>
    <t>TRINITY_DN178313_c1_g2</t>
  </si>
  <si>
    <t>TRINITY_DN167696_c2_g1</t>
  </si>
  <si>
    <t>TRINITY_DN204900_c4_g2</t>
  </si>
  <si>
    <t>TRINITY_DN179090_c1_g11</t>
  </si>
  <si>
    <t>TRINITY_DN199933_c0_g2</t>
  </si>
  <si>
    <t>TRINITY_DN193846_c2_g4</t>
  </si>
  <si>
    <t>TRINITY_DN187335_c3_g3</t>
  </si>
  <si>
    <t>TRINITY_DN185107_c3_g1</t>
  </si>
  <si>
    <t>TRINITY_DN186996_c4_g2</t>
  </si>
  <si>
    <t>TRINITY_DN221893_c0_g1</t>
  </si>
  <si>
    <t>TRINITY_DN189153_c3_g1</t>
  </si>
  <si>
    <t>TRINITY_DN193265_c1_g1</t>
  </si>
  <si>
    <t>TRINITY_DN164944_c0_g1</t>
  </si>
  <si>
    <t>TRINITY_DN200974_c2_g2</t>
  </si>
  <si>
    <t>TRINITY_DN196819_c2_g9</t>
  </si>
  <si>
    <t>TRINITY_DN171479_c0_g1</t>
  </si>
  <si>
    <t>TRINITY_DN174401_c0_g1</t>
  </si>
  <si>
    <t>TRINITY_DN172460_c1_g1</t>
  </si>
  <si>
    <t>TRINITY_DN172132_c4_g4</t>
  </si>
  <si>
    <t>TRINITY_DN184184_c0_g1</t>
  </si>
  <si>
    <t>TRINITY_DN198262_c0_g4</t>
  </si>
  <si>
    <t>TRINITY_DN179596_c0_g1</t>
  </si>
  <si>
    <t>TRINITY_DN193680_c1_g6</t>
  </si>
  <si>
    <t>TRINITY_DN179090_c1_g12</t>
  </si>
  <si>
    <t>TRINITY_DN205228_c0_g1</t>
  </si>
  <si>
    <t>TRINITY_DN195672_c0_g1</t>
  </si>
  <si>
    <t>TRINITY_DN182527_c1_g6</t>
  </si>
  <si>
    <t>TRINITY_DN203876_c2_g3</t>
  </si>
  <si>
    <t>TRINITY_DN178262_c0_g2</t>
  </si>
  <si>
    <t>TRINITY_DN173150_c0_g2</t>
  </si>
  <si>
    <t>TRINITY_DN180434_c2_g1</t>
  </si>
  <si>
    <t>TRINITY_DN184293_c3_g1</t>
  </si>
  <si>
    <t>TRINITY_DN198330_c0_g1</t>
  </si>
  <si>
    <t>TRINITY_DN200922_c4_g4</t>
  </si>
  <si>
    <t>TRINITY_DN193655_c0_g2</t>
  </si>
  <si>
    <t>TRINITY_DN176113_c0_g1</t>
  </si>
  <si>
    <t>TRINITY_DN180888_c0_g5</t>
  </si>
  <si>
    <t>TRINITY_DN204530_c3_g3</t>
  </si>
  <si>
    <t>TRINITY_DN173007_c0_g2</t>
  </si>
  <si>
    <t>TRINITY_DN204623_c3_g2</t>
  </si>
  <si>
    <t>TRINITY_DN200247_c0_g2</t>
  </si>
  <si>
    <t>TRINITY_DN187942_c1_g1</t>
  </si>
  <si>
    <t>TRINITY_DN205063_c4_g10</t>
  </si>
  <si>
    <t>TRINITY_DN189545_c0_g1</t>
  </si>
  <si>
    <t>TRINITY_DN68873_c0_g1</t>
  </si>
  <si>
    <t>TRINITY_DN166085_c0_g1</t>
  </si>
  <si>
    <t>TRINITY_DN205063_c4_g11</t>
  </si>
  <si>
    <t>TRINITY_DN200636_c0_g5</t>
  </si>
  <si>
    <t>TRINITY_DN176453_c0_g1</t>
  </si>
  <si>
    <t>TRINITY_DN194644_c1_g1</t>
  </si>
  <si>
    <t>TRINITY_DN204038_c2_g2</t>
  </si>
  <si>
    <t>TRINITY_DN182645_c4_g1</t>
  </si>
  <si>
    <t>TRINITY_DN99058_c0_g1</t>
  </si>
  <si>
    <t>TRINITY_DN201609_c1_g1</t>
  </si>
  <si>
    <t>TRINITY_DN8320_c0_g1</t>
  </si>
  <si>
    <t>TRINITY_DN178644_c0_g1</t>
  </si>
  <si>
    <t>TRINITY_DN174424_c1_g1</t>
  </si>
  <si>
    <t>TRINITY_DN186003_c0_g5</t>
  </si>
  <si>
    <t>TRINITY_DN180544_c2_g1</t>
  </si>
  <si>
    <t>TRINITY_DN172359_c0_g1</t>
  </si>
  <si>
    <t>TRINITY_DN190612_c0_g3</t>
  </si>
  <si>
    <t>TRINITY_DN179073_c0_g2</t>
  </si>
  <si>
    <t>TRINITY_DN195466_c2_g2</t>
  </si>
  <si>
    <t>TRINITY_DN205063_c1_g2</t>
  </si>
  <si>
    <t>TRINITY_DN170952_c0_g1</t>
  </si>
  <si>
    <t>TRINITY_DN198256_c3_g2</t>
  </si>
  <si>
    <t>TRINITY_DN185164_c0_g1</t>
  </si>
  <si>
    <t>TRINITY_DN178851_c3_g5</t>
  </si>
  <si>
    <t>TRINITY_DN199693_c1_g1</t>
  </si>
  <si>
    <t>TRINITY_DN197782_c0_g2</t>
  </si>
  <si>
    <t>TRINITY_DN184840_c0_g3</t>
  </si>
  <si>
    <t>TRINITY_DN180140_c0_g1</t>
  </si>
  <si>
    <t>TRINITY_DN182235_c1_g1</t>
  </si>
  <si>
    <t>TRINITY_DN178945_c0_g1</t>
  </si>
  <si>
    <t>TRINITY_DN180875_c1_g1</t>
  </si>
  <si>
    <t>TRINITY_DN197029_c0_g2</t>
  </si>
  <si>
    <t>TRINITY_DN189677_c1_g1</t>
  </si>
  <si>
    <t>TRINITY_DN195881_c5_g3</t>
  </si>
  <si>
    <t>TRINITY_DN189592_c3_g2</t>
  </si>
  <si>
    <t>TRINITY_DN200570_c2_g5</t>
  </si>
  <si>
    <t>TRINITY_DN195105_c1_g1</t>
  </si>
  <si>
    <t>TRINITY_DN169723_c0_g1</t>
  </si>
  <si>
    <t>TRINITY_DN177333_c0_g1</t>
  </si>
  <si>
    <t>TRINITY_DN185170_c0_g3</t>
  </si>
  <si>
    <t>TRINITY_DN187335_c3_g2</t>
  </si>
  <si>
    <t>TRINITY_DN195478_c0_g2</t>
  </si>
  <si>
    <t>TRINITY_DN195593_c0_g1</t>
  </si>
  <si>
    <t>TRINITY_DN169297_c0_g1</t>
  </si>
  <si>
    <t>TRINITY_DN188610_c0_g1</t>
  </si>
  <si>
    <t>TRINITY_DN185402_c3_g10</t>
  </si>
  <si>
    <t>TRINITY_DN182249_c2_g5</t>
  </si>
  <si>
    <t>TRINITY_DN196469_c0_g1</t>
  </si>
  <si>
    <t>TRINITY_DN191747_c0_g2</t>
  </si>
  <si>
    <t>TRINITY_DN193594_c1_g1</t>
  </si>
  <si>
    <t>TRINITY_DN179616_c3_g2</t>
  </si>
  <si>
    <t>TRINITY_DN201894_c1_g1</t>
  </si>
  <si>
    <t>TRINITY_DN204388_c5_g1</t>
  </si>
  <si>
    <t>TRINITY_DN196045_c1_g6</t>
  </si>
  <si>
    <t>TRINITY_DN199612_c3_g1</t>
  </si>
  <si>
    <t>TRINITY_DN203758_c5_g8</t>
  </si>
  <si>
    <t>TRINITY_DN204790_c5_g3</t>
  </si>
  <si>
    <t>TRINITY_DN204483_c1_g2</t>
  </si>
  <si>
    <t>TRINITY_DN88812_c0_g1</t>
  </si>
  <si>
    <t>TRINITY_DN182901_c2_g9</t>
  </si>
  <si>
    <t>TRINITY_DN94457_c0_g1</t>
  </si>
  <si>
    <t>TRINITY_DN299768_c0_g1</t>
  </si>
  <si>
    <t>TRINITY_DN168568_c0_g1</t>
  </si>
  <si>
    <t>TRINITY_DN195799_c2_g1</t>
  </si>
  <si>
    <t>TRINITY_DN169979_c0_g1</t>
  </si>
  <si>
    <t>TRINITY_DN196677_c0_g4</t>
  </si>
  <si>
    <t>TRINITY_DN181163_c0_g3</t>
  </si>
  <si>
    <t>TRINITY_DN172252_c0_g3</t>
  </si>
  <si>
    <t>TRINITY_DN195704_c1_g1</t>
  </si>
  <si>
    <t>TRINITY_DN174148_c1_g8</t>
  </si>
  <si>
    <t>TRINITY_DN193239_c0_g1</t>
  </si>
  <si>
    <t>TRINITY_DN192025_c1_g5</t>
  </si>
  <si>
    <t>TRINITY_DN192375_c0_g1</t>
  </si>
  <si>
    <t>TRINITY_DN170043_c0_g1</t>
  </si>
  <si>
    <t>TRINITY_DN175178_c2_g2</t>
  </si>
  <si>
    <t>TRINITY_DN189883_c1_g1</t>
  </si>
  <si>
    <t>TRINITY_DN199693_c1_g6</t>
  </si>
  <si>
    <t>TRINITY_DN94958_c0_g1</t>
  </si>
  <si>
    <t>TRINITY_DN178481_c0_g1</t>
  </si>
  <si>
    <t>TRINITY_DN194488_c1_g13</t>
  </si>
  <si>
    <t>TRINITY_DN201627_c3_g16</t>
  </si>
  <si>
    <t>TRINITY_DN187555_c4_g1</t>
  </si>
  <si>
    <t>TRINITY_DN192126_c1_g1</t>
  </si>
  <si>
    <t>TRINITY_DN194763_c1_g2</t>
  </si>
  <si>
    <t>TRINITY_DN198433_c0_g2</t>
  </si>
  <si>
    <t>TRINITY_DN202010_c2_g5</t>
  </si>
  <si>
    <t>TRINITY_DN200706_c0_g1</t>
  </si>
  <si>
    <t>TRINITY_DN196178_c3_g15</t>
  </si>
  <si>
    <t>TRINITY_DN167586_c0_g1</t>
  </si>
  <si>
    <t>TRINITY_DN197693_c0_g5</t>
  </si>
  <si>
    <t>TRINITY_DN196234_c1_g5</t>
  </si>
  <si>
    <t>TRINITY_DN178710_c0_g1</t>
  </si>
  <si>
    <t>TRINITY_DN181172_c0_g1</t>
  </si>
  <si>
    <t>TRINITY_DN190919_c0_g9</t>
  </si>
  <si>
    <t>TRINITY_DN173774_c0_g2</t>
  </si>
  <si>
    <t>TRINITY_DN67127_c0_g2</t>
  </si>
  <si>
    <t>TRINITY_DN198951_c6_g4</t>
  </si>
  <si>
    <t>TRINITY_DN192647_c3_g1</t>
  </si>
  <si>
    <t>TRINITY_DN185587_c0_g1</t>
  </si>
  <si>
    <t>TRINITY_DN179108_c0_g7</t>
  </si>
  <si>
    <t>TRINITY_DN194124_c4_g3</t>
  </si>
  <si>
    <t>TRINITY_DN167125_c0_g1</t>
  </si>
  <si>
    <t>TRINITY_DN172800_c0_g2</t>
  </si>
  <si>
    <t>TRINITY_DN204893_c2_g24</t>
  </si>
  <si>
    <t>TRINITY_DN197982_c1_g2</t>
  </si>
  <si>
    <t>TRINITY_DN174619_c0_g3</t>
  </si>
  <si>
    <t>TRINITY_DN203028_c0_g1</t>
  </si>
  <si>
    <t>TRINITY_DN197129_c0_g2</t>
  </si>
  <si>
    <t>TRINITY_DN181658_c1_g1</t>
  </si>
  <si>
    <t>TRINITY_DN175850_c0_g2</t>
  </si>
  <si>
    <t>TRINITY_DN166582_c0_g2</t>
  </si>
  <si>
    <t>TRINITY_DN192229_c1_g4</t>
  </si>
  <si>
    <t>TRINITY_DN165609_c3_g1</t>
  </si>
  <si>
    <t>TRINITY_DN202234_c5_g5</t>
  </si>
  <si>
    <t>TRINITY_DN171677_c7_g5</t>
  </si>
  <si>
    <t>TRINITY_DN180136_c0_g1</t>
  </si>
  <si>
    <t>TRINITY_DN185898_c0_g2</t>
  </si>
  <si>
    <t>TRINITY_DN169865_c3_g9</t>
  </si>
  <si>
    <t>TRINITY_DN203438_c2_g2</t>
  </si>
  <si>
    <t>TRINITY_DN193542_c1_g11</t>
  </si>
  <si>
    <t>TRINITY_DN182463_c1_g4</t>
  </si>
  <si>
    <t>TRINITY_DN203845_c0_g2</t>
  </si>
  <si>
    <t>TRINITY_DN170452_c0_g1</t>
  </si>
  <si>
    <t>TRINITY_DN185347_c2_g11</t>
  </si>
  <si>
    <t>TRINITY_DN199940_c1_g14</t>
  </si>
  <si>
    <t>TRINITY_DN165004_c0_g2</t>
  </si>
  <si>
    <t>TRINITY_DN197447_c2_g2</t>
  </si>
  <si>
    <t>TRINITY_DN174663_c0_g1</t>
  </si>
  <si>
    <t>TRINITY_DN193767_c1_g5</t>
  </si>
  <si>
    <t>TRINITY_DN191553_c3_g2</t>
  </si>
  <si>
    <t>TRINITY_DN203524_c2_g1</t>
  </si>
  <si>
    <t>TRINITY_DN187065_c5_g9</t>
  </si>
  <si>
    <t>TRINITY_DN190127_c1_g2</t>
  </si>
  <si>
    <t>TRINITY_DN204431_c0_g2</t>
  </si>
  <si>
    <t>TRINITY_DN204604_c6_g5</t>
  </si>
  <si>
    <t>TRINITY_DN202136_c1_g2</t>
  </si>
  <si>
    <t>TRINITY_DN184892_c3_g2</t>
  </si>
  <si>
    <t>TRINITY_DN200323_c1_g1</t>
  </si>
  <si>
    <t>TRINITY_DN196962_c1_g1</t>
  </si>
  <si>
    <t>TRINITY_DN195032_c1_g2</t>
  </si>
  <si>
    <t>TRINITY_DN204195_c6_g13</t>
  </si>
  <si>
    <t>TRINITY_DN198111_c5_g3</t>
  </si>
  <si>
    <t>TRINITY_DN200500_c1_g2</t>
  </si>
  <si>
    <t>TRINITY_DN177606_c2_g2</t>
  </si>
  <si>
    <t>TRINITY_DN199920_c4_g3</t>
  </si>
  <si>
    <t>TRINITY_DN197382_c1_g2</t>
  </si>
  <si>
    <t>TRINITY_DN202633_c2_g3</t>
  </si>
  <si>
    <t>TRINITY_DN203505_c1_g4</t>
  </si>
  <si>
    <t>TRINITY_DN202665_c1_g6</t>
  </si>
  <si>
    <t>TRINITY_DN204341_c3_g12</t>
  </si>
  <si>
    <t>TRINITY_DN179972_c0_g1</t>
  </si>
  <si>
    <t>TRINITY_DN201097_c1_g2</t>
  </si>
  <si>
    <t>TRINITY_DN192196_c1_g1</t>
  </si>
  <si>
    <t>TRINITY_DN194012_c1_g5</t>
  </si>
  <si>
    <t>TRINITY_DN186530_c1_g1</t>
  </si>
  <si>
    <t>TRINITY_DN192123_c2_g1</t>
  </si>
  <si>
    <t>TRINITY_DN195819_c8_g1</t>
  </si>
  <si>
    <t>TRINITY_DN194150_c0_g1</t>
  </si>
  <si>
    <t>TRINITY_DN186882_c3_g2</t>
  </si>
  <si>
    <t>TRINITY_DN197585_c2_g6</t>
  </si>
  <si>
    <t>TRINITY_DN171986_c0_g1</t>
  </si>
  <si>
    <t>TRINITY_DN193008_c4_g1</t>
  </si>
  <si>
    <t>TRINITY_DN196272_c0_g6</t>
  </si>
  <si>
    <t>TRINITY_DN175488_c1_g1</t>
  </si>
  <si>
    <t>TRINITY_DN182267_c1_g3</t>
  </si>
  <si>
    <t>TRINITY_DN165279_c0_g3</t>
  </si>
  <si>
    <t>TRINITY_DN192424_c0_g1</t>
  </si>
  <si>
    <t>TRINITY_DN202011_c1_g10</t>
  </si>
  <si>
    <t>TRINITY_DN204893_c2_g8</t>
  </si>
  <si>
    <t>TRINITY_DN197097_c1_g1</t>
  </si>
  <si>
    <t>TRINITY_DN173884_c2_g3</t>
  </si>
  <si>
    <t>TRINITY_DN201933_c2_g1</t>
  </si>
  <si>
    <t>TRINITY_DN89272_c0_g1</t>
  </si>
  <si>
    <t>TRINITY_DN190228_c3_g1</t>
  </si>
  <si>
    <t>TRINITY_DN201417_c3_g16</t>
  </si>
  <si>
    <t>TRINITY_DN179516_c0_g7</t>
  </si>
  <si>
    <t>TRINITY_DN181130_c0_g1</t>
  </si>
  <si>
    <t>TRINITY_DN178865_c0_g6</t>
  </si>
  <si>
    <t>TRINITY_DN188113_c3_g1</t>
  </si>
  <si>
    <t>TRINITY_DN192717_c4_g2</t>
  </si>
  <si>
    <t>TRINITY_DN205490_c5_g6</t>
  </si>
  <si>
    <t>TRINITY_DN204341_c3_g11</t>
  </si>
  <si>
    <t>TRINITY_DN201144_c2_g2</t>
  </si>
  <si>
    <t>TRINITY_DN201296_c1_g4</t>
  </si>
  <si>
    <t>TRINITY_DN193447_c3_g1</t>
  </si>
  <si>
    <t>TRINITY_DN188441_c6_g3</t>
  </si>
  <si>
    <t>TRINITY_DN188327_c1_g1</t>
  </si>
  <si>
    <t>TRINITY_DN164558_c1_g1</t>
  </si>
  <si>
    <t>TRINITY_DN185381_c0_g1</t>
  </si>
  <si>
    <t>TRINITY_DN178566_c0_g3</t>
  </si>
  <si>
    <t>TRINITY_DN196974_c1_g18</t>
  </si>
  <si>
    <t>TRINITY_DN181439_c0_g1</t>
  </si>
  <si>
    <t>TRINITY_DN196273_c7_g2</t>
  </si>
  <si>
    <t>TRINITY_DN180212_c1_g2</t>
  </si>
  <si>
    <t>TRINITY_DN205475_c5_g2</t>
  </si>
  <si>
    <t>TRINITY_DN193160_c1_g1</t>
  </si>
  <si>
    <t>TRINITY_DN176680_c0_g1</t>
  </si>
  <si>
    <t>TRINITY_DN199940_c1_g9</t>
  </si>
  <si>
    <t>TRINITY_DN190300_c4_g1</t>
  </si>
  <si>
    <t>TRINITY_DN200116_c0_g2</t>
  </si>
  <si>
    <t>TRINITY_DN175740_c1_g5</t>
  </si>
  <si>
    <t>TRINITY_DN183983_c0_g8</t>
  </si>
  <si>
    <t>TRINITY_DN194756_c4_g5</t>
  </si>
  <si>
    <t>TRINITY_DN190919_c0_g1</t>
  </si>
  <si>
    <t>TRINITY_DN200170_c0_g1</t>
  </si>
  <si>
    <t>TRINITY_DN194126_c0_g2</t>
  </si>
  <si>
    <t>TRINITY_DN197550_c2_g21</t>
  </si>
  <si>
    <t>TRINITY_DN192965_c4_g1</t>
  </si>
  <si>
    <t>TRINITY_DN172184_c0_g3</t>
  </si>
  <si>
    <t>TRINITY_DN171125_c1_g2</t>
  </si>
  <si>
    <t>TRINITY_DN193039_c4_g4</t>
  </si>
  <si>
    <t>TRINITY_DN185926_c1_g3</t>
  </si>
  <si>
    <t>TRINITY_DN170125_c0_g1</t>
  </si>
  <si>
    <t>TRINITY_DN195944_c1_g10</t>
  </si>
  <si>
    <t>TRINITY_DN195763_c3_g1</t>
  </si>
  <si>
    <t>TRINITY_DN182176_c0_g1</t>
  </si>
  <si>
    <t>TRINITY_DN201942_c1_g1</t>
  </si>
  <si>
    <t>TRINITY_DN182209_c2_g3</t>
  </si>
  <si>
    <t>TRINITY_DN188049_c3_g1</t>
  </si>
  <si>
    <t>TRINITY_DN196356_c1_g16</t>
  </si>
  <si>
    <t>TRINITY_DN198738_c0_g2</t>
  </si>
  <si>
    <t>TRINITY_DN181311_c3_g1</t>
  </si>
  <si>
    <t>TRINITY_DN170530_c0_g7</t>
  </si>
  <si>
    <t>TRINITY_DN204678_c6_g6</t>
  </si>
  <si>
    <t>TRINITY_DN94153_c1_g1</t>
  </si>
  <si>
    <t>TRINITY_DN397406_c0_g1</t>
  </si>
  <si>
    <t>TRINITY_DN183257_c1_g1</t>
  </si>
  <si>
    <t>TRINITY_DN195424_c2_g2</t>
  </si>
  <si>
    <t>TRINITY_DN174043_c2_g1</t>
  </si>
  <si>
    <t>TRINITY_DN195092_c7_g2</t>
  </si>
  <si>
    <t>TRINITY_DN186810_c2_g4</t>
  </si>
  <si>
    <t>TRINITY_DN181891_c0_g1</t>
  </si>
  <si>
    <t>TRINITY_DN197351_c2_g1</t>
  </si>
  <si>
    <t>TRINITY_DN195053_c0_g4</t>
  </si>
  <si>
    <t>TRINITY_DN180341_c1_g1</t>
  </si>
  <si>
    <t>TRINITY_DN191603_c1_g2</t>
  </si>
  <si>
    <t>TRINITY_DN180975_c0_g1</t>
  </si>
  <si>
    <t>TRINITY_DN183601_c0_g4</t>
  </si>
  <si>
    <t>TRINITY_DN183315_c5_g1</t>
  </si>
  <si>
    <t>TRINITY_DN185531_c3_g5</t>
  </si>
  <si>
    <t>TRINITY_DN195666_c3_g1</t>
  </si>
  <si>
    <t>TRINITY_DN185521_c1_g1</t>
  </si>
  <si>
    <t>TRINITY_DN196974_c1_g11</t>
  </si>
  <si>
    <t>TRINITY_DN182342_c1_g4</t>
  </si>
  <si>
    <t>TRINITY_DN196922_c1_g1</t>
  </si>
  <si>
    <t>TRINITY_DN187136_c3_g1</t>
  </si>
  <si>
    <t>TRINITY_DN175608_c1_g2</t>
  </si>
  <si>
    <t>TRINITY_DN195920_c0_g1</t>
  </si>
  <si>
    <t>TRINITY_DN187475_c0_g4</t>
  </si>
  <si>
    <t>TRINITY_DN164969_c3_g3</t>
  </si>
  <si>
    <t>TRINITY_DN174570_c1_g3</t>
  </si>
  <si>
    <t>TRINITY_DN183257_c3_g2</t>
  </si>
  <si>
    <t>TRINITY_DN182529_c0_g2</t>
  </si>
  <si>
    <t>TRINITY_DN192771_c0_g3</t>
  </si>
  <si>
    <t>TRINITY_DN193505_c2_g4</t>
  </si>
  <si>
    <t>TRINITY_DN181966_c2_g2</t>
  </si>
  <si>
    <t>TRINITY_DN174623_c0_g1</t>
  </si>
  <si>
    <t>TRINITY_DN199664_c2_g15</t>
  </si>
  <si>
    <t>TRINITY_DN74329_c0_g2</t>
  </si>
  <si>
    <t>TRINITY_DN200038_c4_g8</t>
  </si>
  <si>
    <t>TRINITY_DN165828_c0_g1</t>
  </si>
  <si>
    <t>TRINITY_DN204475_c5_g2</t>
  </si>
  <si>
    <t>TRINITY_DN175563_c0_g1</t>
  </si>
  <si>
    <t>TRINITY_DN180121_c0_g3</t>
  </si>
  <si>
    <t>TRINITY_DN202827_c2_g18</t>
  </si>
  <si>
    <t>TRINITY_DN24125_c0_g1</t>
  </si>
  <si>
    <t>TRINITY_DN194256_c2_g4</t>
  </si>
  <si>
    <t>TRINITY_DN174657_c0_g1</t>
  </si>
  <si>
    <t>TRINITY_DN200907_c1_g3</t>
  </si>
  <si>
    <t>TRINITY_DN204195_c6_g8</t>
  </si>
  <si>
    <t>TRINITY_DN175679_c1_g1</t>
  </si>
  <si>
    <t>TRINITY_DN183315_c6_g1</t>
  </si>
  <si>
    <t>TRINITY_DN197762_c1_g7</t>
  </si>
  <si>
    <t>TRINITY_DN196471_c5_g1</t>
  </si>
  <si>
    <t>TRINITY_DN185004_c2_g1</t>
  </si>
  <si>
    <t>TRINITY_DN205475_c5_g1</t>
  </si>
  <si>
    <t>TRINITY_DN190791_c0_g2</t>
  </si>
  <si>
    <t>TRINITY_DN179074_c1_g1</t>
  </si>
  <si>
    <t>TRINITY_DN189084_c0_g1</t>
  </si>
  <si>
    <t>TRINITY_DN181499_c1_g1</t>
  </si>
  <si>
    <t>TRINITY_DN171943_c2_g6</t>
  </si>
  <si>
    <t>TRINITY_DN197119_c0_g2</t>
  </si>
  <si>
    <t>TRINITY_DN172184_c0_g8</t>
  </si>
  <si>
    <t>TRINITY_DN174202_c2_g4</t>
  </si>
  <si>
    <t>TRINITY_DN203227_c1_g2</t>
  </si>
  <si>
    <t>TRINITY_DN173884_c2_g2</t>
  </si>
  <si>
    <t>TRINITY_DN176312_c0_g9</t>
  </si>
  <si>
    <t>TRINITY_DN195927_c2_g2</t>
  </si>
  <si>
    <t>TRINITY_DN205415_c4_g4</t>
  </si>
  <si>
    <t>TRINITY_DN193321_c3_g1</t>
  </si>
  <si>
    <t>TRINITY_DN203335_c2_g1</t>
  </si>
  <si>
    <t>TRINITY_DN198530_c0_g2</t>
  </si>
  <si>
    <t>TRINITY_DN191275_c3_g1</t>
  </si>
  <si>
    <t>TRINITY_DN196075_c3_g5</t>
  </si>
  <si>
    <t>TRINITY_DN189020_c0_g2</t>
  </si>
  <si>
    <t>TRINITY_DN194372_c0_g1</t>
  </si>
  <si>
    <t>TRINITY_DN201992_c2_g8</t>
  </si>
  <si>
    <t>TRINITY_DN90584_c0_g4</t>
  </si>
  <si>
    <t>TRINITY_DN204431_c0_g3</t>
  </si>
  <si>
    <t>TRINITY_DN177377_c0_g2</t>
  </si>
  <si>
    <t>TRINITY_DN183624_c4_g1</t>
  </si>
  <si>
    <t>TRINITY_DN200504_c4_g7</t>
  </si>
  <si>
    <t>TRINITY_DN200116_c0_g1</t>
  </si>
  <si>
    <t>TRINITY_DN202088_c4_g1</t>
  </si>
  <si>
    <t>TRINITY_DN199319_c4_g6</t>
  </si>
  <si>
    <t>TRINITY_DN197327_c3_g5</t>
  </si>
  <si>
    <t>TRINITY_DN200504_c4_g2</t>
  </si>
  <si>
    <t>TRINITY_DN197943_c8_g28</t>
  </si>
  <si>
    <t>TRINITY_DN205513_c13_g5</t>
  </si>
  <si>
    <t>TRINITY_DN173290_c1_g1</t>
  </si>
  <si>
    <t>TRINITY_DN192601_c1_g4</t>
  </si>
  <si>
    <t>TRINITY_DN203520_c3_g3</t>
  </si>
  <si>
    <t>TRINITY_DN179237_c4_g2</t>
  </si>
  <si>
    <t>TRINITY_DN86347_c0_g1</t>
  </si>
  <si>
    <t>TRINITY_DN194816_c1_g3</t>
  </si>
  <si>
    <t>TRINITY_DN183983_c0_g2</t>
  </si>
  <si>
    <t>TRINITY_DN175996_c2_g3</t>
  </si>
  <si>
    <t>TRINITY_DN167166_c0_g2</t>
  </si>
  <si>
    <t>TRINITY_DN198204_c2_g9</t>
  </si>
  <si>
    <t>TRINITY_DN185870_c0_g2</t>
  </si>
  <si>
    <t>TRINITY_DN194767_c0_g2</t>
  </si>
  <si>
    <t>TRINITY_DN180121_c0_g4</t>
  </si>
  <si>
    <t>TRINITY_DN196221_c1_g2</t>
  </si>
  <si>
    <t>TRINITY_DN205448_c26_g10</t>
  </si>
  <si>
    <t>TRINITY_DN189849_c4_g1</t>
  </si>
  <si>
    <t>TRINITY_DN194755_c0_g2</t>
  </si>
  <si>
    <t>TRINITY_DN184161_c0_g1</t>
  </si>
  <si>
    <t>TRINITY_DN203916_c6_g4</t>
  </si>
  <si>
    <t>TRINITY_DN198419_c0_g1</t>
  </si>
  <si>
    <t>TRINITY_DN185709_c2_g1</t>
  </si>
  <si>
    <t>TRINITY_DN166550_c1_g1</t>
  </si>
  <si>
    <t>TRINITY_DN197143_c2_g2</t>
  </si>
  <si>
    <t>TRINITY_DN197954_c3_g8</t>
  </si>
  <si>
    <t>K04286</t>
  </si>
  <si>
    <t>K07763,K07997</t>
  </si>
  <si>
    <t>K09637</t>
  </si>
  <si>
    <t>K11182</t>
  </si>
  <si>
    <t>K08606</t>
  </si>
  <si>
    <t>K15015</t>
  </si>
  <si>
    <t>K00485</t>
  </si>
  <si>
    <t>K14613,K20840</t>
  </si>
  <si>
    <t>K01192,K04532</t>
  </si>
  <si>
    <t>K01620,K01739,K01758</t>
  </si>
  <si>
    <t>K03948</t>
  </si>
  <si>
    <t>K01049,K01050,K03927,K07378</t>
  </si>
  <si>
    <t>K04000</t>
  </si>
  <si>
    <t>K06278,K12959</t>
  </si>
  <si>
    <t>K01332,K03006,K06238,K13023</t>
  </si>
  <si>
    <t>K01302</t>
  </si>
  <si>
    <t>K05768</t>
  </si>
  <si>
    <t>K04358</t>
  </si>
  <si>
    <t>K08202,K08203,K08209,K08210</t>
  </si>
  <si>
    <t>K08202,K08203,K08204,K08205,K08206,K08207,K08208,K08209,K08210,K08216</t>
  </si>
  <si>
    <t>K04666</t>
  </si>
  <si>
    <t>K01049,K03927,K07378</t>
  </si>
  <si>
    <t>K12378</t>
  </si>
  <si>
    <t>K00432</t>
  </si>
  <si>
    <t>K01201,K09448</t>
  </si>
  <si>
    <t>K06252,K08622,K08626,K13837</t>
  </si>
  <si>
    <t>K13624,K14735</t>
  </si>
  <si>
    <t>K14386,K14388</t>
  </si>
  <si>
    <t>K13912,K19525</t>
  </si>
  <si>
    <t>K10252,K11158,K20991</t>
  </si>
  <si>
    <t>K10442,K10457</t>
  </si>
  <si>
    <t>K04662</t>
  </si>
  <si>
    <t>K08621,K08625</t>
  </si>
  <si>
    <t>K04667,K04669</t>
  </si>
  <si>
    <t>K00431,K10788,K10789</t>
  </si>
  <si>
    <t>K07852,K17198</t>
  </si>
  <si>
    <t>K00461</t>
  </si>
  <si>
    <t>K01283</t>
  </si>
  <si>
    <t>K14206,K14637</t>
  </si>
  <si>
    <t>K11140,K11141</t>
  </si>
  <si>
    <t>K01349</t>
  </si>
  <si>
    <t>K20526</t>
  </si>
  <si>
    <t>K07852</t>
  </si>
  <si>
    <t>K16891</t>
  </si>
  <si>
    <t>K17505</t>
  </si>
  <si>
    <t>K00312,K00572</t>
  </si>
  <si>
    <t>K04362,K05093,K05094,K05095</t>
  </si>
  <si>
    <t>K04592,K04594</t>
  </si>
  <si>
    <t>K17280</t>
  </si>
  <si>
    <t>K00061,K11154,K13369</t>
  </si>
  <si>
    <t>K01784,K06734</t>
  </si>
  <si>
    <t>K05093,K05094</t>
  </si>
  <si>
    <t>K17080</t>
  </si>
  <si>
    <t>K06550,K06756,K06757,K06758</t>
  </si>
  <si>
    <t>K13366</t>
  </si>
  <si>
    <t>K09048</t>
  </si>
  <si>
    <t>K01431</t>
  </si>
  <si>
    <t>K04513,K07857</t>
  </si>
  <si>
    <t>K05094</t>
  </si>
  <si>
    <t>K08465,K08466</t>
  </si>
  <si>
    <t>K04144</t>
  </si>
  <si>
    <t>K07595,K09035,K09036,K09037,K09038</t>
  </si>
  <si>
    <t>K03781</t>
  </si>
  <si>
    <t>K10277</t>
  </si>
  <si>
    <t>K10798</t>
  </si>
  <si>
    <t>K16288</t>
  </si>
  <si>
    <t>K05658,K05659,K05664</t>
  </si>
  <si>
    <t>K06560</t>
  </si>
  <si>
    <t>K06767,K06768,K16353</t>
  </si>
  <si>
    <t>K11498,K13535,K13698,K13699</t>
  </si>
  <si>
    <t>K09397</t>
  </si>
  <si>
    <t>K01311,K01345,K01346,K09632,K20751</t>
  </si>
  <si>
    <t>Melatonin receptor type 1B</t>
  </si>
  <si>
    <t>GABA-A receptor activity</t>
  </si>
  <si>
    <t>sequence-specific DNA binding</t>
  </si>
  <si>
    <t>thioesterase binding</t>
  </si>
  <si>
    <t>Ribonuclease H protein</t>
  </si>
  <si>
    <t>Belongs to the peptidase M10A family</t>
  </si>
  <si>
    <t>serine-type endopeptidase activity</t>
  </si>
  <si>
    <t>amine oxidase</t>
  </si>
  <si>
    <t>SPFH domain / Band 7 family</t>
  </si>
  <si>
    <t>NMDA glutamate receptor activity</t>
  </si>
  <si>
    <t>lipoprotein receptor-related protein</t>
  </si>
  <si>
    <t>positive regulation of TOR signaling</t>
  </si>
  <si>
    <t>metalloendopeptidase activity</t>
  </si>
  <si>
    <t>basic region leucin zipper</t>
  </si>
  <si>
    <t>Tyrosine-protein kinase Srms</t>
  </si>
  <si>
    <t>Vesicular inhibitory amino acid</t>
  </si>
  <si>
    <t>Ephrin receptor ligand binding domain</t>
  </si>
  <si>
    <t>branchiomeric skeletal muscle development</t>
  </si>
  <si>
    <t>neurogenic locus notch homolog protein</t>
  </si>
  <si>
    <t>Fibrillar collagens C-terminal domain</t>
  </si>
  <si>
    <t>N,N-dimethylaniline monooxygenase activity</t>
  </si>
  <si>
    <t>thiol-dependent ubiquitin-specific protease activity</t>
  </si>
  <si>
    <t>TLD</t>
  </si>
  <si>
    <t>Methionine gamma-lyase</t>
  </si>
  <si>
    <t>Disintegrin and metalloproteinase domain-containing protein 28</t>
  </si>
  <si>
    <t>Putative ephrin-receptor like</t>
  </si>
  <si>
    <t>intracellular cholesterol transport</t>
  </si>
  <si>
    <t>NADH dehydrogenase ubiquinone 1 alpha subcomplex subunit 4</t>
  </si>
  <si>
    <t>Lysyl oxidase-like 5a</t>
  </si>
  <si>
    <t>monocarboxylate transporter</t>
  </si>
  <si>
    <t>Potassium channel subfamily K member</t>
  </si>
  <si>
    <t>peptidase inhibitor activity</t>
  </si>
  <si>
    <t>Trehalase</t>
  </si>
  <si>
    <t>Zona pellucida (ZP) domain</t>
  </si>
  <si>
    <t>metallodipeptidase activity</t>
  </si>
  <si>
    <t>Coagulation factor 5/8 C-terminal domain, discoidin domain</t>
  </si>
  <si>
    <t>actin filament severing</t>
  </si>
  <si>
    <t>glycoprotein hormone</t>
  </si>
  <si>
    <t>collagen</t>
  </si>
  <si>
    <t>Calcium ion binding</t>
  </si>
  <si>
    <t>secretion by lung epithelial cell involved in lung growth</t>
  </si>
  <si>
    <t>glutathione hydrolase activity</t>
  </si>
  <si>
    <t>Reverse transcriptase (RNA-dependent DNA polymerase)</t>
  </si>
  <si>
    <t>HYR domain</t>
  </si>
  <si>
    <t>solute carrier family 22</t>
  </si>
  <si>
    <t>D-amino acid oxidase</t>
  </si>
  <si>
    <t>Scavenger receptor Cys-rich</t>
  </si>
  <si>
    <t>Nodal homolog</t>
  </si>
  <si>
    <t>transmembrane receptor protein tyrosine kinase activity</t>
  </si>
  <si>
    <t>glutathione peroxidase activity</t>
  </si>
  <si>
    <t>Myosin, light</t>
  </si>
  <si>
    <t>transcriptional enhancer factor</t>
  </si>
  <si>
    <t>AE binding protein 1</t>
  </si>
  <si>
    <t>A disintegrin and metalloproteinase with thrombospondin motifs</t>
  </si>
  <si>
    <t>CUB and sushi domain-containing protein</t>
  </si>
  <si>
    <t>Folate receptor family</t>
  </si>
  <si>
    <t>protein tyrosine phosphatase activity</t>
  </si>
  <si>
    <t>molybdenum ion binding</t>
  </si>
  <si>
    <t>oxidoreductase activity, oxidizing metal ions, oxygen as acceptor</t>
  </si>
  <si>
    <t>tissue factor pathway inhibitor</t>
  </si>
  <si>
    <t>trypsinogen activation</t>
  </si>
  <si>
    <t>Belongs to the peptidase S1 family</t>
  </si>
  <si>
    <t>Cephalosporin hydroxylase</t>
  </si>
  <si>
    <t>C2 domain</t>
  </si>
  <si>
    <t>Carbonic anhydrase</t>
  </si>
  <si>
    <t>cobalamin catabolic process</t>
  </si>
  <si>
    <t>tetraterpenoid metabolic process</t>
  </si>
  <si>
    <t>molting cycle, collagen and cuticulin-based cuticle</t>
  </si>
  <si>
    <t>bone morphogenetic protein</t>
  </si>
  <si>
    <t>ADAM metallopeptidase with thrombospondin type 1 motif 10</t>
  </si>
  <si>
    <t>Transforming growth  factor-beta (TGF-beta) family</t>
  </si>
  <si>
    <t>negative regulation of insulin-like growth factor receptor signaling pathway</t>
  </si>
  <si>
    <t>Collagen alpha-2(V)</t>
  </si>
  <si>
    <t>RAB30, member RAS oncogene family</t>
  </si>
  <si>
    <t>hypochlorous acid biosynthetic process</t>
  </si>
  <si>
    <t>Astacin (Peptidase family M12A)</t>
  </si>
  <si>
    <t>Isocitrate lyase family</t>
  </si>
  <si>
    <t>Wnt-activated receptor activity</t>
  </si>
  <si>
    <t>Nidogen-like</t>
  </si>
  <si>
    <t>GTP binding. It is involved in the biological process described with</t>
  </si>
  <si>
    <t>arachidonate 5-lipoxygenase activity</t>
  </si>
  <si>
    <t>adenosine deaminase-like</t>
  </si>
  <si>
    <t>serine protease</t>
  </si>
  <si>
    <t>CUB and zona pellucida-like domain-containing protein</t>
  </si>
  <si>
    <t>tachykinin receptor activity</t>
  </si>
  <si>
    <t>peptidyl-dipeptidase activity</t>
  </si>
  <si>
    <t>Transient receptor potential cation channel, subfamily A, member</t>
  </si>
  <si>
    <t>bZIP Maf transcription factor</t>
  </si>
  <si>
    <t>Ligand-gated ion channel</t>
  </si>
  <si>
    <t>ephrin receptor activity</t>
  </si>
  <si>
    <t>oligopeptide transmembrane transporter activity</t>
  </si>
  <si>
    <t>7 transmembrane receptor (Secretin family)</t>
  </si>
  <si>
    <t>metalloaminopeptidase activity</t>
  </si>
  <si>
    <t>Cytochrome c oxidase (COX, complex IV) is the terminal component of the mitochondrial respiratory chain that catalyzes the reduction of oxygen to water. Required for complex IV maintenance</t>
  </si>
  <si>
    <t>thyroid hormone transmembrane transporter activity</t>
  </si>
  <si>
    <t>heparan sulfate proteoglycan</t>
  </si>
  <si>
    <t>proprotein convertase subtilisin kexin type</t>
  </si>
  <si>
    <t>Alternative oxidase</t>
  </si>
  <si>
    <t>zinc ion binding</t>
  </si>
  <si>
    <t>actin binding</t>
  </si>
  <si>
    <t>Ion transport protein</t>
  </si>
  <si>
    <t>cation channel activity</t>
  </si>
  <si>
    <t>Endonuclease/Exonuclease/phosphatase family</t>
  </si>
  <si>
    <t>Cartilage intermediate layer protein, nucleotide pyrophosphohydrolase</t>
  </si>
  <si>
    <t>protein serine/threonine phosphatase activity</t>
  </si>
  <si>
    <t>Ligand for members of the frizzled family of seven transmembrane receptors</t>
  </si>
  <si>
    <t>fibroblast growth factor-activated receptor activity</t>
  </si>
  <si>
    <t>cubilin (intrinsic factor-cobalamin receptor)</t>
  </si>
  <si>
    <t>Chordin-like</t>
  </si>
  <si>
    <t>7 transmembrane receptor (rhodopsin family)</t>
  </si>
  <si>
    <t>Aminotransferase class-V</t>
  </si>
  <si>
    <t>Persulfide dioxygenase ETHE1</t>
  </si>
  <si>
    <t>endocytosis</t>
  </si>
  <si>
    <t>serine-pyruvate transaminase activity</t>
  </si>
  <si>
    <t>Glycosyl transferases group 1</t>
  </si>
  <si>
    <t>ATP binding. It is involved in the biological process described with protein phosphorylation</t>
  </si>
  <si>
    <t>Flavin containing amine oxidoreductase</t>
  </si>
  <si>
    <t>Cadherin repeats.</t>
  </si>
  <si>
    <t>cAMP response element binding</t>
  </si>
  <si>
    <t>beta-ureidopropionase activity</t>
  </si>
  <si>
    <t>skeletal muscle satellite cell migration</t>
  </si>
  <si>
    <t>adenylate cyclase-activating G-protein coupled receptor signaling pathway</t>
  </si>
  <si>
    <t>adenylate cyclase-activating dopamine receptor signaling pathway</t>
  </si>
  <si>
    <t>Occurs in almost all aerobically respiring organisms and serves to protect cells from the toxic effects of hydrogen peroxide</t>
  </si>
  <si>
    <t>Cupin-like domain</t>
  </si>
  <si>
    <t>calcium ion transport</t>
  </si>
  <si>
    <t>lipoprotein receptor-related protein 6</t>
  </si>
  <si>
    <t>ATP-binding cassette, subfamily B (MDR TAP), member</t>
  </si>
  <si>
    <t>Domain of unknown function (DUF4062)</t>
  </si>
  <si>
    <t>Dickkopf N-terminal cysteine-rich region</t>
  </si>
  <si>
    <t>Fibrinogen beta and gamma chains, C-terminal globular domain</t>
  </si>
  <si>
    <t>CUB and sushi</t>
  </si>
  <si>
    <t>reverse transcriptase</t>
  </si>
  <si>
    <t>Serine aminopeptidase, S33</t>
  </si>
  <si>
    <t>WSC domain</t>
  </si>
  <si>
    <t>Granulin b</t>
  </si>
  <si>
    <t>PX domain</t>
  </si>
  <si>
    <t>Protein phosphatase 1, regulatory subunit</t>
  </si>
  <si>
    <t>polycystic kidney disease protein 1-like</t>
  </si>
  <si>
    <t>Lytic polysaccharide mono-oxygenase, cellulose-degrading</t>
  </si>
  <si>
    <t>GO:0001654,GO:0002791,GO:0002792,GO:0003008,GO:0003013,GO:0003018,GO:0003674,GO:0004888,GO:0004930,GO:0005575,GO:0005623,GO:0005886,GO:0005887,GO:0006873,GO:0006874,GO:0006875,GO:0007154,GO:0007165,GO:0007186,GO:0007187,GO:0007267,GO:0007268,GO:0007275,GO:0007423,GO:0007623,GO:0008015,GO:0008150,GO:0008502,GO:0009987,GO:0010646,GO:0010647,GO:0010648,GO:0010817,GO:0010941,GO:0010959,GO:0016020,GO:0016021,GO:0019725,GO:0022898,GO:0023051,GO:0023052,GO:0023056,GO:0023057,GO:0030003,GO:0031224,GO:0031226,GO:0031644,GO:0031645,GO:0031646,GO:0032409,GO:0032410,GO:0032412,GO:0032413,GO:0032501,GO:0032502,GO:0032879,GO:0032880,GO:0033500,GO:0034762,GO:0034763,GO:0034765,GO:0034766,GO:0035150,GO:0035296,GO:0038023,GO:0042391,GO:0042592,GO:0042593,GO:0042749,GO:0042752,GO:0042753,GO:0042981,GO:0043010,GO:0043066,GO:0043067,GO:0043069,GO:0043266,GO:0043267,GO:0043269,GO:0043271,GO:0043523,GO:0043524,GO:0044057,GO:0044092,GO:0044425,GO:0044459,GO:0044464,GO:0045187,GO:0045188,GO:0045938,GO:0046010,GO:0046676,GO:0046883,GO:0046888,GO:0048511,GO:0048513,GO:0048518,GO:0048519,GO:0048520,GO:0048522,GO:0048523,GO:0048731,GO:0048856,GO:0048878,GO:0050708,GO:0050709,GO:0050789,GO:0050794,GO:0050795,GO:0050796,GO:0050801,GO:0050880,GO:0050896,GO:0051046,GO:0051048,GO:0051049,GO:0051051,GO:0051223,GO:0051224,GO:0051239,GO:0051240,GO:0051241,GO:0051480,GO:0051481,GO:0051716,GO:0051969,GO:0051970,GO:0051971,GO:0055065,GO:0055074,GO:0055080,GO:0055082,GO:0060089,GO:0060548,GO:0065007,GO:0065008,GO:0065009,GO:0070201,GO:0071944,GO:0072503,GO:0072507,GO:0090066,GO:0090087,GO:0090276,GO:0090278,GO:0097746,GO:0097755,GO:0098771,GO:0098900,GO:0098908,GO:0098916,GO:0099536,GO:0099537,GO:1901016,GO:1901017,GO:1901214,GO:1901215,GO:1901379,GO:1901380,GO:1902259,GO:1902260,GO:1903530,GO:1903531,GO:1903817,GO:1904062,GO:1904063,GO:1904950,GO:2001257,GO:2001258</t>
  </si>
  <si>
    <t>GO:0003674,GO:0005488,GO:0005515,GO:0005575,GO:0005622,GO:0005623,GO:0005737,GO:0005813,GO:0005815,GO:0005829,GO:0005856,GO:0005886,GO:0005887,GO:0006355,GO:0007154,GO:0007165,GO:0008150,GO:0008284,GO:0009889,GO:0009898,GO:0009966,GO:0009967,GO:0009987,GO:0010468,GO:0010556,GO:0010646,GO:0010647,GO:0015630,GO:0016020,GO:0016021,GO:0019219,GO:0019222,GO:0019899,GO:0023051,GO:0023052,GO:0023056,GO:0031224,GO:0031226,GO:0031323,GO:0031326,GO:0031625,GO:0031996,GO:0032991,GO:0035631,GO:0042127,GO:0042802,GO:0043122,GO:0043123,GO:0043226,GO:0043228,GO:0043229,GO:0043232,GO:0043235,GO:0044093,GO:0044389,GO:0044422,GO:0044424,GO:0044425,GO:0044430,GO:0044444,GO:0044446,GO:0044459,GO:0044464,GO:0048518,GO:0048522,GO:0048583,GO:0048584,GO:0050789,GO:0050794,GO:0050896,GO:0051090,GO:0051091,GO:0051092,GO:0051171,GO:0051252,GO:0051716,GO:0060255,GO:0065007,GO:0065009,GO:0071944,GO:0080090,GO:0098552,GO:0098562,GO:0098796,GO:0098797,GO:0098802,GO:1902531,GO:1902533,GO:1903506,GO:2000112,GO:2001141</t>
  </si>
  <si>
    <t>GO:0001838,GO:0002009,GO:0002164,GO:0002165,GO:0002168,GO:0003007,GO:0003143,GO:0003144,GO:0005575,GO:0005623,GO:0006950,GO:0007155,GO:0007275,GO:0007399,GO:0007413,GO:0007417,GO:0007419,GO:0007424,GO:0007444,GO:0007503,GO:0007505,GO:0007507,GO:0007552,GO:0007560,GO:0007561,GO:0007591,GO:0008037,GO:0008038,GO:0008150,GO:0009611,GO:0009653,GO:0009790,GO:0009791,GO:0009886,GO:0009887,GO:0009888,GO:0009987,GO:0016043,GO:0016331,GO:0022008,GO:0022411,GO:0022610,GO:0030030,GO:0030154,GO:0030182,GO:0030198,GO:0030425,GO:0031099,GO:0031175,GO:0032501,GO:0032502,GO:0034330,GO:0034769,GO:0035001,GO:0035050,GO:0035148,GO:0035150,GO:0035151,GO:0035152,GO:0035159,GO:0035239,GO:0035295,GO:0036477,GO:0040007,GO:0042060,GO:0042246,GO:0042303,GO:0042995,GO:0043005,GO:0043062,GO:0044463,GO:0044464,GO:0045216,GO:0048468,GO:0048513,GO:0048562,GO:0048563,GO:0048568,GO:0048569,GO:0048589,GO:0048598,GO:0048646,GO:0048666,GO:0048699,GO:0048707,GO:0048729,GO:0048731,GO:0048856,GO:0048869,GO:0050896,GO:0060429,GO:0060541,GO:0060560,GO:0060562,GO:0060612,GO:0061448,GO:0061564,GO:0065007,GO:0065008,GO:0071711,GO:0071840,GO:0072175,GO:0072359,GO:0090066,GO:0097156,GO:0097447,GO:0097458,GO:0106030,GO:0120025,GO:0120036,GO:0120038</t>
  </si>
  <si>
    <t>GO:0000122,GO:0000976,GO:0000977,GO:0000981,GO:0001012,GO:0001067,GO:0001227,GO:0001654,GO:0003674,GO:0003676,GO:0003677,GO:0003690,GO:0003700,GO:0005488,GO:0005515,GO:0005575,GO:0005622,GO:0005623,GO:0005634,GO:0005667,GO:0006355,GO:0006357,GO:0007275,GO:0007346,GO:0007399,GO:0007417,GO:0007420,GO:0007423,GO:0007610,GO:0007626,GO:0007631,GO:0008150,GO:0008343,GO:0008344,GO:0009889,GO:0009890,GO:0009892,GO:0009987,GO:0010468,GO:0010556,GO:0010558,GO:0010605,GO:0010629,GO:0019219,GO:0019222,GO:0022008,GO:0030154,GO:0030534,GO:0030901,GO:0031323,GO:0031324,GO:0031326,GO:0031327,GO:0032501,GO:0032502,GO:0032991,GO:0040007,GO:0042802,GO:0042803,GO:0043010,GO:0043226,GO:0043227,GO:0043229,GO:0043231,GO:0043565,GO:0044212,GO:0044424,GO:0044464,GO:0045595,GO:0045892,GO:0045934,GO:0046982,GO:0046983,GO:0048513,GO:0048519,GO:0048523,GO:0048589,GO:0048699,GO:0048731,GO:0048856,GO:0048869,GO:0050767,GO:0050789,GO:0050793,GO:0050794,GO:0051171,GO:0051172,GO:0051239,GO:0051252,GO:0051253,GO:0051726,GO:0051960,GO:0060041,GO:0060255,GO:0060284,GO:0060322,GO:0061074,GO:0065007,GO:0080090,GO:0097159,GO:0140110,GO:1901363,GO:1902679,GO:1902866,GO:1903506,GO:1903507,GO:1990837,GO:2000026,GO:2000112,GO:2000113,GO:2001141</t>
  </si>
  <si>
    <t>GO:0000122,GO:0001525,GO:0001568,GO:0001944,GO:0003674,GO:0003824,GO:0004175,GO:0004222,GO:0004252,GO:0005575,GO:0005576,GO:0005615,GO:0005623,GO:0005886,GO:0006355,GO:0006357,GO:0006508,GO:0006807,GO:0006873,GO:0006875,GO:0006879,GO:0007154,GO:0007165,GO:0007275,GO:0008150,GO:0008152,GO:0008233,GO:0008236,GO:0008237,GO:0009056,GO:0009653,GO:0009889,GO:0009890,GO:0009891,GO:0009892,GO:0009893,GO:0009966,GO:0009968,GO:0009987,GO:0010468,GO:0010556,GO:0010557,GO:0010558,GO:0010604,GO:0010605,GO:0010628,GO:0010629,GO:0010646,GO:0010648,GO:0016020,GO:0016021,GO:0016043,GO:0016787,GO:0017171,GO:0019219,GO:0019222,GO:0019538,GO:0019725,GO:0022411,GO:0022617,GO:0023051,GO:0023052,GO:0023057,GO:0030003,GO:0030193,GO:0030195,GO:0030198,GO:0030510,GO:0030514,GO:0030574,GO:0031224,GO:0031323,GO:0031324,GO:0031325,GO:0031326,GO:0031327,GO:0031328,GO:0032101,GO:0032102,GO:0032501,GO:0032502,GO:0032963,GO:0033619,GO:0035239,GO:0035295,GO:0035556,GO:0042592,GO:0042730,GO:0043062,GO:0043170,GO:0044238,GO:0044421,GO:0044425,GO:0044464,GO:0045892,GO:0045893,GO:0045934,GO:0045935,GO:0045944,GO:0046916,GO:0048514,GO:0048518,GO:0048519,GO:0048522,GO:0048523,GO:0048583,GO:0048585,GO:0048646,GO:0048731,GO:0048856,GO:0048878,GO:0050789,GO:0050794,GO:0050801,GO:0050818,GO:0050819,GO:0050878,GO:0050896,GO:0051171,GO:0051172,GO:0051173,GO:0051239,GO:0051241,GO:0051252,GO:0051253,GO:0051254,GO:0051716,GO:0055065,GO:0055072,GO:0055076,GO:0055080,GO:0055082,GO:0060255,GO:0061041,GO:0061045,GO:0065007,GO:0065008,GO:0070011,GO:0071704,GO:0071840,GO:0071944,GO:0072358,GO:0072359,GO:0080090,GO:0080134,GO:0090092,GO:0090101,GO:0090287,GO:0090288,GO:0097264,GO:0098771,GO:0140096,GO:1900046,GO:1900047,GO:1901564,GO:1902679,GO:1902680,GO:1903034,GO:1903035,GO:1903506,GO:1903507,GO:1903508,GO:2000112,GO:2000113,GO:2001141</t>
  </si>
  <si>
    <t>GO:0001775,GO:0002252,GO:0002263,GO:0002274,GO:0002275,GO:0002283,GO:0002366,GO:0002376,GO:0002443,GO:0002444,GO:0002446,GO:0003674,GO:0003824,GO:0005488,GO:0005507,GO:0005509,GO:0005515,GO:0005539,GO:0005575,GO:0005576,GO:0005615,GO:0005622,GO:0005623,GO:0005737,GO:0005777,GO:0005886,GO:0005911,GO:0005923,GO:0006805,GO:0006810,GO:0006811,GO:0006812,GO:0006887,GO:0006950,GO:0006955,GO:0007154,GO:0008131,GO:0008144,GO:0008150,GO:0008152,GO:0008201,GO:0008270,GO:0009267,GO:0009410,GO:0009605,GO:0009719,GO:0009987,GO:0009991,GO:0010033,GO:0010035,GO:0010038,GO:0010243,GO:0012505,GO:0014070,GO:0015695,GO:0015893,GO:0015898,GO:0016020,GO:0016192,GO:0016491,GO:0016638,GO:0016641,GO:0030054,GO:0030141,GO:0031410,GO:0031667,GO:0031668,GO:0031669,GO:0031974,GO:0031982,GO:0031983,GO:0032940,GO:0033554,GO:0034774,GO:0034776,GO:0035580,GO:0035690,GO:0035874,GO:0036230,GO:0042119,GO:0042221,GO:0042493,GO:0042579,GO:0042581,GO:0042594,GO:0042802,GO:0042803,GO:0043167,GO:0043168,GO:0043169,GO:0043226,GO:0043227,GO:0043229,GO:0043230,GO:0043231,GO:0043233,GO:0043296,GO:0043299,GO:0043312,GO:0044237,GO:0044421,GO:0044422,GO:0044424,GO:0044433,GO:0044444,GO:0044446,GO:0044464,GO:0044877,GO:0045055,GO:0045321,GO:0046677,GO:0046688,GO:0046872,GO:0046903,GO:0046914,GO:0046983,GO:0048037,GO:0048038,GO:0050896,GO:0051179,GO:0051234,GO:0051716,GO:0052597,GO:0052598,GO:0055114,GO:0060205,GO:0060359,GO:0061476,GO:0070013,GO:0070062,GO:0070160,GO:0070887,GO:0071241,GO:0071242,GO:0071248,GO:0071280,GO:0071310,GO:0071407,GO:0071417,GO:0071420,GO:0071466,GO:0071495,GO:0071496,GO:0071503,GO:0071504,GO:0071702,GO:0071705,GO:0071944,GO:0097184,GO:0097185,GO:0097367,GO:0097708,GO:0099503,GO:0120126,GO:1901681,GO:1901698,GO:1901699,GO:1901700,GO:1901701,GO:1903561</t>
  </si>
  <si>
    <t>GO:0001523,GO:0001568,GO:0001775,GO:0001944,GO:0002020,GO:0002252,GO:0002263,GO:0002265,GO:0002376,GO:0003205,GO:0003279,GO:0003674,GO:0005041,GO:0005044,GO:0005102,GO:0005215,GO:0005488,GO:0005509,GO:0005515,GO:0005575,GO:0005622,GO:0005623,GO:0005634,GO:0005737,GO:0005768,GO:0005769,GO:0005886,GO:0005887,GO:0005905,GO:0006066,GO:0006629,GO:0006720,GO:0006721,GO:0006810,GO:0006897,GO:0006898,GO:0006909,GO:0006955,GO:0007154,GO:0007165,GO:0007186,GO:0007205,GO:0007275,GO:0007399,GO:0007417,GO:0007507,GO:0008104,GO:0008150,GO:0008152,GO:0008202,GO:0008203,GO:0008283,GO:0008565,GO:0009653,GO:0009719,GO:0009893,GO:0009894,GO:0009896,GO:0009966,GO:0009968,GO:0009987,GO:0010001,GO:0010033,GO:0010243,GO:0010517,GO:0010604,GO:0010640,GO:0010642,GO:0010646,GO:0010648,GO:0010715,GO:0010721,GO:0010874,GO:0010875,GO:0010941,GO:0010942,GO:0010975,GO:0010977,GO:0012505,GO:0012506,GO:0014002,GO:0014910,GO:0014912,GO:0015031,GO:0015833,GO:0016020,GO:0016021,GO:0016101,GO:0016125,GO:0016192,GO:0016323,GO:0016964,GO:0019222,GO:0019899,GO:0021782,GO:0022008,GO:0023051,GO:0023052,GO:0023057,GO:0030100,GO:0030111,GO:0030135,GO:0030136,GO:0030139,GO:0030154,GO:0030178,GO:0030226,GO:0030228,GO:0030276,GO:0030334,GO:0030336,GO:0030425,GO:0030659,GO:0030666,GO:0031090,GO:0031224,GO:0031226,GO:0031323,GO:0031325,GO:0031329,GO:0031331,GO:0031344,GO:0031345,GO:0031410,GO:0031623,GO:0031982,GO:0032050,GO:0032092,GO:0032268,GO:0032270,GO:0032368,GO:0032370,GO:0032371,GO:0032373,GO:0032374,GO:0032376,GO:0032429,GO:0032501,GO:0032502,GO:0032879,GO:0032880,GO:0032956,GO:0032970,GO:0032991,GO:0033036,GO:0033043,GO:0034185,GO:0035239,GO:0035295,GO:0035904,GO:0035909,GO:0036477,GO:0038023,GO:0038024,GO:0040012,GO:0040013,GO:0042063,GO:0042176,GO:0042221,GO:0042886,GO:0042953,GO:0042954,GO:0042981,GO:0042995,GO:0043005,GO:0043025,GO:0043066,GO:0043067,GO:0043069,GO:0043112,GO:0043167,GO:0043168,GO:0043169,GO:0043170,GO:0043226,GO:0043227,GO:0043229,GO:0043231,GO:0043235,GO:0043277,GO:0043393,GO:0043394,GO:0043395,GO:0043523,GO:0043524,GO:0044093,GO:0044237,GO:0044238,GO:0044255,GO:0044260,GO:0044281,GO:0044297,GO:0044422,GO:0044424,GO:0044425,GO:0044433,GO:0044444,GO:0044446,GO:0044459,GO:0044463,GO:0044464,GO:0044872,GO:0044877,GO:0045056,GO:0045184,GO:0045595,GO:0045596,GO:0045664,GO:0045665,GO:0045732,GO:0045807,GO:0046872,GO:0048143,GO:0048468,GO:0048471,GO:0048513,GO:0048514,GO:0048518,GO:0048519,GO:0048522,GO:0048523,GO:0048583,GO:0048585,GO:0048699,GO:0048708,GO:0048731,GO:0048844,GO:0048856,GO:0048869,GO:0050767,GO:0050768,GO:0050789,GO:0050790,GO:0050793,GO:0050794,GO:0050896,GO:0051049,GO:0051050,GO:0051093,GO:0051098,GO:0051099,GO:0051128,GO:0051129,GO:0051130,GO:0051171,GO:0051173,GO:0051179,GO:0051222,GO:0051223,GO:0051234,GO:0051239,GO:0051240,GO:0051241,GO:0051246,GO:0051247,GO:0051270,GO:0051271,GO:0051336,GO:0051493,GO:0051716,GO:0051960,GO:0051961,GO:0060089,GO:0060191,GO:0060255,GO:0060284,GO:0060341,GO:0060548,GO:0060627,GO:0060840,GO:0060976,GO:0061900,GO:0065007,GO:0065009,GO:0070201,GO:0070325,GO:0070887,GO:0071310,GO:0071417,GO:0071495,GO:0071702,GO:0071704,GO:0071705,GO:0071944,GO:0072358,GO:0072359,GO:0080090,GO:0090087,GO:0097242,GO:0097367,GO:0097447,GO:0097458,GO:0097708,GO:0098588,GO:0098590,GO:0098657,GO:0098796,GO:0098797,GO:0098805,GO:0120025,GO:0120035,GO:0120038,GO:1900221,GO:1900223,GO:1901214,GO:1901215,GO:1901360,GO:1901615,GO:1901652,GO:1901653,GO:1901681,GO:1901698,GO:1901699,GO:1901700,GO:1901701,GO:1902652,GO:1903053,GO:1903076,GO:1903078,GO:1903362,GO:1903364,GO:1903827,GO:1903829,GO:1904350,GO:1904352,GO:1904375,GO:1904377,GO:1904645,GO:1904646,GO:1904951,GO:1905165,GO:1905167,GO:1905475,GO:1905477,GO:1905952,GO:1905954,GO:2000026,GO:2000145,GO:2000146,GO:2000586,GO:2000587</t>
  </si>
  <si>
    <t>GO:0000122,GO:0000578,GO:0000902,GO:0000904,GO:0000976,GO:0000977,GO:0000980,GO:0000981,GO:0000982,GO:0001012,GO:0001067,GO:0001077,GO:0001158,GO:0001228,GO:0003002,GO:0003674,GO:0003676,GO:0003677,GO:0003690,GO:0003700,GO:0003705,GO:0005488,GO:0005575,GO:0005622,GO:0005623,GO:0005634,GO:0006139,GO:0006351,GO:0006355,GO:0006357,GO:0006366,GO:0006725,GO:0006807,GO:0006928,GO:0006935,GO:0007154,GO:0007165,GO:0007166,GO:0007167,GO:0007169,GO:0007275,GO:0007350,GO:0007351,GO:0007354,GO:0007362,GO:0007379,GO:0007380,GO:0007381,GO:0007389,GO:0007399,GO:0007409,GO:0007411,GO:0007431,GO:0008150,GO:0008152,GO:0008293,GO:0008361,GO:0008595,GO:0009058,GO:0009059,GO:0009605,GO:0009653,GO:0009790,GO:0009798,GO:0009880,GO:0009889,GO:0009890,GO:0009891,GO:0009892,GO:0009893,GO:0009948,GO:0009952,GO:0009987,GO:0010467,GO:0010468,GO:0010556,GO:0010557,GO:0010558,GO:0010604,GO:0010605,GO:0010628,GO:0010629,GO:0016043,GO:0016070,GO:0018130,GO:0019219,GO:0019222,GO:0019438,GO:0022008,GO:0023052,GO:0030030,GO:0030154,GO:0030182,GO:0031175,GO:0031323,GO:0031324,GO:0031325,GO:0031326,GO:0031327,GO:0031328,GO:0032501,GO:0032502,GO:0032535,GO:0032774,GO:0032989,GO:0032990,GO:0034641,GO:0034645,GO:0034654,GO:0035270,GO:0035271,GO:0035272,GO:0035282,GO:0035287,GO:0035289,GO:0035326,GO:0040008,GO:0040011,GO:0040014,GO:0040015,GO:0042221,GO:0042330,GO:0043170,GO:0043226,GO:0043227,GO:0043229,GO:0043231,GO:0043565,GO:0044212,GO:0044237,GO:0044238,GO:0044249,GO:0044260,GO:0044271,GO:0044324,GO:0044424,GO:0044464,GO:0045892,GO:0045893,GO:0045926,GO:0045934,GO:0045935,GO:0045944,GO:0046483,GO:0048468,GO:0048513,GO:0048518,GO:0048519,GO:0048522,GO:0048523,GO:0048638,GO:0048640,GO:0048666,GO:0048667,GO:0048699,GO:0048731,GO:0048732,GO:0048812,GO:0048856,GO:0048858,GO:0048869,GO:0050789,GO:0050793,GO:0050794,GO:0050896,GO:0051093,GO:0051171,GO:0051172,GO:0051173,GO:0051239,GO:0051241,GO:0051252,GO:0051253,GO:0051254,GO:0051716,GO:0060255,GO:0060322,GO:0061564,GO:0065007,GO:0065008,GO:0071704,GO:0071840,GO:0080090,GO:0090066,GO:0090304,GO:0097159,GO:0097485,GO:0097659,GO:0120036,GO:0120039,GO:0140110,GO:1901360,GO:1901362,GO:1901363,GO:1901576,GO:1902679,GO:1902680,GO:1903506,GO:1903507,GO:1903508,GO:1990837,GO:2000112,GO:2000113,GO:2001141</t>
  </si>
  <si>
    <t>GO:0002376,GO:0003674,GO:0003824,GO:0004672,GO:0004713,GO:0004715,GO:0005102,GO:0005488,GO:0005515,GO:0005575,GO:0005622,GO:0005623,GO:0005737,GO:0005829,GO:0005886,GO:0006464,GO:0006468,GO:0006793,GO:0006796,GO:0006807,GO:0006950,GO:0006952,GO:0006955,GO:0007154,GO:0007165,GO:0007166,GO:0007167,GO:0007169,GO:0008150,GO:0008152,GO:0009898,GO:0009966,GO:0009968,GO:0009987,GO:0010646,GO:0010648,GO:0016020,GO:0016301,GO:0016310,GO:0016740,GO:0016772,GO:0016773,GO:0018108,GO:0018193,GO:0018212,GO:0019538,GO:0019897,GO:0019898,GO:0023051,GO:0023052,GO:0023057,GO:0030154,GO:0031234,GO:0032502,GO:0036211,GO:0038083,GO:0042127,GO:0043170,GO:0043412,GO:0044237,GO:0044238,GO:0044260,GO:0044267,GO:0044424,GO:0044425,GO:0044444,GO:0044459,GO:0044464,GO:0045087,GO:0046777,GO:0048519,GO:0048523,GO:0048583,GO:0048585,GO:0048869,GO:0050789,GO:0050794,GO:0050896,GO:0051716,GO:0065007,GO:0071704,GO:0071944,GO:0098552,GO:0098562,GO:0140096,GO:1901564</t>
  </si>
  <si>
    <t>GO:0000122,GO:0000976,GO:0000977,GO:0000980,GO:0000981,GO:0001012,GO:0001067,GO:0001158,GO:0001206,GO:0001227,GO:0003674,GO:0003676,GO:0003677,GO:0003690,GO:0003700,GO:0003705,GO:0003712,GO:0003714,GO:0005488,GO:0005575,GO:0005622,GO:0005623,GO:0005634,GO:0005654,GO:0006139,GO:0006351,GO:0006355,GO:0006357,GO:0006366,GO:0006725,GO:0006807,GO:0007275,GO:0007517,GO:0007519,GO:0008150,GO:0008152,GO:0009058,GO:0009059,GO:0009888,GO:0009889,GO:0009890,GO:0009892,GO:0009987,GO:0010033,GO:0010467,GO:0010468,GO:0010556,GO:0010558,GO:0010605,GO:0010629,GO:0014706,GO:0014707,GO:0016070,GO:0018130,GO:0019219,GO:0019222,GO:0019438,GO:0031323,GO:0031324,GO:0031326,GO:0031327,GO:0031974,GO:0031981,GO:0032501,GO:0032502,GO:0032774,GO:0034097,GO:0034641,GO:0034645,GO:0034654,GO:0035326,GO:0042221,GO:0043170,GO:0043226,GO:0043227,GO:0043229,GO:0043231,GO:0043233,GO:0043565,GO:0044212,GO:0044237,GO:0044238,GO:0044249,GO:0044260,GO:0044271,GO:0044422,GO:0044424,GO:0044428,GO:0044446,GO:0044464,GO:0045892,GO:0045934,GO:0046483,GO:0048513,GO:0048519,GO:0048523,GO:0048731,GO:0048856,GO:0050789,GO:0050794,GO:0050896,GO:0051171,GO:0051172,GO:0051252,GO:0051253,GO:0051716,GO:0060021,GO:0060255,GO:0060537,GO:0060538,GO:0060539,GO:0060541,GO:0061061,GO:0065007,GO:0070013,GO:0070887,GO:0071310,GO:0071345,GO:0071704,GO:0080090,GO:0090304,GO:0097159,GO:0097659,GO:0140110,GO:1901360,GO:1901362,GO:1901363,GO:1901576,GO:1902679,GO:1903506,GO:1903507,GO:1990823,GO:1990830,GO:1990837,GO:2000112,GO:2000113,GO:2001141</t>
  </si>
  <si>
    <t>GO:0000166,GO:0003674,GO:0003824,GO:0005488,GO:0005509,GO:0005515,GO:0005524,GO:0005575,GO:0005576,GO:0005615,GO:0005622,GO:0005623,GO:0005634,GO:0005737,GO:0005739,GO:0005783,GO:0005788,GO:0005789,GO:0005790,GO:0005793,GO:0005886,GO:0006355,GO:0006357,GO:0006457,GO:0006508,GO:0006511,GO:0006807,GO:0006810,GO:0006915,GO:0006950,GO:0006983,GO:0006984,GO:0006986,GO:0007154,GO:0007165,GO:0007275,GO:0007399,GO:0007417,GO:0007420,GO:0008104,GO:0008144,GO:0008150,GO:0008152,GO:0008219,GO:0009056,GO:0009057,GO:0009267,GO:0009314,GO:0009410,GO:0009605,GO:0009607,GO:0009628,GO:0009653,GO:0009719,GO:0009889,GO:0009891,GO:0009892,GO:0009893,GO:0009966,GO:0009968,GO:0009986,GO:0009987,GO:0009991,GO:0010033,GO:0010035,GO:0010038,GO:0010042,GO:0010212,GO:0010243,GO:0010332,GO:0010466,GO:0010468,GO:0010498,GO:0010556,GO:0010557,GO:0010604,GO:0010605,GO:0010608,GO:0010628,GO:0010629,GO:0010646,GO:0010648,GO:0010720,GO:0010941,GO:0010951,GO:0010975,GO:0010976,GO:0012501,GO:0012505,GO:0014070,GO:0014074,GO:0016020,GO:0016021,GO:0016246,GO:0016441,GO:0016458,GO:0016462,GO:0016787,GO:0016817,GO:0016818,GO:0016887,GO:0017015,GO:0017076,GO:0017111,GO:0019219,GO:0019222,GO:0019538,GO:0019899,GO:0019904,GO:0019941,GO:0021549,GO:0021575,GO:0021577,GO:0021587,GO:0021589,GO:0021680,GO:0021695,GO:0022008,GO:0022037,GO:0023051,GO:0023052,GO:0023057,GO:0030154,GO:0030162,GO:0030163,GO:0030176,GO:0030182,GO:0030334,GO:0030335,GO:0030431,GO:0030433,GO:0030496,GO:0030512,GO:0030554,GO:0030902,GO:0030968,GO:0031047,GO:0031224,GO:0031227,GO:0031323,GO:0031324,GO:0031325,GO:0031326,GO:0031328,GO:0031344,GO:0031346,GO:0031396,GO:0031398,GO:0031399,GO:0031401,GO:0031625,GO:0031667,GO:0031668,GO:0031669,GO:0031974,GO:0031984,GO:0032091,GO:0032268,GO:0032269,GO:0032270,GO:0032501,GO:0032502,GO:0032507,GO:0032553,GO:0032555,GO:0032559,GO:0032879,GO:0032991,GO:0033036,GO:0033365,GO:0033554,GO:0034097,GO:0034613,GO:0034620,GO:0034663,GO:0034975,GO:0034976,GO:0035194,GO:0035437,GO:0035639,GO:0035690,GO:0035966,GO:0035967,GO:0036003,GO:0036094,GO:0036335,GO:0036498,GO:0036499,GO:0036500,GO:0036503,GO:0040012,GO:0040017,GO:0040019,GO:0040029,GO:0042149,GO:0042175,GO:0042220,GO:0042221,GO:0042493,GO:0042592,GO:0042594,GO:0042981,GO:0043021,GO:0043022,GO:0043066,GO:0043067,GO:0043069,GO:0043086,GO:0043154,GO:0043161,GO:0043167,GO:0043168,GO:0043169,GO:0043170,GO:0043209,GO:0043226,GO:0043227,GO:0043229,GO:0043231,GO:0043233,GO:0043279,GO:0043281,GO:0043393,GO:0043496,GO:0043618,GO:0043620,GO:0043632,GO:0044092,GO:0044237,GO:0044238,GO:0044248,GO:0044257,GO:0044260,GO:0044265,GO:0044267,GO:0044389,GO:0044421,GO:0044422,GO:0044424,GO:0044425,GO:0044432,GO:0044444,GO:0044446,GO:0044464,GO:0044877,GO:0045185,GO:0045595,GO:0045597,GO:0045664,GO:0045666,GO:0045861,GO:0045893,GO:0045935,GO:0045944,GO:0045995,GO:0046677,GO:0046683,GO:0046872,GO:0048471,GO:0048513,GO:0048518,GO:0048519,GO:0048522,GO:0048523,GO:0048532,GO:0048583,GO:0048585,GO:0048699,GO:0048731,GO:0048856,GO:0048869,GO:0048872,GO:0050767,GO:0050769,GO:0050789,GO:0050790,GO:0050793,GO:0050794,GO:0050896,GO:0051082,GO:0051087,GO:0051094,GO:0051098,GO:0051100,GO:0051128,GO:0051130,GO:0051171,GO:0051172,GO:0051173,GO:0051179,GO:0051234,GO:0051235,GO:0051239,GO:0051240,GO:0051246,GO:0051247,GO:0051248,GO:0051252,GO:0051254,GO:0051270,GO:0051272,GO:0051336,GO:0051346,GO:0051402,GO:0051591,GO:0051592,GO:0051603,GO:0051641,GO:0051651,GO:0051716,GO:0051787,GO:0051960,GO:0051962,GO:0052547,GO:0052548,GO:0060255,GO:0060284,GO:0060322,GO:0060359,GO:0060548,GO:0060904,GO:0065007,GO:0065008,GO:0065009,GO:0070013,GO:0070670,GO:0070727,GO:0070848,GO:0070887,GO:0070972,GO:0070997,GO:0071214,GO:0071216,GO:0071236,GO:0071241,GO:0071248,GO:0071277,GO:0071287,GO:0071310,GO:0071320,GO:0071345,GO:0071353,GO:0071363,GO:0071407,GO:0071417,GO:0071478,GO:0071479,GO:0071480,GO:0071495,GO:0071496,GO:0071704,GO:0071944,GO:0072347,GO:0072595,GO:0080090,GO:0080134,GO:0080135,GO:0090074,GO:0090092,GO:0090101,GO:0090287,GO:0090288,GO:0097159,GO:0097367,GO:0097501,GO:0098827,GO:0104004,GO:0120035,GO:1900101,GO:1900102,GO:1901265,GO:1901363,GO:1901564,GO:1901565,GO:1901575,GO:1901698,GO:1901699,GO:1901700,GO:1901701,GO:1901998,GO:1902074,GO:1902680,GO:1903320,GO:1903322,GO:1903332,GO:1903506,GO:1903508,GO:1903573,GO:1903844,GO:1903845,GO:1903891,GO:1903894,GO:1903895,GO:1903897,GO:1904313,GO:1905897,GO:1990089,GO:1990090,GO:1990440,GO:2000026,GO:2000112,GO:2000116,GO:2000117,GO:2000145,GO:2000147,GO:2001141</t>
  </si>
  <si>
    <t>GO:0001523,GO:0001889,GO:0001972,GO:0002237,GO:0002526,GO:0003008,GO:0003674,GO:0003824,GO:0004857,GO:0005080,GO:0005488,GO:0005496,GO:0005501,GO:0005504,GO:0005515,GO:0005575,GO:0005622,GO:0005623,GO:0005737,GO:0005783,GO:0005789,GO:0005886,GO:0005887,GO:0005975,GO:0005996,GO:0006063,GO:0006082,GO:0006109,GO:0006629,GO:0006631,GO:0006706,GO:0006711,GO:0006720,GO:0006721,GO:0006725,GO:0006778,GO:0006787,GO:0006789,GO:0006805,GO:0006807,GO:0006950,GO:0006952,GO:0006953,GO:0006954,GO:0007275,GO:0007584,GO:0007588,GO:0008144,GO:0008150,GO:0008152,GO:0008194,GO:0008202,GO:0008210,GO:0008289,GO:0009056,GO:0009410,GO:0009605,GO:0009607,GO:0009617,GO:0009636,GO:0009698,GO:0009719,GO:0009725,GO:0009804,GO:0009812,GO:0009892,GO:0009987,GO:0009991,GO:0010033,GO:0010565,GO:0010675,GO:0010677,GO:0010817,GO:0012505,GO:0014070,GO:0015020,GO:0016020,GO:0016021,GO:0016042,GO:0016101,GO:0016740,GO:0016757,GO:0016758,GO:0016999,GO:0017001,GO:0017144,GO:0018879,GO:0019216,GO:0019217,GO:0019218,GO:0019222,GO:0019439,GO:0019585,GO:0019748,GO:0019752,GO:0019840,GO:0019899,GO:0019900,GO:0019901,GO:0030234,GO:0031099,GO:0031100,GO:0031224,GO:0031226,GO:0031323,GO:0031324,GO:0031406,GO:0031667,GO:0031960,GO:0031984,GO:0032355,GO:0032496,GO:0032501,GO:0032502,GO:0032787,GO:0032870,GO:0032991,GO:0033013,GO:0033015,GO:0033293,GO:0033993,GO:0034641,GO:0034663,GO:0034754,GO:0035690,GO:0036094,GO:0042167,GO:0042168,GO:0042175,GO:0042178,GO:0042221,GO:0042440,GO:0042445,GO:0042447,GO:0042493,GO:0042537,GO:0042573,GO:0042594,GO:0042802,GO:0042803,GO:0043086,GO:0043167,GO:0043168,GO:0043177,GO:0043207,GO:0043226,GO:0043227,GO:0043229,GO:0043231,GO:0043436,GO:0044092,GO:0044237,GO:0044238,GO:0044248,GO:0044255,GO:0044270,GO:0044281,GO:0044422,GO:0044424,GO:0044425,GO:0044432,GO:0044444,GO:0044446,GO:0044459,GO:0044464,GO:0044877,GO:0045471,GO:0045833,GO:0045912,GO:0045922,GO:0045939,GO:0046149,GO:0046226,GO:0046271,GO:0046483,GO:0046677,GO:0046700,GO:0046982,GO:0046983,GO:0048513,GO:0048519,GO:0048523,GO:0048545,GO:0048731,GO:0048732,GO:0048856,GO:0050789,GO:0050790,GO:0050794,GO:0050896,GO:0051186,GO:0051187,GO:0051338,GO:0051348,GO:0051384,GO:0051552,GO:0051704,GO:0051707,GO:0051716,GO:0052695,GO:0052696,GO:0052697,GO:0061008,GO:0062012,GO:0062014,GO:0065007,GO:0065008,GO:0065009,GO:0070069,GO:0070887,GO:0070980,GO:0071236,GO:0071310,GO:0071361,GO:0071383,GO:0071384,GO:0071385,GO:0071392,GO:0071396,GO:0071407,GO:0071466,GO:0071495,GO:0071704,GO:0071944,GO:0080090,GO:0097159,GO:0097237,GO:0097305,GO:0097306,GO:0098772,GO:0098827,GO:1901360,GO:1901361,GO:1901564,GO:1901565,GO:1901575,GO:1901700,GO:1901701,GO:1904223,GO:1904224,GO:2001029,GO:2001030</t>
  </si>
  <si>
    <t>GO:0000003,GO:0003674,GO:0003824,GO:0005575,GO:0005576,GO:0005622,GO:0005623,GO:0005737,GO:0005739,GO:0005886,GO:0006508,GO:0006807,GO:0007276,GO:0007283,GO:0008150,GO:0008152,GO:0008233,GO:0008237,GO:0016020,GO:0016787,GO:0019538,GO:0019953,GO:0022414,GO:0032501,GO:0032504,GO:0043170,GO:0043226,GO:0043227,GO:0043229,GO:0043231,GO:0044238,GO:0044424,GO:0044444,GO:0044464,GO:0044703,GO:0048232,GO:0048609,GO:0051704,GO:0070011,GO:0071704,GO:0071944,GO:0140096,GO:1901564</t>
  </si>
  <si>
    <t>GO:0000323,GO:0001775,GO:0002252,GO:0002263,GO:0002274,GO:0002275,GO:0002283,GO:0002366,GO:0002376,GO:0002443,GO:0002444,GO:0002446,GO:0003674,GO:0005215,GO:0005319,GO:0005488,GO:0005496,GO:0005515,GO:0005575,GO:0005576,GO:0005622,GO:0005623,GO:0005737,GO:0005764,GO:0005766,GO:0005773,GO:0005775,GO:0006810,GO:0006811,GO:0006820,GO:0006869,GO:0006887,GO:0006955,GO:0008150,GO:0008289,GO:0009605,GO:0009607,GO:0009615,GO:0009987,GO:0010876,GO:0012505,GO:0015248,GO:0015485,GO:0015711,GO:0015748,GO:0015850,GO:0015914,GO:0015918,GO:0016192,GO:0017127,GO:0019216,GO:0019222,GO:0019747,GO:0019899,GO:0030141,GO:0030301,GO:0031323,GO:0031410,GO:0031974,GO:0031982,GO:0031983,GO:0032365,GO:0032366,GO:0032367,GO:0032501,GO:0032934,GO:0032940,GO:0033036,GO:0033344,GO:0034381,GO:0034383,GO:0034774,GO:0035578,GO:0036094,GO:0036230,GO:0042119,GO:0042582,GO:0042592,GO:0042632,GO:0043178,GO:0043202,GO:0043207,GO:0043226,GO:0043227,GO:0043229,GO:0043231,GO:0043233,GO:0043299,GO:0043312,GO:0044422,GO:0044424,GO:0044433,GO:0044437,GO:0044444,GO:0044446,GO:0044464,GO:0045055,GO:0045321,GO:0046836,GO:0046903,GO:0046907,GO:0048878,GO:0050789,GO:0050794,GO:0050896,GO:0051179,GO:0051234,GO:0051641,GO:0051649,GO:0051704,GO:0051707,GO:0055088,GO:0055092,GO:0060205,GO:0065007,GO:0065008,GO:0070013,GO:0071702,GO:0080090,GO:0097006,GO:0097159,GO:0097708,GO:0099503,GO:1901264</t>
  </si>
  <si>
    <t>GO:0003674,GO:0003824,GO:0003954,GO:0005488,GO:0005575,GO:0005622,GO:0005623,GO:0005737,GO:0005739,GO:0005740,GO:0005743,GO:0005746,GO:0005747,GO:0005751,GO:0006091,GO:0006119,GO:0006120,GO:0006139,GO:0006163,GO:0006725,GO:0006753,GO:0006793,GO:0006796,GO:0006807,GO:0008137,GO:0008150,GO:0008152,GO:0009117,GO:0009123,GO:0009126,GO:0009141,GO:0009144,GO:0009150,GO:0009161,GO:0009167,GO:0009199,GO:0009205,GO:0009259,GO:0009987,GO:0015980,GO:0016020,GO:0016310,GO:0016491,GO:0016651,GO:0016655,GO:0017144,GO:0019637,GO:0019693,GO:0019866,GO:0022900,GO:0022904,GO:0030964,GO:0031090,GO:0031966,GO:0031967,GO:0031975,GO:0032991,GO:0034641,GO:0042773,GO:0042775,GO:0043226,GO:0043227,GO:0043229,GO:0043231,GO:0044237,GO:0044238,GO:0044281,GO:0044422,GO:0044424,GO:0044425,GO:0044429,GO:0044444,GO:0044446,GO:0044455,GO:0044464,GO:0044877,GO:0045271,GO:0045277,GO:0045333,GO:0046034,GO:0046483,GO:0050136,GO:0055086,GO:0055114,GO:0070069,GO:0070469,GO:0071704,GO:0072521,GO:0098796,GO:0098798,GO:0098800,GO:0098803,GO:1901135,GO:1901360,GO:1901564,GO:1902494,GO:1990204</t>
  </si>
  <si>
    <t>GO:0000122,GO:0000139,GO:0000149,GO:0000188,GO:0000226,GO:0001505,GO:0001525,GO:0001568,GO:0001570,GO:0001664,GO:0001666,GO:0001669,GO:0001765,GO:0001932,GO:0001933,GO:0001934,GO:0001936,GO:0001937,GO:0001938,GO:0001944,GO:0001959,GO:0001960,GO:0002026,GO:0002027,GO:0002080,GO:0002376,GO:0002682,GO:0002684,GO:0002694,GO:0002696,GO:0002931,GO:0003008,GO:0003013,GO:0003015,GO:0003018,GO:0003057,GO:0003674,GO:0005102,GO:0005113,GO:0005198,GO:0005488,GO:0005496,GO:0005515,GO:0005575,GO:0005622,GO:0005623,GO:0005737,GO:0005739,GO:0005768,GO:0005769,GO:0005777,GO:0005778,GO:0005783,GO:0005789,GO:0005794,GO:0005811,GO:0005829,GO:0005886,GO:0005887,GO:0005901,GO:0005912,GO:0005924,GO:0005925,GO:0005929,GO:0005938,GO:0006355,GO:0006357,GO:0006469,GO:0006629,GO:0006638,GO:0006639,GO:0006641,GO:0006810,GO:0006811,GO:0006812,GO:0006816,GO:0006869,GO:0006873,GO:0006874,GO:0006875,GO:0006897,GO:0006898,GO:0006906,GO:0006915,GO:0006928,GO:0006937,GO:0006940,GO:0006942,GO:0006950,GO:0006996,GO:0007005,GO:0007009,GO:0007010,GO:0007017,GO:0007029,GO:0007154,GO:0007165,GO:0007166,GO:0007186,GO:0007204,GO:0007267,GO:0007275,GO:0007399,GO:0007517,GO:0007519,GO:0007568,GO:0007569,GO:0007584,GO:0007589,GO:0007595,GO:0008015,GO:0008016,GO:0008047,GO:0008104,GO:0008150,GO:0008152,GO:0008200,GO:0008219,GO:0008277,GO:0008284,GO:0008285,GO:0008289,GO:0009267,GO:0009314,GO:0009605,GO:0009607,GO:0009611,GO:0009612,GO:0009617,GO:0009628,GO:0009653,GO:0009719,GO:0009725,GO:0009887,GO:0009888,GO:0009889,GO:0009890,GO:0009892,GO:0009893,GO:0009894,GO:0009896,GO:0009898,GO:0009925,GO:0009966,GO:0009967,GO:0009968,GO:0009986,GO:0009987,GO:0009991,GO:0010008,GO:0010033,GO:0010035,GO:0010038,GO:0010212,GO:0010243,GO:0010256,GO:0010332,GO:0010468,GO:0010522,GO:0010524,GO:0010556,GO:0010558,GO:0010562,GO:0010563,GO:0010565,GO:0010604,GO:0010605,GO:0010608,GO:0010628,GO:0010629,GO:0010638,GO:0010646,GO:0010647,GO:0010648,GO:0010649,GO:0010656,GO:0010660,GO:0010721,GO:0010876,GO:0010939,GO:0010941,GO:0010942,GO:0010952,GO:0010959,GO:0012501,GO:0012505,GO:0012506,GO:0014070,GO:0014706,GO:0014902,GO:0014904,GO:0015459,GO:0015485,GO:0015850,GO:0015918,GO:0016020,GO:0016021,GO:0016032,GO:0016043,GO:0016050,GO:0016055,GO:0016192,GO:0016247,GO:0016248,GO:0016323,GO:0016324,GO:0016477,GO:0016504,GO:0017015,GO:0017016,GO:0017048,GO:0019058,GO:0019065,GO:0019216,GO:0019217,GO:0019219,GO:0019220,GO:0019222,GO:0019229,GO:0019725,GO:0019870,GO:0019897,GO:0019898,GO:0019899,GO:0019900,GO:0019901,GO:0019905,GO:0019915,GO:0022008,GO:0022406,GO:0022407,GO:0022409,GO:0022411,GO:0022607,GO:0022612,GO:0022898,GO:0023051,GO:0023052,GO:0023056,GO:0023057,GO:0030001,GO:0030003,GO:0030054,GO:0030055,GO:0030100,GO:0030111,GO:0030133,GO:0030139,GO:0030141,GO:0030154,GO:0030155,GO:0030162,GO:0030177,GO:0030178,GO:0030193,GO:0030234,GO:0030260,GO:0030301,GO:0030510,GO:0030512,GO:0030514,GO:0030659,GO:0030666,GO:0030667,GO:0030674,GO:0030856,GO:0030857,GO:0030879,GO:0031090,GO:0031099,GO:0031100,GO:0031109,GO:0031110,GO:0031112,GO:0031113,GO:0031116,GO:0031224,GO:0031226,GO:0031234,GO:0031267,GO:0031294,GO:0031295,GO:0031323,GO:0031324,GO:0031325,GO:0031326,GO:0031327,GO:0031329,GO:0031331,GO:0031334,GO:0031344,GO:0031347,GO:0031349,GO:0031396,GO:0031397,GO:0031398,GO:0031399,GO:0031400,GO:0031401,GO:0031410,GO:0031579,GO:0031623,GO:0031667,GO:0031668,GO:0031669,GO:0031748,GO:0031901,GO:0031903,GO:0031952,GO:0031953,GO:0031960,GO:0031982,GO:0031984,GO:0032091,GO:0032092,GO:0032101,GO:0032268,GO:0032269,GO:0032270,GO:0032271,GO:0032273,GO:0032409,GO:0032410,GO:0032412,GO:0032413,GO:0032434,GO:0032436,GO:0032501,GO:0032502,GO:0032507,GO:0032570,GO:0032768,GO:0032769,GO:0032870,GO:0032879,GO:0032886,GO:0032934,GO:0032947,GO:0032970,GO:0032984,GO:0032991,GO:0033036,GO:0033043,GO:0033135,GO:0033137,GO:0033138,GO:0033344,GO:0033483,GO:0033484,GO:0033554,GO:0033612,GO:0033673,GO:0033993,GO:0034121,GO:0034123,GO:0034139,GO:0034141,GO:0034613,GO:0034622,GO:0034762,GO:0034763,GO:0034765,GO:0034766,GO:0035150,GO:0035239,GO:0035295,GO:0035296,GO:0035637,GO:0036094,GO:0036293,GO:0036295,GO:0036296,GO:0038166,GO:0040011,GO:0042060,GO:0042127,GO:0042175,GO:0042176,GO:0042221,GO:0042310,GO:0042325,GO:0042326,GO:0042327,GO:0042383,GO:0042391,GO:0042493,GO:0042509,GO:0042532,GO:0042579,GO:0042592,GO:0042594,GO:0042632,GO:0042692,GO:0042802,GO:0042981,GO:0042995,GO:0043065,GO:0043066,GO:0043067,GO:0043068,GO:0043069,GO:0043085,GO:0043086,GO:0043112,GO:0043170,GO:0043178,GO:0043207,GO:0043226,GO:0043227,GO:0043228,GO:0043229,GO:0043231,GO:0043232,GO:0043254,GO:0043266,GO:0043267,GO:0043269,GO:0043270,GO:0043271,GO:0043330,GO:0043331,GO:0043393,GO:0043405,GO:0043407,GO:0043408,GO:0043409,GO:0043434,GO:0043549,GO:0043627,GO:0043900,GO:0043903,GO:0043933,GO:0044057,GO:0044085,GO:0044087,GO:0044089,GO:0044091,GO:0044092,GO:0044093,GO:0044237,GO:0044238,GO:0044255,GO:0044260,GO:0044325,GO:0044403,GO:0044409,GO:0044419,GO:0044422,GO:0044424,GO:0044425,GO:0044431,GO:0044432,GO:0044433,GO:0044438,GO:0044439,GO:0044440,GO:0044444,GO:0044446,GO:0044459,GO:0044464,GO:0044766,GO:0044853,GO:0044854,GO:0044857,GO:0044860,GO:0045019,GO:0045088,GO:0045089,GO:0045121,GO:0045177,GO:0045178,GO:0045185,GO:0045428,GO:0045595,GO:0045596,GO:0045664,GO:0045665,GO:0045732,GO:0045745,GO:0045785,GO:0045806,GO:0045807,GO:0045859,GO:0045862,GO:0045892,GO:0045907,GO:0045934,GO:0045936,GO:0045937,GO:0046425,GO:0046426,GO:0046486,GO:0046718,GO:0046785,GO:0046794,GO:0046903,GO:0046982,GO:0046983,GO:0048278,GO:0048284,GO:0048365,GO:0048468,GO:0048471,GO:0048513,GO:0048514,GO:0048518,GO:0048519,GO:0048522,GO:0048523,GO:0048545,GO:0048548,GO:0048550,GO:0048583,GO:0048584,GO:0048585,GO:0048646,GO:0048660,GO:0048662,GO:0048699,GO:0048731,GO:0048732,GO:0048741,GO:0048747,GO:0048771,GO:0048856,GO:0048869,GO:0048870,GO:0048878,GO:0050678,GO:0050679,GO:0050680,GO:0050730,GO:0050732,GO:0050767,GO:0050768,GO:0050776,GO:0050778,GO:0050780,GO:0050789,GO:0050790,GO:0050793,GO:0050794,GO:0050801,GO:0050818,GO:0050863,GO:0050865,GO:0050867,GO:0050870,GO:0050878,GO:0050880,GO:0050896,GO:0050900,GO:0050998,GO:0050999,GO:0051001,GO:0051020,GO:0051049,GO:0051050,GO:0051051,GO:0051093,GO:0051098,GO:0051099,GO:0051100,GO:0051117,GO:0051128,GO:0051129,GO:0051130,GO:0051146,GO:0051171,GO:0051172,GO:0051173,GO:0051174,GO:0051179,GO:0051234,GO:0051235,GO:0051239,GO:0051240,GO:0051241,GO:0051246,GO:0051247,GO:0051248,GO:0051249,GO:0051251,GO:0051252,GO:0051253,GO:0051258,GO:0051259,GO:0051260,GO:0051270,GO:0051336,GO:0051338,GO:0051341,GO:0051345,GO:0051348,GO:0051354,GO:0051384,GO:0051480,GO:0051493,GO:0051495,GO:0051592,GO:0051640,GO:0051641,GO:0051651,GO:0051674,GO:0051701,GO:0051704,GO:0051707,GO:0051716,GO:0051806,GO:0051828,GO:0051899,GO:0051924,GO:0051928,GO:0051960,GO:0051961,GO:0052547,GO:0055001,GO:0055002,GO:0055065,GO:0055074,GO:0055080,GO:0055082,GO:0055088,GO:0055092,GO:0055093,GO:0055117,GO:0060056,GO:0060070,GO:0060090,GO:0060159,GO:0060161,GO:0060255,GO:0060284,GO:0060306,GO:0060341,GO:0060353,GO:0060355,GO:0060443,GO:0060491,GO:0060537,GO:0060538,GO:0060544,GO:0060546,GO:0060547,GO:0060548,GO:0060627,GO:0060759,GO:0060761,GO:0060828,GO:0061024,GO:0061025,GO:0061041,GO:0061061,GO:0061097,GO:0061099,GO:0061134,GO:0061136,GO:0061337,GO:0062012,GO:0065003,GO:0065007,GO:0065008,GO:0065009,GO:0070161,GO:0070320,GO:0070372,GO:0070373,GO:0070382,GO:0070482,GO:0070507,GO:0070727,GO:0070836,GO:0070838,GO:0070848,GO:0070887,GO:0071214,GO:0071260,GO:0071310,GO:0071359,GO:0071360,GO:0071363,GO:0071375,GO:0071407,GO:0071417,GO:0071453,GO:0071455,GO:0071495,GO:0071496,GO:0071559,GO:0071560,GO:0071702,GO:0071704,GO:0071709,GO:0071840,GO:0071900,GO:0071901,GO:0071944,GO:0072358,GO:0072359,GO:0072503,GO:0072507,GO:0072511,GO:0072584,GO:0072657,GO:0075509,GO:0080090,GO:0080134,GO:0080135,GO:0086004,GO:0086091,GO:0086098,GO:0086103,GO:0090066,GO:0090090,GO:0090092,GO:0090101,GO:0090174,GO:0090257,GO:0090263,GO:0090287,GO:0090288,GO:0090398,GO:0097159,GO:0097190,GO:0097223,GO:0097435,GO:0097708,GO:0097746,GO:0097756,GO:0098552,GO:0098562,GO:0098588,GO:0098589,GO:0098590,GO:0098657,GO:0098771,GO:0098772,GO:0098791,GO:0098805,GO:0098827,GO:0098857,GO:0098900,GO:0098901,GO:0098903,GO:0098909,GO:0098911,GO:0099106,GO:0099503,GO:0099568,GO:0104004,GO:0120025,GO:0120032,GO:0120035,GO:0140056,GO:0198738,GO:1900027,GO:1900046,GO:1900084,GO:1900085,GO:1901016,GO:1901017,GO:1901379,GO:1901380,GO:1901652,GO:1901653,GO:1901654,GO:1901698,GO:1901699,GO:1901700,GO:1901701,GO:1901800,GO:1901844,GO:1901888,GO:1901890,GO:1901979,GO:1902531,GO:1902532,GO:1902533,GO:1902579,GO:1902679,GO:1902903,GO:1902905,GO:1903034,GO:1903037,GO:1903039,GO:1903044,GO:1903050,GO:1903052,GO:1903069,GO:1903071,GO:1903115,GO:1903320,GO:1903321,GO:1903322,GO:1903361,GO:1903362,GO:1903364,GO:1903426,GO:1903427,GO:1903506,GO:1903507,GO:1903522,GO:1903524,GO:1903596,GO:1903598,GO:1903609,GO:1903779,GO:1903817,GO:1903844,GO:1903845,GO:1904062,GO:1904063,GO:1904292,GO:1904294,GO:1904385,GO:1904406,GO:1904886,GO:1904892,GO:1904893,GO:1905114,GO:1905897,GO:1905898,GO:1990776,GO:1990778,GO:2000026,GO:2000058,GO:2000060,GO:2000112,GO:2000113,GO:2000209,GO:2000286,GO:2000377,GO:2000378,GO:2000535,GO:2000811,GO:2001141,GO:2001233,GO:2001235,GO:2001236,GO:2001238,GO:2001242,GO:2001244,GO:2001257,GO:2001258</t>
  </si>
  <si>
    <t>GO:0003674,GO:0003824,GO:0004553,GO:0004555,GO:0005575,GO:0005623,GO:0005886,GO:0005903,GO:0005975,GO:0005984,GO:0005991,GO:0005993,GO:0007275,GO:0008150,GO:0008152,GO:0009056,GO:0009311,GO:0009313,GO:0009653,GO:0009887,GO:0009987,GO:0015927,GO:0016020,GO:0016052,GO:0016787,GO:0016798,GO:0031224,GO:0031225,GO:0031226,GO:0032501,GO:0032502,GO:0044237,GO:0044238,GO:0044248,GO:0044262,GO:0044275,GO:0044425,GO:0044459,GO:0044464,GO:0046352,GO:0046658,GO:0048513,GO:0048731,GO:0048856,GO:0071704,GO:0071944,GO:0098862,GO:1901575</t>
  </si>
  <si>
    <t>GO:0003674,GO:0003779,GO:0003785,GO:0005488,GO:0005515,GO:0005543,GO:0005546,GO:0006996,GO:0007010,GO:0007015,GO:0008064,GO:0008092,GO:0008150,GO:0008154,GO:0008289,GO:0009987,GO:0010639,GO:0016043,GO:0022411,GO:0030029,GO:0030036,GO:0030042,GO:0030832,GO:0030833,GO:0030834,GO:0030835,GO:0030837,GO:0031333,GO:0032271,GO:0032272,GO:0032535,GO:0032956,GO:0032970,GO:0032984,GO:0033043,GO:0035091,GO:0043167,GO:0043168,GO:0043242,GO:0043244,GO:0043254,GO:0043624,GO:0043933,GO:0044087,GO:0044877,GO:0048518,GO:0048519,GO:0048522,GO:0048523,GO:0050789,GO:0050794,GO:0050803,GO:0050807,GO:0051014,GO:0051015,GO:0051016,GO:0051128,GO:0051129,GO:0051130,GO:0051261,GO:0051493,GO:0051494,GO:0051693,GO:0065007,GO:0065008,GO:0071840,GO:0090066,GO:0097435,GO:0110053,GO:1901879,GO:1901880,GO:1901981,GO:1902903,GO:1902904,GO:1902936,GO:1905806,GO:1905808</t>
  </si>
  <si>
    <t>GO:0001664,GO:0002155,GO:0003674,GO:0005102,GO:0005488,GO:0005515,GO:0005575,GO:0005576,GO:0005615,GO:0005622,GO:0005623,GO:0005737,GO:0007154,GO:0007165,GO:0007166,GO:0007186,GO:0007187,GO:0007188,GO:0007189,GO:0007267,GO:0008150,GO:0009719,GO:0009725,GO:0009755,GO:0009966,GO:0009987,GO:0010033,GO:0010646,GO:0019932,GO:0019933,GO:0019935,GO:0023051,GO:0023052,GO:0031531,GO:0032870,GO:0035556,GO:0042221,GO:0044421,GO:0044424,GO:0044464,GO:0046982,GO:0046983,GO:0048583,GO:0050789,GO:0050794,GO:0050896,GO:0051427,GO:0051428,GO:0051716,GO:0065007,GO:0070887,GO:0071310,GO:0071495</t>
  </si>
  <si>
    <t>GO:0005575,GO:0005623,GO:0005886,GO:0008150,GO:0009987,GO:0016020,GO:0016043,GO:0030424,GO:0033267,GO:0042995,GO:0043005,GO:0043679,GO:0044306,GO:0044425,GO:0044456,GO:0044459,GO:0044463,GO:0044464,GO:0045202,GO:0050808,GO:0071840,GO:0071944,GO:0097060,GO:0097458,GO:0098590,GO:0098793,GO:0120025,GO:0120038,GO:0150034,GO:1990709</t>
  </si>
  <si>
    <t>GO:0000003,GO:0000165,GO:0001541,GO:0001763,GO:0001894,GO:0001932,GO:0001934,GO:0001942,GO:0002009,GO:0003006,GO:0003674,GO:0003824,GO:0004672,GO:0004713,GO:0005085,GO:0005088,GO:0005102,GO:0005104,GO:0005111,GO:0005488,GO:0005515,GO:0005539,GO:0005575,GO:0005576,GO:0005615,GO:0005622,GO:0005623,GO:0005737,GO:0005794,GO:0006355,GO:0006464,GO:0006468,GO:0006629,GO:0006644,GO:0006650,GO:0006656,GO:0006661,GO:0006793,GO:0006796,GO:0006807,GO:0006810,GO:0006935,GO:0006950,GO:0006996,GO:0007010,GO:0007154,GO:0007165,GO:0007166,GO:0007167,GO:0007169,GO:0007267,GO:0007275,GO:0007431,GO:0007435,GO:0007548,GO:0008083,GO:0008104,GO:0008150,GO:0008152,GO:0008201,GO:0008283,GO:0008284,GO:0008406,GO:0008543,GO:0008544,GO:0008585,GO:0008610,GO:0008654,GO:0009058,GO:0009605,GO:0009611,GO:0009653,GO:0009719,GO:0009887,GO:0009888,GO:0009889,GO:0009891,GO:0009893,GO:0009966,GO:0009967,GO:0009987,GO:0010033,GO:0010463,GO:0010468,GO:0010469,GO:0010556,GO:0010557,GO:0010562,GO:0010604,GO:0010628,GO:0010632,GO:0010634,GO:0010646,GO:0010647,GO:0010837,GO:0010838,GO:0012505,GO:0016043,GO:0016301,GO:0016303,GO:0016310,GO:0016740,GO:0016772,GO:0016773,GO:0017016,GO:0018108,GO:0018193,GO:0018212,GO:0019219,GO:0019220,GO:0019222,GO:0019538,GO:0019637,GO:0019899,GO:0022404,GO:0022405,GO:0022414,GO:0022603,GO:0022612,GO:0023014,GO:0023051,GO:0023052,GO:0023056,GO:0030029,GO:0030036,GO:0030258,GO:0030323,GO:0030324,GO:0030334,GO:0030335,GO:0030545,GO:0031069,GO:0031267,GO:0031323,GO:0031325,GO:0031326,GO:0031328,GO:0031399,GO:0031401,GO:0031532,GO:0032268,GO:0032270,GO:0032501,GO:0032502,GO:0032879,GO:0032940,GO:0033036,GO:0034394,GO:0034613,GO:0035004,GO:0035265,GO:0035272,GO:0035295,GO:0035556,GO:0036092,GO:0036211,GO:0040007,GO:0040011,GO:0040012,GO:0040017,GO:0042056,GO:0042060,GO:0042127,GO:0042221,GO:0042303,GO:0042325,GO:0042327,GO:0042330,GO:0042592,GO:0042633,GO:0043129,GO:0043167,GO:0043168,GO:0043170,GO:0043226,GO:0043227,GO:0043229,GO:0043231,GO:0043412,GO:0043588,GO:0044237,GO:0044238,GO:0044249,GO:0044255,GO:0044260,GO:0044267,GO:0044344,GO:0044421,GO:0044424,GO:0044444,GO:0044464,GO:0045017,GO:0045137,GO:0045893,GO:0045935,GO:0045937,GO:0046470,GO:0046474,GO:0046486,GO:0046488,GO:0046545,GO:0046660,GO:0046834,GO:0046854,GO:0046903,GO:0046934,GO:0048018,GO:0048513,GO:0048518,GO:0048522,GO:0048583,GO:0048584,GO:0048589,GO:0048608,GO:0048729,GO:0048730,GO:0048731,GO:0048732,GO:0048856,GO:0048871,GO:0048875,GO:0048878,GO:0050678,GO:0050679,GO:0050730,GO:0050731,GO:0050789,GO:0050793,GO:0050794,GO:0050896,GO:0050918,GO:0051020,GO:0051094,GO:0051171,GO:0051173,GO:0051174,GO:0051179,GO:0051234,GO:0051239,GO:0051240,GO:0051246,GO:0051247,GO:0051252,GO:0051254,GO:0051270,GO:0051272,GO:0051547,GO:0051549,GO:0051641,GO:0051716,GO:0051896,GO:0051897,GO:0052742,GO:0052813,GO:0060249,GO:0060255,GO:0060429,GO:0060437,GO:0060445,GO:0060501,GO:0060541,GO:0060638,GO:0060665,GO:0060688,GO:0060693,GO:0061033,GO:0061138,GO:0061458,GO:0065007,GO:0065008,GO:0065009,GO:0070727,GO:0070848,GO:0070851,GO:0070887,GO:0071310,GO:0071363,GO:0071495,GO:0071704,GO:0071774,GO:0071840,GO:0080090,GO:0090407,GO:0097164,GO:0097367,GO:0098772,GO:0098773,GO:0140096,GO:1901564,GO:1901566,GO:1901576,GO:1901681,GO:1902531,GO:1902533,GO:1902680,GO:1903506,GO:1903508,GO:1905330,GO:2000026,GO:2000027,GO:2000112,GO:2000145,GO:2000147,GO:2000794,GO:2001141</t>
  </si>
  <si>
    <t>GO:0003674,GO:0005215,GO:0005342,GO:0005452,GO:0005575,GO:0005623,GO:0005886,GO:0005887,GO:0006139,GO:0006725,GO:0006732,GO:0006733,GO:0006753,GO:0006793,GO:0006796,GO:0006807,GO:0006810,GO:0006811,GO:0006812,GO:0006820,GO:0006855,GO:0008028,GO:0008150,GO:0008152,GO:0008324,GO:0008509,GO:0008514,GO:0009058,GO:0009108,GO:0009117,GO:0009165,GO:0009435,GO:0009987,GO:0015075,GO:0015101,GO:0015103,GO:0015238,GO:0015291,GO:0015318,GO:0015347,GO:0015695,GO:0015698,GO:0015711,GO:0015718,GO:0015747,GO:0015849,GO:0015893,GO:0016020,GO:0016021,GO:0016324,GO:0018130,GO:0019359,GO:0019362,GO:0019363,GO:0019438,GO:0019637,GO:0019674,GO:0022804,GO:0022857,GO:0031224,GO:0031226,GO:0034220,GO:0034356,GO:0034641,GO:0034654,GO:0035461,GO:0042221,GO:0042493,GO:0043252,GO:0044237,GO:0044238,GO:0044249,GO:0044271,GO:0044281,GO:0044425,GO:0044459,GO:0044464,GO:0045177,GO:0046483,GO:0046496,GO:0046942,GO:0046943,GO:0050896,GO:0051179,GO:0051180,GO:0051186,GO:0051188,GO:0051234,GO:0055085,GO:0055086,GO:0071702,GO:0071704,GO:0071705,GO:0071944,GO:0072524,GO:0072525,GO:0090407,GO:0090416,GO:0090482,GO:0098590,GO:0098655,GO:0098656,GO:1901293,GO:1901360,GO:1901362,GO:1901564,GO:1901566,GO:1901576,GO:1903825,GO:1905039,GO:2001142</t>
  </si>
  <si>
    <t>GO:0001101,GO:0002238,GO:0003008,GO:0003014,GO:0003674,GO:0004888,GO:0004930,GO:0004953,GO:0004954,GO:0004955,GO:0005080,GO:0005215,GO:0005319,GO:0005342,GO:0005452,GO:0005488,GO:0005515,GO:0005575,GO:0005623,GO:0005886,GO:0005887,GO:0005901,GO:0005903,GO:0006082,GO:0006139,GO:0006725,GO:0006732,GO:0006733,GO:0006753,GO:0006793,GO:0006796,GO:0006807,GO:0006810,GO:0006811,GO:0006812,GO:0006820,GO:0006835,GO:0006855,GO:0006857,GO:0006869,GO:0007154,GO:0007165,GO:0007186,GO:0007588,GO:0008028,GO:0008150,GO:0008152,GO:0008324,GO:0008509,GO:0008514,GO:0008519,GO:0009058,GO:0009108,GO:0009117,GO:0009165,GO:0009435,GO:0009605,GO:0009607,GO:0009620,GO:0009719,GO:0009725,GO:0009897,GO:0009914,GO:0009986,GO:0009987,GO:0010033,GO:0010243,GO:0010817,GO:0010876,GO:0014070,GO:0015075,GO:0015101,GO:0015103,GO:0015143,GO:0015238,GO:0015245,GO:0015291,GO:0015297,GO:0015301,GO:0015318,GO:0015347,GO:0015636,GO:0015651,GO:0015695,GO:0015696,GO:0015697,GO:0015698,GO:0015711,GO:0015718,GO:0015732,GO:0015742,GO:0015747,GO:0015833,GO:0015849,GO:0015893,GO:0015908,GO:0015912,GO:0015913,GO:0016020,GO:0016021,GO:0016043,GO:0016323,GO:0016324,GO:0018130,GO:0019359,GO:0019362,GO:0019363,GO:0019438,GO:0019534,GO:0019637,GO:0019674,GO:0019725,GO:0019899,GO:0019900,GO:0019901,GO:0019904,GO:0022607,GO:0022804,GO:0022857,GO:0023052,GO:0030165,GO:0031224,GO:0031226,GO:0031253,GO:0031404,GO:0031427,GO:0031526,GO:0032501,GO:0032868,GO:0032869,GO:0032870,GO:0032991,GO:0033036,GO:0034220,GO:0034356,GO:0034635,GO:0034641,GO:0034654,GO:0035461,GO:0035634,GO:0038023,GO:0042221,GO:0042493,GO:0042592,GO:0042802,GO:0042803,GO:0042886,GO:0042939,GO:0042995,GO:0043167,GO:0043168,GO:0043207,GO:0043252,GO:0043434,GO:0043933,GO:0044085,GO:0044237,GO:0044238,GO:0044249,GO:0044271,GO:0044281,GO:0044425,GO:0044459,GO:0044463,GO:0044464,GO:0044853,GO:0045121,GO:0045177,GO:0046415,GO:0046483,GO:0046496,GO:0046903,GO:0046942,GO:0046943,GO:0046983,GO:0050789,GO:0050794,GO:0050896,GO:0051179,GO:0051180,GO:0051181,GO:0051186,GO:0051188,GO:0051234,GO:0051259,GO:0051260,GO:0051704,GO:0051707,GO:0051716,GO:0055085,GO:0055086,GO:0060089,GO:0065003,GO:0065007,GO:0065008,GO:0070887,GO:0071310,GO:0071375,GO:0071417,GO:0071495,GO:0071702,GO:0071704,GO:0071705,GO:0071715,GO:0071718,GO:0071720,GO:0071840,GO:0071944,GO:0072337,GO:0072348,GO:0072488,GO:0072521,GO:0072524,GO:0072525,GO:0090407,GO:0090416,GO:0090482,GO:0097254,GO:0097327,GO:0097329,GO:0097744,GO:0098552,GO:0098589,GO:0098590,GO:0098655,GO:0098656,GO:0098805,GO:0098857,GO:0098862,GO:0099516,GO:0120025,GO:0120038,GO:1901293,GO:1901360,GO:1901362,GO:1901564,GO:1901566,GO:1901571,GO:1901576,GO:1901652,GO:1901653,GO:1901698,GO:1901699,GO:1901700,GO:1901701,GO:1901702,GO:1901998,GO:1903825,GO:1905039,GO:2001142</t>
  </si>
  <si>
    <t>GO:0001505,GO:0003333,GO:0003674,GO:0005215,GO:0005307,GO:0005326,GO:0005328,GO:0005342,GO:0005488,GO:0005575,GO:0005622,GO:0005623,GO:0005737,GO:0005886,GO:0005887,GO:0006807,GO:0006810,GO:0006811,GO:0006812,GO:0006814,GO:0006820,GO:0006836,GO:0006865,GO:0008021,GO:0008150,GO:0008152,GO:0008291,GO:0008292,GO:0008324,GO:0008509,GO:0008514,GO:0008519,GO:0009058,GO:0009987,GO:0010817,GO:0012505,GO:0015075,GO:0015077,GO:0015081,GO:0015101,GO:0015171,GO:0015220,GO:0015291,GO:0015293,GO:0015294,GO:0015318,GO:0015370,GO:0015672,GO:0015695,GO:0015696,GO:0015711,GO:0015849,GO:0015871,GO:0016020,GO:0016021,GO:0017144,GO:0022804,GO:0022857,GO:0022890,GO:0030001,GO:0030133,GO:0030424,GO:0031224,GO:0031226,GO:0031410,GO:0031982,GO:0033265,GO:0034220,GO:0035725,GO:0036477,GO:0042133,GO:0042136,GO:0042165,GO:0042445,GO:0042446,GO:0042995,GO:0043005,GO:0043025,GO:0043167,GO:0043169,GO:0043226,GO:0043227,GO:0043229,GO:0044237,GO:0044249,GO:0044297,GO:0044424,GO:0044425,GO:0044444,GO:0044456,GO:0044459,GO:0044464,GO:0045202,GO:0046873,GO:0046942,GO:0046943,GO:0051179,GO:0051234,GO:0055085,GO:0065007,GO:0065008,GO:0070382,GO:0070405,GO:0071702,GO:0071704,GO:0071705,GO:0071944,GO:0072488,GO:0097164,GO:0097458,GO:0097708,GO:0098655,GO:0098656,GO:0098660,GO:0098662,GO:0098793,GO:0099503,GO:0120025,GO:1900619,GO:1900620,GO:1901576,GO:1903825,GO:1905039</t>
  </si>
  <si>
    <t>GO:0000003,GO:0000122,GO:0000902,GO:0000904,GO:0001501,GO:0001667,GO:0001701,GO:0001702,GO:0001704,GO:0001706,GO:0001707,GO:0001708,GO:0001710,GO:0001817,GO:0001819,GO:0001824,GO:0001825,GO:0001829,GO:0001831,GO:0001838,GO:0001841,GO:0001842,GO:0001889,GO:0001890,GO:0001892,GO:0001893,GO:0001932,GO:0001934,GO:0001944,GO:0001947,GO:0002009,GO:0002085,GO:0003002,GO:0003006,GO:0003007,GO:0003140,GO:0003143,GO:0003674,GO:0005102,GO:0005125,GO:0005126,GO:0005160,GO:0005488,GO:0005515,GO:0005575,GO:0005576,GO:0005615,GO:0006355,GO:0006357,GO:0006928,GO:0007154,GO:0007165,GO:0007166,GO:0007167,GO:0007178,GO:0007179,GO:0007267,GO:0007275,GO:0007368,GO:0007369,GO:0007389,GO:0007399,GO:0007417,GO:0007420,GO:0007492,GO:0007498,GO:0007501,GO:0007507,GO:0007565,GO:0007567,GO:0008150,GO:0008284,GO:0008285,GO:0009653,GO:0009719,GO:0009790,GO:0009792,GO:0009798,GO:0009799,GO:0009855,GO:0009880,GO:0009887,GO:0009888,GO:0009889,GO:0009890,GO:0009891,GO:0009892,GO:0009893,GO:0009946,GO:0009948,GO:0009952,GO:0009954,GO:0009966,GO:0009967,GO:0009968,GO:0009987,GO:0010033,GO:0010085,GO:0010468,GO:0010469,GO:0010470,GO:0010556,GO:0010557,GO:0010558,GO:0010562,GO:0010574,GO:0010575,GO:0010604,GO:0010605,GO:0010628,GO:0010629,GO:0010646,GO:0010647,GO:0010648,GO:0010721,GO:0010862,GO:0010941,GO:0010942,GO:0010950,GO:0010952,GO:0014020,GO:0016015,GO:0016043,GO:0016331,GO:0016477,GO:0019219,GO:0019220,GO:0019222,GO:0019827,GO:0021915,GO:0022407,GO:0022409,GO:0022414,GO:0022603,GO:0023051,GO:0023052,GO:0023056,GO:0023057,GO:0030154,GO:0030155,GO:0030162,GO:0030323,GO:0030324,GO:0030334,GO:0030336,GO:0030509,GO:0030545,GO:0030856,GO:0030857,GO:0031323,GO:0031324,GO:0031325,GO:0031326,GO:0031327,GO:0031328,GO:0031399,GO:0031401,GO:0032268,GO:0032270,GO:0032501,GO:0032502,GO:0032504,GO:0032879,GO:0032924,GO:0032925,GO:0032927,GO:0032989,GO:0033143,GO:0033144,GO:0033504,GO:0033505,GO:0033612,GO:0035050,GO:0035148,GO:0035239,GO:0035295,GO:0035987,GO:0038092,GO:0038107,GO:0040011,GO:0040012,GO:0040013,GO:0040034,GO:0042074,GO:0042127,GO:0042221,GO:0042325,GO:0042327,GO:0042981,GO:0043009,GO:0043065,GO:0043067,GO:0043068,GO:0043085,GO:0043280,GO:0043281,GO:0043408,GO:0043410,GO:0043900,GO:0043901,GO:0044093,GO:0044421,GO:0044703,GO:0044706,GO:0045165,GO:0045595,GO:0045596,GO:0045765,GO:0045766,GO:0045785,GO:0045862,GO:0045892,GO:0045893,GO:0045934,GO:0045935,GO:0045937,GO:0045944,GO:0045995,GO:0048018,GO:0048318,GO:0048319,GO:0048320,GO:0048321,GO:0048322,GO:0048327,GO:0048332,GO:0048333,GO:0048368,GO:0048382,GO:0048468,GO:0048505,GO:0048513,GO:0048518,GO:0048519,GO:0048522,GO:0048523,GO:0048546,GO:0048562,GO:0048565,GO:0048568,GO:0048583,GO:0048584,GO:0048585,GO:0048598,GO:0048608,GO:0048609,GO:0048646,GO:0048701,GO:0048704,GO:0048705,GO:0048706,GO:0048729,GO:0048731,GO:0048732,GO:0048856,GO:0048859,GO:0048869,GO:0048870,GO:0050678,GO:0050679,GO:0050789,GO:0050790,GO:0050793,GO:0050794,GO:0050896,GO:0051090,GO:0051091,GO:0051093,GO:0051094,GO:0051171,GO:0051172,GO:0051173,GO:0051174,GO:0051179,GO:0051239,GO:0051240,GO:0051241,GO:0051246,GO:0051247,GO:0051252,GO:0051253,GO:0051254,GO:0051270,GO:0051271,GO:0051336,GO:0051345,GO:0051674,GO:0051704,GO:0051716,GO:0052547,GO:0052548,GO:0055123,GO:0060135,GO:0060136,GO:0060137,GO:0060255,GO:0060284,GO:0060322,GO:0060390,GO:0060391,GO:0060393,GO:0060395,GO:0060425,GO:0060429,GO:0060459,GO:0060460,GO:0060485,GO:0060541,GO:0060562,GO:0060571,GO:0060765,GO:0060766,GO:0060795,GO:0060802,GO:0061008,GO:0061371,GO:0061458,GO:0065001,GO:0065007,GO:0065009,GO:0070372,GO:0070374,GO:0070696,GO:0070697,GO:0070698,GO:0070848,GO:0070887,GO:0071310,GO:0071363,GO:0071495,GO:0071559,GO:0071560,GO:0071772,GO:0071773,GO:0071840,GO:0072175,GO:0072358,GO:0072359,GO:0080090,GO:0090009,GO:0090010,GO:0090092,GO:0090100,GO:0098727,GO:0098772,GO:1900094,GO:1900107,GO:1900145,GO:1900164,GO:1900175,GO:1900224,GO:1901163,GO:1901164,GO:1901342,GO:1901382,GO:1901383,GO:1902531,GO:1902533,GO:1902679,GO:1902680,GO:1903506,GO:1903507,GO:1903508,GO:1904018,GO:1904888,GO:2000026,GO:2000036,GO:2000112,GO:2000113,GO:2000116,GO:2000145,GO:2000146,GO:2000241,GO:2000242,GO:2000380,GO:2000382,GO:2001056,GO:2001141</t>
  </si>
  <si>
    <t>GO:0000302,GO:0005575,GO:0005576,GO:0005615,GO:0006950,GO:0006979,GO:0008150,GO:0042221,GO:0044421,GO:0050896,GO:1901700</t>
  </si>
  <si>
    <t>GO:0000146,GO:0000278,GO:0000281,GO:0000910,GO:0003008,GO:0003012,GO:0003674,GO:0003774,GO:0003824,GO:0005198,GO:0005488,GO:0005515,GO:0005575,GO:0005622,GO:0005623,GO:0005737,GO:0005829,GO:0005856,GO:0005859,GO:0005903,GO:0006928,GO:0006936,GO:0007049,GO:0007275,GO:0007517,GO:0007519,GO:0008092,GO:0008150,GO:0008307,GO:0009888,GO:0009987,GO:0014706,GO:0015629,GO:0016459,GO:0016460,GO:0016461,GO:0016462,GO:0016787,GO:0016817,GO:0016818,GO:0016887,GO:0017022,GO:0017111,GO:0022402,GO:0030029,GO:0030048,GO:0030049,GO:0030898,GO:0031475,GO:0031476,GO:0031477,GO:0032036,GO:0032501,GO:0032502,GO:0032991,GO:0033275,GO:0042623,GO:0043226,GO:0043228,GO:0043229,GO:0043232,GO:0043292,GO:0044422,GO:0044424,GO:0044430,GO:0044444,GO:0044446,GO:0044449,GO:0044464,GO:0048513,GO:0048731,GO:0048856,GO:0051301,GO:0060537,GO:0060538,GO:0061061,GO:0061640,GO:0070252,GO:0098862,GO:0099080,GO:0099081,GO:0099512,GO:1903047</t>
  </si>
  <si>
    <t>GO:0000976,GO:0000977,GO:0000980,GO:0000981,GO:0001012,GO:0001067,GO:0001085,GO:0001158,GO:0001221,GO:0001223,GO:0001654,GO:0001745,GO:0002009,GO:0002165,GO:0003674,GO:0003676,GO:0003677,GO:0003690,GO:0003700,GO:0005488,GO:0005515,GO:0005575,GO:0005622,GO:0005623,GO:0005634,GO:0005667,GO:0006355,GO:0006357,GO:0007275,GO:0007423,GO:0007444,GO:0007472,GO:0007476,GO:0007478,GO:0007480,GO:0007507,GO:0007525,GO:0007552,GO:0007560,GO:0008134,GO:0008150,GO:0008283,GO:0009653,GO:0009790,GO:0009791,GO:0009886,GO:0009887,GO:0009888,GO:0009889,GO:0009890,GO:0009891,GO:0009892,GO:0009893,GO:0009987,GO:0010468,GO:0010556,GO:0010557,GO:0010558,GO:0010604,GO:0010605,GO:0010628,GO:0010629,GO:0014706,GO:0019219,GO:0019222,GO:0019904,GO:0022603,GO:0030154,GO:0031323,GO:0031324,GO:0031325,GO:0031326,GO:0031327,GO:0031328,GO:0032501,GO:0032502,GO:0032991,GO:0035051,GO:0035107,GO:0035114,GO:0035120,GO:0035218,GO:0035220,GO:0035239,GO:0035295,GO:0035326,GO:0042692,GO:0043226,GO:0043227,GO:0043229,GO:0043231,GO:0043565,GO:0044212,GO:0044424,GO:0044464,GO:0045892,GO:0045893,GO:0045934,GO:0045935,GO:0045944,GO:0048468,GO:0048513,GO:0048518,GO:0048519,GO:0048522,GO:0048523,GO:0048563,GO:0048568,GO:0048569,GO:0048592,GO:0048707,GO:0048729,GO:0048731,GO:0048736,GO:0048737,GO:0048738,GO:0048749,GO:0048856,GO:0048869,GO:0050789,GO:0050793,GO:0050794,GO:0051146,GO:0051171,GO:0051172,GO:0051173,GO:0051239,GO:0051252,GO:0051253,GO:0051254,GO:0055001,GO:0055002,GO:0055006,GO:0055007,GO:0055013,GO:0060255,GO:0060429,GO:0060537,GO:0060562,GO:0061061,GO:0065007,GO:0072089,GO:0072359,GO:0080090,GO:0090596,GO:0097159,GO:0140110,GO:1901363,GO:1902679,GO:1902680,GO:1903506,GO:1903507,GO:1903508,GO:1990837,GO:2000026,GO:2000027,GO:2000112,GO:2000113,GO:2000826,GO:2001141</t>
  </si>
  <si>
    <t>GO:0000902,GO:0000904,GO:0001503,GO:0001649,GO:0001764,GO:0002076,GO:0003674,GO:0005102,GO:0005178,GO:0005488,GO:0005515,GO:0005575,GO:0005576,GO:0005623,GO:0006928,GO:0007155,GO:0007160,GO:0007275,GO:0007399,GO:0007409,GO:0008037,GO:0008038,GO:0008150,GO:0008285,GO:0009653,GO:0009966,GO:0009968,GO:0009986,GO:0009987,GO:0010646,GO:0010648,GO:0010721,GO:0016043,GO:0016049,GO:0016477,GO:0022008,GO:0022610,GO:0023051,GO:0023057,GO:0030030,GO:0030111,GO:0030154,GO:0030178,GO:0030182,GO:0030278,GO:0030279,GO:0030334,GO:0030336,GO:0030424,GO:0030425,GO:0031012,GO:0031175,GO:0031589,GO:0032501,GO:0032502,GO:0032879,GO:0032989,GO:0032990,GO:0033267,GO:0033688,GO:0033689,GO:0036477,GO:0040007,GO:0040011,GO:0040012,GO:0040013,GO:0042058,GO:0042059,GO:0042127,GO:0042802,GO:0042995,GO:0043005,GO:0043025,GO:0043195,GO:0043679,GO:0044297,GO:0044302,GO:0044306,GO:0044421,GO:0044456,GO:0044463,GO:0044464,GO:0044877,GO:0045202,GO:0045595,GO:0045596,GO:0045667,GO:0045668,GO:0048468,GO:0048519,GO:0048523,GO:0048583,GO:0048585,GO:0048588,GO:0048589,GO:0048666,GO:0048667,GO:0048699,GO:0048731,GO:0048812,GO:0048856,GO:0048858,GO:0048869,GO:0048870,GO:0050767,GO:0050768,GO:0050789,GO:0050793,GO:0050794,GO:0050839,GO:0051093,GO:0051179,GO:0051239,GO:0051241,GO:0051270,GO:0051271,GO:0051674,GO:0051960,GO:0051961,GO:0060284,GO:0060560,GO:0060828,GO:0061564,GO:0065007,GO:0070593,GO:0071840,GO:0090090,GO:0097442,GO:0097447,GO:0097457,GO:0097458,GO:0098793,GO:0120025,GO:0120036,GO:0120038,GO:0120039,GO:0150034,GO:1901184,GO:1901185,GO:1905239,GO:1905240,GO:1990026,GO:1990138,GO:2000026,GO:2000145,GO:2000146,GO:2001222,GO:2001223</t>
  </si>
  <si>
    <t>GO:0003674,GO:0005215,GO:0005488,GO:0005575,GO:0005623,GO:0006810,GO:0006811,GO:0006820,GO:0006855,GO:0008144,GO:0008150,GO:0008509,GO:0008514,GO:0015075,GO:0015238,GO:0015711,GO:0015893,GO:0019842,GO:0022857,GO:0031644,GO:0031645,GO:0032217,GO:0032218,GO:0034220,GO:0035461,GO:0036094,GO:0042221,GO:0042493,GO:0043167,GO:0043168,GO:0044057,GO:0048519,GO:0050789,GO:0050896,GO:0051179,GO:0051180,GO:0051234,GO:0051239,GO:0051241,GO:0051931,GO:0055085,GO:0065007,GO:0071702,GO:0071705,GO:0090482,GO:0097159,GO:0098656,GO:1901363,GO:1902444,GO:1904656,GO:1904657,GO:1904660,GO:1904661</t>
  </si>
  <si>
    <t>GO:0003674,GO:0003824,GO:0005488,GO:0005575,GO:0005622,GO:0005623,GO:0005634,GO:0005737,GO:0005739,GO:0005740,GO:0005741,GO:0006082,GO:0006807,GO:0008150,GO:0008152,GO:0008940,GO:0009636,GO:0009987,GO:0016020,GO:0016491,GO:0016661,GO:0019222,GO:0019867,GO:0030151,GO:0030162,GO:0031090,GO:0031323,GO:0031399,GO:0031966,GO:0031967,GO:0031968,GO:0031975,GO:0032268,GO:0042126,GO:0042221,GO:0043167,GO:0043169,GO:0043226,GO:0043227,GO:0043229,GO:0043231,GO:0043436,GO:0043546,GO:0044237,GO:0044281,GO:0044422,GO:0044424,GO:0044429,GO:0044444,GO:0044446,GO:0044464,GO:0046872,GO:0046914,GO:0048037,GO:0050662,GO:0050789,GO:0050794,GO:0050896,GO:0051171,GO:0051246,GO:0051410,GO:0055114,GO:0060255,GO:0060625,GO:0065007,GO:0071704,GO:0080090,GO:0097159,GO:0098588,GO:0098754,GO:0098805,GO:1901363,GO:1901698,GO:1903320,GO:2001057</t>
  </si>
  <si>
    <t>GO:0000041,GO:0003674,GO:0003824,GO:0004322,GO:0005488,GO:0005506,GO:0005507,GO:0005575,GO:0005622,GO:0005623,GO:0005737,GO:0005886,GO:0006810,GO:0006811,GO:0006812,GO:0006826,GO:0008150,GO:0008152,GO:0008198,GO:0016020,GO:0016323,GO:0016491,GO:0016722,GO:0016724,GO:0030001,GO:0043167,GO:0043169,GO:0044424,GO:0044425,GO:0044444,GO:0044459,GO:0044464,GO:0046872,GO:0046914,GO:0048471,GO:0051179,GO:0051234,GO:0055114,GO:0071944,GO:0098590</t>
  </si>
  <si>
    <t>GO:0001817,GO:0002218,GO:0002221,GO:0002224,GO:0002253,GO:0002376,GO:0002682,GO:0002684,GO:0002697,GO:0002756,GO:0002757,GO:0002758,GO:0002764,GO:0002831,GO:0003674,GO:0003824,GO:0004842,GO:0005102,GO:0005126,GO:0005164,GO:0005488,GO:0005515,GO:0005575,GO:0005622,GO:0005623,GO:0005737,GO:0005739,GO:0005829,GO:0005886,GO:0005887,GO:0006355,GO:0006464,GO:0006508,GO:0006807,GO:0006915,GO:0007154,GO:0007165,GO:0007166,GO:0008150,GO:0008152,GO:0008219,GO:0009889,GO:0009898,GO:0009987,GO:0010033,GO:0010468,GO:0010556,GO:0012501,GO:0016020,GO:0016021,GO:0016567,GO:0016579,GO:0016740,GO:0019219,GO:0019221,GO:0019222,GO:0019538,GO:0019787,GO:0019899,GO:0019900,GO:0019901,GO:0019902,GO:0019903,GO:0023052,GO:0030162,GO:0031224,GO:0031226,GO:0031323,GO:0031326,GO:0031347,GO:0031349,GO:0031625,GO:0031996,GO:0032088,GO:0032101,GO:0032446,GO:0032479,GO:0032648,GO:0032813,GO:0032991,GO:0033209,GO:0034097,GO:0034612,GO:0035631,GO:0035666,GO:0036211,GO:0042221,GO:0043170,GO:0043226,GO:0043227,GO:0043229,GO:0043231,GO:0043235,GO:0043412,GO:0043433,GO:0043900,GO:0044092,GO:0044237,GO:0044238,GO:0044260,GO:0044267,GO:0044389,GO:0044424,GO:0044425,GO:0044444,GO:0044459,GO:0044464,GO:0045088,GO:0045089,GO:0048518,GO:0048519,GO:0048583,GO:0048584,GO:0050688,GO:0050776,GO:0050778,GO:0050789,GO:0050794,GO:0050896,GO:0051090,GO:0051171,GO:0051239,GO:0051246,GO:0051252,GO:0051716,GO:0060255,GO:0065007,GO:0065009,GO:0070646,GO:0070647,GO:0070887,GO:0071310,GO:0071345,GO:0071356,GO:0071704,GO:0071944,GO:0080090,GO:0080134,GO:0098552,GO:0098562,GO:0098796,GO:0098797,GO:0098802,GO:0140096,GO:1901564,GO:1903506,GO:2000112,GO:2001141</t>
  </si>
  <si>
    <t>GO:0003674,GO:0003824,GO:0004089,GO:0005575,GO:0005622,GO:0005623,GO:0005737,GO:0005829,GO:0006730,GO:0006810,GO:0006811,GO:0006820,GO:0006950,GO:0006970,GO:0006971,GO:0008150,GO:0008152,GO:0009628,GO:0009651,GO:0009987,GO:0015669,GO:0015670,GO:0015701,GO:0015711,GO:0015893,GO:0016829,GO:0016835,GO:0016836,GO:0019755,GO:0042221,GO:0042493,GO:0042539,GO:0043209,GO:0043226,GO:0043227,GO:0043229,GO:0043231,GO:0044237,GO:0044281,GO:0044424,GO:0044444,GO:0044464,GO:0050896,GO:0051179,GO:0051234,GO:0071702</t>
  </si>
  <si>
    <t>GO:0001523,GO:0001654,GO:0001786,GO:0001894,GO:0001895,GO:0003008,GO:0003407,GO:0003674,GO:0003824,GO:0004744,GO:0005488,GO:0005515,GO:0005543,GO:0005575,GO:0005622,GO:0005623,GO:0005737,GO:0005829,GO:0005886,GO:0006066,GO:0006081,GO:0006629,GO:0006720,GO:0006721,GO:0006766,GO:0006775,GO:0006776,GO:0007154,GO:0007165,GO:0007166,GO:0007167,GO:0007169,GO:0007275,GO:0007399,GO:0007423,GO:0007468,GO:0007600,GO:0007601,GO:0007623,GO:0008150,GO:0008152,GO:0008286,GO:0008289,GO:0008299,GO:0008610,GO:0009058,GO:0009314,GO:0009416,GO:0009581,GO:0009582,GO:0009583,GO:0009584,GO:0009605,GO:0009628,GO:0009653,GO:0009719,GO:0009725,GO:0009887,GO:0009987,GO:0010033,GO:0010243,GO:0010468,GO:0010817,GO:0016020,GO:0016101,GO:0016108,GO:0016109,GO:0016114,GO:0016116,GO:0016117,GO:0016122,GO:0016123,GO:0016787,GO:0016788,GO:0016853,GO:0016859,GO:0019222,GO:0022008,GO:0023052,GO:0030154,GO:0030182,GO:0031210,GO:0032501,GO:0032502,GO:0032868,GO:0032869,GO:0032870,GO:0034308,GO:0034754,GO:0042221,GO:0042440,GO:0042445,GO:0042461,GO:0042572,GO:0042574,GO:0042592,GO:0042802,GO:0043010,GO:0043167,GO:0043168,GO:0043169,GO:0043434,GO:0044237,GO:0044238,GO:0044249,GO:0044255,GO:0044281,GO:0044297,GO:0044424,GO:0044444,GO:0044464,GO:0046148,GO:0046530,GO:0048468,GO:0048511,GO:0048513,GO:0048592,GO:0048593,GO:0048666,GO:0048699,GO:0048731,GO:0048856,GO:0048869,GO:0048871,GO:0050251,GO:0050789,GO:0050794,GO:0050877,GO:0050896,GO:0050906,GO:0050908,GO:0050953,GO:0050962,GO:0050997,GO:0051602,GO:0051606,GO:0051716,GO:0052689,GO:0052884,GO:0052885,GO:0060041,GO:0060042,GO:0060249,GO:0060255,GO:0065007,GO:0065008,GO:0070405,GO:0070887,GO:0071214,GO:0071257,GO:0071310,GO:0071375,GO:0071417,GO:0071495,GO:0071704,GO:0071944,GO:0072341,GO:0090596,GO:0104004,GO:1901576,GO:1901611,GO:1901612,GO:1901615,GO:1901652,GO:1901653,GO:1901698,GO:1901699,GO:1901700,GO:1901701,GO:1901825,GO:1901827</t>
  </si>
  <si>
    <t>GO:0000003,GO:0003006,GO:0007276,GO:0007281,GO:0007283,GO:0007286,GO:0008150,GO:0009987,GO:0019953,GO:0022412,GO:0022414,GO:0030154,GO:0032501,GO:0032502,GO:0032504,GO:0044703,GO:0048232,GO:0048468,GO:0048515,GO:0048609,GO:0048856,GO:0048869,GO:0051704</t>
  </si>
  <si>
    <t>GO:0000003,GO:0000122,GO:0000186,GO:0000302,GO:0001101,GO:0001501,GO:0001503,GO:0001525,GO:0001541,GO:0001568,GO:0001649,GO:0001654,GO:0001655,GO:0001656,GO:0001657,GO:0001658,GO:0001704,GO:0001707,GO:0001709,GO:0001710,GO:0001759,GO:0001763,GO:0001822,GO:0001823,GO:0001838,GO:0001841,GO:0001843,GO:0001932,GO:0001933,GO:0001934,GO:0001935,GO:0001936,GO:0001938,GO:0001944,GO:0001958,GO:0002009,GO:0002040,GO:0002043,GO:0002062,GO:0002064,GO:0002065,GO:0002066,GO:0002067,GO:0002068,GO:0002088,GO:0002089,GO:0002244,GO:0002262,GO:0002320,GO:0002376,GO:0002520,GO:0002521,GO:0002573,GO:0002682,GO:0002683,GO:0002694,GO:0002695,GO:0003002,GO:0003006,GO:0003007,GO:0003008,GO:0003014,GO:0003128,GO:0003129,GO:0003130,GO:0003133,GO:0003134,GO:0003139,GO:0003148,GO:0003149,GO:0003151,GO:0003156,GO:0003158,GO:0003159,GO:0003170,GO:0003176,GO:0003177,GO:0003179,GO:0003180,GO:0003184,GO:0003197,GO:0003205,GO:0003206,GO:0003231,GO:0003279,GO:0003281,GO:0003309,GO:0003323,GO:0003337,GO:0003338,GO:0003401,GO:0003674,GO:0005102,GO:0005125,GO:0005126,GO:0005160,GO:0005488,GO:0005515,GO:0005539,GO:0005575,GO:0005576,GO:0005615,GO:0005622,GO:0005623,GO:0005737,GO:0005783,GO:0005788,GO:0006355,GO:0006357,GO:0006464,GO:0006468,GO:0006469,GO:0006793,GO:0006796,GO:0006807,GO:0006873,GO:0006874,GO:0006875,GO:0006935,GO:0006950,GO:0006979,GO:0007088,GO:0007154,GO:0007162,GO:0007165,GO:0007166,GO:0007167,GO:0007178,GO:0007182,GO:0007204,GO:0007224,GO:0007267,GO:0007275,GO:0007276,GO:0007281,GO:0007346,GO:0007369,GO:0007389,GO:0007399,GO:0007417,GO:0007420,GO:0007423,GO:0007492,GO:0007498,GO:0007500,GO:0007507,GO:0007548,GO:0008083,GO:0008104,GO:0008150,GO:0008152,GO:0008201,GO:0008283,GO:0008284,GO:0008285,GO:0008406,GO:0008585,GO:0009410,GO:0009605,GO:0009611,GO:0009612,GO:0009628,GO:0009653,GO:0009719,GO:0009725,GO:0009755,GO:0009790,GO:0009791,GO:0009792,GO:0009798,GO:0009799,GO:0009887,GO:0009888,GO:0009889,GO:0009890,GO:0009891,GO:0009892,GO:0009893,GO:0009948,GO:0009952,GO:0009953,GO:0009966,GO:0009967,GO:0009968,GO:0009987,GO:0010033,GO:0010035,GO:0010092,GO:0010159,GO:0010453,GO:0010463,GO:0010464,GO:0010468,GO:0010469,GO:0010522,GO:0010524,GO:0010556,GO:0010557,GO:0010558,GO:0010562,GO:0010563,GO:0010564,GO:0010594,GO:0010595,GO:0010604,GO:0010605,GO:0010628,GO:0010629,GO:0010632,GO:0010634,GO:0010639,GO:0010646,GO:0010647,GO:0010648,GO:0010712,GO:0010714,GO:0010717,GO:0010718,GO:0010720,GO:0010721,GO:0010862,GO:0010941,GO:0010942,GO:0010948,GO:0010959,GO:0010975,GO:0010976,GO:0012505,GO:0014013,GO:0014014,GO:0014020,GO:0014070,GO:0014706,GO:0016202,GO:0016310,GO:0016331,GO:0019219,GO:0019220,GO:0019222,GO:0019538,GO:0019725,GO:0019953,GO:0021532,GO:0021536,GO:0021537,GO:0021871,GO:0021904,GO:0021915,GO:0021978,GO:0021983,GO:0022008,GO:0022407,GO:0022408,GO:0022412,GO:0022414,GO:0022603,GO:0022612,GO:0022898,GO:0023051,GO:0023052,GO:0023056,GO:0023057,GO:0030003,GO:0030097,GO:0030099,GO:0030154,GO:0030155,GO:0030182,GO:0030218,GO:0030224,GO:0030225,GO:0030278,GO:0030323,GO:0030324,GO:0030326,GO:0030334,GO:0030335,GO:0030500,GO:0030501,GO:0030509,GO:0030510,GO:0030513,GO:0030545,GO:0030850,GO:0030855,GO:0030856,GO:0030858,GO:0030879,GO:0030900,GO:0030947,GO:0030949,GO:0031016,GO:0031018,GO:0031128,GO:0031323,GO:0031324,GO:0031325,GO:0031326,GO:0031327,GO:0031328,GO:0031344,GO:0031346,GO:0031399,GO:0031400,GO:0031401,GO:0031960,GO:0031974,GO:0031982,GO:0032092,GO:0032147,GO:0032268,GO:0032269,GO:0032270,GO:0032330,GO:0032331,GO:0032355,GO:0032386,GO:0032409,GO:0032411,GO:0032412,GO:0032414,GO:0032501,GO:0032502,GO:0032504,GO:0032526,GO:0032835,GO:0032870,GO:0032879,GO:0032880,GO:0032944,GO:0032945,GO:0032965,GO:0032967,GO:0033036,GO:0033043,GO:0033081,GO:0033083,GO:0033084,GO:0033085,GO:0033087,GO:0033088,GO:0033157,GO:0033365,GO:0033554,GO:0033574,GO:0033612,GO:0033673,GO:0033674,GO:0033993,GO:0034101,GO:0034504,GO:0034599,GO:0034613,GO:0034762,GO:0034764,GO:0034765,GO:0034767,GO:0035051,GO:0035107,GO:0035108,GO:0035113,GO:0035116,GO:0035137,GO:0035148,GO:0035239,GO:0035270,GO:0035282,GO:0035295,GO:0035690,GO:0035844,GO:0035850,GO:0035883,GO:0035989,GO:0035990,GO:0035992,GO:0035993,GO:0036075,GO:0036211,GO:0039706,GO:0040007,GO:0040008,GO:0040011,GO:0040012,GO:0040017,GO:0042056,GO:0042060,GO:0042127,GO:0042129,GO:0042130,GO:0042221,GO:0042306,GO:0042325,GO:0042326,GO:0042327,GO:0042330,GO:0042475,GO:0042476,GO:0042481,GO:0042487,GO:0042490,GO:0042493,GO:0042592,GO:0042692,GO:0042733,GO:0042802,GO:0042803,GO:0042981,GO:0043009,GO:0043010,GO:0043065,GO:0043066,GO:0043067,GO:0043068,GO:0043069,GO:0043085,GO:0043086,GO:0043167,GO:0043168,GO:0043170,GO:0043226,GO:0043227,GO:0043229,GO:0043231,GO:0043233,GO:0043269,GO:0043270,GO:0043393,GO:0043401,GO:0043405,GO:0043406,GO:0043407,GO:0043408,GO:0043409,GO:0043410,GO:0043412,GO:0043549,GO:0043583,GO:0043586,GO:0043587,GO:0043687,GO:0044092,GO:0044093,GO:0044237,GO:0044238,GO:0044260,GO:0044267,GO:0044421,GO:0044422,GO:0044424,GO:0044432,GO:0044444,GO:0044446,GO:0044464,GO:0044703,GO:0045137,GO:0045165,GO:0045580,GO:0045581,GO:0045595,GO:0045596,GO:0045597,GO:0045601,GO:0045603,GO:0045604,GO:0045606,GO:0045619,GO:0045620,GO:0045661,GO:0045662,GO:0045664,GO:0045666,GO:0045667,GO:0045669,GO:0045682,GO:0045684,GO:0045685,GO:0045686,GO:0045778,GO:0045786,GO:0045839,GO:0045843,GO:0045844,GO:0045859,GO:0045860,GO:0045892,GO:0045893,GO:0045926,GO:0045930,GO:0045934,GO:0045935,GO:0045936,GO:0045937,GO:0045944,GO:0045992,GO:0045995,GO:0046545,GO:0046660,GO:0046822,GO:0046983,GO:0048018,GO:0048286,GO:0048332,GO:0048333,GO:0048389,GO:0048390,GO:0048391,GO:0048392,GO:0048468,GO:0048513,GO:0048514,GO:0048518,GO:0048519,GO:0048522,GO:0048523,GO:0048534,GO:0048545,GO:0048546,GO:0048562,GO:0048565,GO:0048568,GO:0048583,GO:0048584,GO:0048585,GO:0048589,GO:0048592,GO:0048593,GO:0048598,GO:0048608,GO:0048609,GO:0048634,GO:0048635,GO:0048636,GO:0048638,GO:0048640,GO:0048645,GO:0048646,GO:0048660,GO:0048661,GO:0048663,GO:0048699,GO:0048701,GO:0048704,GO:0048705,GO:0048706,GO:0048713,GO:0048715,GO:0048729,GO:0048731,GO:0048732,GO:0048736,GO:0048738,GO:0048745,GO:0048754,GO:0048762,GO:0048839,GO:0048844,GO:0048856,GO:0048869,GO:0048872,GO:0048878,GO:0050670,GO:0050672,GO:0050673,GO:0050678,GO:0050679,GO:0050680,GO:0050767,GO:0050768,GO:0050769,GO:0050789,GO:0050790,GO:0050793,GO:0050794,GO:0050801,GO:0050863,GO:0050865,GO:0050866,GO:0050868,GO:0050896,GO:0050918,GO:0051049,GO:0051050,GO:0051093,GO:0051094,GO:0051098,GO:0051099,GO:0051128,GO:0051129,GO:0051130,GO:0051145,GO:0051146,GO:0051147,GO:0051149,GO:0051150,GO:0051153,GO:0051155,GO:0051171,GO:0051172,GO:0051173,GO:0051174,GO:0051179,GO:0051216,GO:0051223,GO:0051239,GO:0051240,GO:0051241,GO:0051246,GO:0051247,GO:0051248,GO:0051249,GO:0051250,GO:0051252,GO:0051253,GO:0051254,GO:0051270,GO:0051272,GO:0051338,GO:0051347,GO:0051348,GO:0051384,GO:0051480,GO:0051641,GO:0051704,GO:0051716,GO:0051726,GO:0051783,GO:0051784,GO:0051924,GO:0051928,GO:0051960,GO:0051961,GO:0051962,GO:0055007,GO:0055018,GO:0055020,GO:0055024,GO:0055025,GO:0055065,GO:0055074,GO:0055080,GO:0055082,GO:0055123,GO:0060033,GO:0060037,GO:0060041,GO:0060113,GO:0060147,GO:0060148,GO:0060173,GO:0060197,GO:0060231,GO:0060235,GO:0060255,GO:0060272,GO:0060284,GO:0060322,GO:0060341,GO:0060348,GO:0060349,GO:0060350,GO:0060363,GO:0060390,GO:0060391,GO:0060393,GO:0060395,GO:0060411,GO:0060412,GO:0060425,GO:0060428,GO:0060429,GO:0060433,GO:0060438,GO:0060439,GO:0060440,GO:0060441,GO:0060442,GO:0060443,GO:0060449,GO:0060462,GO:0060485,GO:0060502,GO:0060503,GO:0060512,GO:0060537,GO:0060541,GO:0060548,GO:0060560,GO:0060562,GO:0060592,GO:0060602,GO:0060606,GO:0060675,GO:0060684,GO:0060685,GO:0060686,GO:0060687,GO:0060688,GO:0060740,GO:0060795,GO:0060840,GO:0060914,GO:0060964,GO:0060966,GO:0060968,GO:0060976,GO:0060993,GO:0060994,GO:0061004,GO:0061005,GO:0061035,GO:0061036,GO:0061037,GO:0061046,GO:0061047,GO:0061061,GO:0061138,GO:0061149,GO:0061150,GO:0061151,GO:0061154,GO:0061155,GO:0061156,GO:0061209,GO:0061213,GO:0061216,GO:0061217,GO:0061218,GO:0061227,GO:0061311,GO:0061312,GO:0061318,GO:0061326,GO:0061333,GO:0061437,GO:0061438,GO:0061439,GO:0061440,GO:0061448,GO:0061458,GO:0061626,GO:0065007,GO:0065008,GO:0065009,GO:0070013,GO:0070167,GO:0070169,GO:0070201,GO:0070228,GO:0070229,GO:0070232,GO:0070233,GO:0070243,GO:0070244,GO:0070366,GO:0070368,GO:0070372,GO:0070374,GO:0070663,GO:0070664,GO:0070696,GO:0070700,GO:0070727,GO:0070848,GO:0070887,GO:0070920,GO:0071214,GO:0071260,GO:0071310,GO:0071363,GO:0071383,GO:0071384,GO:0071385,GO:0071396,GO:0071407,GO:0071466,GO:0071495,GO:0071496,GO:0071548,GO:0071549,GO:0071704,GO:0071731,GO:0071772,GO:0071773,GO:0071893,GO:0071900,GO:0071901,GO:0071902,GO:0072001,GO:0072006,GO:0072009,GO:0072010,GO:0072012,GO:0072015,GO:0072028,GO:0072044,GO:0072048,GO:0072073,GO:0072074,GO:0072077,GO:0072078,GO:0072080,GO:0072087,GO:0072088,GO:0072091,GO:0072095,GO:0072096,GO:0072097,GO:0072098,GO:0072099,GO:0072100,GO:0072101,GO:0072102,GO:0072103,GO:0072104,GO:0072111,GO:0072112,GO:0072124,GO:0072125,GO:0072138,GO:0072161,GO:0072163,GO:0072164,GO:0072171,GO:0072175,GO:0072176,GO:0072178,GO:0072179,GO:0072189,GO:0072190,GO:0072191,GO:0072192,GO:0072193,GO:0072197,GO:0072198,GO:0072199,GO:0072200,GO:0072201,GO:0072202,GO:0072205,GO:0072210,GO:0072215,GO:0072217,GO:0072273,GO:0072283,GO:0072310,GO:0072311,GO:0072358,GO:0072359,GO:0072498,GO:0072503,GO:0072507,GO:0080090,GO:0090087,GO:0090092,GO:0090100,GO:0090183,GO:0090184,GO:0090185,GO:0090189,GO:0090190,GO:0090191,GO:0090192,GO:0090194,GO:0090287,GO:0090596,GO:0097066,GO:0097067,GO:0097094,GO:0097327,GO:0097366,GO:0097367,GO:0098771,GO:0098772,GO:0104004,GO:0120035,GO:1900180,GO:1901019,GO:1901021,GO:1901213,GO:1901339,GO:1901341,GO:1901342,GO:1901343,GO:1901564,GO:1901654,GO:1901655,GO:1901681,GO:1901698,GO:1901700,GO:1901701,GO:1901722,GO:1901723,GO:1901861,GO:1901862,GO:1901863,GO:1901963,GO:1901964,GO:1902105,GO:1902106,GO:1902460,GO:1902462,GO:1902531,GO:1902532,GO:1902533,GO:1902679,GO:1902680,GO:1902893,GO:1902894,GO:1902895,GO:1903037,GO:1903038,GO:1903131,GO:1903169,GO:1903506,GO:1903507,GO:1903508,GO:1903706,GO:1903707,GO:1903798,GO:1903800,GO:1903827,GO:1904035,GO:1904037,GO:1904062,GO:1904064,GO:1904427,GO:1904589,GO:1904888,GO:1905114,GO:1905207,GO:1905209,GO:1905292,GO:1905294,GO:1905310,GO:1905312,GO:1905314,GO:1905330,GO:1905331,GO:1905332,GO:2000004,GO:2000005,GO:2000006,GO:2000007,GO:2000026,GO:2000027,GO:2000106,GO:2000107,GO:2000112,GO:2000113,GO:2000136,GO:2000137,GO:2000138,GO:2000145,GO:2000147,GO:2000241,GO:2000242,GO:2000351,GO:2000353,GO:2000637,GO:2000648,GO:2000725,GO:2000727,GO:2000736,GO:2000738,GO:2000826,GO:2001012,GO:2001141,GO:2001233,GO:2001234,GO:2001236,GO:2001237,GO:2001257,GO:2001259</t>
  </si>
  <si>
    <t>GO:0001527,GO:0005575,GO:0005576,GO:0031012,GO:0044420,GO:0044421,GO:0099080,GO:0099081,GO:0099512</t>
  </si>
  <si>
    <t>GO:0000003,GO:0001654,GO:0001655,GO:0001657,GO:0001658,GO:0001763,GO:0001822,GO:0001823,GO:0002009,GO:0003008,GO:0003013,GO:0003073,GO:0007162,GO:0007275,GO:0007276,GO:0007423,GO:0008015,GO:0008150,GO:0008217,GO:0009653,GO:0009887,GO:0009888,GO:0010543,GO:0010544,GO:0019953,GO:0022407,GO:0022408,GO:0022414,GO:0030155,GO:0030193,GO:0030195,GO:0031344,GO:0032101,GO:0032102,GO:0032501,GO:0032502,GO:0032504,GO:0033043,GO:0034110,GO:0034111,GO:0035239,GO:0035295,GO:0044087,GO:0044703,GO:0048232,GO:0048513,GO:0048519,GO:0048523,GO:0048583,GO:0048585,GO:0048609,GO:0048729,GO:0048731,GO:0048754,GO:0048856,GO:0050789,GO:0050794,GO:0050818,GO:0050819,GO:0050865,GO:0050866,GO:0050878,GO:0051128,GO:0051239,GO:0051241,GO:0051704,GO:0060429,GO:0060491,GO:0060562,GO:0060675,GO:0060993,GO:0061041,GO:0061045,GO:0061138,GO:0061326,GO:0061333,GO:0065007,GO:0065008,GO:0072001,GO:0072006,GO:0072009,GO:0072028,GO:0072073,GO:0072078,GO:0072080,GO:0072088,GO:0072163,GO:0072164,GO:0072171,GO:0080134,GO:0090330,GO:0090331,GO:0120032,GO:0120035,GO:1900046,GO:1900047,GO:1902017,GO:1902115,GO:1903034,GO:1903035</t>
  </si>
  <si>
    <t>GO:0000902,GO:0000904,GO:0001932,GO:0001934,GO:0002791,GO:0003674,GO:0005102,GO:0005125,GO:0005126,GO:0005160,GO:0005488,GO:0005515,GO:0005575,GO:0005576,GO:0005615,GO:0006928,GO:0006935,GO:0007154,GO:0007165,GO:0007166,GO:0007167,GO:0007178,GO:0007179,GO:0007275,GO:0007399,GO:0007409,GO:0007411,GO:0007568,GO:0008150,GO:0008340,GO:0009605,GO:0009653,GO:0009719,GO:0009892,GO:0009893,GO:0009894,GO:0009895,GO:0009966,GO:0009967,GO:0009987,GO:0010033,GO:0010259,GO:0010469,GO:0010506,GO:0010507,GO:0010562,GO:0010604,GO:0010646,GO:0010647,GO:0010817,GO:0010862,GO:0010941,GO:0016043,GO:0019220,GO:0019222,GO:0022008,GO:0023051,GO:0023052,GO:0023056,GO:0030030,GO:0030154,GO:0030182,GO:0030545,GO:0031175,GO:0031323,GO:0031324,GO:0031325,GO:0031329,GO:0031330,GO:0031399,GO:0031401,GO:0032268,GO:0032270,GO:0032501,GO:0032502,GO:0032879,GO:0032880,GO:0032924,GO:0032925,GO:0032927,GO:0032989,GO:0032990,GO:0040011,GO:0042221,GO:0042325,GO:0042327,GO:0042330,GO:0042981,GO:0043067,GO:0043408,GO:0044421,GO:0045937,GO:0046883,GO:0048018,GO:0048468,GO:0048518,GO:0048519,GO:0048522,GO:0048523,GO:0048583,GO:0048584,GO:0048666,GO:0048667,GO:0048699,GO:0048731,GO:0048812,GO:0048856,GO:0048858,GO:0048869,GO:0050708,GO:0050789,GO:0050794,GO:0050796,GO:0050896,GO:0051046,GO:0051049,GO:0051171,GO:0051173,GO:0051174,GO:0051223,GO:0051246,GO:0051247,GO:0051716,GO:0060255,GO:0060393,GO:0060395,GO:0061564,GO:0065007,GO:0065008,GO:0065009,GO:0070201,GO:0070848,GO:0070887,GO:0071310,GO:0071363,GO:0071495,GO:0071559,GO:0071560,GO:0071840,GO:0080090,GO:0090087,GO:0090092,GO:0090100,GO:0090276,GO:0097485,GO:0098772,GO:0120036,GO:0120039,GO:1902531,GO:1903530</t>
  </si>
  <si>
    <t>GO:0003674,GO:0003824,GO:0004129,GO:0005215,GO:0005575,GO:0005622,GO:0005623,GO:0005634,GO:0005737,GO:0005739,GO:0005740,GO:0005743,GO:0005746,GO:0006091,GO:0006119,GO:0006123,GO:0006139,GO:0006163,GO:0006725,GO:0006753,GO:0006778,GO:0006779,GO:0006783,GO:0006784,GO:0006793,GO:0006796,GO:0006807,GO:0006810,GO:0006811,GO:0006812,GO:0007585,GO:0008150,GO:0008152,GO:0008324,GO:0008535,GO:0009055,GO:0009058,GO:0009060,GO:0009117,GO:0009123,GO:0009126,GO:0009141,GO:0009144,GO:0009150,GO:0009161,GO:0009167,GO:0009199,GO:0009205,GO:0009259,GO:0009987,GO:0015002,GO:0015075,GO:0015077,GO:0015078,GO:0015318,GO:0015672,GO:0015980,GO:0016020,GO:0016043,GO:0016310,GO:0016491,GO:0016627,GO:0016675,GO:0016676,GO:0017004,GO:0017144,GO:0018130,GO:0019438,GO:0019637,GO:0019646,GO:0019693,GO:0019866,GO:0022607,GO:0022857,GO:0022890,GO:0022900,GO:0022904,GO:0031090,GO:0031966,GO:0031967,GO:0031975,GO:0032501,GO:0032991,GO:0033013,GO:0033014,GO:0034220,GO:0034622,GO:0034641,GO:0042168,GO:0042440,GO:0042773,GO:0042775,GO:0043226,GO:0043227,GO:0043229,GO:0043231,GO:0043933,GO:0044085,GO:0044237,GO:0044238,GO:0044249,GO:0044271,GO:0044281,GO:0044422,GO:0044424,GO:0044425,GO:0044429,GO:0044444,GO:0044446,GO:0044455,GO:0044464,GO:0045333,GO:0046034,GO:0046148,GO:0046160,GO:0046483,GO:0051179,GO:0051186,GO:0051188,GO:0051234,GO:0055085,GO:0055086,GO:0055114,GO:0065003,GO:0070069,GO:0070469,GO:0071704,GO:0071840,GO:0072521,GO:0098655,GO:0098660,GO:0098662,GO:1901135,GO:1901360,GO:1901362,GO:1901564,GO:1901566,GO:1901576,GO:1902600</t>
  </si>
  <si>
    <t>GO:0000323,GO:0000902,GO:0000904,GO:0001523,GO:0002119,GO:0002164,GO:0003674,GO:0005102,GO:0005178,GO:0005198,GO:0005488,GO:0005515,GO:0005575,GO:0005576,GO:0005604,GO:0005622,GO:0005623,GO:0005737,GO:0005764,GO:0005773,GO:0005775,GO:0005794,GO:0005796,GO:0005886,GO:0006022,GO:0006023,GO:0006024,GO:0006026,GO:0006027,GO:0006629,GO:0006720,GO:0006721,GO:0006807,GO:0006810,GO:0006897,GO:0006898,GO:0006928,GO:0006935,GO:0006950,GO:0006952,GO:0006954,GO:0006996,GO:0007010,GO:0007044,GO:0007154,GO:0007163,GO:0007165,GO:0007166,GO:0007167,GO:0007169,GO:0007275,GO:0007399,GO:0007409,GO:0007411,GO:0007414,GO:0007415,GO:0007417,GO:0007420,GO:0007517,GO:0008022,GO:0008037,GO:0008038,GO:0008045,GO:0008150,GO:0008152,GO:0008543,GO:0009056,GO:0009057,GO:0009058,GO:0009059,GO:0009605,GO:0009653,GO:0009719,GO:0009790,GO:0009791,GO:0009792,GO:0009887,GO:0009892,GO:0009966,GO:0009967,GO:0009987,GO:0010033,GO:0010605,GO:0010646,GO:0010647,GO:0010927,GO:0010941,GO:0012505,GO:0016020,GO:0016043,GO:0016101,GO:0016192,GO:0016477,GO:0016525,GO:0019222,GO:0019538,GO:0022008,GO:0022603,GO:0022607,GO:0022612,GO:0023051,GO:0023052,GO:0023056,GO:0030011,GO:0030029,GO:0030030,GO:0030036,GO:0030154,GO:0030182,GO:0030198,GO:0030203,GO:0030239,GO:0031012,GO:0031032,GO:0031175,GO:0031581,GO:0031974,GO:0032501,GO:0032502,GO:0032989,GO:0032990,GO:0032991,GO:0034329,GO:0034330,GO:0035088,GO:0035090,GO:0035295,GO:0040011,GO:0040012,GO:0040017,GO:0042221,GO:0042330,GO:0042493,GO:0042692,GO:0043062,GO:0043170,GO:0043202,GO:0043226,GO:0043227,GO:0043228,GO:0043229,GO:0043231,GO:0043232,GO:0043233,GO:0043292,GO:0043900,GO:0043902,GO:0044085,GO:0044237,GO:0044238,GO:0044255,GO:0044260,GO:0044267,GO:0044344,GO:0044421,GO:0044422,GO:0044424,GO:0044425,GO:0044431,GO:0044437,GO:0044444,GO:0044446,GO:0044449,GO:0044459,GO:0044464,GO:0044877,GO:0045197,GO:0045199,GO:0045765,GO:0048468,GO:0048513,GO:0048518,GO:0048519,GO:0048522,GO:0048523,GO:0048565,GO:0048583,GO:0048584,GO:0048644,GO:0048646,GO:0048666,GO:0048667,GO:0048699,GO:0048731,GO:0048732,GO:0048812,GO:0048856,GO:0048858,GO:0048869,GO:0048870,GO:0050750,GO:0050789,GO:0050793,GO:0050794,GO:0050839,GO:0050896,GO:0051093,GO:0051128,GO:0051129,GO:0051146,GO:0051171,GO:0051172,GO:0051179,GO:0051234,GO:0051239,GO:0051240,GO:0051241,GO:0051246,GO:0051248,GO:0051674,GO:0051716,GO:0055001,GO:0055002,GO:0055120,GO:0055123,GO:0060255,GO:0060278,GO:0060279,GO:0060322,GO:0060465,GO:0060548,GO:0061061,GO:0061245,GO:0061564,GO:0062023,GO:0065007,GO:0070013,GO:0070325,GO:0070848,GO:0070887,GO:0070925,GO:0071310,GO:0071363,GO:0071495,GO:0071704,GO:0071774,GO:0071840,GO:0071944,GO:0072347,GO:0072358,GO:0072359,GO:0080090,GO:0097435,GO:0097485,GO:0098657,GO:0098796,GO:0098797,GO:0099080,GO:0099081,GO:0099512,GO:0120036,GO:0120039,GO:1901135,GO:1901136,GO:1901137,GO:1901342,GO:1901343,GO:1901564,GO:1901565,GO:1901566,GO:1901575,GO:1901576,GO:1902903,GO:1902904,GO:1905905,GO:1905906,GO:1905907,GO:2000026,GO:2000181,GO:2000241,GO:2000243,GO:2001260,GO:2001262</t>
  </si>
  <si>
    <t>GO:0001101,GO:0001501,GO:0001654,GO:0003674,GO:0005488,GO:0005515,GO:0005575,GO:0005576,GO:0005581,GO:0005583,GO:0005588,GO:0005622,GO:0005623,GO:0005737,GO:0005783,GO:0005788,GO:0007275,GO:0007423,GO:0008150,GO:0009653,GO:0009719,GO:0009887,GO:0009987,GO:0010033,GO:0010243,GO:0010470,GO:0012505,GO:0016043,GO:0022603,GO:0030198,GO:0030199,GO:0031012,GO:0031974,GO:0032501,GO:0032502,GO:0032991,GO:0042221,GO:0043062,GO:0043200,GO:0043226,GO:0043227,GO:0043229,GO:0043231,GO:0043233,GO:0043588,GO:0043933,GO:0044420,GO:0044421,GO:0044422,GO:0044424,GO:0044432,GO:0044444,GO:0044446,GO:0044464,GO:0045595,GO:0045596,GO:0045992,GO:0045995,GO:0046332,GO:0048513,GO:0048519,GO:0048523,GO:0048592,GO:0048731,GO:0048856,GO:0050789,GO:0050793,GO:0050794,GO:0050896,GO:0051093,GO:0051239,GO:0051241,GO:0051716,GO:0062023,GO:0065007,GO:0070013,GO:0070887,GO:0071229,GO:0071230,GO:0071310,GO:0071417,GO:0071495,GO:0071840,GO:0090596,GO:0097435,GO:0098643,GO:0098644,GO:0099080,GO:0099081,GO:0099512,GO:1901698,GO:1901699,GO:1901700,GO:1901701,GO:1903224,GO:1903225,GO:2000026,GO:2000542</t>
  </si>
  <si>
    <t>GO:0000139,GO:0001700,GO:0002009,GO:0002165,GO:0003674,GO:0003824,GO:0003924,GO:0005488,GO:0005515,GO:0005575,GO:0005622,GO:0005623,GO:0005737,GO:0005768,GO:0005794,GO:0005795,GO:0005801,GO:0005802,GO:0006810,GO:0006996,GO:0007030,GO:0007154,GO:0007165,GO:0007264,GO:0007265,GO:0007275,GO:0007390,GO:0007391,GO:0007444,GO:0007552,GO:0007560,GO:0008150,GO:0008258,GO:0009653,GO:0009790,GO:0009791,GO:0009792,GO:0009886,GO:0009887,GO:0009888,GO:0009987,GO:0010256,GO:0012505,GO:0016020,GO:0016043,GO:0016192,GO:0016331,GO:0016462,GO:0016787,GO:0016817,GO:0016818,GO:0017111,GO:0023052,GO:0031090,GO:0031410,GO:0031982,GO:0031984,GO:0031985,GO:0032482,GO:0032501,GO:0032502,GO:0035239,GO:0035295,GO:0035556,GO:0043226,GO:0043227,GO:0043229,GO:0043231,GO:0044422,GO:0044424,GO:0044431,GO:0044444,GO:0044446,GO:0044464,GO:0045202,GO:0046528,GO:0046529,GO:0048513,GO:0048563,GO:0048569,GO:0048598,GO:0048707,GO:0048729,GO:0048731,GO:0048856,GO:0050789,GO:0050794,GO:0050896,GO:0051179,GO:0051234,GO:0051716,GO:0060429,GO:0060562,GO:0065007,GO:0071840,GO:0097708,GO:0098588,GO:0098791</t>
  </si>
  <si>
    <t>GO:0000302,GO:0000303,GO:0000305,GO:0000323,GO:0001775,GO:0001817,GO:0001818,GO:0001819,GO:0001878,GO:0002148,GO:0002149,GO:0002215,GO:0002252,GO:0002263,GO:0002274,GO:0002275,GO:0002283,GO:0002366,GO:0002376,GO:0002443,GO:0002444,GO:0002446,GO:0002679,GO:0003674,GO:0003682,GO:0003824,GO:0004601,GO:0005488,GO:0005539,GO:0005575,GO:0005576,GO:0005615,GO:0005622,GO:0005623,GO:0005634,GO:0005737,GO:0005764,GO:0005766,GO:0005773,GO:0005775,GO:0006082,GO:0006801,GO:0006810,GO:0006887,GO:0006928,GO:0006950,GO:0006952,GO:0006955,GO:0006979,GO:0008150,GO:0008152,GO:0008201,GO:0009056,GO:0009058,GO:0009605,GO:0009607,GO:0009617,GO:0009620,GO:0009636,GO:0009987,GO:0010035,GO:0010941,GO:0012505,GO:0016043,GO:0016192,GO:0016209,GO:0016477,GO:0016491,GO:0016684,GO:0016999,GO:0017001,GO:0017144,GO:0019430,GO:0030141,GO:0031410,GO:0031974,GO:0031982,GO:0031983,GO:0032501,GO:0032653,GO:0032673,GO:0032674,GO:0032693,GO:0032714,GO:0032753,GO:0032940,GO:0033554,GO:0034367,GO:0034368,GO:0034369,GO:0034374,GO:0034599,GO:0034614,GO:0034774,GO:0035578,GO:0036230,GO:0040008,GO:0040011,GO:0042119,GO:0042221,GO:0042582,GO:0042737,GO:0042742,GO:0042743,GO:0042744,GO:0042981,GO:0043062,GO:0043066,GO:0043067,GO:0043069,GO:0043167,GO:0043168,GO:0043207,GO:0043226,GO:0043227,GO:0043229,GO:0043231,GO:0043233,GO:0043299,GO:0043312,GO:0043436,GO:0043900,GO:0043901,GO:0043903,GO:0043933,GO:0044126,GO:0044130,GO:0044144,GO:0044146,GO:0044237,GO:0044248,GO:0044281,GO:0044283,GO:0044421,GO:0044422,GO:0044424,GO:0044433,GO:0044437,GO:0044444,GO:0044446,GO:0044464,GO:0045055,GO:0045321,GO:0045730,GO:0045926,GO:0046903,GO:0048518,GO:0048519,GO:0048523,GO:0048870,GO:0050789,GO:0050794,GO:0050832,GO:0050896,GO:0050900,GO:0051179,GO:0051186,GO:0051187,GO:0051234,GO:0051239,GO:0051240,GO:0051241,GO:0051674,GO:0051704,GO:0051707,GO:0051716,GO:0055114,GO:0060205,GO:0060548,GO:0065007,GO:0070013,GO:0070887,GO:0071450,GO:0071451,GO:0071704,GO:0071825,GO:0071827,GO:0071840,GO:0072593,GO:0072677,GO:0097006,GO:0097237,GO:0097367,GO:0097529,GO:0097530,GO:0097708,GO:0098542,GO:0098754,GO:0098869,GO:0099503,GO:1901681,GO:1901700,GO:1901701,GO:1903409,GO:1990748</t>
  </si>
  <si>
    <t>GO:0000122,GO:0000981,GO:0001227,GO:0002064,GO:0002065,GO:0002066,GO:0002067,GO:0003674,GO:0003676,GO:0003677,GO:0003700,GO:0005488,GO:0005575,GO:0005622,GO:0005623,GO:0005634,GO:0006355,GO:0006357,GO:0007275,GO:0008150,GO:0009888,GO:0009889,GO:0009890,GO:0009891,GO:0009892,GO:0009893,GO:0009987,GO:0010453,GO:0010454,GO:0010455,GO:0010468,GO:0010556,GO:0010557,GO:0010558,GO:0010604,GO:0010605,GO:0010628,GO:0010629,GO:0010941,GO:0010942,GO:0019219,GO:0019222,GO:0030154,GO:0030323,GO:0030324,GO:0030855,GO:0031323,GO:0031324,GO:0031325,GO:0031326,GO:0031327,GO:0031328,GO:0032501,GO:0032502,GO:0035295,GO:0042981,GO:0043065,GO:0043067,GO:0043068,GO:0043226,GO:0043227,GO:0043229,GO:0043231,GO:0043565,GO:0044424,GO:0044464,GO:0045595,GO:0045596,GO:0045597,GO:0045892,GO:0045893,GO:0045934,GO:0045935,GO:0045944,GO:0048468,GO:0048513,GO:0048518,GO:0048519,GO:0048522,GO:0048523,GO:0048565,GO:0048731,GO:0048856,GO:0048869,GO:0050789,GO:0050793,GO:0050794,GO:0051093,GO:0051094,GO:0051171,GO:0051172,GO:0051173,GO:0051252,GO:0051253,GO:0051254,GO:0055123,GO:0060255,GO:0060428,GO:0060429,GO:0060433,GO:0060479,GO:0060480,GO:0060481,GO:0060482,GO:0060487,GO:0060541,GO:0060575,GO:0060576,GO:0061140,GO:0065007,GO:0080090,GO:0097159,GO:0140110,GO:1901363,GO:1902679,GO:1902680,GO:1903506,GO:1903507,GO:1903508,GO:2000112,GO:2000113,GO:2001141</t>
  </si>
  <si>
    <t>GO:0000003,GO:0000902,GO:0000904,GO:0001101,GO:0001503,GO:0001558,GO:0001649,GO:0001654,GO:0001664,GO:0001667,GO:0001704,GO:0001707,GO:0001709,GO:0001736,GO:0001737,GO:0001738,GO:0001745,GO:0001751,GO:0001752,GO:0001754,GO:0001775,GO:0001838,GO:0001841,GO:0001843,GO:0001932,GO:0001934,GO:0002009,GO:0002064,GO:0002065,GO:0002066,GO:0002164,GO:0002165,GO:0002168,GO:0002376,GO:0002520,GO:0002521,GO:0002682,GO:0003002,GO:0003006,GO:0003007,GO:0003008,GO:0003149,GO:0003150,GO:0003151,GO:0003205,GO:0003206,GO:0003231,GO:0003279,GO:0003281,GO:0003674,GO:0004888,GO:0004930,GO:0005102,GO:0005109,GO:0005488,GO:0005515,GO:0005543,GO:0005546,GO:0005575,GO:0005622,GO:0005623,GO:0005737,GO:0005768,GO:0005886,GO:0005887,GO:0006355,GO:0006357,GO:0006873,GO:0006874,GO:0006875,GO:0006928,GO:0006950,GO:0007154,GO:0007155,GO:0007156,GO:0007162,GO:0007163,GO:0007164,GO:0007165,GO:0007166,GO:0007186,GO:0007187,GO:0007199,GO:0007204,GO:0007223,GO:0007267,GO:0007275,GO:0007276,GO:0007281,GO:0007292,GO:0007297,GO:0007298,GO:0007350,GO:0007365,GO:0007367,GO:0007369,GO:0007389,GO:0007399,GO:0007409,GO:0007416,GO:0007417,GO:0007420,GO:0007423,GO:0007424,GO:0007431,GO:0007435,GO:0007444,GO:0007464,GO:0007472,GO:0007476,GO:0007498,GO:0007507,GO:0007517,GO:0007552,GO:0007560,GO:0007584,GO:0007591,GO:0007600,GO:0007606,GO:0007608,GO:0008052,GO:0008104,GO:0008150,GO:0008277,GO:0008284,GO:0008289,GO:0008356,GO:0008361,GO:0008363,GO:0008544,GO:0008593,GO:0009605,GO:0009611,GO:0009653,GO:0009719,GO:0009725,GO:0009790,GO:0009791,GO:0009792,GO:0009798,GO:0009880,GO:0009886,GO:0009887,GO:0009888,GO:0009889,GO:0009890,GO:0009891,GO:0009892,GO:0009893,GO:0009913,GO:0009950,GO:0009953,GO:0009966,GO:0009967,GO:0009968,GO:0009986,GO:0009987,GO:0009991,GO:0009996,GO:0010008,GO:0010033,GO:0010160,GO:0010243,GO:0010453,GO:0010454,GO:0010468,GO:0010470,GO:0010556,GO:0010557,GO:0010558,GO:0010562,GO:0010604,GO:0010605,GO:0010628,GO:0010629,GO:0010631,GO:0010646,GO:0010647,GO:0010648,GO:0010720,GO:0010769,GO:0010770,GO:0010810,GO:0010812,GO:0010941,GO:0010975,GO:0010976,GO:0012505,GO:0012506,GO:0014020,GO:0014070,GO:0014834,GO:0016020,GO:0016021,GO:0016043,GO:0016049,GO:0016055,GO:0016202,GO:0016318,GO:0016331,GO:0016360,GO:0016477,GO:0017145,GO:0017147,GO:0019219,GO:0019220,GO:0019222,GO:0019725,GO:0019827,GO:0019904,GO:0019953,GO:0021915,GO:0021953,GO:0022008,GO:0022411,GO:0022412,GO:0022414,GO:0022603,GO:0022604,GO:0022606,GO:0022607,GO:0022610,GO:0022612,GO:0023051,GO:0023052,GO:0023056,GO:0023057,GO:0030003,GO:0030010,GO:0030030,GO:0030097,GO:0030098,GO:0030111,GO:0030135,GO:0030136,GO:0030139,GO:0030154,GO:0030155,GO:0030165,GO:0030178,GO:0030182,GO:0030217,GO:0030278,GO:0030307,GO:0030323,GO:0030324,GO:0030510,GO:0030514,GO:0030516,GO:0030659,GO:0030662,GO:0030665,GO:0030666,GO:0030669,GO:0030707,GO:0030855,GO:0030859,GO:0030901,GO:0031090,GO:0031099,GO:0031175,GO:0031224,GO:0031226,GO:0031323,GO:0031324,GO:0031325,GO:0031326,GO:0031327,GO:0031328,GO:0031344,GO:0031346,GO:0031399,GO:0031401,GO:0031410,GO:0031589,GO:0031667,GO:0031668,GO:0031669,GO:0031670,GO:0031982,GO:0032101,GO:0032103,GO:0032231,GO:0032268,GO:0032270,GO:0032501,GO:0032502,GO:0032504,GO:0032526,GO:0032535,GO:0032870,GO:0032872,GO:0032874,GO:0032879,GO:0032956,GO:0032970,GO:0032984,GO:0032989,GO:0032990,GO:0032991,GO:0033036,GO:0033043,GO:0033077,GO:0033273,GO:0033280,GO:0033993,GO:0034446,GO:0035017,GO:0035088,GO:0035089,GO:0035091,GO:0035107,GO:0035114,GO:0035120,GO:0035148,GO:0035150,GO:0035151,GO:0035152,GO:0035159,GO:0035206,GO:0035220,GO:0035239,GO:0035272,GO:0035282,GO:0035293,GO:0035295,GO:0035315,GO:0035316,GO:0035317,GO:0035320,GO:0035425,GO:0035567,GO:0038023,GO:0038030,GO:0038031,GO:0040003,GO:0040007,GO:0040008,GO:0040011,GO:0040012,GO:0040017,GO:0042060,GO:0042067,GO:0042110,GO:0042127,GO:0042221,GO:0042246,GO:0042303,GO:0042325,GO:0042327,GO:0042335,GO:0042337,GO:0042471,GO:0042472,GO:0042490,GO:0042493,GO:0042592,GO:0042659,GO:0042665,GO:0042666,GO:0042706,GO:0042802,GO:0042803,GO:0042813,GO:0042995,GO:0043005,GO:0043009,GO:0043167,GO:0043168,GO:0043226,GO:0043227,GO:0043229,GO:0043394,GO:0043403,GO:0043408,GO:0043410,GO:0043434,GO:0043583,GO:0043933,GO:0044085,GO:0044087,GO:0044093,GO:0044338,GO:0044339,GO:0044422,GO:0044424,GO:0044425,GO:0044433,GO:0044440,GO:0044444,GO:0044446,GO:0044459,GO:0044464,GO:0044703,GO:0045165,GO:0045197,GO:0045198,GO:0045321,GO:0045334,GO:0045545,GO:0045595,GO:0045596,GO:0045597,GO:0045664,GO:0045666,GO:0045667,GO:0045745,GO:0045746,GO:0045773,GO:0045843,GO:0045892,GO:0045893,GO:0045927,GO:0045934,GO:0045935,GO:0045937,GO:0045992,GO:0045995,GO:0046328,GO:0046330,GO:0046530,GO:0046552,GO:0046649,GO:0046982,GO:0046983,GO:0048056,GO:0048103,GO:0048286,GO:0048332,GO:0048468,GO:0048477,GO:0048513,GO:0048518,GO:0048519,GO:0048522,GO:0048523,GO:0048534,GO:0048562,GO:0048563,GO:0048568,GO:0048569,GO:0048583,GO:0048584,GO:0048585,GO:0048588,GO:0048589,GO:0048592,GO:0048598,GO:0048609,GO:0048634,GO:0048635,GO:0048638,GO:0048639,GO:0048644,GO:0048645,GO:0048646,GO:0048663,GO:0048666,GO:0048667,GO:0048675,GO:0048699,GO:0048707,GO:0048729,GO:0048731,GO:0048732,GO:0048736,GO:0048737,GO:0048749,GO:0048812,GO:0048839,GO:0048856,GO:0048858,GO:0048859,GO:0048863,GO:0048869,GO:0048870,GO:0048878,GO:0050678,GO:0050679,GO:0050767,GO:0050769,GO:0050770,GO:0050772,GO:0050789,GO:0050793,GO:0050794,GO:0050801,GO:0050808,GO:0050877,GO:0050896,GO:0050920,GO:0050921,GO:0051090,GO:0051091,GO:0051093,GO:0051094,GO:0051128,GO:0051130,GO:0051147,GO:0051148,GO:0051153,GO:0051154,GO:0051171,GO:0051172,GO:0051173,GO:0051174,GO:0051179,GO:0051239,GO:0051240,GO:0051241,GO:0051246,GO:0051247,GO:0051252,GO:0051253,GO:0051254,GO:0051270,GO:0051272,GO:0051301,GO:0051480,GO:0051493,GO:0051674,GO:0051704,GO:0051716,GO:0051960,GO:0051962,GO:0055024,GO:0055026,GO:0055037,GO:0055038,GO:0055065,GO:0055074,GO:0055080,GO:0055082,GO:0060021,GO:0060022,GO:0060026,GO:0060027,GO:0060054,GO:0060070,GO:0060071,GO:0060089,GO:0060113,GO:0060119,GO:0060231,GO:0060255,GO:0060284,GO:0060322,GO:0060411,GO:0060412,GO:0060415,GO:0060429,GO:0060541,GO:0060548,GO:0060560,GO:0060562,GO:0060581,GO:0060582,GO:0060606,GO:0060828,GO:0061061,GO:0061162,GO:0061245,GO:0061339,GO:0061387,GO:0061564,GO:0062009,GO:0065007,GO:0065008,GO:0065009,GO:0070302,GO:0070304,GO:0070848,GO:0070887,GO:0071229,GO:0071295,GO:0071300,GO:0071305,GO:0071310,GO:0071363,GO:0071375,GO:0071396,GO:0071407,GO:0071417,GO:0071495,GO:0071496,GO:0071542,GO:0071840,GO:0071944,GO:0072175,GO:0072359,GO:0072497,GO:0072503,GO:0072507,GO:0080090,GO:0080134,GO:0080135,GO:0090066,GO:0090090,GO:0090092,GO:0090101,GO:0090102,GO:0090103,GO:0090130,GO:0090132,GO:0090162,GO:0090175,GO:0090178,GO:0090179,GO:0090287,GO:0090288,GO:0090596,GO:0097367,GO:0097458,GO:0097708,GO:0098588,GO:0098609,GO:0098727,GO:0098742,GO:0098771,GO:0098805,GO:0099054,GO:0099172,GO:0110053,GO:0120025,GO:0120035,GO:0120036,GO:0120039,GO:0198738,GO:1900407,GO:1900408,GO:1901214,GO:1901215,GO:1901652,GO:1901653,GO:1901698,GO:1901699,GO:1901700,GO:1901701,GO:1901861,GO:1901862,GO:1901981,GO:1902531,GO:1902533,GO:1902667,GO:1902669,GO:1902679,GO:1902680,GO:1902882,GO:1902883,GO:1902903,GO:1902936,GO:1903201,GO:1903202,GO:1903203,GO:1903204,GO:1903506,GO:1903507,GO:1903508,GO:1904886,GO:1904948,GO:1904953,GO:1905114,GO:1905207,GO:1905208,GO:1905276,GO:1905330,GO:1990138,GO:1990909,GO:2000026,GO:2000027,GO:2000112,GO:2000113,GO:2000383,GO:2000384,GO:2000542,GO:2000725,GO:2000726,GO:2001141</t>
  </si>
  <si>
    <t>GO:0003674,GO:0003824,GO:0004000,GO:0005575,GO:0005622,GO:0005623,GO:0005737,GO:0005829,GO:0006139,GO:0006152,GO:0006154,GO:0006725,GO:0006807,GO:0008150,GO:0008152,GO:0009056,GO:0009058,GO:0009116,GO:0009119,GO:0009163,GO:0009164,GO:0009987,GO:0016787,GO:0016810,GO:0016814,GO:0017144,GO:0018130,GO:0019239,GO:0019438,GO:0019439,GO:0034404,GO:0034641,GO:0034654,GO:0034655,GO:0034656,GO:0042278,GO:0042451,GO:0042454,GO:0042455,GO:0042737,GO:0043094,GO:0043101,GO:0044237,GO:0044238,GO:0044248,GO:0044249,GO:0044270,GO:0044271,GO:0044281,GO:0044282,GO:0044283,GO:0044424,GO:0044444,GO:0044464,GO:0046085,GO:0046102,GO:0046103,GO:0046128,GO:0046129,GO:0046130,GO:0046483,GO:0046700,GO:0055086,GO:0071704,GO:0072521,GO:0072522,GO:0072523,GO:1901135,GO:1901136,GO:1901137,GO:1901360,GO:1901361,GO:1901362,GO:1901564,GO:1901565,GO:1901566,GO:1901575,GO:1901576,GO:1901657,GO:1901658,GO:1901659</t>
  </si>
  <si>
    <t>GO:0000902,GO:0000904,GO:0001678,GO:0005575,GO:0005622,GO:0005623,GO:0005737,GO:0005739,GO:0005886,GO:0006810,GO:0006839,GO:0006915,GO:0006996,GO:0007005,GO:0007154,GO:0007267,GO:0007268,GO:0007275,GO:0007399,GO:0007409,GO:0007417,GO:0008150,GO:0008219,GO:0008637,GO:0009653,GO:0009743,GO:0009746,GO:0009749,GO:0009987,GO:0010033,GO:0010035,GO:0010038,GO:0012501,GO:0016020,GO:0016043,GO:0019725,GO:0021675,GO:0022008,GO:0023052,GO:0030030,GO:0030154,GO:0030182,GO:0031175,GO:0032501,GO:0032502,GO:0032989,GO:0032990,GO:0033500,GO:0034284,GO:0035864,GO:0035865,GO:0042221,GO:0042592,GO:0042593,GO:0042995,GO:0043005,GO:0043226,GO:0043227,GO:0043229,GO:0043231,GO:0043653,GO:0044424,GO:0044444,GO:0044464,GO:0048468,GO:0048666,GO:0048667,GO:0048699,GO:0048731,GO:0048812,GO:0048856,GO:0048858,GO:0048869,GO:0048878,GO:0050896,GO:0051179,GO:0051234,GO:0051716,GO:0055082,GO:0060384,GO:0060385,GO:0061564,GO:0065007,GO:0065008,GO:0070887,GO:0071241,GO:0071248,GO:0071310,GO:0071322,GO:0071326,GO:0071331,GO:0071333,GO:0071840,GO:0071944,GO:0097458,GO:0098916,GO:0099536,GO:0099537,GO:0120025,GO:0120036,GO:0120039,GO:1901700,GO:1901701</t>
  </si>
  <si>
    <t>GO:0000302,GO:0001580,GO:0002791,GO:0002793,GO:0003008,GO:0003012,GO:0003674,GO:0004888,GO:0005034,GO:0005215,GO:0005216,GO:0005217,GO:0005244,GO:0005245,GO:0005261,GO:0005262,GO:0005488,GO:0005515,GO:0005575,GO:0005623,GO:0005886,GO:0005887,GO:0006810,GO:0006811,GO:0006812,GO:0006816,GO:0006873,GO:0006874,GO:0006875,GO:0006936,GO:0006939,GO:0006950,GO:0006979,GO:0007154,GO:0007165,GO:0007166,GO:0007204,GO:0007600,GO:0007602,GO:0007606,GO:0007610,GO:0007638,GO:0008150,GO:0008324,GO:0009266,GO:0009314,GO:0009408,GO:0009409,GO:0009410,GO:0009416,GO:0009453,GO:0009581,GO:0009582,GO:0009583,GO:0009593,GO:0009605,GO:0009612,GO:0009628,GO:0009636,GO:0009719,GO:0009966,GO:0009967,GO:0009987,GO:0010033,GO:0010035,GO:0010037,GO:0010243,GO:0010378,GO:0010646,GO:0010647,GO:0010817,GO:0014070,GO:0014074,GO:0014832,GO:0014848,GO:0015075,GO:0015085,GO:0015267,GO:0015276,GO:0015278,GO:0015318,GO:0016020,GO:0016021,GO:0016043,GO:0016048,GO:0016324,GO:0019233,GO:0019722,GO:0019725,GO:0019932,GO:0022607,GO:0022803,GO:0022832,GO:0022834,GO:0022836,GO:0022838,GO:0022839,GO:0022843,GO:0022857,GO:0022890,GO:0023041,GO:0023051,GO:0023052,GO:0023056,GO:0030001,GO:0030003,GO:0030424,GO:0031000,GO:0031224,GO:0031226,GO:0031644,GO:0031646,GO:0032024,GO:0032421,GO:0032501,GO:0032879,GO:0032880,GO:0032991,GO:0033554,GO:0033555,GO:0034220,GO:0034605,GO:0034702,GO:0034703,GO:0035556,GO:0035690,GO:0035774,GO:0036270,GO:0038023,GO:0040011,GO:0040040,GO:0042221,GO:0042330,GO:0042331,GO:0042391,GO:0042493,GO:0042542,GO:0042592,GO:0042752,GO:0042802,GO:0042995,GO:0043005,GO:0043052,GO:0043269,GO:0043270,GO:0043279,GO:0043933,GO:0044057,GO:0044070,GO:0044085,GO:0044425,GO:0044459,GO:0044464,GO:0045177,GO:0046677,GO:0046873,GO:0046883,GO:0046887,GO:0046957,GO:0048265,GO:0048518,GO:0048519,GO:0048522,GO:0048523,GO:0048583,GO:0048584,GO:0048878,GO:0050708,GO:0050714,GO:0050789,GO:0050794,GO:0050796,GO:0050801,GO:0050848,GO:0050850,GO:0050877,GO:0050896,GO:0050906,GO:0050907,GO:0050909,GO:0050912,GO:0050913,GO:0050951,GO:0050954,GO:0050955,GO:0050960,GO:0050961,GO:0050965,GO:0050966,GO:0050968,GO:0050974,GO:0050982,GO:0051046,GO:0051047,GO:0051049,GO:0051050,GO:0051179,GO:0051209,GO:0051222,GO:0051223,GO:0051234,GO:0051239,GO:0051240,GO:0051259,GO:0051260,GO:0051262,GO:0051282,GO:0051283,GO:0051289,GO:0051480,GO:0051606,GO:0051641,GO:0051649,GO:0051716,GO:0051930,GO:0051931,GO:0051969,GO:0052129,GO:0055065,GO:0055074,GO:0055080,GO:0055082,GO:0055085,GO:0060089,GO:0060341,GO:0060401,GO:0060402,GO:0061178,GO:0065003,GO:0065007,GO:0065008,GO:0070201,GO:0070417,GO:0070588,GO:0070838,GO:0070887,GO:0071241,GO:0071244,GO:0071310,GO:0071312,GO:0071313,GO:0071407,GO:0071415,GO:0071417,GO:0071466,GO:0071495,GO:0071840,GO:0071944,GO:0072347,GO:0072503,GO:0072507,GO:0072511,GO:0090087,GO:0090276,GO:0090277,GO:0097458,GO:0097553,GO:0097603,GO:0097604,GO:0098590,GO:0098655,GO:0098660,GO:0098662,GO:0098771,GO:0098796,GO:0098862,GO:0098900,GO:0098908,GO:0099094,GO:0099604,GO:0120025,GO:1901698,GO:1901699,GO:1901700,GO:1901701,GO:1902495,GO:1902531,GO:1902533,GO:1903522,GO:1903530,GO:1903532,GO:1903793,GO:1904058,GO:1904951,GO:1990351,GO:1990760</t>
  </si>
  <si>
    <t>GO:0005575,GO:0005622,GO:0005623,GO:0005634,GO:0043226,GO:0043227,GO:0043229,GO:0043231,GO:0044424,GO:0044464</t>
  </si>
  <si>
    <t>GO:0001878,GO:0003674,GO:0005215,GO:0005427,GO:0005575,GO:0005623,GO:0005886,GO:0005887,GO:0005903,GO:0006810,GO:0006811,GO:0006812,GO:0006855,GO:0006857,GO:0008150,GO:0008324,GO:0009605,GO:0009607,GO:0009620,GO:0015075,GO:0015077,GO:0015078,GO:0015238,GO:0015291,GO:0015293,GO:0015294,GO:0015295,GO:0015318,GO:0015322,GO:0015333,GO:0015334,GO:0015672,GO:0015833,GO:0015893,GO:0016020,GO:0016021,GO:0016247,GO:0016248,GO:0022804,GO:0022857,GO:0022890,GO:0031224,GO:0031226,GO:0032879,GO:0032890,GO:0032891,GO:0034220,GO:0035442,GO:0035672,GO:0035673,GO:0042221,GO:0042493,GO:0042886,GO:0042887,GO:0042891,GO:0042895,GO:0042938,GO:0043207,GO:0043269,GO:0043271,GO:0044070,GO:0044425,GO:0044459,GO:0044464,GO:0048519,GO:0050789,GO:0050896,GO:0051049,GO:0051051,GO:0051179,GO:0051234,GO:0051704,GO:0051707,GO:0051952,GO:0051953,GO:0051955,GO:0051956,GO:0055085,GO:0065007,GO:0065009,GO:0071702,GO:0071705,GO:0071916,GO:0071944,GO:0098655,GO:0098660,GO:0098662,GO:0098772,GO:0098862,GO:1902600,GO:1903792,GO:1904680</t>
  </si>
  <si>
    <t>GO:0000003,GO:0000122,GO:0000902,GO:0000904,GO:0000976,GO:0000977,GO:0000978,GO:0000981,GO:0000982,GO:0000987,GO:0001012,GO:0001067,GO:0001077,GO:0001228,GO:0001655,GO:0001656,GO:0001657,GO:0001817,GO:0001818,GO:0001822,GO:0001823,GO:0001947,GO:0002009,GO:0002064,GO:0002065,GO:0002066,GO:0002093,GO:0002376,GO:0002507,GO:0002508,GO:0002520,GO:0002634,GO:0002635,GO:0002643,GO:0002645,GO:0002646,GO:0002648,GO:0002661,GO:0002663,GO:0002682,GO:0002683,GO:0002684,GO:0002694,GO:0002695,GO:0002697,GO:0002698,GO:0002703,GO:0002704,GO:0002706,GO:0002707,GO:0002712,GO:0002713,GO:0002819,GO:0002820,GO:0002822,GO:0002823,GO:0002889,GO:0002890,GO:0002895,GO:0002897,GO:0002920,GO:0002921,GO:0002923,GO:0002924,GO:0003002,GO:0003007,GO:0003143,GO:0003146,GO:0003338,GO:0003341,GO:0003351,GO:0003352,GO:0003356,GO:0003674,GO:0003676,GO:0003677,GO:0003690,GO:0003700,GO:0005488,GO:0005575,GO:0005622,GO:0005623,GO:0005634,GO:0006139,GO:0006351,GO:0006355,GO:0006357,GO:0006366,GO:0006725,GO:0006807,GO:0006928,GO:0006950,GO:0006955,GO:0006959,GO:0006996,GO:0007010,GO:0007017,GO:0007018,GO:0007162,GO:0007163,GO:0007275,GO:0007276,GO:0007283,GO:0007368,GO:0007389,GO:0007399,GO:0007417,GO:0007420,GO:0007423,GO:0007507,GO:0008150,GO:0008152,GO:0008285,GO:0008544,GO:0009058,GO:0009059,GO:0009611,GO:0009653,GO:0009790,GO:0009799,GO:0009855,GO:0009887,GO:0009888,GO:0009889,GO:0009890,GO:0009891,GO:0009892,GO:0009893,GO:0009913,GO:0009987,GO:0010467,GO:0010468,GO:0010556,GO:0010557,GO:0010558,GO:0010604,GO:0010605,GO:0010628,GO:0010629,GO:0016043,GO:0016070,GO:0016477,GO:0018130,GO:0019219,GO:0019222,GO:0019438,GO:0019953,GO:0022008,GO:0022407,GO:0022408,GO:0022414,GO:0022603,GO:0022607,GO:0030010,GO:0030029,GO:0030030,GO:0030031,GO:0030036,GO:0030154,GO:0030155,GO:0030182,GO:0030323,GO:0030324,GO:0030855,GO:0030856,GO:0030858,GO:0031175,GO:0031323,GO:0031324,GO:0031325,GO:0031326,GO:0031327,GO:0031328,GO:0032088,GO:0032501,GO:0032502,GO:0032504,GO:0032675,GO:0032715,GO:0032774,GO:0032835,GO:0032879,GO:0032886,GO:0032944,GO:0032945,GO:0032989,GO:0033081,GO:0033085,GO:0034641,GO:0034645,GO:0034654,GO:0035050,GO:0035088,GO:0035089,GO:0035239,GO:0035295,GO:0035315,GO:0035502,GO:0035850,GO:0040011,GO:0040012,GO:0042035,GO:0042036,GO:0042127,GO:0042129,GO:0042130,GO:0042471,GO:0042472,GO:0042490,GO:0042491,GO:0043085,GO:0043087,GO:0043170,GO:0043226,GO:0043227,GO:0043229,GO:0043231,GO:0043433,GO:0043547,GO:0043565,GO:0043583,GO:0044085,GO:0044092,GO:0044093,GO:0044212,GO:0044237,GO:0044238,GO:0044249,GO:0044260,GO:0044271,GO:0044424,GO:0044458,GO:0044464,GO:0044703,GO:0044782,GO:0045408,GO:0045409,GO:0045580,GO:0045581,GO:0045595,GO:0045596,GO:0045597,GO:0045619,GO:0045620,GO:0045892,GO:0045893,GO:0045934,GO:0045935,GO:0045944,GO:0046483,GO:0048232,GO:0048468,GO:0048513,GO:0048518,GO:0048519,GO:0048522,GO:0048523,GO:0048562,GO:0048568,GO:0048583,GO:0048585,GO:0048598,GO:0048609,GO:0048666,GO:0048667,GO:0048699,GO:0048729,GO:0048731,GO:0048839,GO:0048856,GO:0048869,GO:0048870,GO:0050670,GO:0050672,GO:0050776,GO:0050777,GO:0050789,GO:0050790,GO:0050793,GO:0050794,GO:0050863,GO:0050864,GO:0050865,GO:0050866,GO:0050868,GO:0050869,GO:0050896,GO:0050900,GO:0051090,GO:0051093,GO:0051094,GO:0051171,GO:0051172,GO:0051173,GO:0051179,GO:0051239,GO:0051240,GO:0051241,GO:0051246,GO:0051248,GO:0051249,GO:0051250,GO:0051252,GO:0051253,GO:0051254,GO:0051270,GO:0051336,GO:0051345,GO:0051674,GO:0051704,GO:0060088,GO:0060113,GO:0060117,GO:0060119,GO:0060122,GO:0060255,GO:0060271,GO:0060295,GO:0060296,GO:0060322,GO:0060428,GO:0060429,GO:0060541,GO:0060562,GO:0060563,GO:0060632,GO:0060972,GO:0060993,GO:0061005,GO:0061162,GO:0061245,GO:0061339,GO:0061371,GO:0065007,GO:0065008,GO:0065009,GO:0070663,GO:0070664,GO:0070925,GO:0071704,GO:0071840,GO:0072001,GO:0072006,GO:0072009,GO:0072010,GO:0072016,GO:0072073,GO:0072139,GO:0072163,GO:0072164,GO:0072310,GO:0072311,GO:0072359,GO:0080090,GO:0090304,GO:0090596,GO:0090630,GO:0097159,GO:0097659,GO:0120031,GO:0120036,GO:0140110,GO:1901246,GO:1901248,GO:1901360,GO:1901362,GO:1901363,GO:1901576,GO:1902019,GO:1902105,GO:1902106,GO:1902679,GO:1902680,GO:1903037,GO:1903038,GO:1903506,GO:1903507,GO:1903508,GO:1903706,GO:1903707,GO:1990837,GO:2000026,GO:2000112,GO:2000113,GO:2000145,GO:2001141</t>
  </si>
  <si>
    <t>GO:0000165,GO:0000902,GO:0000904,GO:0001101,GO:0001525,GO:0001568,GO:0001569,GO:0001570,GO:0001655,GO:0001666,GO:0001701,GO:0001763,GO:0001817,GO:0001819,GO:0001822,GO:0001932,GO:0001934,GO:0001935,GO:0001936,GO:0001938,GO:0001944,GO:0001952,GO:0001954,GO:0002009,GO:0002040,GO:0002376,GO:0002520,GO:0002682,GO:0002684,GO:0002697,GO:0002699,GO:0002700,GO:0002702,GO:0002718,GO:0002720,GO:0002739,GO:0002741,GO:0002791,GO:0002793,GO:0003007,GO:0003008,GO:0003013,GO:0003018,GO:0003205,GO:0003206,GO:0003674,GO:0003824,GO:0004672,GO:0004713,GO:0004714,GO:0004888,GO:0005085,GO:0005088,GO:0005488,GO:0005515,GO:0005575,GO:0005622,GO:0005623,GO:0005737,GO:0005815,GO:0005856,GO:0005886,GO:0005887,GO:0005902,GO:0005911,GO:0006464,GO:0006468,GO:0006793,GO:0006796,GO:0006807,GO:0006928,GO:0006950,GO:0007154,GO:0007155,GO:0007160,GO:0007165,GO:0007166,GO:0007167,GO:0007169,GO:0007267,GO:0007275,GO:0007498,GO:0007507,GO:0008015,GO:0008150,GO:0008152,GO:0008283,GO:0008284,GO:0009628,GO:0009653,GO:0009790,GO:0009792,GO:0009887,GO:0009888,GO:0009893,GO:0009925,GO:0009966,GO:0009967,GO:0009986,GO:0009987,GO:0010033,GO:0010562,GO:0010594,GO:0010595,GO:0010604,GO:0010632,GO:0010634,GO:0010638,GO:0010646,GO:0010647,GO:0010810,GO:0010811,GO:0010941,GO:0014066,GO:0014068,GO:0015630,GO:0016020,GO:0016021,GO:0016043,GO:0016301,GO:0016310,GO:0016323,GO:0016324,GO:0016477,GO:0016525,GO:0016740,GO:0016772,GO:0016773,GO:0017016,GO:0018108,GO:0018193,GO:0018212,GO:0019199,GO:0019216,GO:0019220,GO:0019222,GO:0019538,GO:0019838,GO:0019899,GO:0022603,GO:0022607,GO:0022610,GO:0023014,GO:0023051,GO:0023052,GO:0023056,GO:0030054,GO:0030097,GO:0030154,GO:0030155,GO:0030334,GO:0030335,GO:0030336,GO:0030947,GO:0030949,GO:0031224,GO:0031226,GO:0031267,GO:0031323,GO:0031325,GO:0031347,GO:0031348,GO:0031399,GO:0031401,GO:0031589,GO:0032101,GO:0032102,GO:0032268,GO:0032270,GO:0032386,GO:0032388,GO:0032501,GO:0032502,GO:0032526,GO:0032835,GO:0032878,GO:0032879,GO:0032880,GO:0032956,GO:0032970,GO:0032989,GO:0033043,GO:0033135,GO:0033138,GO:0033157,GO:0033674,GO:0033993,GO:0034446,GO:0035239,GO:0035295,GO:0035556,GO:0036211,GO:0036293,GO:0038023,GO:0040011,GO:0040012,GO:0040013,GO:0040017,GO:0042127,GO:0042221,GO:0042306,GO:0042307,GO:0042325,GO:0042327,GO:0042981,GO:0042995,GO:0043009,GO:0043066,GO:0043067,GO:0043069,GO:0043085,GO:0043114,GO:0043170,GO:0043226,GO:0043228,GO:0043229,GO:0043232,GO:0043408,GO:0043410,GO:0043412,GO:0043549,GO:0043550,GO:0043551,GO:0043552,GO:0043627,GO:0043933,GO:0044085,GO:0044087,GO:0044089,GO:0044093,GO:0044237,GO:0044238,GO:0044260,GO:0044267,GO:0044422,GO:0044424,GO:0044425,GO:0044430,GO:0044444,GO:0044446,GO:0044459,GO:0044464,GO:0045026,GO:0045121,GO:0045177,GO:0045178,GO:0045765,GO:0045766,GO:0045785,GO:0045834,GO:0045937,GO:0046777,GO:0046822,GO:0046824,GO:0048014,GO:0048468,GO:0048471,GO:0048513,GO:0048514,GO:0048518,GO:0048519,GO:0048522,GO:0048523,GO:0048534,GO:0048583,GO:0048584,GO:0048585,GO:0048646,GO:0048729,GO:0048731,GO:0048754,GO:0048856,GO:0048869,GO:0048870,GO:0050673,GO:0050678,GO:0050679,GO:0050707,GO:0050708,GO:0050714,GO:0050715,GO:0050727,GO:0050728,GO:0050776,GO:0050778,GO:0050789,GO:0050790,GO:0050793,GO:0050794,GO:0050896,GO:0050900,GO:0051020,GO:0051046,GO:0051047,GO:0051049,GO:0051050,GO:0051093,GO:0051094,GO:0051128,GO:0051130,GO:0051171,GO:0051173,GO:0051174,GO:0051179,GO:0051222,GO:0051223,GO:0051239,GO:0051240,GO:0051241,GO:0051246,GO:0051247,GO:0051259,GO:0051270,GO:0051271,GO:0051272,GO:0051338,GO:0051347,GO:0051493,GO:0051495,GO:0051674,GO:0051716,GO:0051893,GO:0051894,GO:0051896,GO:0051897,GO:0060089,GO:0060216,GO:0060255,GO:0060341,GO:0060343,GO:0060347,GO:0060429,GO:0060548,GO:0060562,GO:0061024,GO:0061025,GO:0061138,GO:0061383,GO:0061384,GO:0061437,GO:0061440,GO:0065003,GO:0065007,GO:0065008,GO:0065009,GO:0070201,GO:0070372,GO:0070374,GO:0070482,GO:0071603,GO:0071704,GO:0071840,GO:0071944,GO:0072001,GO:0072006,GO:0072012,GO:0072358,GO:0072359,GO:0080090,GO:0080134,GO:0090087,GO:0090109,GO:0090136,GO:0090218,GO:0090287,GO:0090316,GO:0098589,GO:0098590,GO:0098609,GO:0098772,GO:0098805,GO:0098857,GO:0098858,GO:0120025,GO:0140096,GO:1900180,GO:1900182,GO:1901222,GO:1901342,GO:1901343,GO:1901564,GO:1901700,GO:1901888,GO:1901890,GO:1902531,GO:1902533,GO:1903391,GO:1903393,GO:1903530,GO:1903532,GO:1903725,GO:1903727,GO:1903827,GO:1903829,GO:1904018,GO:1904035,GO:1904036,GO:1904589,GO:1904591,GO:1904951,GO:2000026,GO:2000145,GO:2000146,GO:2000147,GO:2000181,GO:2000249,GO:2000251,GO:2000351,GO:2000352</t>
  </si>
  <si>
    <t>GO:0000151,GO:0000731,GO:0002039,GO:0002831,GO:0002832,GO:0003674,GO:0003824,GO:0004842,GO:0005102,GO:0005488,GO:0005515,GO:0005575,GO:0005622,GO:0005623,GO:0005634,GO:0005654,GO:0005737,GO:0005829,GO:0006139,GO:0006259,GO:0006281,GO:0006301,GO:0006464,GO:0006508,GO:0006511,GO:0006725,GO:0006807,GO:0006950,GO:0006974,GO:0008134,GO:0008150,GO:0008152,GO:0008270,GO:0009056,GO:0009057,GO:0009058,GO:0009059,GO:0009893,GO:0009894,GO:0009896,GO:0009987,GO:0010119,GO:0010604,GO:0016567,GO:0016604,GO:0016607,GO:0016740,GO:0018130,GO:0019222,GO:0019438,GO:0019538,GO:0019787,GO:0019941,GO:0019985,GO:0030162,GO:0030163,GO:0031323,GO:0031325,GO:0031329,GO:0031331,GO:0031347,GO:0031348,GO:0031396,GO:0031398,GO:0031399,GO:0031401,GO:0031974,GO:0031981,GO:0032101,GO:0032102,GO:0032268,GO:0032270,GO:0032434,GO:0032436,GO:0032446,GO:0032991,GO:0033554,GO:0034641,GO:0034645,GO:0034654,GO:0036211,GO:0042176,GO:0042802,GO:0042803,GO:0043167,GO:0043169,GO:0043170,GO:0043226,GO:0043227,GO:0043229,GO:0043231,GO:0043233,GO:0043412,GO:0043632,GO:0043900,GO:0043901,GO:0044237,GO:0044238,GO:0044248,GO:0044249,GO:0044257,GO:0044260,GO:0044265,GO:0044267,GO:0044271,GO:0044422,GO:0044424,GO:0044428,GO:0044444,GO:0044446,GO:0044451,GO:0044464,GO:0045732,GO:0045862,GO:0046483,GO:0046872,GO:0046914,GO:0046983,GO:0048518,GO:0048519,GO:0048522,GO:0048583,GO:0048585,GO:0050789,GO:0050794,GO:0050896,GO:0051171,GO:0051173,GO:0051246,GO:0051247,GO:0051603,GO:0051716,GO:0051865,GO:0060255,GO:0061136,GO:0065007,GO:0070013,GO:0070647,GO:0070987,GO:0071704,GO:0071897,GO:0080090,GO:0080134,GO:0090304,GO:0140096,GO:1900424,GO:1900425,GO:1901360,GO:1901362,GO:1901483,GO:1901485,GO:1901564,GO:1901565,GO:1901575,GO:1901576,GO:1901800,GO:1902456,GO:1902494,GO:1903050,GO:1903052,GO:1903320,GO:1903322,GO:1903362,GO:1903364,GO:1990234,GO:2000058,GO:2000060</t>
  </si>
  <si>
    <t>GO:0000122,GO:0000976,GO:0000977,GO:0000978,GO:0000987,GO:0001012,GO:0001067,GO:0003008,GO:0003012,GO:0003674,GO:0003676,GO:0003677,GO:0003690,GO:0003779,GO:0005488,GO:0005515,GO:0005575,GO:0005622,GO:0005623,GO:0005634,GO:0005737,GO:0005856,GO:0005865,GO:0006355,GO:0006357,GO:0006936,GO:0006939,GO:0007154,GO:0007165,GO:0007275,GO:0007399,GO:0007417,GO:0008092,GO:0008150,GO:0009719,GO:0009725,GO:0009755,GO:0009889,GO:0009890,GO:0009892,GO:0009987,GO:0010033,GO:0010468,GO:0010556,GO:0010558,GO:0010605,GO:0010629,GO:0015629,GO:0019219,GO:0019222,GO:0023052,GO:0030016,GO:0030017,GO:0030522,GO:0031323,GO:0031324,GO:0031326,GO:0031327,GO:0032501,GO:0032502,GO:0032870,GO:0035626,GO:0036379,GO:0042221,GO:0043209,GO:0043226,GO:0043227,GO:0043228,GO:0043229,GO:0043231,GO:0043232,GO:0043292,GO:0043565,GO:0044212,GO:0044422,GO:0044424,GO:0044430,GO:0044444,GO:0044446,GO:0044449,GO:0044464,GO:0045892,GO:0045934,GO:0048519,GO:0048523,GO:0048731,GO:0048856,GO:0050789,GO:0050794,GO:0050896,GO:0051171,GO:0051172,GO:0051252,GO:0051253,GO:0051716,GO:0060255,GO:0065007,GO:0070594,GO:0070887,GO:0071310,GO:0071495,GO:0080090,GO:0097159,GO:0099080,GO:0099081,GO:0099512,GO:1901363,GO:1902679,GO:1903506,GO:1903507,GO:1990837,GO:2000112,GO:2000113,GO:2001141</t>
  </si>
  <si>
    <t>GO:0000003,GO:0001508,GO:0001669,GO:0003006,GO:0003674,GO:0005215,GO:0005216,GO:0005244,GO:0005245,GO:0005261,GO:0005262,GO:0005575,GO:0005622,GO:0005623,GO:0005737,GO:0005783,GO:0005886,GO:0005891,GO:0006810,GO:0006811,GO:0006812,GO:0006814,GO:0006816,GO:0006928,GO:0007276,GO:0007281,GO:0007283,GO:0007286,GO:0008150,GO:0008324,GO:0009987,GO:0012505,GO:0015075,GO:0015085,GO:0015267,GO:0015318,GO:0015672,GO:0016020,GO:0016021,GO:0019953,GO:0021700,GO:0022412,GO:0022414,GO:0022803,GO:0022832,GO:0022836,GO:0022838,GO:0022839,GO:0022843,GO:0022857,GO:0022890,GO:0030001,GO:0030141,GO:0030154,GO:0030317,GO:0031224,GO:0031410,GO:0031982,GO:0032501,GO:0032502,GO:0032504,GO:0032991,GO:0034220,GO:0034702,GO:0034703,GO:0034704,GO:0036128,GO:0040011,GO:0042391,GO:0043226,GO:0043227,GO:0043229,GO:0043231,GO:0044424,GO:0044425,GO:0044444,GO:0044459,GO:0044464,GO:0044703,GO:0046873,GO:0048232,GO:0048240,GO:0048468,GO:0048469,GO:0048515,GO:0048609,GO:0048856,GO:0048869,GO:0048870,GO:0051179,GO:0051234,GO:0051674,GO:0051704,GO:0051899,GO:0055085,GO:0065007,GO:0065008,GO:0070588,GO:0070838,GO:0071944,GO:0072511,GO:0086010,GO:0097223,GO:0097708,GO:0097722,GO:0098655,GO:0098660,GO:0098662,GO:0098796,GO:0098797,GO:0099503,GO:1902495,GO:1990351</t>
  </si>
  <si>
    <t>GO:0003674,GO:0005215,GO:0005216,GO:0005244,GO:0005245,GO:0005261,GO:0005262,GO:0005575,GO:0005623,GO:0005886,GO:0005887,GO:0005929,GO:0006810,GO:0006811,GO:0006812,GO:0006816,GO:0008150,GO:0008324,GO:0015075,GO:0015085,GO:0015267,GO:0015318,GO:0016020,GO:0016021,GO:0022803,GO:0022832,GO:0022836,GO:0022838,GO:0022839,GO:0022843,GO:0022857,GO:0022890,GO:0030001,GO:0031224,GO:0031226,GO:0034220,GO:0040012,GO:0042995,GO:0043226,GO:0044425,GO:0044459,GO:0044464,GO:0046873,GO:0050789,GO:0051179,GO:0051234,GO:0055085,GO:0065007,GO:0070588,GO:0070838,GO:0071944,GO:0072511,GO:0097730,GO:0098655,GO:0098660,GO:0098662,GO:0120025</t>
  </si>
  <si>
    <t>GO:0005575,GO:0005576,GO:0005615,GO:0008150,GO:0009719,GO:0009892,GO:0009966,GO:0009968,GO:0009987,GO:0010033,GO:0010468,GO:0010605,GO:0010629,GO:0010646,GO:0010648,GO:0019222,GO:0023051,GO:0023057,GO:0031012,GO:0042221,GO:0043567,GO:0043569,GO:0044421,GO:0048519,GO:0048523,GO:0048583,GO:0048585,GO:0050789,GO:0050794,GO:0050896,GO:0051716,GO:0060255,GO:0060390,GO:0060392,GO:0062023,GO:0065007,GO:0070848,GO:0070887,GO:0071310,GO:0071363,GO:0071495,GO:0071559,GO:0071560,GO:0090092,GO:0090101</t>
  </si>
  <si>
    <t>GO:0001530,GO:0002218,GO:0002221,GO:0002253,GO:0002376,GO:0002682,GO:0002684,GO:0002757,GO:0002758,GO:0002764,GO:0003674,GO:0003676,GO:0003677,GO:0005044,GO:0005488,GO:0005515,GO:0005539,GO:0005575,GO:0005576,GO:0005622,GO:0005623,GO:0005737,GO:0006807,GO:0006810,GO:0006897,GO:0006898,GO:0006950,GO:0006952,GO:0006955,GO:0006959,GO:0007154,GO:0007165,GO:0008150,GO:0008152,GO:0008289,GO:0008329,GO:0009605,GO:0009607,GO:0009617,GO:0009888,GO:0009987,GO:0012505,GO:0012506,GO:0016020,GO:0016192,GO:0019538,GO:0019730,GO:0019731,GO:0019898,GO:0019899,GO:0023052,GO:0030139,GO:0030141,GO:0030154,GO:0030659,GO:0030666,GO:0030667,GO:0030670,GO:0030855,GO:0031090,GO:0031347,GO:0031349,GO:0031410,GO:0031982,GO:0032502,GO:0035375,GO:0038023,GO:0038024,GO:0038187,GO:0042588,GO:0042589,GO:0042742,GO:0043152,GO:0043167,GO:0043168,GO:0043170,GO:0043207,GO:0043226,GO:0043227,GO:0043229,GO:0044237,GO:0044238,GO:0044260,GO:0044267,GO:0044422,GO:0044424,GO:0044425,GO:0044433,GO:0044444,GO:0044446,GO:0044464,GO:0045087,GO:0045088,GO:0045089,GO:0045335,GO:0048306,GO:0048518,GO:0048583,GO:0048584,GO:0048856,GO:0048869,GO:0050776,GO:0050778,GO:0050789,GO:0050794,GO:0050829,GO:0050830,GO:0050896,GO:0051179,GO:0051234,GO:0051704,GO:0051707,GO:0051716,GO:0060089,GO:0060429,GO:0061844,GO:0065007,GO:0070891,GO:0071704,GO:0080134,GO:0097159,GO:0097367,GO:0097708,GO:0098542,GO:0098588,GO:0098657,GO:0098805,GO:0099503,GO:1901363,GO:1901564,GO:1901681,GO:1904399</t>
  </si>
  <si>
    <t>GO:0003674,GO:0003824,GO:0004721,GO:0004722,GO:0005575,GO:0005622,GO:0005623,GO:0005737,GO:0005739,GO:0005759,GO:0006082,GO:0006464,GO:0006470,GO:0006520,GO:0006793,GO:0006796,GO:0006807,GO:0008150,GO:0008152,GO:0009056,GO:0009063,GO:0009081,GO:0009083,GO:0009987,GO:0016054,GO:0016311,GO:0016787,GO:0016788,GO:0016791,GO:0019538,GO:0019752,GO:0031974,GO:0036211,GO:0042578,GO:0043170,GO:0043226,GO:0043227,GO:0043229,GO:0043231,GO:0043233,GO:0043412,GO:0043436,GO:0044237,GO:0044238,GO:0044248,GO:0044260,GO:0044267,GO:0044281,GO:0044282,GO:0044422,GO:0044424,GO:0044429,GO:0044444,GO:0044446,GO:0044464,GO:0046395,GO:0070013,GO:0071704,GO:0140096,GO:1901564,GO:1901565,GO:1901575</t>
  </si>
  <si>
    <t>GO:0002090,GO:0002092,GO:0002237,GO:0002376,GO:0002523,GO:0002682,GO:0002684,GO:0002685,GO:0002687,GO:0003674,GO:0004888,GO:0005488,GO:0005515,GO:0005575,GO:0005576,GO:0005615,GO:0005622,GO:0005623,GO:0005737,GO:0005856,GO:0005886,GO:0005887,GO:0005901,GO:0005905,GO:0005938,GO:0006928,GO:0006950,GO:0006952,GO:0006954,GO:0007154,GO:0007155,GO:0007157,GO:0007159,GO:0007165,GO:0007202,GO:0008150,GO:0009605,GO:0009607,GO:0009617,GO:0009893,GO:0009987,GO:0010033,GO:0010517,GO:0010518,GO:0010604,GO:0010863,GO:0012505,GO:0016020,GO:0016021,GO:0016477,GO:0019222,GO:0019722,GO:0019899,GO:0019932,GO:0022610,GO:0023052,GO:0030029,GO:0030100,GO:0030246,GO:0030334,GO:0030335,GO:0030863,GO:0031224,GO:0031226,GO:0031323,GO:0031325,GO:0031347,GO:0031406,GO:0032101,GO:0032496,GO:0032879,GO:0033691,GO:0033993,GO:0034097,GO:0034612,GO:0035556,GO:0036094,GO:0038023,GO:0040011,GO:0040012,GO:0040017,GO:0042221,GO:0043085,GO:0043167,GO:0043168,GO:0043177,GO:0043207,GO:0043226,GO:0043228,GO:0043229,GO:0043232,GO:0043274,GO:0044093,GO:0044421,GO:0044424,GO:0044425,GO:0044444,GO:0044448,GO:0044459,GO:0044464,GO:0044853,GO:0045121,GO:0045123,GO:0045807,GO:0048259,GO:0048260,GO:0048471,GO:0048518,GO:0048522,GO:0048583,GO:0048870,GO:0050727,GO:0050789,GO:0050790,GO:0050794,GO:0050896,GO:0050900,GO:0050901,GO:0051049,GO:0051050,GO:0051128,GO:0051130,GO:0051179,GO:0051270,GO:0051272,GO:0051336,GO:0051345,GO:0051674,GO:0051704,GO:0051707,GO:0051716,GO:0060089,GO:0060191,GO:0060193,GO:0060255,GO:0060627,GO:0061756,GO:0065007,GO:0065009,GO:0070492,GO:0070555,GO:0071944,GO:0080134,GO:0097367,GO:0098589,GO:0098590,GO:0098609,GO:0098742,GO:0098805,GO:0098857,GO:0099568,GO:1900274,GO:1901700,GO:2000145,GO:2000147</t>
  </si>
  <si>
    <t>GO:0000003,GO:0000122,GO:0000165,GO:0000323,GO:0000902,GO:0000904,GO:0001501,GO:0001503,GO:0001525,GO:0001568,GO:0001570,GO:0001654,GO:0001655,GO:0001657,GO:0001667,GO:0001701,GO:0001704,GO:0001706,GO:0001707,GO:0001709,GO:0001710,GO:0001711,GO:0001759,GO:0001763,GO:0001764,GO:0001816,GO:0001817,GO:0001818,GO:0001822,GO:0001823,GO:0001837,GO:0001889,GO:0001890,GO:0001892,GO:0001932,GO:0001934,GO:0001936,GO:0001938,GO:0001942,GO:0001944,GO:0001958,GO:0002009,GO:0002053,GO:0002062,GO:0002064,GO:0002065,GO:0002066,GO:0002067,GO:0002088,GO:0002089,GO:0002119,GO:0002164,GO:0002376,GO:0002520,GO:0002682,GO:0002761,GO:0002931,GO:0003002,GO:0003006,GO:0003007,GO:0003008,GO:0003140,GO:0003148,GO:0003149,GO:0003151,GO:0003156,GO:0003205,GO:0003206,GO:0003208,GO:0003229,GO:0003231,GO:0003279,GO:0003281,GO:0003347,GO:0003401,GO:0003416,GO:0003674,GO:0003824,GO:0004672,GO:0004713,GO:0004714,GO:0004888,GO:0005007,GO:0005085,GO:0005088,GO:0005102,GO:0005488,GO:0005515,GO:0005539,GO:0005575,GO:0005576,GO:0005622,GO:0005623,GO:0005634,GO:0005654,GO:0005730,GO:0005737,GO:0005764,GO:0005768,GO:0005773,GO:0005783,GO:0005794,GO:0005829,GO:0005886,GO:0005887,GO:0005938,GO:0006066,GO:0006275,GO:0006355,GO:0006357,GO:0006464,GO:0006468,GO:0006629,GO:0006644,GO:0006650,GO:0006661,GO:0006766,GO:0006775,GO:0006793,GO:0006796,GO:0006807,GO:0006810,GO:0006915,GO:0006928,GO:0006929,GO:0006950,GO:0006996,GO:0007088,GO:0007154,GO:0007165,GO:0007166,GO:0007167,GO:0007169,GO:0007267,GO:0007272,GO:0007275,GO:0007276,GO:0007280,GO:0007346,GO:0007368,GO:0007369,GO:0007389,GO:0007399,GO:0007405,GO:0007409,GO:0007417,GO:0007419,GO:0007420,GO:0007423,GO:0007431,GO:0007435,GO:0007492,GO:0007493,GO:0007498,GO:0007500,GO:0007506,GO:0007507,GO:0007509,GO:0007517,GO:0007522,GO:0007523,GO:0007525,GO:0007528,GO:0007548,GO:0007565,GO:0007600,GO:0007605,GO:0007610,GO:0008078,GO:0008150,GO:0008152,GO:0008201,GO:0008202,GO:0008219,GO:0008283,GO:0008284,GO:0008285,GO:0008347,GO:0008354,GO:0008360,GO:0008366,GO:0008406,GO:0008543,GO:0008544,GO:0008589,GO:0008610,GO:0008654,GO:0009058,GO:0009605,GO:0009611,GO:0009636,GO:0009653,GO:0009719,GO:0009790,GO:0009791,GO:0009792,GO:0009799,GO:0009855,GO:0009880,GO:0009887,GO:0009888,GO:0009889,GO:0009890,GO:0009891,GO:0009892,GO:0009893,GO:0009898,GO:0009913,GO:0009953,GO:0009966,GO:0009967,GO:0009968,GO:0009986,GO:0009987,GO:0009991,GO:0009996,GO:0010001,GO:0010002,GO:0010033,GO:0010092,GO:0010243,GO:0010453,GO:0010454,GO:0010463,GO:0010464,GO:0010468,GO:0010470,GO:0010517,GO:0010518,GO:0010556,GO:0010557,GO:0010558,GO:0010562,GO:0010564,GO:0010565,GO:0010571,GO:0010594,GO:0010595,GO:0010604,GO:0010605,GO:0010628,GO:0010629,GO:0010632,GO:0010634,GO:0010639,GO:0010646,GO:0010647,GO:0010648,GO:0010712,GO:0010715,GO:0010720,GO:0010721,GO:0010762,GO:0010763,GO:0010817,GO:0010863,GO:0010941,GO:0010942,GO:0010948,GO:0010966,GO:0010975,GO:0010976,GO:0012501,GO:0012505,GO:0014003,GO:0014013,GO:0014014,GO:0014066,GO:0014068,GO:0014070,GO:0014706,GO:0016020,GO:0016021,GO:0016043,GO:0016049,GO:0016192,GO:0016202,GO:0016301,GO:0016303,GO:0016310,GO:0016331,GO:0016477,GO:0016740,GO:0016772,GO:0016773,GO:0017016,GO:0017134,GO:0017145,GO:0018108,GO:0018193,GO:0018212,GO:0018991,GO:0019098,GO:0019199,GO:0019216,GO:0019218,GO:0019219,GO:0019220,GO:0019222,GO:0019538,GO:0019637,GO:0019725,GO:0019827,GO:0019838,GO:0019899,GO:0019953,GO:0021537,GO:0021543,GO:0021545,GO:0021553,GO:0021602,GO:0021603,GO:0021627,GO:0021628,GO:0021675,GO:0021700,GO:0021761,GO:0021762,GO:0021769,GO:0021772,GO:0021782,GO:0021795,GO:0021800,GO:0021823,GO:0021825,GO:0021827,GO:0021837,GO:0021846,GO:0021847,GO:0021859,GO:0021860,GO:0021869,GO:0021872,GO:0021873,GO:0021879,GO:0021884,GO:0021885,GO:0021889,GO:0021891,GO:0021953,GO:0021954,GO:0021987,GO:0021988,GO:0022008,GO:0022010,GO:0022028,GO:0022029,GO:0022404,GO:0022405,GO:0022412,GO:0022414,GO:0022603,GO:0022604,GO:0022607,GO:0022612,GO:0023014,GO:0023051,GO:0023052,GO:0023056,GO:0023057,GO:0030030,GO:0030031,GO:0030097,GO:0030111,GO:0030133,GO:0030154,GO:0030162,GO:0030177,GO:0030182,GO:0030258,GO:0030278,GO:0030279,GO:0030282,GO:0030323,GO:0030324,GO:0030326,GO:0030334,GO:0030335,GO:0030500,GO:0030501,GO:0030850,GO:0030855,GO:0030879,GO:0030900,GO:0030901,GO:0030916,GO:0031016,GO:0031069,GO:0031098,GO:0031099,GO:0031101,GO:0031128,GO:0031175,GO:0031214,GO:0031224,GO:0031226,GO:0031267,GO:0031323,GO:0031324,GO:0031325,GO:0031326,GO:0031327,GO:0031328,GO:0031344,GO:0031346,GO:0031396,GO:0031398,GO:0031399,GO:0031401,GO:0031410,GO:0031644,GO:0031647,GO:0031667,GO:0031974,GO:0031981,GO:0031982,GO:0032101,GO:0032103,GO:0032268,GO:0032270,GO:0032291,GO:0032501,GO:0032502,GO:0032504,GO:0032808,GO:0032879,GO:0032989,GO:0032990,GO:0032991,GO:0033043,GO:0033262,GO:0033278,GO:0033500,GO:0033554,GO:0033674,GO:0033688,GO:0034103,GO:0034776,GO:0035004,GO:0035019,GO:0035051,GO:0035107,GO:0035108,GO:0035113,GO:0035148,GO:0035239,GO:0035264,GO:0035265,GO:0035272,GO:0035295,GO:0035315,GO:0035469,GO:0035556,GO:0035602,GO:0035603,GO:0035604,GO:0035607,GO:0035987,GO:0035988,GO:0036075,GO:0036092,GO:0036211,GO:0036342,GO:0036445,GO:0038023,GO:0038066,GO:0040007,GO:0040008,GO:0040011,GO:0040012,GO:0040014,GO:0040017,GO:0040036,GO:0042060,GO:0042063,GO:0042065,GO:0042074,GO:0042127,GO:0042221,GO:0042246,GO:0042303,GO:0042325,GO:0042327,GO:0042359,GO:0042445,GO:0042471,GO:0042472,GO:0042473,GO:0042474,GO:0042476,GO:0042490,GO:0042491,GO:0042493,GO:0042509,GO:0042531,GO:0042552,GO:0042592,GO:0042593,GO:0042632,GO:0042633,GO:0042659,GO:0042661,GO:0042663,GO:0042664,GO:0042692,GO:0042802,GO:0042803,GO:0042981,GO:0043009,GO:0043010,GO:0043065,GO:0043066,GO:0043067,GO:0043068,GO:0043069,GO:0043085,GO:0043167,GO:0043168,GO:0043170,GO:0043226,GO:0043227,GO:0043228,GO:0043229,GO:0043231,GO:0043232,GO:0043233,GO:0043235,GO:0043269,GO:0043405,GO:0043406,GO:0043408,GO:0043410,GO:0043412,GO:0043523,GO:0043525,GO:0043535,GO:0043536,GO:0043549,GO:0043550,GO:0043551,GO:0043552,GO:0043583,GO:0043588,GO:0043589,GO:0044057,GO:0044060,GO:0044070,GO:0044085,GO:0044093,GO:0044237,GO:0044238,GO:0044249,GO:0044255,GO:0044260,GO:0044267,GO:0044281,GO:0044344,GO:0044422,GO:0044424,GO:0044425,GO:0044428,GO:0044444,GO:0044446,GO:0044459,GO:0044464,GO:0044703,GO:0044706,GO:0044782,GO:0044877,GO:0045017,GO:0045137,GO:0045165,GO:0045202,GO:0045471,GO:0045595,GO:0045596,GO:0045597,GO:0045637,GO:0045664,GO:0045666,GO:0045667,GO:0045668,GO:0045670,GO:0045685,GO:0045686,GO:0045740,GO:0045778,GO:0045786,GO:0045787,GO:0045834,GO:0045839,GO:0045844,GO:0045859,GO:0045860,GO:0045862,GO:0045879,GO:0045892,GO:0045893,GO:0045926,GO:0045927,GO:0045930,GO:0045931,GO:0045934,GO:0045935,GO:0045937,GO:0045944,GO:0045992,GO:0045995,GO:0046425,GO:0046427,GO:0046474,GO:0046486,GO:0046488,GO:0046620,GO:0046622,GO:0046677,GO:0046716,GO:0046777,GO:0046834,GO:0046850,GO:0046854,GO:0046883,GO:0046887,GO:0046890,GO:0046907,GO:0046934,GO:0046983,GO:0048015,GO:0048017,GO:0048103,GO:0048286,GO:0048332,GO:0048333,GO:0048339,GO:0048368,GO:0048378,GO:0048468,GO:0048469,GO:0048471,GO:0048489,GO:0048513,GO:0048514,GO:0048518,GO:0048519,GO:0048522,GO:0048523,GO:0048534,GO:0048542,GO:0048546,GO:0048557,GO:0048562,GO:0048565,GO:0048566,GO:0048568,GO:0048569,GO:0048583,GO:0048584,GO:0048585,GO:0048588,GO:0048589,GO:0048592,GO:0048593,GO:0048598,GO:0048608,GO:0048609,GO:0048634,GO:0048636,GO:0048638,GO:0048639,GO:0048640,GO:0048644,GO:0048645,GO:0048646,GO:0048660,GO:0048661,GO:0048666,GO:0048667,GO:0048678,GO:0048699,GO:0048701,GO:0048704,GO:0048705,GO:0048706,GO:0048709,GO:0048710,GO:0048712,GO:0048729,GO:0048730,GO:0048731,GO:0048732,GO:0048736,GO:0048738,GO:0048747,GO:0048754,GO:0048755,GO:0048762,GO:0048799,GO:0048812,GO:0048839,GO:0048856,GO:0048857,GO:0048858,GO:0048863,GO:0048869,GO:0048870,GO:0048878,GO:0048880,GO:0048881,GO:0048882,GO:0048915,GO:0048916,GO:0048925,GO:0050673,GO:0050678,GO:0050679,GO:0050680,GO:0050730,GO:0050731,GO:0050767,GO:0050768,GO:0050769,GO:0050789,GO:0050790,GO:0050793,GO:0050794,GO:0050801,GO:0050808,GO:0050810,GO:0050839,GO:0050877,GO:0050896,GO:0050920,GO:0050921,GO:0050954,GO:0051020,GO:0051046,GO:0051047,GO:0051049,GO:0051050,GO:0051052,GO:0051054,GO:0051093,GO:0051094,GO:0051128,GO:0051129,GO:0051130,GO:0051146,GO:0051147,GO:0051150,GO:0051171,GO:0051172,GO:0051173,GO:0051174,GO:0051179,GO:0051216,GO:0051234,GO:0051239,GO:0051240,GO:0051241,GO:0051246,GO:0051247,GO:0051252,GO:0051253,GO:0051254,GO:0051270,GO:0051272,GO:0051301,GO:0051302,GO:0051336,GO:0051338,GO:0051345,GO:0051347,GO:0051403,GO:0051640,GO:0051641,GO:0051648,GO:0051649,GO:0051650,GO:0051656,GO:0051674,GO:0051704,GO:0051716,GO:0051726,GO:0051781,GO:0051783,GO:0051784,GO:0051896,GO:0051897,GO:0051930,GO:0051931,GO:0051960,GO:0051961,GO:0051962,GO:0052742,GO:0052813,GO:0055001,GO:0055002,GO:0055008,GO:0055010,GO:0055021,GO:0055023,GO:0055024,GO:0055025,GO:0055057,GO:0055062,GO:0055081,GO:0055083,GO:0055088,GO:0055092,GO:0055123,GO:0060043,GO:0060045,GO:0060076,GO:0060089,GO:0060113,GO:0060117,GO:0060119,GO:0060173,GO:0060174,GO:0060191,GO:0060193,GO:0060249,GO:0060255,GO:0060271,GO:0060284,GO:0060322,GO:0060348,GO:0060349,GO:0060350,GO:0060359,GO:0060363,GO:0060365,GO:0060384,GO:0060385,GO:0060411,GO:0060412,GO:0060415,GO:0060420,GO:0060421,GO:0060425,GO:0060428,GO:0060429,GO:0060430,GO:0060441,GO:0060442,GO:0060443,GO:0060445,GO:0060449,GO:0060462,GO:0060463,GO:0060484,GO:0060485,GO:0060501,GO:0060512,GO:0060523,GO:0060525,GO:0060526,GO:0060527,GO:0060529,GO:0060537,GO:0060541,GO:0060548,GO:0060560,GO:0060562,GO:0060563,GO:0060571,GO:0060572,GO:0060592,GO:0060594,GO:0060595,GO:0060601,GO:0060602,GO:0060603,GO:0060615,GO:0060638,GO:0060648,GO:0060664,GO:0060665,GO:0060667,GO:0060669,GO:0060670,GO:0060687,GO:0060688,GO:0060693,GO:0060711,GO:0060713,GO:0060736,GO:0060737,GO:0060740,GO:0060742,GO:0060795,GO:0060828,GO:0060915,GO:0060916,GO:0060976,GO:0060977,GO:0060979,GO:0061008,GO:0061031,GO:0061061,GO:0061138,GO:0061144,GO:0061180,GO:0061318,GO:0061319,GO:0061320,GO:0061351,GO:0061371,GO:0061383,GO:0061430,GO:0061448,GO:0061458,GO:0061564,GO:0062012,GO:0065007,GO:0065008,GO:0065009,GO:0070013,GO:0070167,GO:0070169,GO:0070306,GO:0070307,GO:0070371,GO:0070372,GO:0070374,GO:0070640,GO:0070848,GO:0070857,GO:0070887,GO:0070925,GO:0070977,GO:0071242,GO:0071310,GO:0071363,GO:0071407,GO:0071417,GO:0071420,GO:0071495,GO:0071599,GO:0071600,GO:0071695,GO:0071696,GO:0071697,GO:0071698,GO:0071699,GO:0071704,GO:0071774,GO:0071840,GO:0071863,GO:0071864,GO:0071865,GO:0071866,GO:0071900,GO:0071902,GO:0071910,GO:0071944,GO:0072001,GO:0072073,GO:0072089,GO:0072091,GO:0072148,GO:0072163,GO:0072164,GO:0072175,GO:0072358,GO:0072359,GO:0072505,GO:0072506,GO:0080090,GO:0090068,GO:0090080,GO:0090102,GO:0090130,GO:0090218,GO:0090263,GO:0090270,GO:0090272,GO:0090287,GO:0090329,GO:0090407,GO:0090596,GO:0090722,GO:0097094,GO:0097190,GO:0097191,GO:0097305,GO:0097367,GO:0097479,GO:0097480,GO:0097708,GO:0098552,GO:0098562,GO:0098727,GO:0098771,GO:0098772,GO:0098773,GO:0098868,GO:0099003,GO:0099568,GO:0120031,GO:0120035,GO:0120036,GO:0120039,GO:0140096,GO:1900274,GO:1901214,GO:1901216,GO:1901360,GO:1901532,GO:1901564,GO:1901576,GO:1901615,GO:1901681,GO:1901698,GO:1901699,GO:1901700,GO:1901861,GO:1901863,GO:1902036,GO:1902105,GO:1902178,GO:1902531,GO:1902533,GO:1902652,GO:1902679,GO:1902680,GO:1903053,GO:1903224,GO:1903225,GO:1903320,GO:1903322,GO:1903463,GO:1903465,GO:1903506,GO:1903507,GO:1903508,GO:1903530,GO:1903532,GO:1903706,GO:1903725,GO:1903727,GO:1904251,GO:1904847,GO:1904849,GO:1904888,GO:1904892,GO:1904894,GO:1905330,GO:1905562,GO:1905564,GO:1905770,GO:1905902,GO:1990089,GO:1990090,GO:2000026,GO:2000027,GO:2000105,GO:2000112,GO:2000113,GO:2000145,GO:2000147,GO:2000241,GO:2000278,GO:2000380,GO:2000542,GO:2000544,GO:2000546,GO:2000573,GO:2000736,GO:2000794,GO:2000828,GO:2000830,GO:2001026,GO:2001028,GO:2001141,GO:2001233,GO:2001236,GO:2001239</t>
  </si>
  <si>
    <t>GO:0000003,GO:0003002,GO:0003674,GO:0003824,GO:0004175,GO:0004888,GO:0005488,GO:0005515,GO:0005575,GO:0005623,GO:0005886,GO:0005887,GO:0006508,GO:0006807,GO:0007154,GO:0007165,GO:0007275,GO:0007389,GO:0008150,GO:0008152,GO:0008233,GO:0009790,GO:0009792,GO:0009952,GO:0009987,GO:0016020,GO:0016021,GO:0016787,GO:0019538,GO:0019953,GO:0022414,GO:0023052,GO:0031224,GO:0031226,GO:0032501,GO:0032502,GO:0038023,GO:0042802,GO:0042803,GO:0043170,GO:0044238,GO:0044425,GO:0044459,GO:0044464,GO:0044703,GO:0046983,GO:0048856,GO:0050789,GO:0050794,GO:0050896,GO:0051704,GO:0051716,GO:0060089,GO:0065007,GO:0070011,GO:0071704,GO:0071944,GO:0097264,GO:0140096,GO:1901564</t>
  </si>
  <si>
    <t>GO:0000323,GO:0001701,GO:0001894,GO:0003674,GO:0005215,GO:0005488,GO:0005515,GO:0005575,GO:0005576,GO:0005615,GO:0005622,GO:0005623,GO:0005737,GO:0005764,GO:0005768,GO:0005773,GO:0005775,GO:0005783,GO:0005794,GO:0005798,GO:0005829,GO:0005886,GO:0005903,GO:0005905,GO:0006629,GO:0006725,GO:0006766,GO:0006767,GO:0006775,GO:0006807,GO:0006810,GO:0006897,GO:0006898,GO:0007154,GO:0007165,GO:0007275,GO:0007584,GO:0008104,GO:0008144,GO:0008150,GO:0008152,GO:0008202,GO:0009056,GO:0009111,GO:0009235,GO:0009605,GO:0009607,GO:0009617,GO:0009790,GO:0009792,GO:0009897,GO:0009986,GO:0009987,GO:0009991,GO:0010008,GO:0012505,GO:0012506,GO:0015031,GO:0015833,GO:0015886,GO:0015889,GO:0015893,GO:0016020,GO:0016043,GO:0016192,GO:0016324,GO:0017038,GO:0017144,GO:0019439,GO:0019897,GO:0019898,GO:0020028,GO:0022607,GO:0023052,GO:0030135,GO:0030139,GO:0030492,GO:0030659,GO:0030666,GO:0031090,GO:0031232,GO:0031253,GO:0031410,GO:0031526,GO:0031667,GO:0031974,GO:0031982,GO:0032501,GO:0032502,GO:0032991,GO:0033013,GO:0033015,GO:0033036,GO:0033365,GO:0034381,GO:0034384,GO:0034613,GO:0034641,GO:0038023,GO:0038024,GO:0042221,GO:0042359,GO:0042365,GO:0042366,GO:0042493,GO:0042592,GO:0042737,GO:0042802,GO:0042803,GO:0042886,GO:0042953,GO:0042995,GO:0043009,GO:0043202,GO:0043207,GO:0043226,GO:0043227,GO:0043229,GO:0043230,GO:0043231,GO:0043233,GO:0043933,GO:0044085,GO:0044237,GO:0044238,GO:0044248,GO:0044270,GO:0044281,GO:0044282,GO:0044421,GO:0044422,GO:0044424,GO:0044425,GO:0044433,GO:0044437,GO:0044440,GO:0044444,GO:0044446,GO:0044459,GO:0044463,GO:0044464,GO:0044872,GO:0045177,GO:0045184,GO:0046483,GO:0046700,GO:0046983,GO:0048856,GO:0048871,GO:0050789,GO:0050794,GO:0050896,GO:0051179,GO:0051180,GO:0051181,GO:0051186,GO:0051187,GO:0051234,GO:0051259,GO:0051260,GO:0051641,GO:0051704,GO:0051707,GO:0051716,GO:0060089,GO:0060249,GO:0065003,GO:0065007,GO:0065008,GO:0070013,GO:0070062,GO:0070206,GO:0070207,GO:0070727,GO:0071702,GO:0071704,GO:0071705,GO:0071840,GO:0071944,GO:0072594,GO:0097006,GO:0097708,GO:0098552,GO:0098588,GO:0098590,GO:0098657,GO:0098805,GO:0098862,GO:0120025,GO:0120038,GO:1901360,GO:1901361,GO:1901564,GO:1901565,GO:1901575,GO:1901615,GO:1901678,GO:1903561</t>
  </si>
  <si>
    <t>GO:0001101,GO:0002119,GO:0002164,GO:0003674,GO:0003824,GO:0005102,GO:0005488,GO:0005515,GO:0005575,GO:0005622,GO:0005623,GO:0005737,GO:0006457,GO:0006464,GO:0006470,GO:0006611,GO:0006793,GO:0006796,GO:0006807,GO:0006810,GO:0006886,GO:0006913,GO:0006935,GO:0007275,GO:0007568,GO:0007584,GO:0008104,GO:0008134,GO:0008150,GO:0008152,GO:0008340,GO:0009593,GO:0009605,GO:0009791,GO:0009893,GO:0009987,GO:0009991,GO:0010033,GO:0010035,GO:0010243,GO:0010259,GO:0010562,GO:0010604,GO:0010921,GO:0010922,GO:0014070,GO:0015031,GO:0015833,GO:0016311,GO:0016462,GO:0016787,GO:0016817,GO:0016818,GO:0016887,GO:0017111,GO:0019220,GO:0019222,GO:0019538,GO:0019899,GO:0019902,GO:0019903,GO:0031323,GO:0031325,GO:0031399,GO:0031401,GO:0031667,GO:0032101,GO:0032268,GO:0032270,GO:0032501,GO:0032502,GO:0032516,GO:0033036,GO:0033273,GO:0034613,GO:0035257,GO:0035258,GO:0035259,GO:0035303,GO:0035304,GO:0035306,GO:0035307,GO:0036211,GO:0040011,GO:0040012,GO:0040024,GO:0042221,GO:0042330,GO:0042493,GO:0042802,GO:0042886,GO:0043085,GO:0043170,GO:0043327,GO:0043412,GO:0043666,GO:0044093,GO:0044237,GO:0044238,GO:0044260,GO:0044267,GO:0044424,GO:0044444,GO:0044464,GO:0045184,GO:0045937,GO:0046907,GO:0048471,GO:0048518,GO:0048522,GO:0048583,GO:0048856,GO:0050789,GO:0050790,GO:0050794,GO:0050896,GO:0050920,GO:0051168,GO:0051169,GO:0051171,GO:0051173,GO:0051174,GO:0051179,GO:0051234,GO:0051246,GO:0051247,GO:0051336,GO:0051345,GO:0051427,GO:0051606,GO:0051641,GO:0051649,GO:0060255,GO:0061077,GO:0065007,GO:0065009,GO:0070727,GO:0070781,GO:0071702,GO:0071704,GO:0071705,GO:0080090,GO:1901564,GO:1901698,GO:1901700,GO:1990634</t>
  </si>
  <si>
    <t>GO:0001654,GO:0001709,GO:0005575,GO:0005576,GO:0005622,GO:0005623,GO:0005737,GO:0005783,GO:0005788,GO:0006355,GO:0006357,GO:0006464,GO:0006807,GO:0007154,GO:0007165,GO:0007166,GO:0007167,GO:0007178,GO:0007275,GO:0007399,GO:0007423,GO:0008150,GO:0008152,GO:0009719,GO:0009889,GO:0009966,GO:0009968,GO:0009987,GO:0010033,GO:0010468,GO:0010556,GO:0010646,GO:0010648,GO:0012505,GO:0019219,GO:0019222,GO:0019538,GO:0022008,GO:0023051,GO:0023052,GO:0023057,GO:0030154,GO:0030182,GO:0030509,GO:0030510,GO:0030514,GO:0031323,GO:0031326,GO:0031974,GO:0032501,GO:0032502,GO:0036211,GO:0042221,GO:0043170,GO:0043226,GO:0043227,GO:0043229,GO:0043231,GO:0043233,GO:0043412,GO:0043687,GO:0044237,GO:0044238,GO:0044260,GO:0044267,GO:0044422,GO:0044424,GO:0044432,GO:0044444,GO:0044446,GO:0044464,GO:0045165,GO:0048513,GO:0048519,GO:0048523,GO:0048583,GO:0048585,GO:0048699,GO:0048731,GO:0048749,GO:0048856,GO:0048869,GO:0050789,GO:0050794,GO:0050896,GO:0051171,GO:0051252,GO:0051716,GO:0060255,GO:0065007,GO:0070013,GO:0070848,GO:0070887,GO:0071310,GO:0071363,GO:0071495,GO:0071704,GO:0071772,GO:0071773,GO:0080090,GO:0090092,GO:0090101,GO:0090287,GO:0090288,GO:1901564,GO:1903506,GO:2000112,GO:2001141</t>
  </si>
  <si>
    <t>GO:0003674,GO:0005488,GO:0005506,GO:0005575,GO:0005622,GO:0005623,GO:0005634,GO:0005654,GO:0005737,GO:0005739,GO:0006518,GO:0006575,GO:0006749,GO:0006790,GO:0006807,GO:0008150,GO:0008152,GO:0009987,GO:0031974,GO:0031981,GO:0034641,GO:0043167,GO:0043169,GO:0043226,GO:0043227,GO:0043229,GO:0043231,GO:0043233,GO:0043603,GO:0044237,GO:0044422,GO:0044424,GO:0044428,GO:0044444,GO:0044446,GO:0044464,GO:0046872,GO:0046914,GO:0051186,GO:0070013,GO:0071704,GO:1901564</t>
  </si>
  <si>
    <t>GO:0001523,GO:0003008,GO:0003674,GO:0003824,GO:0004745,GO:0005575,GO:0005622,GO:0005623,GO:0005634,GO:0005730,GO:0005737,GO:0005783,GO:0005788,GO:0005789,GO:0005829,GO:0006066,GO:0006082,GO:0006091,GO:0006629,GO:0006694,GO:0006702,GO:0006706,GO:0006710,GO:0006720,GO:0006721,GO:0007600,GO:0007601,GO:0008150,GO:0008152,GO:0008202,GO:0008209,GO:0008610,GO:0009055,GO:0009056,GO:0009058,GO:0009987,GO:0010817,GO:0012505,GO:0016020,GO:0016042,GO:0016101,GO:0016229,GO:0016491,GO:0016614,GO:0016616,GO:0019752,GO:0022900,GO:0031974,GO:0031981,GO:0031984,GO:0032501,GO:0032787,GO:0033764,GO:0034308,GO:0034754,GO:0042175,GO:0042445,GO:0042446,GO:0042447,GO:0042572,GO:0042573,GO:0043226,GO:0043227,GO:0043228,GO:0043229,GO:0043231,GO:0043232,GO:0043233,GO:0043436,GO:0044237,GO:0044238,GO:0044249,GO:0044255,GO:0044281,GO:0044297,GO:0044422,GO:0044424,GO:0044425,GO:0044428,GO:0044432,GO:0044444,GO:0044446,GO:0044464,GO:0047035,GO:0050877,GO:0050953,GO:0055114,GO:0065007,GO:0065008,GO:0070013,GO:0071704,GO:0098827,GO:1901360,GO:1901361,GO:1901362,GO:1901575,GO:1901576,GO:1901615</t>
  </si>
  <si>
    <t>GO:0002376,GO:0002682,GO:0002684,GO:0002694,GO:0002696,GO:0003674,GO:0003824,GO:0005215,GO:0005488,GO:0005509,GO:0005575,GO:0005622,GO:0005623,GO:0005737,GO:0005768,GO:0005783,GO:0005886,GO:0005887,GO:0006725,GO:0006766,GO:0006767,GO:0006807,GO:0006810,GO:0006855,GO:0008144,GO:0008150,GO:0008152,GO:0008284,GO:0009235,GO:0009987,GO:0010008,GO:0012505,GO:0015238,GO:0015399,GO:0015405,GO:0015420,GO:0015889,GO:0015893,GO:0016020,GO:0016021,GO:0016462,GO:0016787,GO:0016817,GO:0016818,GO:0016887,GO:0017111,GO:0017144,GO:0019222,GO:0019842,GO:0022804,GO:0022857,GO:0030656,GO:0030888,GO:0030890,GO:0031090,GO:0031224,GO:0031226,GO:0031294,GO:0031296,GO:0031410,GO:0031419,GO:0031982,GO:0032944,GO:0032946,GO:0033013,GO:0035461,GO:0036094,GO:0042127,GO:0042221,GO:0042493,GO:0042623,GO:0042626,GO:0043167,GO:0043169,GO:0043226,GO:0043227,GO:0043229,GO:0043231,GO:0043492,GO:0044237,GO:0044281,GO:0044422,GO:0044424,GO:0044425,GO:0044433,GO:0044440,GO:0044444,GO:0044446,GO:0044459,GO:0044464,GO:0046483,GO:0046872,GO:0046906,GO:0048037,GO:0048518,GO:0048522,GO:0050670,GO:0050671,GO:0050789,GO:0050794,GO:0050864,GO:0050865,GO:0050867,GO:0050871,GO:0050896,GO:0051179,GO:0051180,GO:0051181,GO:0051184,GO:0051186,GO:0051234,GO:0051249,GO:0051251,GO:0055085,GO:0062012,GO:0065007,GO:0070663,GO:0070665,GO:0071702,GO:0071704,GO:0071705,GO:0071944,GO:0090482,GO:0097159,GO:0097708,GO:0098588,GO:0098805,GO:1901360,GO:1901363,GO:1901564</t>
  </si>
  <si>
    <t>GO:0000096,GO:0000098,GO:0001505,GO:0003674,GO:0003824,GO:0004760,GO:0005102,GO:0005488,GO:0005515,GO:0005575,GO:0005622,GO:0005623,GO:0005737,GO:0005739,GO:0005759,GO:0005777,GO:0005782,GO:0005829,GO:0006081,GO:0006082,GO:0006090,GO:0006520,GO:0006522,GO:0006524,GO:0006534,GO:0006544,GO:0006545,GO:0006605,GO:0006625,GO:0006790,GO:0006807,GO:0006810,GO:0006811,GO:0006820,GO:0006835,GO:0006886,GO:0006996,GO:0007031,GO:0007154,GO:0007165,GO:0007166,GO:0007219,GO:0008104,GO:0008144,GO:0008150,GO:0008152,GO:0008453,GO:0008483,GO:0008652,GO:0009056,GO:0009058,GO:0009063,GO:0009069,GO:0009070,GO:0009071,GO:0009078,GO:0009080,GO:0009093,GO:0009436,GO:0009719,GO:0009725,GO:0009987,GO:0010033,GO:0010243,GO:0014070,GO:0014074,GO:0015031,GO:0015711,GO:0015833,GO:0015849,GO:0016043,GO:0016053,GO:0016054,GO:0016597,GO:0016740,GO:0016769,GO:0017144,GO:0019265,GO:0019448,GO:0019532,GO:0019752,GO:0019842,GO:0023052,GO:0030170,GO:0031406,GO:0031907,GO:0031960,GO:0031974,GO:0032787,GO:0033036,GO:0033365,GO:0033993,GO:0034613,GO:0034641,GO:0036094,GO:0042133,GO:0042136,GO:0042221,GO:0042579,GO:0042802,GO:0042803,GO:0042851,GO:0042853,GO:0042866,GO:0042886,GO:0043167,GO:0043168,GO:0043177,GO:0043226,GO:0043227,GO:0043229,GO:0043231,GO:0043233,GO:0043436,GO:0043574,GO:0043621,GO:0044237,GO:0044238,GO:0044248,GO:0044249,GO:0044273,GO:0044281,GO:0044282,GO:0044283,GO:0044422,GO:0044424,GO:0044429,GO:0044438,GO:0044439,GO:0044444,GO:0044446,GO:0044464,GO:0045184,GO:0046185,GO:0046394,GO:0046395,GO:0046439,GO:0046487,GO:0046683,GO:0046717,GO:0046724,GO:0046903,GO:0046907,GO:0046942,GO:0046983,GO:0048037,GO:0048545,GO:0050662,GO:0050789,GO:0050794,GO:0050896,GO:0051179,GO:0051234,GO:0051384,GO:0051591,GO:0051641,GO:0051649,GO:0051716,GO:0065007,GO:0065008,GO:0070013,GO:0070279,GO:0070727,GO:0071702,GO:0071704,GO:0071705,GO:0071840,GO:0072329,GO:0072330,GO:0072594,GO:0072662,GO:0072663,GO:0097159,GO:1901363,GO:1901564,GO:1901565,GO:1901566,GO:1901575,GO:1901576,GO:1901605,GO:1901606,GO:1901607,GO:1901698,GO:1901700</t>
  </si>
  <si>
    <t>GO:0000003,GO:0000132,GO:0000226,GO:0000278,GO:0000902,GO:0000904,GO:0001101,GO:0001501,GO:0001508,GO:0001525,GO:0001558,GO:0001568,GO:0001667,GO:0001764,GO:0001775,GO:0001871,GO:0001932,GO:0001944,GO:0002009,GO:0002020,GO:0002064,GO:0002165,GO:0002175,GO:0002252,GO:0002263,GO:0002274,GO:0002275,GO:0002283,GO:0002366,GO:0002376,GO:0002443,GO:0002444,GO:0002446,GO:0003007,GO:0003008,GO:0003381,GO:0003382,GO:0003383,GO:0003384,GO:0003674,GO:0004888,GO:0005102,GO:0005178,GO:0005488,GO:0005509,GO:0005515,GO:0005575,GO:0005622,GO:0005623,GO:0005737,GO:0005768,GO:0005886,GO:0005887,GO:0005902,GO:0005911,GO:0005912,GO:0005913,GO:0005918,GO:0005919,GO:0006582,GO:0006725,GO:0006810,GO:0006887,GO:0006928,GO:0006935,GO:0006950,GO:0006952,GO:0006955,GO:0006996,GO:0007010,GO:0007017,GO:0007043,GO:0007049,GO:0007154,GO:0007155,GO:0007156,GO:0007157,GO:0007158,GO:0007159,GO:0007160,GO:0007163,GO:0007165,GO:0007166,GO:0007167,GO:0007169,GO:0007173,GO:0007272,GO:0007275,GO:0007369,GO:0007399,GO:0007409,GO:0007411,GO:0007413,GO:0007416,GO:0007417,GO:0007420,GO:0007422,GO:0007424,GO:0007444,GO:0007507,GO:0007552,GO:0007560,GO:0007610,GO:0007617,GO:0007618,GO:0007619,GO:0007626,GO:0008037,GO:0008038,GO:0008045,GO:0008049,GO:0008050,GO:0008092,GO:0008104,GO:0008150,GO:0008152,GO:0008344,GO:0008361,GO:0008366,GO:0009410,GO:0009605,GO:0009611,GO:0009636,GO:0009653,GO:0009719,GO:0009725,GO:0009790,GO:0009791,GO:0009792,GO:0009886,GO:0009887,GO:0009888,GO:0009893,GO:0009897,GO:0009966,GO:0009967,GO:0009986,GO:0009987,GO:0010001,GO:0010033,GO:0010243,GO:0010468,GO:0010604,GO:0010628,GO:0010646,GO:0010647,GO:0010720,GO:0010769,GO:0010770,GO:0010810,GO:0010811,GO:0010927,GO:0010941,GO:0010975,GO:0010976,GO:0012505,GO:0012506,GO:0014070,GO:0014823,GO:0016020,GO:0016021,GO:0016043,GO:0016049,GO:0016192,GO:0016319,GO:0016328,GO:0016338,GO:0016339,GO:0016358,GO:0016477,GO:0017154,GO:0018958,GO:0019098,GO:0019220,GO:0019222,GO:0019226,GO:0019227,GO:0019748,GO:0019899,GO:0019904,GO:0019953,GO:0019991,GO:0021675,GO:0021682,GO:0021700,GO:0021782,GO:0022008,GO:0022402,GO:0022407,GO:0022409,GO:0022414,GO:0022603,GO:0022604,GO:0022607,GO:0022610,GO:0023051,GO:0023052,GO:0023056,GO:0030010,GO:0030016,GO:0030017,GO:0030029,GO:0030030,GO:0030048,GO:0030054,GO:0030141,GO:0030154,GO:0030155,GO:0030165,GO:0030175,GO:0030182,GO:0030246,GO:0030247,GO:0030307,GO:0030424,GO:0030425,GO:0030426,GO:0030427,GO:0030506,GO:0030516,GO:0030534,GO:0030659,GO:0030667,GO:0030673,GO:0030855,GO:0030913,GO:0031090,GO:0031099,GO:0031102,GO:0031103,GO:0031175,GO:0031224,GO:0031226,GO:0031252,GO:0031253,GO:0031256,GO:0031290,GO:0031323,GO:0031344,GO:0031346,GO:0031399,GO:0031406,GO:0031410,GO:0031589,GO:0031960,GO:0031982,GO:0032101,GO:0032268,GO:0032288,GO:0032501,GO:0032502,GO:0032504,GO:0032535,GO:0032589,GO:0032590,GO:0032809,GO:0032870,GO:0032879,GO:0032940,GO:0032989,GO:0032990,GO:0033010,GO:0033036,GO:0033267,GO:0033268,GO:0033270,GO:0033554,GO:0033563,GO:0033564,GO:0033627,GO:0033631,GO:0033691,GO:0033993,GO:0034109,GO:0034113,GO:0034329,GO:0034330,GO:0034613,GO:0035006,GO:0035010,GO:0035011,GO:0035150,GO:0035151,GO:0035152,GO:0035239,GO:0035295,GO:0035637,GO:0035640,GO:0035690,GO:0036094,GO:0036230,GO:0036477,GO:0038023,GO:0038127,GO:0040001,GO:0040007,GO:0040008,GO:0040011,GO:0040012,GO:0042063,GO:0042074,GO:0042119,GO:0042221,GO:0042325,GO:0042330,GO:0042391,GO:0042440,GO:0042493,GO:0042551,GO:0042552,GO:0042734,GO:0042802,GO:0042981,GO:0042995,GO:0043005,GO:0043025,GO:0043066,GO:0043067,GO:0043069,GO:0043167,GO:0043168,GO:0043169,GO:0043177,GO:0043194,GO:0043195,GO:0043200,GO:0043209,GO:0043226,GO:0043227,GO:0043228,GO:0043229,GO:0043232,GO:0043292,GO:0043296,GO:0043297,GO:0043299,GO:0043312,GO:0043408,GO:0043523,GO:0043524,GO:0043621,GO:0043679,GO:0044085,GO:0044237,GO:0044292,GO:0044294,GO:0044295,GO:0044297,GO:0044298,GO:0044304,GO:0044306,GO:0044422,GO:0044424,GO:0044425,GO:0044433,GO:0044444,GO:0044446,GO:0044449,GO:0044456,GO:0044459,GO:0044463,GO:0044464,GO:0044703,GO:0044877,GO:0045055,GO:0045087,GO:0045121,GO:0045161,GO:0045162,GO:0045177,GO:0045202,GO:0045216,GO:0045321,GO:0045471,GO:0045595,GO:0045597,GO:0045664,GO:0045666,GO:0045773,GO:0045785,GO:0045924,GO:0045927,GO:0046677,GO:0046872,GO:0046903,GO:0046982,GO:0046983,GO:0048036,GO:0048468,GO:0048469,GO:0048513,GO:0048514,GO:0048518,GO:0048519,GO:0048522,GO:0048523,GO:0048545,GO:0048563,GO:0048569,GO:0048583,GO:0048584,GO:0048588,GO:0048589,GO:0048598,GO:0048609,GO:0048638,GO:0048639,GO:0048646,GO:0048666,GO:0048667,GO:0048675,GO:0048678,GO:0048699,GO:0048707,GO:0048729,GO:0048731,GO:0048812,GO:0048813,GO:0048814,GO:0048856,GO:0048858,GO:0048869,GO:0048870,GO:0050767,GO:0050769,GO:0050770,GO:0050772,GO:0050773,GO:0050775,GO:0050789,GO:0050793,GO:0050794,GO:0050808,GO:0050839,GO:0050848,GO:0050850,GO:0050877,GO:0050890,GO:0050896,GO:0050900,GO:0050920,GO:0051094,GO:0051128,GO:0051130,GO:0051171,GO:0051174,GO:0051179,GO:0051216,GO:0051234,GO:0051239,GO:0051240,GO:0051246,GO:0051270,GO:0051293,GO:0051294,GO:0051384,GO:0051640,GO:0051641,GO:0051649,GO:0051653,GO:0051656,GO:0051674,GO:0051704,GO:0051716,GO:0051960,GO:0051962,GO:0060089,GO:0060179,GO:0060180,GO:0060255,GO:0060284,GO:0060322,GO:0060429,GO:0060536,GO:0060541,GO:0060548,GO:0060560,GO:0060562,GO:0060856,GO:0060857,GO:0061024,GO:0061343,GO:0061387,GO:0061448,GO:0061564,GO:0065007,GO:0065008,GO:0070160,GO:0070161,GO:0070252,GO:0070372,GO:0070593,GO:0070727,GO:0070820,GO:0070848,GO:0070887,GO:0071205,GO:0071229,GO:0071230,GO:0071236,GO:0071310,GO:0071361,GO:0071363,GO:0071383,GO:0071384,GO:0071385,GO:0071396,GO:0071407,GO:0071417,GO:0071466,GO:0071495,GO:0071526,GO:0071542,GO:0071548,GO:0071549,GO:0071559,GO:0071560,GO:0071695,GO:0071704,GO:0071840,GO:0071944,GO:0072358,GO:0072359,GO:0072499,GO:0072657,GO:0072659,GO:0080090,GO:0086080,GO:0090066,GO:0097060,GO:0097066,GO:0097067,GO:0097068,GO:0097069,GO:0097237,GO:0097305,GO:0097306,GO:0097327,GO:0097367,GO:0097386,GO:0097447,GO:0097454,GO:0097458,GO:0097485,GO:0097708,GO:0098552,GO:0098588,GO:0098589,GO:0098590,GO:0098609,GO:0098631,GO:0098632,GO:0098742,GO:0098793,GO:0098805,GO:0098857,GO:0098858,GO:0098870,GO:0099080,GO:0099081,GO:0099503,GO:0099512,GO:0099612,GO:0101002,GO:0101003,GO:0106030,GO:0120025,GO:0120035,GO:0120036,GO:0120038,GO:0120039,GO:0150034,GO:1900006,GO:1901214,GO:1901215,GO:1901360,GO:1901615,GO:1901654,GO:1901655,GO:1901698,GO:1901699,GO:1901700,GO:1901701,GO:1902531,GO:1902533,GO:1902667,GO:1902850,GO:1903047,GO:1903859,GO:1904386,GO:1904387,GO:1990089,GO:1990090,GO:1990138,GO:1990778,GO:2000026</t>
  </si>
  <si>
    <t>GO:0001952,GO:0001954,GO:0003674,GO:0003824,GO:0004672,GO:0004713,GO:0004714,GO:0004888,GO:0005102,GO:0005178,GO:0005488,GO:0005509,GO:0005515,GO:0005575,GO:0005623,GO:0005886,GO:0005887,GO:0006464,GO:0006468,GO:0006793,GO:0006796,GO:0006807,GO:0006996,GO:0007010,GO:0007015,GO:0007154,GO:0007165,GO:0007275,GO:0007399,GO:0008150,GO:0008152,GO:0009986,GO:0009987,GO:0010810,GO:0010811,GO:0016020,GO:0016021,GO:0016043,GO:0016301,GO:0016310,GO:0016358,GO:0016740,GO:0016772,GO:0016773,GO:0018108,GO:0018193,GO:0018212,GO:0019199,GO:0019538,GO:0022008,GO:0023052,GO:0030029,GO:0030030,GO:0030036,GO:0030154,GO:0030155,GO:0030182,GO:0030425,GO:0031175,GO:0031224,GO:0031226,GO:0032501,GO:0032502,GO:0036211,GO:0036477,GO:0038023,GO:0042995,GO:0043005,GO:0043167,GO:0043169,GO:0043170,GO:0043412,GO:0044237,GO:0044238,GO:0044260,GO:0044267,GO:0044425,GO:0044459,GO:0044463,GO:0044464,GO:0044877,GO:0045785,GO:0046872,GO:0048468,GO:0048518,GO:0048666,GO:0048699,GO:0048731,GO:0048856,GO:0048869,GO:0050789,GO:0050794,GO:0050839,GO:0050896,GO:0051716,GO:0060089,GO:0065007,GO:0071704,GO:0071840,GO:0071944,GO:0097435,GO:0097447,GO:0097458,GO:0120025,GO:0120036,GO:0120038,GO:0140096,GO:1901564</t>
  </si>
  <si>
    <t>GO:0000139,GO:0000976,GO:0000977,GO:0000981,GO:0001012,GO:0001067,GO:0001228,GO:0002673,GO:0002675,GO:0003674,GO:0003676,GO:0003677,GO:0003690,GO:0003700,GO:0005488,GO:0005515,GO:0005575,GO:0005622,GO:0005623,GO:0005634,GO:0005654,GO:0005737,GO:0005783,GO:0005789,GO:0005794,GO:0005829,GO:0006139,GO:0006351,GO:0006355,GO:0006357,GO:0006366,GO:0006725,GO:0006807,GO:0006950,GO:0006986,GO:0007154,GO:0007165,GO:0008150,GO:0008152,GO:0008361,GO:0009058,GO:0009059,GO:0009889,GO:0009891,GO:0009893,GO:0009966,GO:0009968,GO:0009987,GO:0010033,GO:0010467,GO:0010468,GO:0010556,GO:0010557,GO:0010604,GO:0010628,GO:0010646,GO:0010648,GO:0012505,GO:0016020,GO:0016043,GO:0016070,GO:0018130,GO:0019219,GO:0019222,GO:0019438,GO:0023051,GO:0023052,GO:0023057,GO:0030968,GO:0031090,GO:0031323,GO:0031325,GO:0031326,GO:0031328,GO:0031347,GO:0031349,GO:0031974,GO:0031981,GO:0031984,GO:0032101,GO:0032103,GO:0032535,GO:0032774,GO:0032878,GO:0033554,GO:0034620,GO:0034641,GO:0034645,GO:0034654,GO:0034976,GO:0035966,GO:0035967,GO:0036003,GO:0040008,GO:0040014,GO:0042175,GO:0042221,GO:0042802,GO:0042803,GO:0043170,GO:0043226,GO:0043227,GO:0043229,GO:0043231,GO:0043233,GO:0043565,GO:0043618,GO:0043620,GO:0044212,GO:0044237,GO:0044238,GO:0044249,GO:0044260,GO:0044271,GO:0044422,GO:0044424,GO:0044425,GO:0044428,GO:0044431,GO:0044432,GO:0044444,GO:0044446,GO:0044464,GO:0045893,GO:0045935,GO:0045944,GO:0046483,GO:0046982,GO:0046983,GO:0048518,GO:0048519,GO:0048522,GO:0048523,GO:0048583,GO:0048584,GO:0048585,GO:0048638,GO:0050727,GO:0050729,GO:0050789,GO:0050793,GO:0050794,GO:0050896,GO:0051171,GO:0051173,GO:0051239,GO:0051252,GO:0051254,GO:0051716,GO:0060255,GO:0065007,GO:0065008,GO:0070013,GO:0070887,GO:0071310,GO:0071704,GO:0071840,GO:0080090,GO:0080134,GO:0090036,GO:0090038,GO:0090066,GO:0090304,GO:0097159,GO:0097659,GO:0098588,GO:0098791,GO:0098827,GO:0140110,GO:1901360,GO:1901362,GO:1901363,GO:1901576,GO:1902531,GO:1902532,GO:1902680,GO:1903506,GO:1903508,GO:1990440,GO:1990837,GO:2000112,GO:2000114,GO:2001141</t>
  </si>
  <si>
    <t>GO:0001505,GO:0001889,GO:0003674,GO:0003824,GO:0003837,GO:0005488,GO:0005575,GO:0005622,GO:0005623,GO:0005737,GO:0005829,GO:0006082,GO:0006139,GO:0006206,GO:0006207,GO:0006208,GO:0006210,GO:0006212,GO:0006213,GO:0006520,GO:0006725,GO:0006807,GO:0007275,GO:0008150,GO:0008152,GO:0008270,GO:0008652,GO:0009056,GO:0009058,GO:0009112,GO:0009116,GO:0009164,GO:0009987,GO:0016053,GO:0016787,GO:0016810,GO:0016811,GO:0017144,GO:0018130,GO:0019439,GO:0019482,GO:0019483,GO:0019752,GO:0019856,GO:0019859,GO:0019860,GO:0032501,GO:0032502,GO:0033396,GO:0034641,GO:0034655,GO:0034656,GO:0042133,GO:0042136,GO:0042737,GO:0043167,GO:0043169,GO:0043226,GO:0043228,GO:0043229,GO:0043232,GO:0043292,GO:0043436,GO:0044237,GO:0044238,GO:0044248,GO:0044249,GO:0044270,GO:0044271,GO:0044281,GO:0044282,GO:0044283,GO:0044422,GO:0044424,GO:0044444,GO:0044449,GO:0044464,GO:0046112,GO:0046113,GO:0046135,GO:0046394,GO:0046483,GO:0046700,GO:0046872,GO:0046914,GO:0048513,GO:0048731,GO:0048732,GO:0048856,GO:0055086,GO:0055120,GO:0061008,GO:0065007,GO:0065008,GO:0071704,GO:0072527,GO:0072528,GO:0072529,GO:0099080,GO:0099081,GO:0099512,GO:1901135,GO:1901136,GO:1901360,GO:1901361,GO:1901362,GO:1901564,GO:1901565,GO:1901566,GO:1901575,GO:1901576,GO:1901657,GO:1901658</t>
  </si>
  <si>
    <t>GO:0000166,GO:0000226,GO:0000278,GO:0000280,GO:0000281,GO:0000902,GO:0000910,GO:0001101,GO:0001501,GO:0001503,GO:0001558,GO:0001666,GO:0001667,GO:0001726,GO:0001738,GO:0001775,GO:0001882,GO:0001883,GO:0001932,GO:0001934,GO:0001952,GO:0001990,GO:0001998,GO:0002009,GO:0002011,GO:0002034,GO:0002082,GO:0002237,GO:0002252,GO:0002263,GO:0002274,GO:0002275,GO:0002283,GO:0002360,GO:0002363,GO:0002366,GO:0002376,GO:0002443,GO:0002444,GO:0002446,GO:0002520,GO:0002521,GO:0002682,GO:0002684,GO:0002685,GO:0002687,GO:0002694,GO:0002696,GO:0003008,GO:0003013,GO:0003014,GO:0003018,GO:0003044,GO:0003056,GO:0003071,GO:0003072,GO:0003073,GO:0003081,GO:0003084,GO:0003100,GO:0003158,GO:0003159,GO:0003674,GO:0003824,GO:0003924,GO:0005488,GO:0005515,GO:0005525,GO:0005575,GO:0005622,GO:0005623,GO:0005634,GO:0005737,GO:0005768,GO:0005783,GO:0005789,GO:0005829,GO:0005886,GO:0005911,GO:0005938,GO:0006139,GO:0006140,GO:0006163,GO:0006355,GO:0006357,GO:0006417,GO:0006464,GO:0006508,GO:0006725,GO:0006753,GO:0006793,GO:0006796,GO:0006807,GO:0006810,GO:0006887,GO:0006928,GO:0006935,GO:0006937,GO:0006940,GO:0006950,GO:0006955,GO:0006996,GO:0007010,GO:0007015,GO:0007017,GO:0007043,GO:0007049,GO:0007051,GO:0007052,GO:0007154,GO:0007155,GO:0007160,GO:0007162,GO:0007163,GO:0007165,GO:0007166,GO:0007167,GO:0007169,GO:0007178,GO:0007179,GO:0007186,GO:0007229,GO:0007264,GO:0007265,GO:0007266,GO:0007267,GO:0007275,GO:0007369,GO:0007399,GO:0007417,GO:0007420,GO:0007423,GO:0007517,GO:0007519,GO:0008015,GO:0008064,GO:0008092,GO:0008150,GO:0008152,GO:0008217,GO:0008361,GO:0009116,GO:0009117,GO:0009119,GO:0009141,GO:0009144,GO:0009150,GO:0009199,GO:0009205,GO:0009259,GO:0009605,GO:0009607,GO:0009611,GO:0009612,GO:0009617,GO:0009628,GO:0009636,GO:0009653,GO:0009719,GO:0009725,GO:0009743,GO:0009746,GO:0009749,GO:0009755,GO:0009790,GO:0009887,GO:0009888,GO:0009889,GO:0009890,GO:0009891,GO:0009892,GO:0009893,GO:0009898,GO:0009966,GO:0009967,GO:0009968,GO:0009987,GO:0010001,GO:0010033,GO:0010243,GO:0010324,GO:0010468,GO:0010556,GO:0010557,GO:0010562,GO:0010563,GO:0010564,GO:0010594,GO:0010596,GO:0010604,GO:0010608,GO:0010628,GO:0010631,GO:0010632,GO:0010633,GO:0010638,GO:0010646,GO:0010647,GO:0010648,GO:0010720,GO:0010721,GO:0010769,GO:0010770,GO:0010771,GO:0010810,GO:0010812,GO:0010941,GO:0010942,GO:0010950,GO:0010952,GO:0010959,GO:0010975,GO:0010976,GO:0010977,GO:0012505,GO:0012506,GO:0014070,GO:0014706,GO:0016020,GO:0016043,GO:0016055,GO:0016192,GO:0016462,GO:0016477,GO:0016525,GO:0016579,GO:0016787,GO:0016817,GO:0016818,GO:0017022,GO:0017076,GO:0017111,GO:0019001,GO:0019003,GO:0019219,GO:0019220,GO:0019222,GO:0019229,GO:0019538,GO:0019637,GO:0019693,GO:0019897,GO:0019898,GO:0019904,GO:0021537,GO:0021543,GO:0021700,GO:0021795,GO:0021861,GO:0021872,GO:0021885,GO:0021987,GO:0022008,GO:0022029,GO:0022402,GO:0022407,GO:0022409,GO:0022603,GO:0022604,GO:0022607,GO:0022610,GO:0023051,GO:0023052,GO:0023056,GO:0023057,GO:0030010,GO:0030027,GO:0030029,GO:0030030,GO:0030036,GO:0030038,GO:0030054,GO:0030097,GO:0030098,GO:0030141,GO:0030154,GO:0030155,GO:0030162,GO:0030182,GO:0030217,GO:0030307,GO:0030334,GO:0030335,GO:0030336,GO:0030424,GO:0030425,GO:0030518,GO:0030521,GO:0030522,GO:0030659,GO:0030667,GO:0030832,GO:0030833,GO:0030838,GO:0030855,GO:0030859,GO:0030900,GO:0031032,GO:0031090,GO:0031098,GO:0031175,GO:0031234,GO:0031252,GO:0031253,GO:0031256,GO:0031323,GO:0031324,GO:0031325,GO:0031326,GO:0031328,GO:0031334,GO:0031344,GO:0031345,GO:0031346,GO:0031399,GO:0031401,GO:0031410,GO:0031532,GO:0031589,GO:0031960,GO:0031982,GO:0031984,GO:0032153,GO:0032154,GO:0032155,GO:0032231,GO:0032233,GO:0032268,GO:0032270,GO:0032271,GO:0032273,GO:0032420,GO:0032421,GO:0032459,GO:0032461,GO:0032462,GO:0032464,GO:0032465,GO:0032467,GO:0032496,GO:0032501,GO:0032502,GO:0032506,GO:0032535,GO:0032549,GO:0032550,GO:0032553,GO:0032555,GO:0032561,GO:0032570,GO:0032587,GO:0032870,GO:0032879,GO:0032886,GO:0032940,GO:0032956,GO:0032970,GO:0032989,GO:0032990,GO:0033043,GO:0033143,GO:0033144,GO:0033554,GO:0033674,GO:0033688,GO:0033993,GO:0034097,GO:0034248,GO:0034250,GO:0034284,GO:0034329,GO:0034330,GO:0034641,GO:0035023,GO:0035088,GO:0035089,GO:0035150,GO:0035239,GO:0035295,GO:0035296,GO:0035385,GO:0035556,GO:0035567,GO:0035639,GO:0035690,GO:0036089,GO:0036094,GO:0036211,GO:0036230,GO:0036293,GO:0036342,GO:0036477,GO:0038027,GO:0040001,GO:0040008,GO:0040011,GO:0040012,GO:0040013,GO:0040017,GO:0042060,GO:0042063,GO:0042074,GO:0042110,GO:0042119,GO:0042127,GO:0042175,GO:0042221,GO:0042278,GO:0042310,GO:0042325,GO:0042326,GO:0042327,GO:0042330,GO:0042476,GO:0042493,GO:0042981,GO:0042995,GO:0043005,GO:0043065,GO:0043066,GO:0043067,GO:0043068,GO:0043069,GO:0043085,GO:0043122,GO:0043123,GO:0043124,GO:0043149,GO:0043167,GO:0043168,GO:0043170,GO:0043197,GO:0043200,GO:0043207,GO:0043226,GO:0043227,GO:0043229,GO:0043231,GO:0043254,GO:0043269,GO:0043280,GO:0043281,GO:0043296,GO:0043297,GO:0043299,GO:0043312,GO:0043366,GO:0043401,GO:0043412,GO:0043467,GO:0043523,GO:0043524,GO:0043525,GO:0043535,GO:0043537,GO:0043542,GO:0043549,GO:0043583,GO:0043931,GO:0044057,GO:0044085,GO:0044087,GO:0044089,GO:0044093,GO:0044237,GO:0044238,GO:0044260,GO:0044267,GO:0044281,GO:0044309,GO:0044319,GO:0044422,GO:0044424,GO:0044425,GO:0044432,GO:0044433,GO:0044444,GO:0044446,GO:0044456,GO:0044459,GO:0044463,GO:0044464,GO:0045055,GO:0045058,GO:0045165,GO:0045197,GO:0045198,GO:0045202,GO:0045216,GO:0045321,GO:0045471,GO:0045580,GO:0045582,GO:0045595,GO:0045596,GO:0045597,GO:0045619,GO:0045621,GO:0045664,GO:0045665,GO:0045666,GO:0045727,GO:0045765,GO:0045777,GO:0045785,GO:0045787,GO:0045792,GO:0045859,GO:0045860,GO:0045862,GO:0045907,GO:0045927,GO:0045933,GO:0045934,GO:0045936,GO:0045937,GO:0045980,GO:0045987,GO:0046039,GO:0046128,GO:0046483,GO:0046578,GO:0046631,GO:0046632,GO:0046634,GO:0046635,GO:0046637,GO:0046638,GO:0046649,GO:0046677,GO:0046903,GO:0048010,GO:0048013,GO:0048015,GO:0048017,GO:0048285,GO:0048468,GO:0048513,GO:0048518,GO:0048519,GO:0048522,GO:0048523,GO:0048534,GO:0048545,GO:0048583,GO:0048584,GO:0048585,GO:0048598,GO:0048666,GO:0048699,GO:0048729,GO:0048731,GO:0048799,GO:0048812,GO:0048839,GO:0048840,GO:0048856,GO:0048858,GO:0048869,GO:0048870,GO:0050767,GO:0050768,GO:0050769,GO:0050770,GO:0050771,GO:0050772,GO:0050773,GO:0050789,GO:0050790,GO:0050793,GO:0050794,GO:0050803,GO:0050807,GO:0050863,GO:0050865,GO:0050867,GO:0050870,GO:0050880,GO:0050886,GO:0050896,GO:0050919,GO:0051017,GO:0051021,GO:0051022,GO:0051049,GO:0051056,GO:0051093,GO:0051094,GO:0051128,GO:0051129,GO:0051130,GO:0051171,GO:0051172,GO:0051173,GO:0051174,GO:0051179,GO:0051225,GO:0051234,GO:0051239,GO:0051240,GO:0051241,GO:0051246,GO:0051247,GO:0051249,GO:0051251,GO:0051252,GO:0051270,GO:0051271,GO:0051272,GO:0051293,GO:0051301,GO:0051302,GO:0051336,GO:0051338,GO:0051345,GO:0051347,GO:0051384,GO:0051492,GO:0051493,GO:0051495,GO:0051496,GO:0051640,GO:0051641,GO:0051649,GO:0051653,GO:0051656,GO:0051674,GO:0051704,GO:0051707,GO:0051716,GO:0051726,GO:0051781,GO:0051893,GO:0051924,GO:0051960,GO:0051961,GO:0051962,GO:0052547,GO:0052548,GO:0055086,GO:0060019,GO:0060071,GO:0060191,GO:0060193,GO:0060255,GO:0060284,GO:0060322,GO:0060348,GO:0060429,GO:0060537,GO:0060538,GO:0060548,GO:0060562,GO:0061024,GO:0061061,GO:0061154,GO:0061162,GO:0061245,GO:0061339,GO:0061383,GO:0061572,GO:0061640,GO:0062012,GO:0062014,GO:0065007,GO:0065008,GO:0065009,GO:0070482,GO:0070507,GO:0070646,GO:0070647,GO:0070820,GO:0070848,GO:0070887,GO:0070925,GO:0070977,GO:0071216,GO:0071219,GO:0071222,GO:0071310,GO:0071345,GO:0071363,GO:0071383,GO:0071393,GO:0071396,GO:0071407,GO:0071495,GO:0071559,GO:0071560,GO:0071695,GO:0071704,GO:0071801,GO:0071803,GO:0071840,GO:0071900,GO:0071902,GO:0071944,GO:0072521,GO:0080090,GO:0090049,GO:0090051,GO:0090066,GO:0090068,GO:0090109,GO:0090130,GO:0090132,GO:0090162,GO:0090175,GO:0090257,GO:0090307,GO:0090324,GO:0090504,GO:0090505,GO:0097159,GO:0097305,GO:0097367,GO:0097435,GO:0097447,GO:0097458,GO:0097498,GO:0097708,GO:0097746,GO:0097756,GO:0098552,GO:0098562,GO:0098588,GO:0098590,GO:0098794,GO:0098805,GO:0098827,GO:0098858,GO:0098862,GO:0099024,GO:0099503,GO:0099568,GO:0101002,GO:0101003,GO:0110020,GO:0110053,GO:0120025,GO:0120035,GO:0120036,GO:0120038,GO:0120039,GO:0140014,GO:0198738,GO:1900542,GO:1900543,GO:1901068,GO:1901135,GO:1901214,GO:1901215,GO:1901216,GO:1901222,GO:1901224,GO:1901265,GO:1901342,GO:1901343,GO:1901360,GO:1901363,GO:1901564,GO:1901654,GO:1901655,GO:1901657,GO:1901698,GO:1901700,GO:1901701,GO:1901888,GO:1902105,GO:1902107,GO:1902115,GO:1902117,GO:1902410,GO:1902531,GO:1902532,GO:1902533,GO:1902766,GO:1902850,GO:1902903,GO:1902905,GO:1903037,GO:1903039,GO:1903047,GO:1903391,GO:1903426,GO:1903427,GO:1903506,GO:1903522,GO:1903524,GO:1903578,GO:1903579,GO:1903670,GO:1903671,GO:1903673,GO:1903706,GO:1903708,GO:1904695,GO:1905114,GO:1905244,GO:1905330,GO:1990868,GO:1990869,GO:2000026,GO:2000027,GO:2000112,GO:2000116,GO:2000145,GO:2000146,GO:2000147,GO:2000177,GO:2000181,GO:2000377,GO:2000378,GO:2000401,GO:2000403,GO:2000404,GO:2000406,GO:2001056,GO:2001141</t>
  </si>
  <si>
    <t>GO:0000003,GO:0000122,GO:0000785,GO:0000976,GO:0000977,GO:0000978,GO:0000981,GO:0000982,GO:0000987,GO:0001012,GO:0001067,GO:0001077,GO:0001228,GO:0001654,GO:0001655,GO:0001667,GO:0001708,GO:0001775,GO:0001816,GO:0001822,GO:0001944,GO:0001945,GO:0001946,GO:0002064,GO:0002065,GO:0002066,GO:0002088,GO:0002376,GO:0002520,GO:0002521,GO:0002682,GO:0002683,GO:0002761,GO:0002762,GO:0003002,GO:0003006,GO:0003674,GO:0003676,GO:0003677,GO:0003690,GO:0003700,GO:0005488,GO:0005515,GO:0005575,GO:0005622,GO:0005623,GO:0005634,GO:0005654,GO:0005667,GO:0005694,GO:0005737,GO:0006139,GO:0006351,GO:0006355,GO:0006357,GO:0006366,GO:0006725,GO:0006807,GO:0006928,GO:0007275,GO:0007276,GO:0007281,GO:0007292,GO:0007297,GO:0007298,GO:0007379,GO:0007389,GO:0007399,GO:0007417,GO:0007420,GO:0007423,GO:0007548,GO:0007585,GO:0008134,GO:0008150,GO:0008152,GO:0008406,GO:0009058,GO:0009059,GO:0009653,GO:0009790,GO:0009880,GO:0009887,GO:0009888,GO:0009889,GO:0009890,GO:0009891,GO:0009892,GO:0009893,GO:0009952,GO:0009987,GO:0010467,GO:0010468,GO:0010556,GO:0010557,GO:0010558,GO:0010604,GO:0010605,GO:0010628,GO:0010629,GO:0010631,GO:0016070,GO:0016477,GO:0018130,GO:0019219,GO:0019222,GO:0019438,GO:0019953,GO:0021545,GO:0021546,GO:0021560,GO:0021571,GO:0021572,GO:0021593,GO:0021594,GO:0021598,GO:0021599,GO:0021602,GO:0021603,GO:0021654,GO:0021675,GO:0022412,GO:0022414,GO:0030097,GO:0030098,GO:0030154,GO:0030217,GO:0030707,GO:0030855,GO:0030902,GO:0031323,GO:0031324,GO:0031325,GO:0031326,GO:0031327,GO:0031328,GO:0031974,GO:0031981,GO:0032330,GO:0032501,GO:0032502,GO:0032504,GO:0032774,GO:0032835,GO:0032991,GO:0033077,GO:0034641,GO:0034645,GO:0034654,GO:0035262,GO:0035282,GO:0035283,GO:0035284,GO:0036303,GO:0039019,GO:0039021,GO:0040011,GO:0042110,GO:0042471,GO:0042472,GO:0042802,GO:0042803,GO:0043010,GO:0043170,GO:0043226,GO:0043227,GO:0043228,GO:0043229,GO:0043231,GO:0043232,GO:0043233,GO:0043565,GO:0043583,GO:0044212,GO:0044237,GO:0044238,GO:0044249,GO:0044260,GO:0044271,GO:0044422,GO:0044424,GO:0044427,GO:0044428,GO:0044446,GO:0044464,GO:0044703,GO:0045137,GO:0045165,GO:0045321,GO:0045595,GO:0045596,GO:0045637,GO:0045638,GO:0045646,GO:0045647,GO:0045670,GO:0045671,GO:0045892,GO:0045893,GO:0045934,GO:0045935,GO:0045944,GO:0046483,GO:0046649,GO:0046982,GO:0046983,GO:0048468,GO:0048477,GO:0048513,GO:0048518,GO:0048519,GO:0048522,GO:0048523,GO:0048534,GO:0048538,GO:0048562,GO:0048568,GO:0048598,GO:0048608,GO:0048609,GO:0048646,GO:0048731,GO:0048732,GO:0048793,GO:0048839,GO:0048856,GO:0048859,GO:0048869,GO:0048870,GO:0050789,GO:0050793,GO:0050794,GO:0051093,GO:0051171,GO:0051172,GO:0051173,GO:0051179,GO:0051239,GO:0051241,GO:0051252,GO:0051253,GO:0051254,GO:0051674,GO:0051704,GO:0060255,GO:0060322,GO:0060429,GO:0061035,GO:0061458,GO:0065007,GO:0065008,GO:0070013,GO:0070306,GO:0071704,GO:0072001,GO:0072006,GO:0072358,GO:0072359,GO:0080090,GO:0090130,GO:0090132,GO:0090304,GO:0090596,GO:0097159,GO:0097659,GO:0140110,GO:1901360,GO:1901362,GO:1901363,GO:1901576,GO:1902105,GO:1902106,GO:1902679,GO:1902680,GO:1903506,GO:1903507,GO:1903508,GO:1903706,GO:1903707,GO:1990837,GO:2000026,GO:2000112,GO:2000113,GO:2001141</t>
  </si>
  <si>
    <t>GO:0001932,GO:0001934,GO:0003674,GO:0005085,GO:0005088,GO:0005488,GO:0005515,GO:0005575,GO:0005622,GO:0005623,GO:0007275,GO:0007399,GO:0007417,GO:0007420,GO:0008150,GO:0009653,GO:0009893,GO:0009987,GO:0010562,GO:0010604,GO:0010769,GO:0010975,GO:0017016,GO:0019220,GO:0019222,GO:0019899,GO:0021533,GO:0021549,GO:0021575,GO:0021587,GO:0021681,GO:0021683,GO:0021684,GO:0021695,GO:0021696,GO:0021697,GO:0021707,GO:0021953,GO:0022008,GO:0022037,GO:0022603,GO:0022604,GO:0030154,GO:0030182,GO:0030425,GO:0030902,GO:0031267,GO:0031323,GO:0031325,GO:0031344,GO:0031399,GO:0031401,GO:0032045,GO:0032268,GO:0032270,GO:0032501,GO:0032502,GO:0032991,GO:0036477,GO:0042325,GO:0042327,GO:0042995,GO:0043005,GO:0043025,GO:0044297,GO:0044424,GO:0044463,GO:0044464,GO:0045595,GO:0045664,GO:0045937,GO:0048513,GO:0048518,GO:0048522,GO:0048646,GO:0048699,GO:0048731,GO:0048814,GO:0048856,GO:0048869,GO:0050767,GO:0050773,GO:0050789,GO:0050793,GO:0050794,GO:0051020,GO:0051128,GO:0051171,GO:0051173,GO:0051174,GO:0051239,GO:0051246,GO:0051247,GO:0051960,GO:0060255,GO:0060284,GO:0060322,GO:0065007,GO:0065009,GO:0080090,GO:0097447,GO:0097458,GO:0098772,GO:0120025,GO:0120035,GO:0120038,GO:2000026</t>
  </si>
  <si>
    <t>GO:0000139,GO:0000166,GO:0003674,GO:0003824,GO:0005215,GO:0005319,GO:0005342,GO:0005488,GO:0005524,GO:0005575,GO:0005622,GO:0005623,GO:0005737,GO:0005794,GO:0005886,GO:0005887,GO:0005911,GO:0006082,GO:0006629,GO:0006694,GO:0006699,GO:0006810,GO:0006811,GO:0006812,GO:0006814,GO:0006820,GO:0006855,GO:0006869,GO:0006950,GO:0006979,GO:0006996,GO:0008028,GO:0008144,GO:0008150,GO:0008152,GO:0008202,GO:0008206,GO:0008324,GO:0008509,GO:0008514,GO:0008554,GO:0008610,GO:0009058,GO:0009987,GO:0010876,GO:0012505,GO:0015075,GO:0015077,GO:0015081,GO:0015125,GO:0015126,GO:0015238,GO:0015318,GO:0015399,GO:0015405,GO:0015432,GO:0015662,GO:0015672,GO:0015711,GO:0015718,GO:0015721,GO:0015722,GO:0015849,GO:0015850,GO:0015893,GO:0016020,GO:0016021,GO:0016043,GO:0016053,GO:0016324,GO:0016462,GO:0016787,GO:0016817,GO:0016818,GO:0016887,GO:0017076,GO:0017111,GO:0019752,GO:0019829,GO:0019915,GO:0022804,GO:0022853,GO:0022857,GO:0022890,GO:0030001,GO:0030054,GO:0030554,GO:0031090,GO:0031224,GO:0031226,GO:0031410,GO:0031982,GO:0031984,GO:0032553,GO:0032555,GO:0032559,GO:0032787,GO:0033036,GO:0033283,GO:0033284,GO:0033285,GO:0034040,GO:0034220,GO:0035639,GO:0035725,GO:0036094,GO:0042221,GO:0042493,GO:0042623,GO:0042625,GO:0042626,GO:0043167,GO:0043168,GO:0043226,GO:0043227,GO:0043229,GO:0043231,GO:0043436,GO:0043492,GO:0043627,GO:0044237,GO:0044238,GO:0044249,GO:0044281,GO:0044283,GO:0044422,GO:0044424,GO:0044425,GO:0044431,GO:0044433,GO:0044444,GO:0044446,GO:0044459,GO:0044464,GO:0044840,GO:0044841,GO:0045177,GO:0046394,GO:0046581,GO:0046618,GO:0046717,GO:0046873,GO:0046903,GO:0046942,GO:0046943,GO:0050896,GO:0051179,GO:0051234,GO:0051235,GO:0055085,GO:0065007,GO:0065008,GO:0071702,GO:0071704,GO:0071840,GO:0071944,GO:0072330,GO:0090662,GO:0097159,GO:0097367,GO:0097708,GO:0098588,GO:0098590,GO:0098655,GO:0098656,GO:0098660,GO:0098662,GO:0098791,GO:0099131,GO:0099132,GO:1901265,GO:1901360,GO:1901362,GO:1901363,GO:1901576,GO:1901615,GO:1901617,GO:1901618,GO:1903825,GO:1905039</t>
  </si>
  <si>
    <t>GO:0000003,GO:0000082,GO:0000165,GO:0000278,GO:0000902,GO:0000904,GO:0001505,GO:0001558,GO:0001666,GO:0001775,GO:0001932,GO:0001934,GO:0002026,GO:0002027,GO:0002028,GO:0002029,GO:0002030,GO:0002376,GO:0002790,GO:0002931,GO:0003008,GO:0003012,GO:0003013,GO:0003015,GO:0003254,GO:0003298,GO:0003300,GO:0003301,GO:0003674,GO:0003824,GO:0004672,GO:0004674,GO:0004683,GO:0004721,GO:0004722,GO:0004723,GO:0005085,GO:0005088,GO:0005102,GO:0005488,GO:0005515,GO:0005516,GO:0005575,GO:0005622,GO:0005623,GO:0005634,GO:0005654,GO:0005737,GO:0005739,GO:0005783,GO:0005819,GO:0005829,GO:0005856,GO:0005886,GO:0005911,GO:0005954,GO:0006355,GO:0006357,GO:0006464,GO:0006468,GO:0006470,GO:0006793,GO:0006796,GO:0006807,GO:0006810,GO:0006811,GO:0006812,GO:0006816,GO:0006839,GO:0006873,GO:0006874,GO:0006875,GO:0006915,GO:0006928,GO:0006936,GO:0006937,GO:0006941,GO:0006942,GO:0006950,GO:0006952,GO:0006955,GO:0006979,GO:0006996,GO:0007005,GO:0007006,GO:0007049,GO:0007154,GO:0007165,GO:0007166,GO:0007186,GO:0007215,GO:0007223,GO:0007267,GO:0007268,GO:0007275,GO:0007338,GO:0007343,GO:0007346,GO:0007399,GO:0007507,GO:0007528,GO:0007610,GO:0007611,GO:0007613,GO:0007616,GO:0007617,GO:0007618,GO:0007619,GO:0008015,GO:0008016,GO:0008049,GO:0008092,GO:0008104,GO:0008150,GO:0008152,GO:0008200,GO:0008219,GO:0008277,GO:0008284,GO:0008582,GO:0008637,GO:0009306,GO:0009566,GO:0009628,GO:0009653,GO:0009719,GO:0009725,GO:0009888,GO:0009889,GO:0009893,GO:0009914,GO:0009931,GO:0009966,GO:0009967,GO:0009968,GO:0009987,GO:0010033,GO:0010035,GO:0010038,GO:0010243,GO:0010389,GO:0010468,GO:0010517,GO:0010518,GO:0010522,GO:0010556,GO:0010562,GO:0010564,GO:0010604,GO:0010611,GO:0010613,GO:0010628,GO:0010638,GO:0010646,GO:0010647,GO:0010648,GO:0010649,GO:0010660,GO:0010661,GO:0010662,GO:0010663,GO:0010665,GO:0010666,GO:0010720,GO:0010766,GO:0010769,GO:0010770,GO:0010817,GO:0010857,GO:0010880,GO:0010881,GO:0010882,GO:0010941,GO:0010942,GO:0010959,GO:0010975,GO:0010976,GO:0012501,GO:0012505,GO:0012506,GO:0014069,GO:0014704,GO:0014706,GO:0014733,GO:0014742,GO:0014743,GO:0014896,GO:0014897,GO:0014910,GO:0014911,GO:0015031,GO:0015630,GO:0015833,GO:0016020,GO:0016043,GO:0016049,GO:0016055,GO:0016247,GO:0016248,GO:0016301,GO:0016310,GO:0016311,GO:0016358,GO:0016528,GO:0016529,GO:0016740,GO:0016772,GO:0016773,GO:0016787,GO:0016788,GO:0016791,GO:0017016,GO:0017080,GO:0018105,GO:0018107,GO:0018193,GO:0018209,GO:0018210,GO:0019098,GO:0019219,GO:0019220,GO:0019221,GO:0019222,GO:0019538,GO:0019722,GO:0019725,GO:0019871,GO:0019899,GO:0019900,GO:0019901,GO:0019932,GO:0019953,GO:0022008,GO:0022401,GO:0022402,GO:0022414,GO:0022603,GO:0022604,GO:0022607,GO:0022898,GO:0023014,GO:0023051,GO:0023052,GO:0023056,GO:0023057,GO:0023058,GO:0023061,GO:0030001,GO:0030003,GO:0030004,GO:0030007,GO:0030029,GO:0030030,GO:0030048,GO:0030054,GO:0030072,GO:0030073,GO:0030139,GO:0030154,GO:0030182,GO:0030315,GO:0030334,GO:0030335,GO:0030424,GO:0030425,GO:0030659,GO:0030666,GO:0031056,GO:0031063,GO:0031090,GO:0031175,GO:0031267,GO:0031323,GO:0031325,GO:0031326,GO:0031344,GO:0031346,GO:0031399,GO:0031401,GO:0031410,GO:0031432,GO:0031503,GO:0031594,GO:0031974,GO:0031981,GO:0031982,GO:0032222,GO:0032268,GO:0032270,GO:0032279,GO:0032409,GO:0032410,GO:0032412,GO:0032413,GO:0032429,GO:0032430,GO:0032469,GO:0032501,GO:0032502,GO:0032504,GO:0032794,GO:0032838,GO:0032839,GO:0032870,GO:0032879,GO:0032880,GO:0032940,GO:0032970,GO:0032989,GO:0032990,GO:0032991,GO:0033036,GO:0033043,GO:0033044,GO:0033267,GO:0034097,GO:0034341,GO:0034762,GO:0034763,GO:0034765,GO:0034766,GO:0035020,GO:0035022,GO:0035051,GO:0035235,GO:0035254,GO:0035265,GO:0035556,GO:0035567,GO:0035637,GO:0036211,GO:0036293,GO:0036477,GO:0038166,GO:0040007,GO:0040008,GO:0040012,GO:0040017,GO:0040020,GO:0042127,GO:0042221,GO:0042325,GO:0042327,GO:0042383,GO:0042391,GO:0042578,GO:0042592,GO:0042692,GO:0042802,GO:0042803,GO:0042886,GO:0042981,GO:0042995,GO:0043005,GO:0043025,GO:0043065,GO:0043067,GO:0043068,GO:0043085,GO:0043170,GO:0043194,GO:0043204,GO:0043226,GO:0043227,GO:0043228,GO:0043229,GO:0043231,GO:0043232,GO:0043233,GO:0043269,GO:0043270,GO:0043271,GO:0043274,GO:0043408,GO:0043410,GO:0043412,GO:0043434,GO:0043502,GO:0043900,GO:0043933,GO:0044057,GO:0044085,GO:0044087,GO:0044092,GO:0044093,GO:0044237,GO:0044238,GO:0044260,GO:0044267,GO:0044291,GO:0044297,GO:0044304,GO:0044325,GO:0044422,GO:0044424,GO:0044425,GO:0044428,GO:0044430,GO:0044433,GO:0044444,GO:0044445,GO:0044446,GO:0044456,GO:0044459,GO:0044463,GO:0044464,GO:0044703,GO:0044770,GO:0044772,GO:0044843,GO:0045087,GO:0045184,GO:0045202,GO:0045211,GO:0045595,GO:0045597,GO:0045664,GO:0045666,GO:0045744,GO:0045787,GO:0045836,GO:0045937,GO:0046578,GO:0046579,GO:0046686,GO:0046777,GO:0046879,GO:0046902,GO:0046903,GO:0046928,GO:0046983,GO:0048167,GO:0048168,GO:0048169,GO:0048468,GO:0048471,GO:0048513,GO:0048518,GO:0048519,GO:0048522,GO:0048523,GO:0048583,GO:0048584,GO:0048585,GO:0048588,GO:0048589,GO:0048609,GO:0048638,GO:0048660,GO:0048661,GO:0048666,GO:0048667,GO:0048699,GO:0048731,GO:0048738,GO:0048786,GO:0048812,GO:0048813,GO:0048814,GO:0048856,GO:0048858,GO:0048869,GO:0048878,GO:0050767,GO:0050769,GO:0050773,GO:0050775,GO:0050789,GO:0050790,GO:0050793,GO:0050794,GO:0050801,GO:0050803,GO:0050804,GO:0050806,GO:0050807,GO:0050808,GO:0050848,GO:0050877,GO:0050885,GO:0050890,GO:0050896,GO:0050905,GO:0050998,GO:0051020,GO:0051046,GO:0051049,GO:0051050,GO:0051051,GO:0051056,GO:0051057,GO:0051090,GO:0051091,GO:0051092,GO:0051094,GO:0051128,GO:0051130,GO:0051146,GO:0051171,GO:0051173,GO:0051174,GO:0051179,GO:0051233,GO:0051234,GO:0051239,GO:0051240,GO:0051246,GO:0051247,GO:0051252,GO:0051259,GO:0051270,GO:0051272,GO:0051279,GO:0051282,GO:0051336,GO:0051345,GO:0051445,GO:0051446,GO:0051489,GO:0051588,GO:0051592,GO:0051641,GO:0051668,GO:0051704,GO:0051716,GO:0051726,GO:0051783,GO:0051785,GO:0051823,GO:0051924,GO:0051928,GO:0051960,GO:0051962,GO:0051963,GO:0055001,GO:0055002,GO:0055006,GO:0055007,GO:0055013,GO:0055017,GO:0055065,GO:0055067,GO:0055074,GO:0055075,GO:0055080,GO:0055082,GO:0055117,GO:0055119,GO:0060047,GO:0060048,GO:0060179,GO:0060191,GO:0060193,GO:0060255,GO:0060278,GO:0060284,GO:0060291,GO:0060314,GO:0060333,GO:0060341,GO:0060419,GO:0060466,GO:0060491,GO:0060537,GO:0060998,GO:0060999,GO:0061001,GO:0061003,GO:0061024,GO:0061049,GO:0061061,GO:0061337,GO:0065003,GO:0065007,GO:0065008,GO:0065009,GO:0070013,GO:0070252,GO:0070372,GO:0070374,GO:0070482,GO:0070838,GO:0070887,GO:0071241,GO:0071248,GO:0071277,GO:0071310,GO:0071345,GO:0071346,GO:0071375,GO:0071417,GO:0071495,GO:0071702,GO:0071704,GO:0071705,GO:0071840,GO:0071944,GO:0072359,GO:0072375,GO:0072503,GO:0072507,GO:0072511,GO:0080090,GO:0086003,GO:0086004,GO:0086091,GO:0090068,GO:0090075,GO:0090128,GO:0090129,GO:0090257,GO:0090311,GO:0090427,GO:0090559,GO:0097060,GO:0097120,GO:0097447,GO:0097458,GO:0097708,GO:0098588,GO:0098590,GO:0098771,GO:0098772,GO:0098793,GO:0098794,GO:0098805,GO:0098900,GO:0098901,GO:0098909,GO:0098916,GO:0098953,GO:0098970,GO:0098984,GO:0098989,GO:0099004,GO:0099072,GO:0099106,GO:0099175,GO:0099177,GO:0099522,GO:0099524,GO:0099536,GO:0099537,GO:0099568,GO:0099572,GO:0099573,GO:0099628,GO:0120025,GO:0120032,GO:0120035,GO:0120036,GO:0120038,GO:0120039,GO:0120111,GO:0140096,GO:0198738,GO:1900006,GO:1901019,GO:1901077,GO:1901564,GO:1901652,GO:1901653,GO:1901698,GO:1901699,GO:1901700,GO:1901701,GO:1901725,GO:1901844,GO:1901897,GO:1901987,GO:1901990,GO:1902108,GO:1902275,GO:1902305,GO:1902306,GO:1902514,GO:1902531,GO:1902533,GO:1902749,GO:1903047,GO:1903076,GO:1903115,GO:1903169,GO:1903506,GO:1903522,GO:1903530,GO:1903779,GO:1903827,GO:1904062,GO:1904063,GO:1904115,GO:1904375,GO:1904385,GO:1904396,GO:1905114,GO:1905475,GO:1990776,GO:2000026,GO:2000112,GO:2000145,GO:2000147,GO:2000241,GO:2000243,GO:2000649,GO:2000650,GO:2001141,GO:2001233,GO:2001235,GO:2001257</t>
  </si>
  <si>
    <t>GO:0000902,GO:0000904,GO:0001654,GO:0001764,GO:0002009,GO:0002164,GO:0002165,GO:0003674,GO:0003676,GO:0003677,GO:0003723,GO:0003729,GO:0003824,GO:0004301,GO:0004620,GO:0004622,GO:0004623,GO:0004842,GO:0005488,GO:0005575,GO:0005622,GO:0005623,GO:0005737,GO:0005777,GO:0005783,GO:0005789,GO:0005811,GO:0005829,GO:0006066,GO:0006417,GO:0006464,GO:0006576,GO:0006629,GO:0006644,GO:0006650,GO:0006654,GO:0006793,GO:0006796,GO:0006807,GO:0006928,GO:0007275,GO:0007399,GO:0007423,GO:0007444,GO:0007472,GO:0007476,GO:0007552,GO:0007560,GO:0008150,GO:0008152,GO:0008270,GO:0008407,GO:0008610,GO:0008654,GO:0009058,GO:0009308,GO:0009653,GO:0009791,GO:0009886,GO:0009887,GO:0009888,GO:0009889,GO:0009890,GO:0009892,GO:0009893,GO:0009894,GO:0009896,GO:0009987,GO:0010468,GO:0010556,GO:0010558,GO:0010605,GO:0010608,GO:0010629,GO:0010883,GO:0010888,GO:0010889,GO:0010891,GO:0010896,GO:0010898,GO:0012505,GO:0016020,GO:0016043,GO:0016298,GO:0016477,GO:0016567,GO:0016740,GO:0016746,GO:0016747,GO:0016787,GO:0016788,GO:0016801,GO:0016803,GO:0017148,GO:0019216,GO:0019222,GO:0019538,GO:0019637,GO:0019787,GO:0022008,GO:0022416,GO:0030154,GO:0030182,GO:0031323,GO:0031324,GO:0031325,GO:0031326,GO:0031327,GO:0031329,GO:0031331,GO:0031984,GO:0032268,GO:0032269,GO:0032446,GO:0032501,GO:0032502,GO:0032879,GO:0032989,GO:0034248,GO:0034249,GO:0034308,GO:0034641,GO:0035107,GO:0035114,GO:0035120,GO:0035220,GO:0035239,GO:0035295,GO:0036152,GO:0036211,GO:0040011,GO:0042171,GO:0042175,GO:0042439,GO:0042579,GO:0042592,GO:0043021,GO:0043085,GO:0043167,GO:0043169,GO:0043170,GO:0043226,GO:0043227,GO:0043228,GO:0043229,GO:0043231,GO:0043232,GO:0043412,GO:0044093,GO:0044106,GO:0044237,GO:0044238,GO:0044249,GO:0044255,GO:0044260,GO:0044267,GO:0044281,GO:0044422,GO:0044424,GO:0044425,GO:0044432,GO:0044444,GO:0044446,GO:0044464,GO:0044877,GO:0045017,GO:0045595,GO:0045834,GO:0046470,GO:0046473,GO:0046474,GO:0046486,GO:0046872,GO:0046914,GO:0048468,GO:0048513,GO:0048518,GO:0048519,GO:0048522,GO:0048523,GO:0048563,GO:0048569,GO:0048666,GO:0048667,GO:0048699,GO:0048707,GO:0048729,GO:0048731,GO:0048736,GO:0048737,GO:0048749,GO:0048856,GO:0048869,GO:0048870,GO:0048878,GO:0050767,GO:0050789,GO:0050790,GO:0050793,GO:0050794,GO:0050801,GO:0050994,GO:0050996,GO:0051004,GO:0051006,GO:0051171,GO:0051172,GO:0051179,GO:0051239,GO:0051246,GO:0051248,GO:0051336,GO:0051345,GO:0051674,GO:0051960,GO:0052689,GO:0055081,GO:0055088,GO:0055089,GO:0055090,GO:0055091,GO:0060191,GO:0060193,GO:0060255,GO:0060284,GO:0060429,GO:0060562,GO:0061365,GO:0065007,GO:0065008,GO:0065009,GO:0070291,GO:0070328,GO:0070647,GO:0071617,GO:0071704,GO:0071840,GO:0080090,GO:0090207,GO:0090208,GO:0090407,GO:0097159,GO:0097164,GO:0098827,GO:0140096,GO:1901363,GO:1901564,GO:1901576,GO:1901615,GO:1905538,GO:1905952,GO:1905953,GO:1990715,GO:2000026,GO:2000112,GO:2000113,GO:2000765,GO:2000766</t>
  </si>
  <si>
    <t>GO:0001667,GO:0001755,GO:0002102,GO:0003674,GO:0005488,GO:0005543,GO:0005575,GO:0005622,GO:0005623,GO:0005737,GO:0005856,GO:0006801,GO:0006928,GO:0006996,GO:0007275,GO:0008047,GO:0008150,GO:0008152,GO:0008289,GO:0009888,GO:0009987,GO:0014031,GO:0014032,GO:0014033,GO:0015629,GO:0016043,GO:0016176,GO:0016477,GO:0022607,GO:0030154,GO:0030234,GO:0032501,GO:0032502,GO:0032991,GO:0035091,GO:0040011,GO:0043085,GO:0043167,GO:0043168,GO:0043226,GO:0043228,GO:0043229,GO:0043232,GO:0043933,GO:0044085,GO:0044093,GO:0044237,GO:0044422,GO:0044424,GO:0044430,GO:0044446,GO:0044464,GO:0048468,GO:0048513,GO:0048731,GO:0048762,GO:0048856,GO:0048863,GO:0048864,GO:0048869,GO:0048870,GO:0050790,GO:0051179,GO:0051674,GO:0055114,GO:0060485,GO:0065003,GO:0065007,GO:0065009,GO:0070925,GO:0071800,GO:0071840,GO:0072593,GO:0098772</t>
  </si>
  <si>
    <t>GO:0003674,GO:0005488,GO:0005515,GO:0008150,GO:0009892,GO:0010563,GO:0010921,GO:0010923,GO:0019220,GO:0019222,GO:0019899,GO:0019902,GO:0031323,GO:0031324,GO:0035303,GO:0035305,GO:0043086,GO:0044092,GO:0045936,GO:0048519,GO:0048523,GO:0050789,GO:0050790,GO:0050794,GO:0051174,GO:0051336,GO:0051346,GO:0065007,GO:0065009</t>
  </si>
  <si>
    <t>GO:0000003,GO:0000122,GO:0000902,GO:0000904,GO:0000976,GO:0000977,GO:0000981,GO:0001012,GO:0001067,GO:0003006,GO:0003674,GO:0003676,GO:0003677,GO:0003690,GO:0003700,GO:0005488,GO:0005515,GO:0005575,GO:0005622,GO:0005623,GO:0005634,GO:0006355,GO:0006357,GO:0006928,GO:0006935,GO:0007275,GO:0007399,GO:0007409,GO:0007411,GO:0007548,GO:0008104,GO:0008150,GO:0009605,GO:0009653,GO:0009790,GO:0009792,GO:0009889,GO:0009890,GO:0009892,GO:0009987,GO:0010468,GO:0010556,GO:0010558,GO:0010605,GO:0010629,GO:0016043,GO:0016049,GO:0019219,GO:0019222,GO:0022008,GO:0022414,GO:0030030,GO:0030154,GO:0030182,GO:0031175,GO:0031323,GO:0031324,GO:0031326,GO:0031327,GO:0032501,GO:0032502,GO:0032989,GO:0032990,GO:0033036,GO:0040007,GO:0040011,GO:0042221,GO:0042330,GO:0043226,GO:0043227,GO:0043229,GO:0043231,GO:0043565,GO:0044212,GO:0044424,GO:0044464,GO:0045138,GO:0045185,GO:0045892,GO:0045934,GO:0046661,GO:0048468,GO:0048519,GO:0048523,GO:0048588,GO:0048589,GO:0048666,GO:0048667,GO:0048675,GO:0048699,GO:0048731,GO:0048812,GO:0048846,GO:0048856,GO:0048858,GO:0048869,GO:0050789,GO:0050794,GO:0050896,GO:0051171,GO:0051172,GO:0051179,GO:0051235,GO:0051252,GO:0051253,GO:0060255,GO:0060560,GO:0061564,GO:0065007,GO:0065008,GO:0071840,GO:0080090,GO:0090598,GO:0097159,GO:0097485,GO:0120036,GO:0120039,GO:0140110,GO:1901363,GO:1902284,GO:1902679,GO:1903506,GO:1903507,GO:1990138,GO:1990837,GO:2000112,GO:2000113,GO:2001141</t>
  </si>
  <si>
    <t>GO:0003674,GO:0003824,GO:0005575,GO:0005576,GO:0006508,GO:0006725,GO:0006766,GO:0006767,GO:0006807,GO:0006873,GO:0006874,GO:0006875,GO:0008150,GO:0008152,GO:0008233,GO:0009235,GO:0009987,GO:0016787,GO:0017144,GO:0019538,GO:0019725,GO:0030003,GO:0033013,GO:0042592,GO:0043170,GO:0044237,GO:0044238,GO:0044281,GO:0046483,GO:0048878,GO:0050801,GO:0051186,GO:0055065,GO:0055074,GO:0055080,GO:0055082,GO:0065007,GO:0065008,GO:0071704,GO:0072503,GO:0072507,GO:0098771,GO:0140096,GO:1901360,GO:1901564</t>
  </si>
  <si>
    <t>K13868,K13781</t>
  </si>
  <si>
    <t>K09413,K09401</t>
  </si>
  <si>
    <t>K14453,K14704</t>
  </si>
  <si>
    <t>K00512,K17813,K07409</t>
  </si>
  <si>
    <t>K08630,K08632,K08621</t>
  </si>
  <si>
    <t>K06255,K06763</t>
  </si>
  <si>
    <t>K04218,K04135</t>
  </si>
  <si>
    <t>K08614,K06540</t>
  </si>
  <si>
    <t>K21392,K08638</t>
  </si>
  <si>
    <t>K09072,K09070</t>
  </si>
  <si>
    <t>K20051,K03068</t>
  </si>
  <si>
    <t>K14616,K19018</t>
  </si>
  <si>
    <t>K13912,K09608</t>
  </si>
  <si>
    <t>K06238,K07998</t>
  </si>
  <si>
    <t>K17341,K06837</t>
  </si>
  <si>
    <t>K02599,K19636,K19601</t>
  </si>
  <si>
    <t>K06236,K19720,K19719</t>
  </si>
  <si>
    <t>K19721,K19719</t>
  </si>
  <si>
    <t>K04550,K20049,K06568</t>
  </si>
  <si>
    <t>K07763,K07998</t>
  </si>
  <si>
    <t>K06252,K19719</t>
  </si>
  <si>
    <t>K00277,K14678,K13912</t>
  </si>
  <si>
    <t>K05111,K05105</t>
  </si>
  <si>
    <t>K05120,K05121,K18274</t>
  </si>
  <si>
    <t>K05093,K05094,K04362</t>
  </si>
  <si>
    <t>K20053,K20051</t>
  </si>
  <si>
    <t>K09614,K22017,K06568</t>
  </si>
  <si>
    <t>K07763,K07997,K07996</t>
  </si>
  <si>
    <t>K17495,K13912</t>
  </si>
  <si>
    <t>K03174,K09849</t>
  </si>
  <si>
    <t>K02235,K02432,K03068</t>
  </si>
  <si>
    <t>K14616,K09608</t>
  </si>
  <si>
    <t>K05093,K05094,K05121</t>
  </si>
  <si>
    <t>K09062,K09058</t>
  </si>
  <si>
    <t>K07763,K07997,K01403</t>
  </si>
  <si>
    <t>K03173,K03174,K09849</t>
  </si>
  <si>
    <t>K05094,K05095</t>
  </si>
  <si>
    <t>K08894,K08895,K05120</t>
  </si>
  <si>
    <t>K06494,K01320</t>
  </si>
  <si>
    <t>K04502,K09030,K09031,K04450</t>
  </si>
  <si>
    <t>K04513,K07857,K07860</t>
  </si>
  <si>
    <t>solute carrier family 22, organic cation transporter protein-like</t>
  </si>
  <si>
    <t>MAM and LDL-receptor class A domain-containing protein 1-like; metalloendopeptidase activity</t>
  </si>
  <si>
    <t>carbonic anhydrase 2-like isoform X3; positive regulation of dipeptide transport</t>
  </si>
  <si>
    <t>kelch-like protein diablo; BTB And C-terminal Kelch</t>
  </si>
  <si>
    <t>ib(0,+)-type amino acid transporter 1-like; L-alpha-amino acid transmembrane transport</t>
  </si>
  <si>
    <t>Thrombospondin-1; metalloendopeptidase activity</t>
  </si>
  <si>
    <t>Forkhead box 2b1 protein; sequence-specific DNA binding</t>
  </si>
  <si>
    <t>protein very KIND-like; cerebellar granular layer formation</t>
  </si>
  <si>
    <t>solute carrier family 26 member 6-like; secondary active sulfate transmembrane transporter activity</t>
  </si>
  <si>
    <t>high affinity choline transporter 1-like isoform X1; Belongs to the sodium solute symporter (SSF) (TC 2.A.21) family</t>
  </si>
  <si>
    <t>collagen alpha-1(XII) chain-like; von Willebrand factor (vWF) type A domain</t>
  </si>
  <si>
    <t>histidine N-acetyltransferase activity;Euphy</t>
  </si>
  <si>
    <t>G-protein coupled receptor activity; growth hormone secretagogue receptor type 1-like</t>
  </si>
  <si>
    <t>Fibrillin; calcium ion binding</t>
  </si>
  <si>
    <t>angiopoietin-related protein 7-like; EGF domain</t>
  </si>
  <si>
    <t>Forkhead box 2b1 protein;Tctex-1 family</t>
  </si>
  <si>
    <t>solute carrier family 26 member 6-like;secondary active sulfate transmembrane transporter activity</t>
  </si>
  <si>
    <t>fibulin-1-like; hyaluronic acid binding</t>
  </si>
  <si>
    <t>disentegrin and metalloproteinase domain-containing protein 8-like isoform X2; calcium ion binding</t>
  </si>
  <si>
    <t>Euphy; adhesion</t>
  </si>
  <si>
    <t>zinc metalloproteinase nas-15-like isoform X1;metalloendopeptidase activity</t>
  </si>
  <si>
    <t>Caveolin; May act as a scaffolding protein within caveolar membranes. Interacts directly with G-protein alpha subunits and can functionally regulate their activity</t>
  </si>
  <si>
    <t>ryncolin-2-like; calcium ion binding</t>
  </si>
  <si>
    <t>MAM and LDL-receptor class A domain-containing protein 1-like isoform X2;metalloendopeptidase activity</t>
  </si>
  <si>
    <t>mitochondrial amidoxime reducing component 2-like; molybdenum ion binding</t>
  </si>
  <si>
    <t>melanopsin; G-protein coupled receptor activity</t>
  </si>
  <si>
    <t>ras-related and estrogen-regulated growth inhibitor-like; GTP binding.</t>
  </si>
  <si>
    <t>B-box type zinc finger protein ncl-1; Protein tyrosine kinase</t>
  </si>
  <si>
    <t>Forkhead box 2b1 protein; coreceptor activity involved in Wnt signaling pathway, planar cell polarity pathway</t>
  </si>
  <si>
    <t>zinc metalloproteinase nas-13-like isoform X1;metalloendopeptidase activity</t>
  </si>
  <si>
    <t>mucin-like protein; lipoprotein receptor-related protein</t>
  </si>
  <si>
    <t>proton-coupled folate transporter-like; Solute carrier family 46, member 3</t>
  </si>
  <si>
    <t>solute carrier family 22 member 15-like; organic anion transmembrane transporter activity</t>
  </si>
  <si>
    <t>forkhead box protein D2-like; sequence-specific DNA binding</t>
  </si>
  <si>
    <t>polycistic kidney disease protein 1-like; Concanavalin A-like lectin/glucanases superfamily</t>
  </si>
  <si>
    <t>chymotrypsinogen B-like isoform X4; serine-type endopeptidase activity</t>
  </si>
  <si>
    <t>opsin-3-like;7 transmembrane receptor (rhodopsin family)</t>
  </si>
  <si>
    <t>fibrocystin-L-like; IPT/TIG domain</t>
  </si>
  <si>
    <t>ephrin type-A receptor 4-like; Ephrin receptor ligand binding domain</t>
  </si>
  <si>
    <t>tolloid-like protein 1; metalloendopeptidase activity</t>
  </si>
  <si>
    <t>putative fibroblast growth factor receptr 2-like; fibroblast growth factor-activated receptor activity</t>
  </si>
  <si>
    <t>UDP-glucoronosyltransferase 1-5-like; glucuronosyltransferase activity</t>
  </si>
  <si>
    <t>Apolipoprotein B-100-like</t>
  </si>
  <si>
    <t>MAM and LDL-receptor class A domain containing protein 1-like;scavenger receptor activity</t>
  </si>
  <si>
    <t>Mucin-like protein; MHC class II protein binding, via antigen binding groove</t>
  </si>
  <si>
    <t>stromelysin 1-like; Belongs to the peptidase M10A family</t>
  </si>
  <si>
    <t>alpha-2Da adrenergic receptor-like; G-protein coupled receptor activity</t>
  </si>
  <si>
    <t>cytochrome c oxidase assembly protein COX15 homolog; heme a metabolic process</t>
  </si>
  <si>
    <t>cathepsin L1-like isoform X1; cysteine-type endopeptidase activity</t>
  </si>
  <si>
    <t>AN1-type zinc finger protein 2A-like; SRP-dependent cotranslational protein targeting to membrane, translocation</t>
  </si>
  <si>
    <t>heat shock protein HSP 90-beta-like; unfolded protein binding</t>
  </si>
  <si>
    <t>TNF receptor-associated factor 5-like; thioesterase binding</t>
  </si>
  <si>
    <t>D-amino-acid oxidase-like, partial; FAD dependent oxidoreductase</t>
  </si>
  <si>
    <t>transcription factor MafB-like; abducens nerve formation</t>
  </si>
  <si>
    <t>sodium-couples monocarboxylate transproter 1-like;Belongs to the sodium solute symporter (SSF) (TC 2.A.21) family</t>
  </si>
  <si>
    <t>neuronal pentraxin-2-like; axonogenesis involved in innervation</t>
  </si>
  <si>
    <t>Forkhead box J1 protein; positive regulation of lung ciliated cell differentiation</t>
  </si>
  <si>
    <t>HSP 70; negative regulation of IRE1-mediated unfolded protein response</t>
  </si>
  <si>
    <t>matrix metalloproteinase-24-like; Belongs to the peptidase M10A family</t>
  </si>
  <si>
    <t>ras-like GTP-binding protein RHO; skeletal muscle satellite cell migration</t>
  </si>
  <si>
    <t>Source PGD</t>
  </si>
  <si>
    <t>TRINITY_DN97634_c0_g1</t>
  </si>
  <si>
    <t>TRINITY_DN319776_c0_g1</t>
  </si>
  <si>
    <t>TRINITY_DN184289_c0_g1</t>
  </si>
  <si>
    <t>TRINITY_DN70975_c0_g1</t>
  </si>
  <si>
    <t>TRINITY_DN92451_c0_g3</t>
  </si>
  <si>
    <t>TRINITY_DN53004_c0_g1</t>
  </si>
  <si>
    <t>TRINITY_DN204561_c0_g1</t>
  </si>
  <si>
    <t>TRINITY_DN57109_c0_g1</t>
  </si>
  <si>
    <t>TRINITY_DN206123_c0_g2</t>
  </si>
  <si>
    <t>TRINITY_DN192104_c0_g1</t>
  </si>
  <si>
    <t>TRINITY_DN30864_c0_g2</t>
  </si>
  <si>
    <t>TRINITY_DN202482_c1_g3</t>
  </si>
  <si>
    <t>TRINITY_DN204927_c3_g8</t>
  </si>
  <si>
    <t>TRINITY_DN194114_c0_g5</t>
  </si>
  <si>
    <t>TRINITY_DN311824_c0_g2</t>
  </si>
  <si>
    <t>TRINITY_DN271705_c0_g1</t>
  </si>
  <si>
    <t>TRINITY_DN69790_c0_g2</t>
  </si>
  <si>
    <t>TRINITY_DN89539_c0_g3</t>
  </si>
  <si>
    <t>TRINITY_DN196067_c4_g1</t>
  </si>
  <si>
    <t>TRINITY_DN74499_c0_g2</t>
  </si>
  <si>
    <t>TRINITY_DN76984_c0_g1</t>
  </si>
  <si>
    <t>TRINITY_DN197147_c2_g1</t>
  </si>
  <si>
    <t>TRINITY_DN7361_c0_g1</t>
  </si>
  <si>
    <t>TRINITY_DN318540_c0_g1</t>
  </si>
  <si>
    <t>TRINITY_DN31551_c0_g2</t>
  </si>
  <si>
    <t>TRINITY_DN184117_c0_g7</t>
  </si>
  <si>
    <t>TRINITY_DN189094_c0_g6</t>
  </si>
  <si>
    <t>TRINITY_DN204927_c3_g4</t>
  </si>
  <si>
    <t>TRINITY_DN233369_c0_g1</t>
  </si>
  <si>
    <t>TRINITY_DN72178_c0_g2</t>
  </si>
  <si>
    <t>TRINITY_DN31887_c0_g2</t>
  </si>
  <si>
    <t>TRINITY_DN303577_c0_g1</t>
  </si>
  <si>
    <t>TRINITY_DN204927_c1_g1</t>
  </si>
  <si>
    <t>TRINITY_DN189502_c0_g2</t>
  </si>
  <si>
    <t>TRINITY_DN28053_c0_g1</t>
  </si>
  <si>
    <t>TRINITY_DN96934_c0_g3</t>
  </si>
  <si>
    <t>TRINITY_DN164687_c1_g16</t>
  </si>
  <si>
    <t>TRINITY_DN27982_c0_g1</t>
  </si>
  <si>
    <t>TRINITY_DN75054_c0_g3</t>
  </si>
  <si>
    <t>TRINITY_DN184672_c0_g2</t>
  </si>
  <si>
    <t>TRINITY_DN384522_c0_g1</t>
  </si>
  <si>
    <t>TRINITY_DN70809_c0_g1</t>
  </si>
  <si>
    <t>TRINITY_DN253132_c0_g1</t>
  </si>
  <si>
    <t>TRINITY_DN4715_c0_g1</t>
  </si>
  <si>
    <t>TRINITY_DN388214_c0_g1</t>
  </si>
  <si>
    <t>TRINITY_DN29079_c0_g2</t>
  </si>
  <si>
    <t>TRINITY_DN58345_c0_g3</t>
  </si>
  <si>
    <t>TRINITY_DN62809_c0_g2</t>
  </si>
  <si>
    <t>TRINITY_DN68533_c0_g3</t>
  </si>
  <si>
    <t>TRINITY_DN173991_c0_g3</t>
  </si>
  <si>
    <t>TRINITY_DN69616_c0_g1</t>
  </si>
  <si>
    <t>TRINITY_DN62285_c0_g1</t>
  </si>
  <si>
    <t>TRINITY_DN88788_c0_g2</t>
  </si>
  <si>
    <t>TRINITY_DN171077_c0_g1</t>
  </si>
  <si>
    <t>TRINITY_DN52149_c0_g1</t>
  </si>
  <si>
    <t>TRINITY_DN19677_c0_g2</t>
  </si>
  <si>
    <t>TRINITY_DN181563_c3_g3</t>
  </si>
  <si>
    <t>TRINITY_DN263072_c0_g1</t>
  </si>
  <si>
    <t>TRINITY_DN25506_c0_g2</t>
  </si>
  <si>
    <t>TRINITY_DN180501_c0_g1</t>
  </si>
  <si>
    <t>TRINITY_DN84946_c0_g1</t>
  </si>
  <si>
    <t>TRINITY_DN71343_c0_g2</t>
  </si>
  <si>
    <t>TRINITY_DN94412_c0_g1</t>
  </si>
  <si>
    <t>TRINITY_DN320122_c0_g1</t>
  </si>
  <si>
    <t>TRINITY_DN96541_c0_g1</t>
  </si>
  <si>
    <t>TRINITY_DN62603_c0_g1</t>
  </si>
  <si>
    <t>TRINITY_DN97018_c0_g3</t>
  </si>
  <si>
    <t>TRINITY_DN82006_c0_g2</t>
  </si>
  <si>
    <t>TRINITY_DN54531_c0_g1</t>
  </si>
  <si>
    <t>TRINITY_DN92577_c1_g1</t>
  </si>
  <si>
    <t>TRINITY_DN96021_c0_g2</t>
  </si>
  <si>
    <t>TRINITY_DN51861_c0_g1</t>
  </si>
  <si>
    <t>TRINITY_DN79100_c0_g2</t>
  </si>
  <si>
    <t>TRINITY_DN28031_c0_g1</t>
  </si>
  <si>
    <t>TRINITY_DN234026_c0_g1</t>
  </si>
  <si>
    <t>TRINITY_DN386051_c0_g1</t>
  </si>
  <si>
    <t>TRINITY_DN2523_c0_g2</t>
  </si>
  <si>
    <t>TRINITY_DN2144_c0_g2</t>
  </si>
  <si>
    <t>TRINITY_DN53375_c0_g1</t>
  </si>
  <si>
    <t>TRINITY_DN78457_c0_g2</t>
  </si>
  <si>
    <t>TRINITY_DN8693_c0_g2</t>
  </si>
  <si>
    <t>TRINITY_DN98599_c0_g1</t>
  </si>
  <si>
    <t>TRINITY_DN74914_c0_g1</t>
  </si>
  <si>
    <t>TRINITY_DN387198_c0_g1</t>
  </si>
  <si>
    <t>TRINITY_DN386157_c0_g1</t>
  </si>
  <si>
    <t>TRINITY_DN35438_c0_g2</t>
  </si>
  <si>
    <t>TRINITY_DN61395_c0_g1</t>
  </si>
  <si>
    <t>TRINITY_DN397586_c0_g1</t>
  </si>
  <si>
    <t>TRINITY_DN164236_c0_g1</t>
  </si>
  <si>
    <t>TRINITY_DN48296_c0_g1</t>
  </si>
  <si>
    <t>TRINITY_DN164687_c1_g4</t>
  </si>
  <si>
    <t>TRINITY_DN93678_c0_g1</t>
  </si>
  <si>
    <t>TRINITY_DN63629_c0_g2</t>
  </si>
  <si>
    <t>TRINITY_DN9064_c0_g2</t>
  </si>
  <si>
    <t>TRINITY_DN348595_c0_g1</t>
  </si>
  <si>
    <t>TRINITY_DN69064_c0_g1</t>
  </si>
  <si>
    <t>TRINITY_DN92645_c0_g2</t>
  </si>
  <si>
    <t>TRINITY_DN7318_c0_g2</t>
  </si>
  <si>
    <t>TRINITY_DN48621_c0_g2</t>
  </si>
  <si>
    <t>TRINITY_DN9150_c0_g2</t>
  </si>
  <si>
    <t>TRINITY_DN165502_c0_g1</t>
  </si>
  <si>
    <t>TRINITY_DN27564_c0_g1</t>
  </si>
  <si>
    <t>TRINITY_DN49536_c0_g1</t>
  </si>
  <si>
    <t>TRINITY_DN40403_c0_g2</t>
  </si>
  <si>
    <t>K10408</t>
  </si>
  <si>
    <t>K18328</t>
  </si>
  <si>
    <t>K07976</t>
  </si>
  <si>
    <t>K02925,K03691,K08498,K08499,K08500</t>
  </si>
  <si>
    <t>K03466</t>
  </si>
  <si>
    <t>K02905</t>
  </si>
  <si>
    <t>K20421</t>
  </si>
  <si>
    <t>K04417,K04424,K19754</t>
  </si>
  <si>
    <t>K05794</t>
  </si>
  <si>
    <t>K20285</t>
  </si>
  <si>
    <t>K01177</t>
  </si>
  <si>
    <t>K01792</t>
  </si>
  <si>
    <t>K00543,K02493,K15256</t>
  </si>
  <si>
    <t>K01103</t>
  </si>
  <si>
    <t>K06228</t>
  </si>
  <si>
    <t>K14778</t>
  </si>
  <si>
    <t>K07376,K19477</t>
  </si>
  <si>
    <t>K00606,K01918</t>
  </si>
  <si>
    <t>K03142</t>
  </si>
  <si>
    <t>K00493</t>
  </si>
  <si>
    <t>K01178</t>
  </si>
  <si>
    <t>K00705</t>
  </si>
  <si>
    <t>K00744,K09661</t>
  </si>
  <si>
    <t>K01607,K08744</t>
  </si>
  <si>
    <t>K08869</t>
  </si>
  <si>
    <t>K07117</t>
  </si>
  <si>
    <t>K13411</t>
  </si>
  <si>
    <t>K01887,K22016</t>
  </si>
  <si>
    <t>K15499,K15501</t>
  </si>
  <si>
    <t>K03917,K05619,K05620</t>
  </si>
  <si>
    <t>K06683,K00907</t>
  </si>
  <si>
    <t>K01026,K19709</t>
  </si>
  <si>
    <t>K00232,K00384,K03388,K15316</t>
  </si>
  <si>
    <t>K15502,K15503</t>
  </si>
  <si>
    <t>K07407,K07406</t>
  </si>
  <si>
    <t>K08714,K0483</t>
  </si>
  <si>
    <t>GO:0000226,GO:0000235,GO:0000278,GO:0003674,GO:0005488,GO:0005515,GO:0005575,GO:0005622,GO:0005623,GO:0005737,GO:0005818,GO:0005819,GO:0005829,GO:0005856,GO:0005874,GO:0005876,GO:0005881,GO:0005938,GO:0006810,GO:0006888,GO:0006900,GO:0006901,GO:0006903,GO:0006996,GO:0007010,GO:0007017,GO:0007049,GO:0007275,GO:0008150,GO:0009790,GO:0009987,GO:0010921,GO:0015630,GO:0016043,GO:0016050,GO:0016192,GO:0017016,GO:0017048,GO:0019220,GO:0019222,GO:0019899,GO:0019902,GO:0019903,GO:0022402,GO:0022607,GO:0030029,GO:0030036,GO:0030588,GO:0030590,GO:0030865,GO:0030866,GO:0031267,GO:0031323,GO:0031399,GO:0032268,GO:0032501,GO:0032502,GO:0035303,GO:0035304,GO:0040001,GO:0043226,GO:0043228,GO:0043229,GO:0043232,GO:0043666,GO:0043933,GO:0044085,GO:0044422,GO:0044424,GO:0044430,GO:0044444,GO:0044446,GO:0044464,GO:0046907,GO:0048193,GO:0048194,GO:0048199,GO:0048207,GO:0048208,GO:0048856,GO:0050789,GO:0050790,GO:0050794,GO:0051020,GO:0051171,GO:0051174,GO:0051179,GO:0051234,GO:0051246,GO:0051293,GO:0051336,GO:0051640,GO:0051641,GO:0051648,GO:0051649,GO:0051650,GO:0051653,GO:0051656,GO:0060255,GO:0061024,GO:0065003,GO:0065007,GO:0065009,GO:0071840,GO:0071944,GO:0080090,GO:0090114,GO:0099080,GO:0099081,GO:0099512,GO:0099513,GO:0099568,GO:1902850,GO:1903047</t>
  </si>
  <si>
    <t>GO:0003674,GO:0005215,GO:0006810,GO:0008150,GO:0022857,GO:0051179,GO:0051234,GO:0055085</t>
  </si>
  <si>
    <t>GO:0000325,GO:0001101,GO:0003674,GO:0005215,GO:0005575,GO:0005622,GO:0005623,GO:0005737,GO:0005773,GO:0005774,GO:0005886,GO:0006810,GO:0006811,GO:0006820,GO:0007275,GO:0008150,GO:0008509,GO:0009507,GO:0009536,GO:0009628,GO:0009705,GO:0009791,GO:0009987,GO:0010035,GO:0010167,GO:0015075,GO:0015103,GO:0015112,GO:0015267,GO:0015291,GO:0015318,GO:0015513,GO:0015698,GO:0015706,GO:0015707,GO:0016020,GO:0022622,GO:0022803,GO:0022804,GO:0022832,GO:0022836,GO:0022857,GO:0031090,GO:0032501,GO:0032502,GO:0032991,GO:0034220,GO:0042221,GO:0043226,GO:0043227,GO:0043229,GO:0043231,GO:0044422,GO:0044424,GO:0044437,GO:0044444,GO:0044446,GO:0044464,GO:0048364,GO:0048527,GO:0048528,GO:0048731,GO:0048856,GO:0050896,GO:0051179,GO:0051234,GO:0051716,GO:0055085,GO:0070887,GO:0071229,GO:0071241,GO:0071249,GO:0071705,GO:0071944,GO:0080167,GO:0090696,GO:0098588,GO:0098656,GO:0098805,GO:0099402,GO:1901698,GO:1901699,GO:1901700,GO:1901701,GO:1902170,GO:1990351</t>
  </si>
  <si>
    <t>GO:0003674,GO:0003824,GO:0005215,GO:0005388,GO:0005575,GO:0005622,GO:0005623,GO:0005886,GO:0005887,GO:0006810,GO:0006811,GO:0006812,GO:0006816,GO:0008150,GO:0008324,GO:0015075,GO:0015085,GO:0015318,GO:0015399,GO:0015405,GO:0015662,GO:0016020,GO:0016021,GO:0016462,GO:0016787,GO:0016817,GO:0016818,GO:0016887,GO:0017111,GO:0019829,GO:0022804,GO:0022853,GO:0022857,GO:0022890,GO:0030001,GO:0031224,GO:0031226,GO:0034220,GO:0042623,GO:0042625,GO:0042626,GO:0043226,GO:0043227,GO:0043229,GO:0043231,GO:0043492,GO:0044424,GO:0044425,GO:0044459,GO:0044464,GO:0046873,GO:0051179,GO:0051234,GO:0055085,GO:0070588,GO:0070838,GO:0071944,GO:0072511,GO:0090662,GO:0098655,GO:0098660,GO:0098662,GO:0099131,GO:0099132</t>
  </si>
  <si>
    <t>GO:0000266,GO:0000278,GO:0000281,GO:0000910,GO:0000911,GO:0003373,GO:0003374,GO:0003674,GO:0003824,GO:0003924,GO:0005488,GO:0005515,GO:0005575,GO:0005622,GO:0005623,GO:0005737,GO:0005739,GO:0005740,GO:0006996,GO:0007005,GO:0007049,GO:0008017,GO:0008092,GO:0008150,GO:0009504,GO:0009987,GO:0015631,GO:0016020,GO:0016043,GO:0016462,GO:0016787,GO:0016817,GO:0016818,GO:0017111,GO:0022402,GO:0022607,GO:0031090,GO:0031966,GO:0031967,GO:0031975,GO:0032506,GO:0034622,GO:0043226,GO:0043227,GO:0043229,GO:0043231,GO:0043933,GO:0044085,GO:0044422,GO:0044424,GO:0044429,GO:0044444,GO:0044446,GO:0044464,GO:0048285,GO:0051258,GO:0051301,GO:0061024,GO:0061025,GO:0061640,GO:0065003,GO:0071840,GO:0090148,GO:1902410,GO:1903047</t>
  </si>
  <si>
    <t>GO:0000138,GO:0000139,GO:0000149,GO:0001505,GO:0003674,GO:0003824,GO:0005484,GO:0005488,GO:0005515,GO:0005575,GO:0005622,GO:0005623,GO:0005634,GO:0005654,GO:0005737,GO:0005768,GO:0005769,GO:0005770,GO:0005783,GO:0005794,GO:0005795,GO:0005802,GO:0005829,GO:0005886,GO:0006464,GO:0006486,GO:0006493,GO:0006807,GO:0006810,GO:0006836,GO:0006886,GO:0006887,GO:0006897,GO:0006904,GO:0006906,GO:0006996,GO:0007030,GO:0007032,GO:0007154,GO:0007267,GO:0007268,GO:0007269,GO:0008021,GO:0008104,GO:0008150,GO:0008152,GO:0008417,GO:0009058,GO:0009059,GO:0009100,GO:0009101,GO:0009987,GO:0010008,GO:0010256,GO:0012505,GO:0012506,GO:0015031,GO:0015833,GO:0016020,GO:0016021,GO:0016043,GO:0016050,GO:0016079,GO:0016081,GO:0016192,GO:0016197,GO:0016482,GO:0016740,GO:0016757,GO:0016758,GO:0017156,GO:0019538,GO:0019905,GO:0022406,GO:0023052,GO:0023061,GO:0030133,GO:0030135,GO:0030136,GO:0030139,GO:0030285,GO:0030424,GO:0030658,GO:0030659,GO:0030672,GO:0031090,GO:0031201,GO:0031224,GO:0031300,GO:0031301,GO:0031410,GO:0031902,GO:0031974,GO:0031981,GO:0031982,GO:0031984,GO:0031985,GO:0032456,GO:0032588,GO:0032879,GO:0032880,GO:0032940,GO:0032991,GO:0033036,GO:0033267,GO:0034613,GO:0034645,GO:0036065,GO:0036066,GO:0036211,GO:0042147,GO:0042886,GO:0042995,GO:0043005,GO:0043170,GO:0043195,GO:0043226,GO:0043227,GO:0043229,GO:0043231,GO:0043233,GO:0043412,GO:0043413,GO:0043679,GO:0044237,GO:0044238,GO:0044249,GO:0044260,GO:0044267,GO:0044306,GO:0044422,GO:0044424,GO:0044425,GO:0044428,GO:0044431,GO:0044433,GO:0044440,GO:0044444,GO:0044446,GO:0044456,GO:0044463,GO:0044464,GO:0045055,GO:0045184,GO:0045202,GO:0045335,GO:0046903,GO:0046907,GO:0046922,GO:0048278,GO:0048284,GO:0048471,GO:0048489,GO:0050789,GO:0051179,GO:0051234,GO:0051640,GO:0051641,GO:0051648,GO:0051649,GO:0051650,GO:0051656,GO:0055037,GO:0060341,GO:0061024,GO:0061025,GO:0065007,GO:0065008,GO:0070013,GO:0070085,GO:0070382,GO:0070727,GO:0071702,GO:0071704,GO:0071705,GO:0071840,GO:0071944,GO:0090161,GO:0090174,GO:0097458,GO:0097479,GO:0097480,GO:0097708,GO:0098563,GO:0098588,GO:0098657,GO:0098791,GO:0098793,GO:0098796,GO:0098805,GO:0098916,GO:0099003,GO:0099501,GO:0099503,GO:0099504,GO:0099536,GO:0099537,GO:0099643,GO:0120025,GO:0120038,GO:0140029,GO:0140056,GO:0140096,GO:0150034,GO:1901135,GO:1901137,GO:1901564,GO:1901566,GO:1901576,GO:1903827</t>
  </si>
  <si>
    <t>GO:0002181,GO:0003674,GO:0003735,GO:0005198,GO:0005575,GO:0005622,GO:0005623,GO:0005634,GO:0005730,GO:0005737,GO:0005829,GO:0005840,GO:0006412,GO:0006518,GO:0006807,GO:0008150,GO:0008152,GO:0009058,GO:0009059,GO:0009987,GO:0010467,GO:0015934,GO:0019538,GO:0022625,GO:0022626,GO:0031974,GO:0031981,GO:0032991,GO:0034641,GO:0034645,GO:0043043,GO:0043170,GO:0043226,GO:0043227,GO:0043228,GO:0043229,GO:0043231,GO:0043232,GO:0043233,GO:0043603,GO:0043604,GO:0044237,GO:0044238,GO:0044249,GO:0044260,GO:0044267,GO:0044271,GO:0044391,GO:0044422,GO:0044424,GO:0044428,GO:0044444,GO:0044445,GO:0044446,GO:0044464,GO:0070013,GO:0071704,GO:1901564,GO:1901566,GO:1901576,GO:1990904</t>
  </si>
  <si>
    <t>GO:0000166,GO:0003674,GO:0003824,GO:0003853,GO:0003995,GO:0005488,GO:0005524,GO:0005575,GO:0005622,GO:0005623,GO:0005634,GO:0005654,GO:0005737,GO:0005739,GO:0005740,GO:0005759,GO:0006082,GO:0006139,GO:0006163,GO:0006195,GO:0006520,GO:0006551,GO:0006552,GO:0006629,GO:0006631,GO:0006635,GO:0006637,GO:0006725,GO:0006732,GO:0006753,GO:0006790,GO:0006793,GO:0006796,GO:0006807,GO:0008144,GO:0008150,GO:0008152,GO:0008470,GO:0009056,GO:0009058,GO:0009062,GO:0009063,GO:0009081,GO:0009083,GO:0009109,GO:0009117,GO:0009150,GO:0009154,GO:0009166,GO:0009259,GO:0009261,GO:0009987,GO:0016020,GO:0016042,GO:0016043,GO:0016054,GO:0016491,GO:0016627,GO:0017076,GO:0018130,GO:0019395,GO:0019438,GO:0019439,GO:0019637,GO:0019693,GO:0019752,GO:0022607,GO:0030258,GO:0030554,GO:0031090,GO:0031966,GO:0031967,GO:0031974,GO:0031975,GO:0031981,GO:0032553,GO:0032555,GO:0032559,GO:0032787,GO:0033539,GO:0033865,GO:0033869,GO:0033875,GO:0034031,GO:0034032,GO:0034034,GO:0034404,GO:0034440,GO:0034641,GO:0034654,GO:0034655,GO:0035337,GO:0035383,GO:0035639,GO:0036094,GO:0036115,GO:0043167,GO:0043168,GO:0043226,GO:0043227,GO:0043229,GO:0043231,GO:0043233,GO:0043436,GO:0043603,GO:0043933,GO:0044085,GO:0044237,GO:0044238,GO:0044242,GO:0044248,GO:0044249,GO:0044255,GO:0044270,GO:0044271,GO:0044273,GO:0044281,GO:0044282,GO:0044283,GO:0044422,GO:0044424,GO:0044428,GO:0044429,GO:0044444,GO:0044446,GO:0044464,GO:0046395,GO:0046434,GO:0046483,GO:0046700,GO:0051186,GO:0051187,GO:0051259,GO:0051260,GO:0055086,GO:0055114,GO:0065003,GO:0070013,GO:0071704,GO:0071840,GO:0072329,GO:0072521,GO:0072523,GO:0097159,GO:0097367,GO:1901135,GO:1901136,GO:1901265,GO:1901292,GO:1901360,GO:1901361,GO:1901362,GO:1901363,GO:1901564,GO:1901565,GO:1901568,GO:1901569,GO:1901575,GO:1901576,GO:1901605,GO:1901606,GO:1902189,GO:1902190,GO:1902192,GO:1902195,GO:1902196,GO:1902198</t>
  </si>
  <si>
    <t>GO:0000075,GO:0000077,GO:0000165,GO:0000166,GO:0000186,GO:0000187,GO:0000278,GO:0000287,GO:0001932,GO:0001934,GO:0003674,GO:0003824,GO:0004672,GO:0004674,GO:0004709,GO:0005488,GO:0005524,GO:0005575,GO:0005622,GO:0005623,GO:0005634,GO:0005737,GO:0005829,GO:0006464,GO:0006468,GO:0006793,GO:0006796,GO:0006807,GO:0006950,GO:0006974,GO:0006996,GO:0007010,GO:0007049,GO:0007050,GO:0007093,GO:0007154,GO:0007165,GO:0007254,GO:0007257,GO:0007275,GO:0007346,GO:0008144,GO:0008150,GO:0008152,GO:0008219,GO:0008283,GO:0009314,GO:0009628,GO:0009653,GO:0009790,GO:0009893,GO:0009966,GO:0009967,GO:0009987,GO:0010212,GO:0010332,GO:0010562,GO:0010604,GO:0010646,GO:0010647,GO:0010941,GO:0010942,GO:0016043,GO:0016301,GO:0016310,GO:0016740,GO:0016772,GO:0016773,GO:0017076,GO:0019220,GO:0019222,GO:0019538,GO:0022402,GO:0023014,GO:0023051,GO:0023052,GO:0023056,GO:0030154,GO:0030326,GO:0030554,GO:0031098,GO:0031323,GO:0031325,GO:0031399,GO:0031401,GO:0031570,GO:0032147,GO:0032268,GO:0032270,GO:0032501,GO:0032502,GO:0032553,GO:0032555,GO:0032559,GO:0032872,GO:0032874,GO:0033554,GO:0033674,GO:0035107,GO:0035108,GO:0035113,GO:0035556,GO:0035639,GO:0036094,GO:0036211,GO:0042325,GO:0042327,GO:0042733,GO:0042981,GO:0043065,GO:0043067,GO:0043068,GO:0043085,GO:0043167,GO:0043168,GO:0043169,GO:0043170,GO:0043226,GO:0043227,GO:0043229,GO:0043231,GO:0043405,GO:0043406,GO:0043408,GO:0043410,GO:0043412,GO:0043506,GO:0043507,GO:0043549,GO:0044093,GO:0044237,GO:0044238,GO:0044260,GO:0044267,GO:0044424,GO:0044444,GO:0044464,GO:0045786,GO:0045859,GO:0045860,GO:0045930,GO:0045937,GO:0046328,GO:0046330,GO:0046872,GO:0048518,GO:0048519,GO:0048522,GO:0048523,GO:0048583,GO:0048584,GO:0048598,GO:0048736,GO:0048856,GO:0048869,GO:0050789,GO:0050790,GO:0050794,GO:0050896,GO:0051171,GO:0051173,GO:0051174,GO:0051246,GO:0051247,GO:0051338,GO:0051347,GO:0051403,GO:0051716,GO:0051726,GO:0060173,GO:0060255,GO:0065007,GO:0065009,GO:0070302,GO:0070304,GO:0071214,GO:0071478,GO:0071479,GO:0071480,GO:0071704,GO:0071840,GO:0071900,GO:0071902,GO:0080090,GO:0080134,GO:0080135,GO:0097159,GO:0097367,GO:0104004,GO:0140096,GO:1901265,GO:1901363,GO:1901564,GO:1902531,GO:1902533,GO:1903047</t>
  </si>
  <si>
    <t>GO:0000293,GO:0003674,GO:0003824,GO:0005575,GO:0005622,GO:0005623,GO:0005737,GO:0005739,GO:0005886,GO:0008150,GO:0008152,GO:0016020,GO:0016491,GO:0016722,GO:0016723,GO:0043226,GO:0043227,GO:0043229,GO:0043231,GO:0044424,GO:0044444,GO:0044464,GO:0055114,GO:0071944</t>
  </si>
  <si>
    <t>GO:0001101,GO:0003674,GO:0003676,GO:0003723,GO:0003729,GO:0005488,GO:0005575,GO:0005622,GO:0005623,GO:0005737,GO:0005844,GO:0007275,GO:0007568,GO:0008150,GO:0009719,GO:0009725,GO:0009737,GO:0009751,GO:0009753,GO:0010033,GO:0010150,GO:0014070,GO:0032501,GO:0032502,GO:0032991,GO:0033993,GO:0042221,GO:0042493,GO:0044424,GO:0044464,GO:0046677,GO:0048366,GO:0048367,GO:0048731,GO:0048827,GO:0048856,GO:0050896,GO:0090693,GO:0097159,GO:0097305,GO:0099402,GO:1901363,GO:1901700,GO:1990904</t>
  </si>
  <si>
    <t>GO:0001533,GO:0002576,GO:0003674,GO:0003810,GO:0003824,GO:0005575,GO:0005576,GO:0005622,GO:0005623,GO:0005737,GO:0005829,GO:0005886,GO:0005911,GO:0005912,GO:0005913,GO:0006464,GO:0006807,GO:0006810,GO:0006887,GO:0006950,GO:0007154,GO:0007165,GO:0007166,GO:0007275,GO:0007596,GO:0007599,GO:0008150,GO:0008152,GO:0008219,GO:0008284,GO:0008544,GO:0009611,GO:0009653,GO:0009887,GO:0009888,GO:0009913,GO:0009987,GO:0010033,GO:0010837,GO:0010838,GO:0012501,GO:0012505,GO:0016020,GO:0016043,GO:0016192,GO:0016740,GO:0016746,GO:0016755,GO:0018149,GO:0019221,GO:0019538,GO:0023052,GO:0030054,GO:0030141,GO:0030154,GO:0030216,GO:0030855,GO:0031091,GO:0031093,GO:0031224,GO:0031410,GO:0031424,GO:0031974,GO:0031982,GO:0031983,GO:0032501,GO:0032502,GO:0032940,GO:0034097,GO:0034774,GO:0036211,GO:0042060,GO:0042127,GO:0042221,GO:0043163,GO:0043170,GO:0043226,GO:0043227,GO:0043229,GO:0043233,GO:0043412,GO:0043588,GO:0044237,GO:0044238,GO:0044260,GO:0044267,GO:0044422,GO:0044424,GO:0044425,GO:0044433,GO:0044444,GO:0044446,GO:0044464,GO:0045055,GO:0045229,GO:0045787,GO:0046903,GO:0048513,GO:0048518,GO:0048522,GO:0048731,GO:0048856,GO:0048869,GO:0050678,GO:0050679,GO:0050789,GO:0050794,GO:0050817,GO:0050878,GO:0050896,GO:0051179,GO:0051234,GO:0051716,GO:0051726,GO:0060205,GO:0060429,GO:0065007,GO:0065008,GO:0070013,GO:0070161,GO:0070268,GO:0070887,GO:0071310,GO:0071345,GO:0071704,GO:0071840,GO:0071944,GO:0072376,GO:0072378,GO:0097708,GO:0099503,GO:0140096,GO:1901564</t>
  </si>
  <si>
    <t>GO:0000272,GO:0001101,GO:0003674,GO:0003824,GO:0004553,GO:0005575,GO:0005622,GO:0005623,GO:0005634,GO:0005737,GO:0005829,GO:0005975,GO:0005976,GO:0005982,GO:0005983,GO:0006073,GO:0006950,GO:0008150,GO:0008152,GO:0009056,GO:0009057,GO:0009251,GO:0009414,GO:0009415,GO:0009628,GO:0009987,GO:0010035,GO:0016052,GO:0016160,GO:0016161,GO:0016787,GO:0016798,GO:0042221,GO:0043170,GO:0043226,GO:0043227,GO:0043229,GO:0043231,GO:0044042,GO:0044237,GO:0044238,GO:0044247,GO:0044248,GO:0044260,GO:0044262,GO:0044264,GO:0044275,GO:0044424,GO:0044444,GO:0044464,GO:0050896,GO:0071704,GO:1901575,GO:1901700</t>
  </si>
  <si>
    <t>GO:0000209,GO:0000349,GO:0000375,GO:0000377,GO:0000393,GO:0000398,GO:0000974,GO:0003674,GO:0003824,GO:0004842,GO:0005488,GO:0005515,GO:0005575,GO:0005622,GO:0005623,GO:0005634,GO:0005681,GO:0005684,GO:0005737,GO:0005829,GO:0006139,GO:0006396,GO:0006397,GO:0006464,GO:0006725,GO:0006807,GO:0008150,GO:0008152,GO:0008380,GO:0009987,GO:0010467,GO:0016043,GO:0016070,GO:0016071,GO:0016567,GO:0016740,GO:0019538,GO:0019787,GO:0022607,GO:0022613,GO:0022618,GO:0032446,GO:0032991,GO:0034622,GO:0034641,GO:0036211,GO:0042802,GO:0043170,GO:0043226,GO:0043227,GO:0043229,GO:0043231,GO:0043412,GO:0043933,GO:0044085,GO:0044237,GO:0044238,GO:0044260,GO:0044267,GO:0044422,GO:0044424,GO:0044428,GO:0044444,GO:0044446,GO:0044464,GO:0046483,GO:0061630,GO:0061659,GO:0065003,GO:0070534,GO:0070647,GO:0071006,GO:0071012,GO:0071704,GO:0071826,GO:0071840,GO:0090304,GO:0140096,GO:1901360,GO:1901564,GO:1902494,GO:1990904</t>
  </si>
  <si>
    <t>GO:0001505,GO:0003674,GO:0003824,GO:0005575,GO:0005622,GO:0005623,GO:0005737,GO:0005739,GO:0005740,GO:0005743,GO:0006576,GO:0006807,GO:0008150,GO:0008152,GO:0008812,GO:0009056,GO:0009308,GO:0009310,GO:0009987,GO:0016020,GO:0016491,GO:0016614,GO:0019695,GO:0019866,GO:0031090,GO:0031966,GO:0031967,GO:0031975,GO:0034641,GO:0042133,GO:0042135,GO:0042402,GO:0042426,GO:0043226,GO:0043227,GO:0043229,GO:0043231,GO:0044106,GO:0044237,GO:0044248,GO:0044422,GO:0044424,GO:0044429,GO:0044444,GO:0044446,GO:0044464,GO:0055114,GO:0065007,GO:0065008,GO:0071704,GO:0097164,GO:1901564,GO:1901565,GO:1901575</t>
  </si>
  <si>
    <t>GO:0000166,GO:0003674,GO:0003824,GO:0005488,GO:0005575,GO:0005622,GO:0005623,GO:0005737,GO:0005829,GO:0005886,GO:0008150,GO:0008152,GO:0008924,GO:0009898,GO:0016020,GO:0016491,GO:0016614,GO:0016615,GO:0016901,GO:0036094,GO:0043167,GO:0043168,GO:0044424,GO:0044425,GO:0044444,GO:0044459,GO:0044464,GO:0048037,GO:0050660,GO:0050662,GO:0055114,GO:0071944,GO:0097159,GO:0098552,GO:0098562,GO:1901265,GO:1901363</t>
  </si>
  <si>
    <t>GO:0000003,GO:0000212,GO:0000226,GO:0000278,GO:0000281,GO:0000910,GO:0000912,GO:0000915,GO:0001932,GO:0001934,GO:0003674,GO:0003824,GO:0004672,GO:0004674,GO:0005575,GO:0005622,GO:0005623,GO:0005737,GO:0005815,GO:0005816,GO:0005829,GO:0005856,GO:0005933,GO:0005935,GO:0006464,GO:0006468,GO:0006793,GO:0006796,GO:0006807,GO:0006950,GO:0006996,GO:0007010,GO:0007017,GO:0007049,GO:0007051,GO:0007088,GO:0007096,GO:0007154,GO:0007165,GO:0007264,GO:0007265,GO:0007346,GO:0008150,GO:0008152,GO:0009893,GO:0009987,GO:0010562,GO:0010564,GO:0010604,GO:0010941,GO:0010973,GO:0015630,GO:0016043,GO:0016301,GO:0016310,GO:0016740,GO:0016772,GO:0016773,GO:0019220,GO:0019222,GO:0019538,GO:0022402,GO:0022411,GO:0022414,GO:0022607,GO:0023014,GO:0023052,GO:0030029,GO:0030036,GO:0030427,GO:0030865,GO:0030866,GO:0031028,GO:0031032,GO:0031098,GO:0031323,GO:0031325,GO:0031399,GO:0031401,GO:0031991,GO:0032147,GO:0032268,GO:0032270,GO:0032465,GO:0032467,GO:0032506,GO:0032879,GO:0032880,GO:0032954,GO:0032955,GO:0032956,GO:0032970,GO:0033043,GO:0033554,GO:0033674,GO:0035556,GO:0036211,GO:0042325,GO:0042327,GO:0042981,GO:0043067,GO:0043085,GO:0043170,GO:0043226,GO:0043228,GO:0043229,GO:0043232,GO:0043412,GO:0043549,GO:0044085,GO:0044087,GO:0044089,GO:0044093,GO:0044237,GO:0044238,GO:0044260,GO:0044267,GO:0044422,GO:0044424,GO:0044430,GO:0044444,GO:0044446,GO:0044464,GO:0044732,GO:0044837,GO:0045787,GO:0045859,GO:0045860,GO:0045931,GO:0045937,GO:0048518,GO:0048522,GO:0050789,GO:0050790,GO:0050794,GO:0050896,GO:0051128,GO:0051130,GO:0051171,GO:0051173,GO:0051174,GO:0051229,GO:0051230,GO:0051246,GO:0051247,GO:0051301,GO:0051302,GO:0051321,GO:0051338,GO:0051347,GO:0051493,GO:0051716,GO:0051726,GO:0051781,GO:0051783,GO:0060255,GO:0060341,GO:0061640,GO:0065007,GO:0065009,GO:0071704,GO:0071840,GO:0071958,GO:0080090,GO:0090068,GO:0110020,GO:0140096,GO:1901564,GO:1901891,GO:1901893,GO:1901987,GO:1901990,GO:1902363,GO:1902412,GO:1902542,GO:1903008,GO:1903046,GO:1903047,GO:1903436,GO:1903438,GO:1903490,GO:1903827</t>
  </si>
  <si>
    <t>GO:0003674,GO:0003824,GO:0005575,GO:0005622,GO:0005623,GO:0005737,GO:0005829,GO:0006464,GO:0006479,GO:0006807,GO:0008150,GO:0008152,GO:0008168,GO:0008170,GO:0008213,GO:0008276,GO:0008757,GO:0009987,GO:0016740,GO:0016741,GO:0018364,GO:0019538,GO:0032259,GO:0036009,GO:0036211,GO:0043170,GO:0043412,GO:0043414,GO:0044237,GO:0044238,GO:0044260,GO:0044267,GO:0044424,GO:0044444,GO:0044464,GO:0071704,GO:0140096,GO:1901564</t>
  </si>
  <si>
    <t>GO:0005575,GO:0005622,GO:0005623,GO:0005737,GO:0005829,GO:0005886,GO:0005975,GO:0005996,GO:0006000,GO:0006002,GO:0006003,GO:0006793,GO:0006796,GO:0008150,GO:0008152,GO:0009987,GO:0016020,GO:0019318,GO:0019637,GO:0043609,GO:0044237,GO:0044238,GO:0044281,GO:0044424,GO:0044444,GO:0044464,GO:0050789,GO:0065007,GO:0071704,GO:0071944,GO:1901135</t>
  </si>
  <si>
    <t>GO:0000003,GO:0000166,GO:0003002,GO:0003006,GO:0003341,GO:0003351,GO:0003674,GO:0003824,GO:0004672,GO:0004674,GO:0005488,GO:0005515,GO:0005524,GO:0005575,GO:0005622,GO:0005623,GO:0005634,GO:0005737,GO:0005829,GO:0006355,GO:0006357,GO:0006464,GO:0006468,GO:0006793,GO:0006796,GO:0006807,GO:0006810,GO:0006928,GO:0006996,GO:0007017,GO:0007018,GO:0007154,GO:0007165,GO:0007166,GO:0007224,GO:0007227,GO:0007228,GO:0007275,GO:0007276,GO:0007281,GO:0007292,GO:0007293,GO:0007350,GO:0007365,GO:0007367,GO:0007389,GO:0007399,GO:0007417,GO:0007420,GO:0008134,GO:0008144,GO:0008150,GO:0008152,GO:0008589,GO:0009653,GO:0009790,GO:0009791,GO:0009880,GO:0009889,GO:0009893,GO:0009966,GO:0009967,GO:0009968,GO:0009987,GO:0010468,GO:0010556,GO:0010604,GO:0010646,GO:0010647,GO:0010648,GO:0010970,GO:0016020,GO:0016043,GO:0016301,GO:0016310,GO:0016740,GO:0016772,GO:0016773,GO:0017076,GO:0019219,GO:0019222,GO:0019538,GO:0019953,GO:0022412,GO:0022414,GO:0022607,GO:0023051,GO:0023052,GO:0023056,GO:0023057,GO:0030030,GO:0030031,GO:0030154,GO:0030162,GO:0030510,GO:0030514,GO:0030554,GO:0030705,GO:0031323,GO:0031325,GO:0031326,GO:0031396,GO:0031398,GO:0031399,GO:0031401,GO:0031503,GO:0031647,GO:0032268,GO:0032270,GO:0032501,GO:0032502,GO:0032504,GO:0032553,GO:0032555,GO:0032559,GO:0032991,GO:0035282,GO:0035301,GO:0035556,GO:0035639,GO:0036094,GO:0036211,GO:0042073,GO:0043167,GO:0043168,GO:0043170,GO:0043226,GO:0043227,GO:0043229,GO:0043231,GO:0043412,GO:0044085,GO:0044093,GO:0044237,GO:0044238,GO:0044260,GO:0044267,GO:0044424,GO:0044444,GO:0044464,GO:0044703,GO:0044782,GO:0045880,GO:0046907,GO:0048468,GO:0048477,GO:0048513,GO:0048518,GO:0048519,GO:0048522,GO:0048523,GO:0048583,GO:0048584,GO:0048585,GO:0048609,GO:0048646,GO:0048731,GO:0048856,GO:0048869,GO:0050789,GO:0050794,GO:0050896,GO:0051090,GO:0051091,GO:0051171,GO:0051173,GO:0051179,GO:0051234,GO:0051246,GO:0051247,GO:0051252,GO:0051641,GO:0051649,GO:0051704,GO:0051716,GO:0060255,GO:0060271,GO:0060322,GO:0065007,GO:0065008,GO:0065009,GO:0070925,GO:0071704,GO:0071840,GO:0080090,GO:0090092,GO:0090101,GO:0090287,GO:0090288,GO:0097159,GO:0097367,GO:0099111,GO:0120031,GO:0120036,GO:0140096,GO:1901265,GO:1901363,GO:1901564,GO:1903320,GO:1903322,GO:1903506,GO:2000112,GO:2001141</t>
  </si>
  <si>
    <t>GO:0003674,GO:0003724,GO:0003824,GO:0004004,GO:0004386,GO:0005575,GO:0005622,GO:0005623,GO:0005634,GO:0005730,GO:0005737,GO:0006139,GO:0006364,GO:0006396,GO:0006725,GO:0006807,GO:0007275,GO:0008026,GO:0008150,GO:0008152,GO:0008186,GO:0009553,GO:0009561,GO:0009791,GO:0009987,GO:0010467,GO:0010501,GO:0016070,GO:0016072,GO:0016462,GO:0016787,GO:0016817,GO:0016818,GO:0016887,GO:0017111,GO:0022613,GO:0031974,GO:0031981,GO:0032501,GO:0032502,GO:0034470,GO:0034641,GO:0034660,GO:0042254,GO:0042623,GO:0042995,GO:0043170,GO:0043226,GO:0043227,GO:0043228,GO:0043229,GO:0043231,GO:0043232,GO:0043233,GO:0044085,GO:0044237,GO:0044238,GO:0044422,GO:0044424,GO:0044428,GO:0044446,GO:0044464,GO:0046483,GO:0048229,GO:0048856,GO:0070013,GO:0070035,GO:0071704,GO:0071840,GO:0090304,GO:0090406,GO:0120025,GO:0140098,GO:1901360</t>
  </si>
  <si>
    <t>GO:0003674,GO:0003824,GO:0003864,GO:0004592,GO:0005575,GO:0005622,GO:0005623,GO:0005737,GO:0005739,GO:0005829,GO:0006082,GO:0006520,GO:0006573,GO:0006575,GO:0006732,GO:0006766,GO:0006767,GO:0006807,GO:0008150,GO:0008152,GO:0009058,GO:0009081,GO:0009108,GO:0009110,GO:0009987,GO:0015939,GO:0015940,GO:0016053,GO:0016740,GO:0016741,GO:0016742,GO:0016874,GO:0016879,GO:0016881,GO:0019752,GO:0032787,GO:0033317,GO:0034641,GO:0042364,GO:0042398,GO:0043226,GO:0043227,GO:0043229,GO:0043231,GO:0043436,GO:0043603,GO:0043604,GO:0044237,GO:0044238,GO:0044249,GO:0044271,GO:0044281,GO:0044283,GO:0044424,GO:0044444,GO:0044464,GO:0046394,GO:0051186,GO:0051188,GO:0071704,GO:0072330,GO:1901564,GO:1901566,GO:1901576,GO:1901605</t>
  </si>
  <si>
    <t>GO:0000428,GO:0003674,GO:0003676,GO:0005488,GO:0005575,GO:0005622,GO:0005623,GO:0005634,GO:0005654,GO:0005667,GO:0005675,GO:0006139,GO:0006259,GO:0006281,GO:0006289,GO:0006351,GO:0006355,GO:0006357,GO:0006366,GO:0006725,GO:0006807,GO:0006950,GO:0006974,GO:0008150,GO:0008152,GO:0009058,GO:0009059,GO:0009889,GO:0009987,GO:0010467,GO:0010468,GO:0010556,GO:0016070,GO:0016591,GO:0018130,GO:0019219,GO:0019222,GO:0019438,GO:0030880,GO:0031323,GO:0031326,GO:0031974,GO:0031981,GO:0032774,GO:0032806,GO:0032991,GO:0033554,GO:0034641,GO:0034645,GO:0034654,GO:0043170,GO:0043226,GO:0043227,GO:0043229,GO:0043231,GO:0043233,GO:0044237,GO:0044238,GO:0044249,GO:0044260,GO:0044271,GO:0044422,GO:0044424,GO:0044428,GO:0044446,GO:0044451,GO:0044464,GO:0044798,GO:0046483,GO:0050789,GO:0050794,GO:0050896,GO:0051171,GO:0051252,GO:0051716,GO:0055029,GO:0060255,GO:0061695,GO:0065007,GO:0070013,GO:0071704,GO:0080090,GO:0090304,GO:0090575,GO:0097159,GO:0097659,GO:1901360,GO:1901362,GO:1901363,GO:1901576,GO:1902494,GO:1902554,GO:1902911,GO:1903506,GO:1990234,GO:2000112,GO:2001141</t>
  </si>
  <si>
    <t>GO:0006275,GO:0008150,GO:0009888,GO:0009889,GO:0010087,GO:0010556,GO:0010564,GO:0019219,GO:0019222,GO:0031323,GO:0031326,GO:0032502,GO:0032875,GO:0048856,GO:0050789,GO:0050794,GO:0051052,GO:0051171,GO:0051726,GO:0060255,GO:0065007,GO:0080090,GO:0090329,GO:2000112</t>
  </si>
  <si>
    <t>GO:0000023,GO:0000025,GO:0000272,GO:0001871,GO:0003674,GO:0003824,GO:0004133,GO:0004134,GO:0005488,GO:0005575,GO:0005622,GO:0005623,GO:0005737,GO:0005829,GO:0005975,GO:0005976,GO:0005977,GO:0005982,GO:0005983,GO:0005984,GO:0006073,GO:0006091,GO:0006112,GO:0008150,GO:0008152,GO:0009056,GO:0009057,GO:0009251,GO:0009311,GO:0009313,GO:0009987,GO:0010297,GO:0015980,GO:0016052,GO:0016740,GO:0016757,GO:0016758,GO:0030246,GO:0030247,GO:0043170,GO:0044042,GO:0044237,GO:0044238,GO:0044247,GO:0044248,GO:0044260,GO:0044262,GO:0044264,GO:0044275,GO:0044424,GO:0044444,GO:0044464,GO:0046352,GO:0055114,GO:0071704,GO:1901575</t>
  </si>
  <si>
    <t>GO:0003674,GO:0003824,GO:0005488,GO:0005515,GO:0005516,GO:0005575,GO:0005622,GO:0005623,GO:0005634,GO:0005737,GO:0005794,GO:0005795,GO:0006464,GO:0006486,GO:0006487,GO:0006807,GO:0008150,GO:0008152,GO:0009058,GO:0009059,GO:0009100,GO:0009101,GO:0009987,GO:0012505,GO:0016740,GO:0016757,GO:0016758,GO:0019538,GO:0031984,GO:0034645,GO:0036211,GO:0043170,GO:0043226,GO:0043227,GO:0043229,GO:0043231,GO:0043412,GO:0043413,GO:0044237,GO:0044238,GO:0044249,GO:0044260,GO:0044267,GO:0044422,GO:0044424,GO:0044431,GO:0044444,GO:0044446,GO:0044464,GO:0070085,GO:0071704,GO:0098791,GO:1901135,GO:1901137,GO:1901564,GO:1901566,GO:1901576</t>
  </si>
  <si>
    <t>GO:0003674,GO:0005488,GO:0005515,GO:0006508,GO:0006511,GO:0006807,GO:0008150,GO:0008152,GO:0009056,GO:0009057,GO:0009987,GO:0010498,GO:0019538,GO:0019941,GO:0030163,GO:0032182,GO:0043130,GO:0043161,GO:0043170,GO:0043632,GO:0044237,GO:0044238,GO:0044248,GO:0044257,GO:0044260,GO:0044265,GO:0044267,GO:0051603,GO:0071704,GO:1901564,GO:1901565,GO:1901575</t>
  </si>
  <si>
    <t>GO:0003674,GO:0003824,GO:0005575,GO:0005622,GO:0005623,GO:0005737,GO:0005739,GO:0006793,GO:0006796,GO:0008150,GO:0008152,GO:0009987,GO:0016301,GO:0016310,GO:0016740,GO:0016772,GO:0043226,GO:0043227,GO:0043229,GO:0043231,GO:0044237,GO:0044424,GO:0044444,GO:0044464</t>
  </si>
  <si>
    <t>Beta-amylase</t>
  </si>
  <si>
    <t>4-alpha-glucanotransferase</t>
  </si>
  <si>
    <t>phosphatase 6, regulatory subunit 1</t>
  </si>
  <si>
    <t>SNAP receptor activity</t>
  </si>
  <si>
    <t>FtsK/SpoIIIE family</t>
  </si>
  <si>
    <t>Peptide methionine sulfoxide reductase</t>
  </si>
  <si>
    <t>Belongs to the eukaryotic ribosomal protein eL29 family</t>
  </si>
  <si>
    <t>50S ribosome-binding GTPase</t>
  </si>
  <si>
    <t>protein-(glutamine-N5) methyltransferase activity</t>
  </si>
  <si>
    <t>Thrombospondin type 1 repeats</t>
  </si>
  <si>
    <t>FAD binding domain of DNA photolyase</t>
  </si>
  <si>
    <t>Integral membrane protein TerC family</t>
  </si>
  <si>
    <t>ankyrin repeats</t>
  </si>
  <si>
    <t>Kelch motif</t>
  </si>
  <si>
    <t>glucose-6-phosphate 1-epimerase activity</t>
  </si>
  <si>
    <t>Caspase domain</t>
  </si>
  <si>
    <t>Specifically methylates the adenine in position 37 of tRNA(1)(Val) (anticodon cmo5UAC)</t>
  </si>
  <si>
    <t>Methylates the class 1 translation termination release factors RF1 PrfA and RF2 PrfB on the glutamine residue of the universally conserved GGQ motif</t>
  </si>
  <si>
    <t>6-phosphofructo-2-kinase fructose-2</t>
  </si>
  <si>
    <t>Serine threonine kinase 36 (fused homolog, Drosophila)</t>
  </si>
  <si>
    <t>Belongs to the DEAD box helicase family</t>
  </si>
  <si>
    <t>cGMP-dependent protein kinase activity</t>
  </si>
  <si>
    <t>General transcription factor</t>
  </si>
  <si>
    <t>Glycosyl hydrolases family 15</t>
  </si>
  <si>
    <t>IBR domain, a half RING-finger domain</t>
  </si>
  <si>
    <t>Hsp20/alpha crystallin family</t>
  </si>
  <si>
    <t>Mannosyl (alpha-1,6-)-glycoprotein beta-1,6-N-acetyl-glucosaminyltransferase</t>
  </si>
  <si>
    <t>macromolecule glycosylation</t>
  </si>
  <si>
    <t>Major facilitator Superfamily</t>
  </si>
  <si>
    <t>nuclear protein SET</t>
  </si>
  <si>
    <t>respiratory burst oxidase homolog protein</t>
  </si>
  <si>
    <t>Nitrate transporter (Fragment); cellular response to nitrate</t>
  </si>
  <si>
    <t>oxygenase-like protein; belongs to the iron ascorbate-dependent oxidoreductase family</t>
  </si>
  <si>
    <t>Light-harvesting protein (Fragment); Chlorophyll A-B binding protein</t>
  </si>
  <si>
    <t>Heterogeneous nuclear ribonucleoprotein, putative; RNA recognition motif 2</t>
  </si>
  <si>
    <t>11-oxo-beta-amyrin 30-oxidase; belongs to the cytochrome P450 family</t>
  </si>
  <si>
    <t xml:space="preserve">Alpha-agarase; C-type lectin (CTL) or carbohydrate-recognition domain (CRD) </t>
  </si>
  <si>
    <t>RCC1 and BTB domain-containing protein 1; chromatin organization</t>
  </si>
  <si>
    <t xml:space="preserve"> F-box protein SKIP16-like; mitochodrion morphogenesis</t>
  </si>
  <si>
    <t>Putative polyketide synthase (Fragment); PKS_KR</t>
  </si>
  <si>
    <t>TRINITY_DN447608_c6_g2</t>
  </si>
  <si>
    <t>TRINITY_DN441758_c1_g2</t>
  </si>
  <si>
    <t>TRINITY_DN422081_c0_g2</t>
  </si>
  <si>
    <t>TRINITY_DN430676_c4_g21</t>
  </si>
  <si>
    <t>TRINITY_DN453920_c1_g5</t>
  </si>
  <si>
    <t>TRINITY_DN387310_c0_g3</t>
  </si>
  <si>
    <t>TRINITY_DN455299_c0_g4</t>
  </si>
  <si>
    <t>TRINITY_DN437181_c3_g1</t>
  </si>
  <si>
    <t>TRINITY_DN425903_c6_g13</t>
  </si>
  <si>
    <t>TRINITY_DN433571_c2_g5</t>
  </si>
  <si>
    <t>TRINITY_DN414672_c1_g1</t>
  </si>
  <si>
    <t>TRINITY_DN438875_c0_g3</t>
  </si>
  <si>
    <t>TRINITY_DN425782_c1_g3</t>
  </si>
  <si>
    <t>TRINITY_DN423732_c1_g9</t>
  </si>
  <si>
    <t>TRINITY_DN419959_c2_g2</t>
  </si>
  <si>
    <t>TRINITY_DN316970_c0_g4</t>
  </si>
  <si>
    <t>TRINITY_DN432585_c2_g4</t>
  </si>
  <si>
    <t>TRINITY_DN456673_c31_g9</t>
  </si>
  <si>
    <t>TRINITY_DN395138_c0_g1</t>
  </si>
  <si>
    <t>TRINITY_DN435637_c3_g2</t>
  </si>
  <si>
    <t>TRINITY_DN433327_c4_g5</t>
  </si>
  <si>
    <t>TRINITY_DN424930_c3_g4</t>
  </si>
  <si>
    <t>TRINITY_DN440726_c1_g8</t>
  </si>
  <si>
    <t>TRINITY_DN423362_c1_g8</t>
  </si>
  <si>
    <t>TRINITY_DN430447_c1_g15</t>
  </si>
  <si>
    <t>TRINITY_DN389497_c3_g1</t>
  </si>
  <si>
    <t>TRINITY_DN454707_c2_g7</t>
  </si>
  <si>
    <t>TRINITY_DN455351_c3_g1</t>
  </si>
  <si>
    <t>TRINITY_DN387100_c0_g1</t>
  </si>
  <si>
    <t>TRINITY_DN304197_c0_g1</t>
  </si>
  <si>
    <t>TRINITY_DN294946_c0_g1</t>
  </si>
  <si>
    <t>TRINITY_DN454561_c4_g3</t>
  </si>
  <si>
    <t>TRINITY_DN424950_c1_g1</t>
  </si>
  <si>
    <t>TRINITY_DN204570_c0_g2</t>
  </si>
  <si>
    <t>TRINITY_DN440213_c1_g5</t>
  </si>
  <si>
    <t>TRINITY_DN442288_c0_g2</t>
  </si>
  <si>
    <t>TRINITY_DN449736_c2_g14</t>
  </si>
  <si>
    <t>TRINITY_DN455695_c8_g14</t>
  </si>
  <si>
    <t>TRINITY_DN356153_c0_g3</t>
  </si>
  <si>
    <t>TRINITY_DN411125_c2_g4</t>
  </si>
  <si>
    <t>TRINITY_DN420830_c5_g8</t>
  </si>
  <si>
    <t>TRINITY_DN431072_c0_g3</t>
  </si>
  <si>
    <t>TRINITY_DN450718_c0_g4</t>
  </si>
  <si>
    <t>TRINITY_DN450026_c1_g2</t>
  </si>
  <si>
    <t>TRINITY_DN402811_c0_g2</t>
  </si>
  <si>
    <t>TRINITY_DN452224_c3_g7</t>
  </si>
  <si>
    <t>TRINITY_DN448374_c0_g15</t>
  </si>
  <si>
    <t>TRINITY_DN413241_c1_g2</t>
  </si>
  <si>
    <t>TRINITY_DN455695_c8_g8</t>
  </si>
  <si>
    <t>TRINITY_DN452109_c2_g2</t>
  </si>
  <si>
    <t>TRINITY_DN348099_c0_g1</t>
  </si>
  <si>
    <t>TRINITY_DN444606_c1_g6</t>
  </si>
  <si>
    <t>TRINITY_DN342951_c0_g3</t>
  </si>
  <si>
    <t>TRINITY_DN392300_c0_g3</t>
  </si>
  <si>
    <t>TRINITY_DN437235_c1_g12</t>
  </si>
  <si>
    <t>TRINITY_DN309602_c0_g3</t>
  </si>
  <si>
    <t>TRINITY_DN415218_c3_g2</t>
  </si>
  <si>
    <t>TRINITY_DN453405_c3_g4</t>
  </si>
  <si>
    <t>TRINITY_DN417035_c6_g3</t>
  </si>
  <si>
    <t>TRINITY_DN413423_c2_g7</t>
  </si>
  <si>
    <t>TRINITY_DN440483_c0_g6</t>
  </si>
  <si>
    <t>TRINITY_DN439913_c0_g17</t>
  </si>
  <si>
    <t>TRINITY_DN418011_c6_g13</t>
  </si>
  <si>
    <t>TRINITY_DN333189_c0_g2</t>
  </si>
  <si>
    <t>TRINITY_DN421096_c1_g7</t>
  </si>
  <si>
    <t>TRINITY_DN343843_c0_g2</t>
  </si>
  <si>
    <t>TRINITY_DN456275_c5_g6</t>
  </si>
  <si>
    <t>TRINITY_DN453618_c5_g8</t>
  </si>
  <si>
    <t>TRINITY_DN443900_c2_g14</t>
  </si>
  <si>
    <t>TRINITY_DN400216_c1_g1</t>
  </si>
  <si>
    <t>TRINITY_DN373132_c0_g2</t>
  </si>
  <si>
    <t>TRINITY_DN263247_c0_g1</t>
  </si>
  <si>
    <t>TRINITY_DN437018_c0_g1</t>
  </si>
  <si>
    <t>TRINITY_DN431384_c4_g9</t>
  </si>
  <si>
    <t>TRINITY_DN409367_c0_g6</t>
  </si>
  <si>
    <t>TRINITY_DN425872_c10_g1</t>
  </si>
  <si>
    <t>TRINITY_DN421265_c0_g1</t>
  </si>
  <si>
    <t>TRINITY_DN399045_c0_g6</t>
  </si>
  <si>
    <t>TRINITY_DN443913_c2_g5</t>
  </si>
  <si>
    <t>TRINITY_DN408184_c1_g18</t>
  </si>
  <si>
    <t>TRINITY_DN426662_c3_g6</t>
  </si>
  <si>
    <t>TRINITY_DN285623_c0_g2</t>
  </si>
  <si>
    <t>TRINITY_DN352020_c0_g1</t>
  </si>
  <si>
    <t>TRINITY_DN425730_c1_g4</t>
  </si>
  <si>
    <t>TRINITY_DN415941_c1_g5</t>
  </si>
  <si>
    <t>TRINITY_DN406485_c0_g3</t>
  </si>
  <si>
    <t>TRINITY_DN282370_c0_g1</t>
  </si>
  <si>
    <t>TRINITY_DN174569_c3_g3</t>
  </si>
  <si>
    <t>TRINITY_DN279908_c0_g1</t>
  </si>
  <si>
    <t>TRINITY_DN294794_c0_g2</t>
  </si>
  <si>
    <t>TRINITY_DN420275_c1_g1</t>
  </si>
  <si>
    <t>TRINITY_DN320509_c0_g1</t>
  </si>
  <si>
    <t>TRINITY_DN316633_c0_g2</t>
  </si>
  <si>
    <t>TRINITY_DN217900_c0_g1</t>
  </si>
  <si>
    <t>TRINITY_DN233136_c0_g1</t>
  </si>
  <si>
    <t>TRINITY_DN439555_c5_g12</t>
  </si>
  <si>
    <t>TRINITY_DN383249_c0_g1</t>
  </si>
  <si>
    <t>TRINITY_DN450198_c3_g5</t>
  </si>
  <si>
    <t>TRINITY_DN378958_c2_g1</t>
  </si>
  <si>
    <t>TRINITY_DN441442_c1_g3</t>
  </si>
  <si>
    <t>TRINITY_DN380776_c0_g3</t>
  </si>
  <si>
    <t>TRINITY_DN416199_c0_g2</t>
  </si>
  <si>
    <t>TRINITY_DN415631_c2_g1</t>
  </si>
  <si>
    <t>TRINITY_DN342403_c0_g1</t>
  </si>
  <si>
    <t>TRINITY_DN448124_c2_g1</t>
  </si>
  <si>
    <t>TRINITY_DN425483_c1_g4</t>
  </si>
  <si>
    <t>TRINITY_DN445521_c5_g27</t>
  </si>
  <si>
    <t>TRINITY_DN388783_c0_g1</t>
  </si>
  <si>
    <t>TRINITY_DN444705_c1_g2</t>
  </si>
  <si>
    <t>TRINITY_DN441476_c1_g1</t>
  </si>
  <si>
    <t>TRINITY_DN456509_c1_g2</t>
  </si>
  <si>
    <t>TRINITY_DN420201_c11_g1</t>
  </si>
  <si>
    <t>TRINITY_DN251206_c0_g1</t>
  </si>
  <si>
    <t>TRINITY_DN399652_c2_g5</t>
  </si>
  <si>
    <t>TRINITY_DN435187_c2_g2</t>
  </si>
  <si>
    <t>TRINITY_DN442604_c2_g1</t>
  </si>
  <si>
    <t>TRINITY_DN445634_c0_g6</t>
  </si>
  <si>
    <t>TRINITY_DN406209_c2_g1</t>
  </si>
  <si>
    <t>TRINITY_DN453536_c3_g2</t>
  </si>
  <si>
    <t>TRINITY_DN443136_c2_g5</t>
  </si>
  <si>
    <t>TRINITY_DN420688_c3_g2</t>
  </si>
  <si>
    <t>TRINITY_DN438166_c5_g1</t>
  </si>
  <si>
    <t>TRINITY_DN409860_c3_g1</t>
  </si>
  <si>
    <t>TRINITY_DN433327_c3_g2</t>
  </si>
  <si>
    <t>TRINITY_DN406984_c1_g2</t>
  </si>
  <si>
    <t>TRINITY_DN523013_c0_g1</t>
  </si>
  <si>
    <t>TRINITY_DN436267_c1_g7</t>
  </si>
  <si>
    <t>TRINITY_DN18064_c0_g2</t>
  </si>
  <si>
    <t>TRINITY_DN443313_c0_g1</t>
  </si>
  <si>
    <t>TRINITY_DN449951_c2_g5</t>
  </si>
  <si>
    <t>TRINITY_DN414000_c0_g1</t>
  </si>
  <si>
    <t>TRINITY_DN455626_c0_g6</t>
  </si>
  <si>
    <t>TRINITY_DN421049_c2_g3</t>
  </si>
  <si>
    <t>TRINITY_DN447140_c2_g22</t>
  </si>
  <si>
    <t>TRINITY_DN424162_c1_g5</t>
  </si>
  <si>
    <t>TRINITY_DN439131_c0_g5</t>
  </si>
  <si>
    <t>TRINITY_DN445053_c4_g3</t>
  </si>
  <si>
    <t>TRINITY_DN451588_c3_g2</t>
  </si>
  <si>
    <t>TRINITY_DN455325_c8_g3</t>
  </si>
  <si>
    <t>TRINITY_DN399970_c0_g3</t>
  </si>
  <si>
    <t>TRINITY_DN423716_c4_g8</t>
  </si>
  <si>
    <t>TRINITY_DN454445_c8_g6</t>
  </si>
  <si>
    <t>TRINITY_DN423516_c1_g4</t>
  </si>
  <si>
    <t>TRINITY_DN445035_c0_g3</t>
  </si>
  <si>
    <t>TRINITY_DN383051_c0_g3</t>
  </si>
  <si>
    <t>TRINITY_DN134744_c0_g2</t>
  </si>
  <si>
    <t>TRINITY_DN445489_c0_g5</t>
  </si>
  <si>
    <t>TRINITY_DN412655_c1_g17</t>
  </si>
  <si>
    <t>TRINITY_DN412850_c0_g4</t>
  </si>
  <si>
    <t>TRINITY_DN431384_c4_g1</t>
  </si>
  <si>
    <t>TRINITY_DN258400_c0_g1</t>
  </si>
  <si>
    <t>TRINITY_DN435931_c1_g1</t>
  </si>
  <si>
    <t>TRINITY_DN385529_c0_g1</t>
  </si>
  <si>
    <t>TRINITY_DN275576_c0_g3</t>
  </si>
  <si>
    <t>TRINITY_DN416284_c4_g8</t>
  </si>
  <si>
    <t>TRINITY_DN446593_c1_g3</t>
  </si>
  <si>
    <t>TRINITY_DN428511_c5_g4</t>
  </si>
  <si>
    <t>TRINITY_DN280158_c0_g2</t>
  </si>
  <si>
    <t>TRINITY_DN377727_c0_g2</t>
  </si>
  <si>
    <t>TRINITY_DN398444_c0_g2</t>
  </si>
  <si>
    <t>TRINITY_DN443644_c0_g4</t>
  </si>
  <si>
    <t>TRINITY_DN397167_c0_g3</t>
  </si>
  <si>
    <t>TRINITY_DN406033_c1_g9</t>
  </si>
  <si>
    <t>TRINITY_DN323981_c0_g2</t>
  </si>
  <si>
    <t>TRINITY_DN437974_c1_g5</t>
  </si>
  <si>
    <t>TRINITY_DN444786_c0_g10</t>
  </si>
  <si>
    <t>TRINITY_DN436351_c2_g34</t>
  </si>
  <si>
    <t>TRINITY_DN396888_c4_g8</t>
  </si>
  <si>
    <t>TRINITY_DN413408_c1_g2</t>
  </si>
  <si>
    <t>TRINITY_DN397256_c0_g1</t>
  </si>
  <si>
    <t>TRINITY_DN431211_c1_g7</t>
  </si>
  <si>
    <t>TRINITY_DN439671_c2_g6</t>
  </si>
  <si>
    <t>TRINITY_DN452550_c4_g4</t>
  </si>
  <si>
    <t>TRINITY_DN421062_c1_g7</t>
  </si>
  <si>
    <t>TRINITY_DN404862_c1_g1</t>
  </si>
  <si>
    <t>TRINITY_DN395448_c0_g1</t>
  </si>
  <si>
    <t>TRINITY_DN394660_c1_g1</t>
  </si>
  <si>
    <t>TRINITY_DN432816_c1_g5</t>
  </si>
  <si>
    <t>TRINITY_DN451083_c8_g12</t>
  </si>
  <si>
    <t>TRINITY_DN417282_c0_g1</t>
  </si>
  <si>
    <t>TRINITY_DN441225_c3_g5</t>
  </si>
  <si>
    <t>TRINITY_DN422217_c0_g6</t>
  </si>
  <si>
    <t>TRINITY_DN448086_c0_g1</t>
  </si>
  <si>
    <t>TRINITY_DN453311_c5_g3</t>
  </si>
  <si>
    <t>TRINITY_DN437207_c0_g6</t>
  </si>
  <si>
    <t>TRINITY_DN364023_c0_g4</t>
  </si>
  <si>
    <t>TRINITY_DN443530_c0_g1</t>
  </si>
  <si>
    <t>TRINITY_DN200746_c0_g2</t>
  </si>
  <si>
    <t>TRINITY_DN332383_c1_g1</t>
  </si>
  <si>
    <t>TRINITY_DN285571_c0_g1</t>
  </si>
  <si>
    <t>TRINITY_DN408742_c1_g3</t>
  </si>
  <si>
    <t>TRINITY_DN456238_c2_g10</t>
  </si>
  <si>
    <t>TRINITY_DN445151_c2_g7</t>
  </si>
  <si>
    <t>TRINITY_DN363536_c0_g2</t>
  </si>
  <si>
    <t>TRINITY_DN443136_c3_g2</t>
  </si>
  <si>
    <t>TRINITY_DN217080_c0_g1</t>
  </si>
  <si>
    <t>TRINITY_DN451004_c3_g12</t>
  </si>
  <si>
    <t>TRINITY_DN454013_c2_g7</t>
  </si>
  <si>
    <t>TRINITY_DN249309_c0_g1</t>
  </si>
  <si>
    <t>TRINITY_DN433966_c0_g1</t>
  </si>
  <si>
    <t>TRINITY_DN440289_c5_g6</t>
  </si>
  <si>
    <t>TRINITY_DN452621_c4_g6</t>
  </si>
  <si>
    <t>TRINITY_DN251962_c0_g3</t>
  </si>
  <si>
    <t>TRINITY_DN342673_c0_g4</t>
  </si>
  <si>
    <t>TRINITY_DN362348_c0_g4</t>
  </si>
  <si>
    <t>TRINITY_DN441656_c2_g6</t>
  </si>
  <si>
    <t>TRINITY_DN456713_c9_g5</t>
  </si>
  <si>
    <t>TRINITY_DN352761_c0_g1</t>
  </si>
  <si>
    <t>TRINITY_DN443074_c1_g2</t>
  </si>
  <si>
    <t>TRINITY_DN401112_c3_g1</t>
  </si>
  <si>
    <t>TRINITY_DN429158_c0_g1</t>
  </si>
  <si>
    <t>TRINITY_DN449902_c3_g13</t>
  </si>
  <si>
    <t>TRINITY_DN410012_c6_g1</t>
  </si>
  <si>
    <t>TRINITY_DN450379_c1_g2</t>
  </si>
  <si>
    <t>TRINITY_DN410669_c0_g1</t>
  </si>
  <si>
    <t>TRINITY_DN430521_c7_g3</t>
  </si>
  <si>
    <t>TRINITY_DN248506_c0_g3</t>
  </si>
  <si>
    <t>TRINITY_DN451588_c3_g1</t>
  </si>
  <si>
    <t>TRINITY_DN408440_c3_g5</t>
  </si>
  <si>
    <t>TRINITY_DN421559_c1_g1</t>
  </si>
  <si>
    <t>TRINITY_DN455824_c0_g8</t>
  </si>
  <si>
    <t>TRINITY_DN452998_c0_g3</t>
  </si>
  <si>
    <t>TRINITY_DN455932_c1_g1</t>
  </si>
  <si>
    <t>TRINITY_DN453335_c2_g5</t>
  </si>
  <si>
    <t>TRINITY_DN391942_c0_g1</t>
  </si>
  <si>
    <t>TRINITY_DN202172_c0_g2</t>
  </si>
  <si>
    <t>TRINITY_DN417158_c0_g5</t>
  </si>
  <si>
    <t>TRINITY_DN330344_c0_g1</t>
  </si>
  <si>
    <t>TRINITY_DN373595_c0_g2</t>
  </si>
  <si>
    <t>TRINITY_DN354737_c0_g1</t>
  </si>
  <si>
    <t>TRINITY_DN341314_c0_g2</t>
  </si>
  <si>
    <t>TRINITY_DN383865_c0_g2</t>
  </si>
  <si>
    <t>TRINITY_DN424727_c0_g4</t>
  </si>
  <si>
    <t>TRINITY_DN450820_c6_g5</t>
  </si>
  <si>
    <t>TRINITY_DN456479_c23_g2</t>
  </si>
  <si>
    <t>TRINITY_DN422909_c3_g6</t>
  </si>
  <si>
    <t>TRINITY_DN428719_c0_g2</t>
  </si>
  <si>
    <t>TRINITY_DN440055_c0_g7</t>
  </si>
  <si>
    <t>TRINITY_DN451607_c1_g2</t>
  </si>
  <si>
    <t>TRINITY_DN452020_c1_g5</t>
  </si>
  <si>
    <t>TRINITY_DN440643_c1_g3</t>
  </si>
  <si>
    <t>TRINITY_DN432196_c3_g12</t>
  </si>
  <si>
    <t>TRINITY_DN447630_c1_g1</t>
  </si>
  <si>
    <t>TRINITY_DN429591_c3_g5</t>
  </si>
  <si>
    <t>TRINITY_DN436602_c4_g1</t>
  </si>
  <si>
    <t>TRINITY_DN432036_c0_g11</t>
  </si>
  <si>
    <t>TRINITY_DN434167_c1_g8</t>
  </si>
  <si>
    <t>TRINITY_DN355322_c0_g1</t>
  </si>
  <si>
    <t>TRINITY_DN439713_c2_g2</t>
  </si>
  <si>
    <t>TRINITY_DN440252_c1_g3</t>
  </si>
  <si>
    <t>TRINITY_DN448548_c3_g6</t>
  </si>
  <si>
    <t>TRINITY_DN418050_c8_g7</t>
  </si>
  <si>
    <t>TRINITY_DN447232_c2_g6</t>
  </si>
  <si>
    <t>TRINITY_DN440524_c1_g2</t>
  </si>
  <si>
    <t>TRINITY_DN417507_c0_g2</t>
  </si>
  <si>
    <t>TRINITY_DN423993_c0_g3</t>
  </si>
  <si>
    <t>TRINITY_DN438537_c3_g5</t>
  </si>
  <si>
    <t>TRINITY_DN405724_c2_g15</t>
  </si>
  <si>
    <t>TRINITY_DN408451_c2_g1</t>
  </si>
  <si>
    <t>TRINITY_DN441533_c1_g4</t>
  </si>
  <si>
    <t>TRINITY_DN447167_c2_g1</t>
  </si>
  <si>
    <t>TRINITY_DN432584_c1_g5</t>
  </si>
  <si>
    <t>TRINITY_DN245564_c1_g2</t>
  </si>
  <si>
    <t>TRINITY_DN257394_c0_g4</t>
  </si>
  <si>
    <t>TRINITY_DN441139_c4_g5</t>
  </si>
  <si>
    <t>TRINITY_DN454749_c4_g12</t>
  </si>
  <si>
    <t>TRINITY_DN408517_c2_g2</t>
  </si>
  <si>
    <t>TRINITY_DN428055_c4_g15</t>
  </si>
  <si>
    <t>TRINITY_DN437924_c0_g1</t>
  </si>
  <si>
    <t>TRINITY_DN443353_c1_g1</t>
  </si>
  <si>
    <t>TRINITY_DN316357_c0_g1</t>
  </si>
  <si>
    <t>TRINITY_DN453310_c3_g1</t>
  </si>
  <si>
    <t>TRINITY_DN437625_c0_g7</t>
  </si>
  <si>
    <t>TRINITY_DN220752_c0_g1</t>
  </si>
  <si>
    <t>TRINITY_DN413533_c1_g1</t>
  </si>
  <si>
    <t>TRINITY_DN274148_c0_g1</t>
  </si>
  <si>
    <t>TRINITY_DN417006_c4_g4</t>
  </si>
  <si>
    <t>TRINITY_DN412097_c0_g2</t>
  </si>
  <si>
    <t>TRINITY_DN435669_c1_g11</t>
  </si>
  <si>
    <t>TRINITY_DN450031_c1_g2</t>
  </si>
  <si>
    <t>TRINITY_DN427474_c0_g1</t>
  </si>
  <si>
    <t>TRINITY_DN414896_c0_g15</t>
  </si>
  <si>
    <t>TRINITY_DN435436_c6_g1</t>
  </si>
  <si>
    <t>TRINITY_DN415571_c0_g5</t>
  </si>
  <si>
    <t>TRINITY_DN416578_c2_g3</t>
  </si>
  <si>
    <t>TRINITY_DN380051_c0_g5</t>
  </si>
  <si>
    <t>TRINITY_DN428123_c1_g11</t>
  </si>
  <si>
    <t>TRINITY_DN431919_c1_g1</t>
  </si>
  <si>
    <t>TRINITY_DN423243_c1_g3</t>
  </si>
  <si>
    <t>TRINITY_DN452298_c0_g2</t>
  </si>
  <si>
    <t>TRINITY_DN439991_c1_g3</t>
  </si>
  <si>
    <t>TRINITY_DN428128_c0_g7</t>
  </si>
  <si>
    <t>TRINITY_DN455963_c2_g9</t>
  </si>
  <si>
    <t>TRINITY_DN240135_c0_g2</t>
  </si>
  <si>
    <t>TRINITY_DN447433_c2_g12</t>
  </si>
  <si>
    <t>TRINITY_DN435187_c2_g8</t>
  </si>
  <si>
    <t>TRINITY_DN454579_c2_g1</t>
  </si>
  <si>
    <t>TRINITY_DN451533_c2_g1</t>
  </si>
  <si>
    <t>TRINITY_DN451924_c2_g2</t>
  </si>
  <si>
    <t>TRINITY_DN339034_c0_g1</t>
  </si>
  <si>
    <t>TRINITY_DN411143_c3_g4</t>
  </si>
  <si>
    <t>TRINITY_DN455556_c13_g1</t>
  </si>
  <si>
    <t>TRINITY_DN409491_c2_g2</t>
  </si>
  <si>
    <t>TRINITY_DN408129_c0_g1</t>
  </si>
  <si>
    <t>TRINITY_DN450747_c0_g1</t>
  </si>
  <si>
    <t>TRINITY_DN400689_c0_g2</t>
  </si>
  <si>
    <t>TRINITY_DN454798_c4_g4</t>
  </si>
  <si>
    <t>TRINITY_DN382966_c0_g2</t>
  </si>
  <si>
    <t>TRINITY_DN434647_c1_g7</t>
  </si>
  <si>
    <t>TRINITY_DN423754_c3_g3</t>
  </si>
  <si>
    <t>TRINITY_DN454169_c5_g5</t>
  </si>
  <si>
    <t>TRINITY_DN405335_c5_g3</t>
  </si>
  <si>
    <t>TRINITY_DN455824_c2_g11</t>
  </si>
  <si>
    <t>TRINITY_DN240915_c0_g1</t>
  </si>
  <si>
    <t>TRINITY_DN350481_c0_g3</t>
  </si>
  <si>
    <t>TRINITY_DN445232_c1_g1</t>
  </si>
  <si>
    <t>TRINITY_DN393556_c0_g4</t>
  </si>
  <si>
    <t>TRINITY_DN280825_c0_g2</t>
  </si>
  <si>
    <t>TRINITY_DN433772_c5_g11</t>
  </si>
  <si>
    <t>TRINITY_DN408331_c1_g2</t>
  </si>
  <si>
    <t>TRINITY_DN450785_c1_g9</t>
  </si>
  <si>
    <t>TRINITY_DN450392_c4_g4</t>
  </si>
  <si>
    <t>TRINITY_DN456232_c5_g6</t>
  </si>
  <si>
    <t>TRINITY_DN423082_c2_g1</t>
  </si>
  <si>
    <t>TRINITY_DN444636_c0_g1</t>
  </si>
  <si>
    <t>TRINITY_DN415438_c2_g1</t>
  </si>
  <si>
    <t>TRINITY_DN428949_c0_g2</t>
  </si>
  <si>
    <t>TRINITY_DN418360_c2_g1</t>
  </si>
  <si>
    <t>TRINITY_DN438287_c1_g5</t>
  </si>
  <si>
    <t>TRINITY_DN447593_c2_g11</t>
  </si>
  <si>
    <t>TRINITY_DN455871_c2_g1</t>
  </si>
  <si>
    <t>TRINITY_DN249981_c0_g1</t>
  </si>
  <si>
    <t>TRINITY_DN454656_c3_g7</t>
  </si>
  <si>
    <t>TRINITY_DN316973_c0_g4</t>
  </si>
  <si>
    <t>TRINITY_DN435250_c1_g1</t>
  </si>
  <si>
    <t>TRINITY_DN455082_c14_g3</t>
  </si>
  <si>
    <t>TRINITY_DN450211_c1_g1</t>
  </si>
  <si>
    <t>TRINITY_DN303643_c0_g3</t>
  </si>
  <si>
    <t>TRINITY_DN242035_c0_g1</t>
  </si>
  <si>
    <t>TRINITY_DN340192_c1_g1</t>
  </si>
  <si>
    <t>TRINITY_DN440453_c1_g5</t>
  </si>
  <si>
    <t>TRINITY_DN416934_c2_g7</t>
  </si>
  <si>
    <t>TRINITY_DN455164_c5_g1</t>
  </si>
  <si>
    <t>TRINITY_DN444532_c2_g14</t>
  </si>
  <si>
    <t>TRINITY_DN375587_c0_g3</t>
  </si>
  <si>
    <t>TRINITY_DN426249_c1_g9</t>
  </si>
  <si>
    <t>TRINITY_DN422559_c3_g8</t>
  </si>
  <si>
    <t>TRINITY_DN441651_c0_g14</t>
  </si>
  <si>
    <t>TRINITY_DN251992_c0_g3</t>
  </si>
  <si>
    <t>TRINITY_DN399840_c0_g4</t>
  </si>
  <si>
    <t>TRINITY_DN448120_c1_g1</t>
  </si>
  <si>
    <t>TRINITY_DN436853_c1_g2</t>
  </si>
  <si>
    <t>TRINITY_DN446433_c1_g4</t>
  </si>
  <si>
    <t>TRINITY_DN402799_c7_g1</t>
  </si>
  <si>
    <t>TRINITY_DN449698_c5_g2</t>
  </si>
  <si>
    <t>TRINITY_DN389497_c3_g7</t>
  </si>
  <si>
    <t>TRINITY_DN439872_c3_g7</t>
  </si>
  <si>
    <t>TRINITY_DN447001_c1_g9</t>
  </si>
  <si>
    <t>TRINITY_DN417568_c1_g2</t>
  </si>
  <si>
    <t>TRINITY_DN415288_c1_g3</t>
  </si>
  <si>
    <t>TRINITY_DN438604_c1_g1</t>
  </si>
  <si>
    <t>TRINITY_DN295585_c0_g2</t>
  </si>
  <si>
    <t>TRINITY_DN425548_c2_g1</t>
  </si>
  <si>
    <t>TRINITY_DN250749_c0_g3</t>
  </si>
  <si>
    <t>TRINITY_DN454901_c2_g3</t>
  </si>
  <si>
    <t>TRINITY_DN425891_c0_g2</t>
  </si>
  <si>
    <t>TRINITY_DN425507_c1_g13</t>
  </si>
  <si>
    <t>TRINITY_DN351635_c0_g5</t>
  </si>
  <si>
    <t>TRINITY_DN134744_c0_g1</t>
  </si>
  <si>
    <t>TRINITY_DN439302_c1_g9</t>
  </si>
  <si>
    <t>TRINITY_DN396362_c0_g1</t>
  </si>
  <si>
    <t>TRINITY_DN446144_c0_g11</t>
  </si>
  <si>
    <t>TRINITY_DN387859_c0_g1</t>
  </si>
  <si>
    <t>TRINITY_DN359380_c0_g1</t>
  </si>
  <si>
    <t>TRINITY_DN438443_c6_g8</t>
  </si>
  <si>
    <t>TRINITY_DN427009_c0_g10</t>
  </si>
  <si>
    <t>TRINITY_DN407990_c0_g13</t>
  </si>
  <si>
    <t>TRINITY_DN440355_c3_g2</t>
  </si>
  <si>
    <t>TRINITY_DN436756_c1_g6</t>
  </si>
  <si>
    <t>TRINITY_DN393315_c0_g3</t>
  </si>
  <si>
    <t>TRINITY_DN425398_c8_g5</t>
  </si>
  <si>
    <t>TRINITY_DN442783_c4_g3</t>
  </si>
  <si>
    <t>TRINITY_DN298089_c0_g2</t>
  </si>
  <si>
    <t>TRINITY_DN456726_c16_g3</t>
  </si>
  <si>
    <t>TRINITY_DN347096_c0_g7</t>
  </si>
  <si>
    <t>TRINITY_DN438620_c1_g9</t>
  </si>
  <si>
    <t>TRINITY_DN449615_c3_g10</t>
  </si>
  <si>
    <t>TRINITY_DN438836_c2_g10</t>
  </si>
  <si>
    <t>TRINITY_DN421300_c0_g3</t>
  </si>
  <si>
    <t>TRINITY_DN420692_c1_g22</t>
  </si>
  <si>
    <t>TRINITY_DN388186_c1_g2</t>
  </si>
  <si>
    <t>TRINITY_DN411875_c1_g11</t>
  </si>
  <si>
    <t>TRINITY_DN438565_c2_g7</t>
  </si>
  <si>
    <t>TRINITY_DN447662_c1_g4</t>
  </si>
  <si>
    <t>TRINITY_DN442253_c1_g11</t>
  </si>
  <si>
    <t>TRINITY_DN252826_c0_g1</t>
  </si>
  <si>
    <t>TRINITY_DN422657_c0_g3</t>
  </si>
  <si>
    <t>TRINITY_DN421254_c3_g2</t>
  </si>
  <si>
    <t>TRINITY_DN448073_c0_g2</t>
  </si>
  <si>
    <t>TRINITY_DN433267_c1_g3</t>
  </si>
  <si>
    <t>TRINITY_DN24943_c0_g1</t>
  </si>
  <si>
    <t>TRINITY_DN409084_c0_g4</t>
  </si>
  <si>
    <t>TRINITY_DN427043_c1_g15</t>
  </si>
  <si>
    <t>TRINITY_DN456096_c8_g1</t>
  </si>
  <si>
    <t>TRINITY_DN410887_c1_g7</t>
  </si>
  <si>
    <t>TRINITY_DN348106_c0_g3</t>
  </si>
  <si>
    <t>TRINITY_DN404291_c1_g6</t>
  </si>
  <si>
    <t>TRINITY_DN447140_c2_g7</t>
  </si>
  <si>
    <t>TRINITY_DN400202_c2_g1</t>
  </si>
  <si>
    <t>TRINITY_DN428954_c7_g1</t>
  </si>
  <si>
    <t>TRINITY_DN421347_c0_g1</t>
  </si>
  <si>
    <t>TRINITY_DN385803_c1_g3</t>
  </si>
  <si>
    <t>TRINITY_DN186959_c0_g1</t>
  </si>
  <si>
    <t>TRINITY_DN443697_c1_g1</t>
  </si>
  <si>
    <t>TRINITY_DN444148_c1_g8</t>
  </si>
  <si>
    <t>TRINITY_DN451793_c4_g11</t>
  </si>
  <si>
    <t>TRINITY_DN335878_c0_g5</t>
  </si>
  <si>
    <t>TRINITY_DN407402_c3_g14</t>
  </si>
  <si>
    <t>TRINITY_DN430345_c6_g5</t>
  </si>
  <si>
    <t>TRINITY_DN396508_c11_g1</t>
  </si>
  <si>
    <t>TRINITY_DN380436_c0_g4</t>
  </si>
  <si>
    <t>TRINITY_DN449950_c0_g5</t>
  </si>
  <si>
    <t>TRINITY_DN351968_c0_g4</t>
  </si>
  <si>
    <t>TRINITY_DN454390_c4_g11</t>
  </si>
  <si>
    <t>TRINITY_DN162426_c0_g2</t>
  </si>
  <si>
    <t>TRINITY_DN426194_c0_g9</t>
  </si>
  <si>
    <t>TRINITY_DN290471_c0_g2</t>
  </si>
  <si>
    <t>TRINITY_DN219011_c0_g1</t>
  </si>
  <si>
    <t>TRINITY_DN428287_c0_g9</t>
  </si>
  <si>
    <t>TRINITY_DN455963_c2_g1</t>
  </si>
  <si>
    <t>TRINITY_DN416995_c0_g7</t>
  </si>
  <si>
    <t>TRINITY_DN281267_c0_g1</t>
  </si>
  <si>
    <t>TRINITY_DN419289_c4_g2</t>
  </si>
  <si>
    <t>TRINITY_DN417867_c1_g3</t>
  </si>
  <si>
    <t>TRINITY_DN275156_c0_g1</t>
  </si>
  <si>
    <t>TRINITY_DN393934_c0_g9</t>
  </si>
  <si>
    <t>TRINITY_DN440523_c2_g3</t>
  </si>
  <si>
    <t>TRINITY_DN434547_c3_g5</t>
  </si>
  <si>
    <t>TRINITY_DN434584_c2_g7</t>
  </si>
  <si>
    <t>TRINITY_DN140266_c0_g2</t>
  </si>
  <si>
    <t>TRINITY_DN449314_c2_g1</t>
  </si>
  <si>
    <t>TRINITY_DN450255_c1_g2</t>
  </si>
  <si>
    <t>TRINITY_DN311460_c0_g2</t>
  </si>
  <si>
    <t>TRINITY_DN456495_c21_g6</t>
  </si>
  <si>
    <t>TRINITY_DN441519_c0_g8</t>
  </si>
  <si>
    <t>TRINITY_DN442888_c0_g4</t>
  </si>
  <si>
    <t>TRINITY_DN392920_c0_g6</t>
  </si>
  <si>
    <t>TRINITY_DN258400_c0_g2</t>
  </si>
  <si>
    <t>TRINITY_DN430485_c0_g2</t>
  </si>
  <si>
    <t>TRINITY_DN271712_c0_g2</t>
  </si>
  <si>
    <t>TRINITY_DN411269_c1_g1</t>
  </si>
  <si>
    <t>TRINITY_DN398714_c1_g2</t>
  </si>
  <si>
    <t>TRINITY_DN421658_c0_g2</t>
  </si>
  <si>
    <t>TRINITY_DN525278_c0_g1</t>
  </si>
  <si>
    <t>TRINITY_DN447775_c0_g4</t>
  </si>
  <si>
    <t>TRINITY_DN417401_c0_g3</t>
  </si>
  <si>
    <t>TRINITY_DN443285_c1_g5</t>
  </si>
  <si>
    <t>TRINITY_DN529654_c0_g1</t>
  </si>
  <si>
    <t>TRINITY_DN432641_c0_g4</t>
  </si>
  <si>
    <t>TRINITY_DN301580_c0_g2</t>
  </si>
  <si>
    <t>TRINITY_DN397797_c2_g1</t>
  </si>
  <si>
    <t>TRINITY_DN415913_c1_g3</t>
  </si>
  <si>
    <t>TRINITY_DN440850_c0_g7</t>
  </si>
  <si>
    <t>TRINITY_DN400853_c1_g2</t>
  </si>
  <si>
    <t>TRINITY_DN246650_c0_g1</t>
  </si>
  <si>
    <t>TRINITY_DN371959_c0_g7</t>
  </si>
  <si>
    <t>TRINITY_DN409022_c0_g2</t>
  </si>
  <si>
    <t>TRINITY_DN455963_c2_g2</t>
  </si>
  <si>
    <t>TRINITY_DN114841_c0_g1</t>
  </si>
  <si>
    <t>TRINITY_DN417588_c0_g2</t>
  </si>
  <si>
    <t>TRINITY_DN434103_c0_g1</t>
  </si>
  <si>
    <t>TRINITY_DN450798_c2_g11</t>
  </si>
  <si>
    <t>TRINITY_DN426043_c4_g1</t>
  </si>
  <si>
    <t>TRINITY_DN874502_c0_g1</t>
  </si>
  <si>
    <t>TRINITY_DN447724_c2_g4</t>
  </si>
  <si>
    <t>TRINITY_DN369714_c0_g2</t>
  </si>
  <si>
    <t>TRINITY_DN408732_c1_g2</t>
  </si>
  <si>
    <t>TRINITY_DN450255_c1_g1</t>
  </si>
  <si>
    <t>TRINITY_DN363586_c0_g1</t>
  </si>
  <si>
    <t>TRINITY_DN456275_c5_g9</t>
  </si>
  <si>
    <t>TRINITY_DN311253_c0_g2</t>
  </si>
  <si>
    <t>TRINITY_DN400294_c1_g2</t>
  </si>
  <si>
    <t>TRINITY_DN367020_c0_g1</t>
  </si>
  <si>
    <t>TRINITY_DN452599_c1_g2</t>
  </si>
  <si>
    <t>TRINITY_DN424098_c3_g1</t>
  </si>
  <si>
    <t>TRINITY_DN436870_c0_g8</t>
  </si>
  <si>
    <t>TRINITY_DN437083_c4_g7</t>
  </si>
  <si>
    <t>TRINITY_DN431167_c2_g3</t>
  </si>
  <si>
    <t>TRINITY_DN421806_c2_g9</t>
  </si>
  <si>
    <t>TRINITY_DN287640_c0_g4</t>
  </si>
  <si>
    <t>TRINITY_DN409264_c1_g5</t>
  </si>
  <si>
    <t>TRINITY_DN422323_c0_g1</t>
  </si>
  <si>
    <t>TRINITY_DN437507_c0_g17</t>
  </si>
  <si>
    <t>TRINITY_DN407654_c0_g14</t>
  </si>
  <si>
    <t>TRINITY_DN423313_c6_g2</t>
  </si>
  <si>
    <t>TRINITY_DN405488_c0_g1</t>
  </si>
  <si>
    <t>TRINITY_DN438969_c1_g3</t>
  </si>
  <si>
    <t>TRINITY_DN165583_c0_g1</t>
  </si>
  <si>
    <t>TRINITY_DN418954_c7_g1</t>
  </si>
  <si>
    <t>TRINITY_DN414254_c0_g1</t>
  </si>
  <si>
    <t>TRINITY_DN456178_c7_g8</t>
  </si>
  <si>
    <t>TRINITY_DN453562_c1_g9</t>
  </si>
  <si>
    <t>TRINITY_DN453158_c1_g5</t>
  </si>
  <si>
    <t>TRINITY_DN432503_c6_g1</t>
  </si>
  <si>
    <t>TRINITY_DN453781_c5_g25</t>
  </si>
  <si>
    <t>TRINITY_DN276876_c0_g1</t>
  </si>
  <si>
    <t>TRINITY_DN417678_c3_g1</t>
  </si>
  <si>
    <t>TRINITY_DN455684_c4_g3</t>
  </si>
  <si>
    <t>K12404</t>
  </si>
  <si>
    <t>K02973,K03124</t>
  </si>
  <si>
    <t>K05635,K19636</t>
  </si>
  <si>
    <t>K00318</t>
  </si>
  <si>
    <t>K14074,K14075</t>
  </si>
  <si>
    <t>K11253,K11254</t>
  </si>
  <si>
    <t>K16857</t>
  </si>
  <si>
    <t>K01332,K01335</t>
  </si>
  <si>
    <t>K19031,K22144</t>
  </si>
  <si>
    <t>K06766</t>
  </si>
  <si>
    <t>K19619</t>
  </si>
  <si>
    <t>K05104,K05105,K05106,K05108,K05111,K05112,K05113</t>
  </si>
  <si>
    <t>K10449</t>
  </si>
  <si>
    <t>K16351,K19511</t>
  </si>
  <si>
    <t>K01367,K03853,K08573,K08578,K08585</t>
  </si>
  <si>
    <t>K10443</t>
  </si>
  <si>
    <t>K16910</t>
  </si>
  <si>
    <t>K11997,K12021,K12035</t>
  </si>
  <si>
    <t>K07375</t>
  </si>
  <si>
    <t>K07379,K07380</t>
  </si>
  <si>
    <t>K01868,K03234</t>
  </si>
  <si>
    <t>K16353,K16910</t>
  </si>
  <si>
    <t>K06467</t>
  </si>
  <si>
    <t>K03231</t>
  </si>
  <si>
    <t>K21294</t>
  </si>
  <si>
    <t>K02599,K20995</t>
  </si>
  <si>
    <t>K11593</t>
  </si>
  <si>
    <t>K05466,K05467,K09624</t>
  </si>
  <si>
    <t>K07605</t>
  </si>
  <si>
    <t>K03902</t>
  </si>
  <si>
    <t>K06819</t>
  </si>
  <si>
    <t>K13239,K17964</t>
  </si>
  <si>
    <t>K10421</t>
  </si>
  <si>
    <t>K14074,K14075,K19404</t>
  </si>
  <si>
    <t>K01565</t>
  </si>
  <si>
    <t>K12800</t>
  </si>
  <si>
    <t>K05699,K21073</t>
  </si>
  <si>
    <t>K04392,K07861</t>
  </si>
  <si>
    <t>K01156</t>
  </si>
  <si>
    <t>K17257</t>
  </si>
  <si>
    <t>K06773,K06774</t>
  </si>
  <si>
    <t>K12755,K12757</t>
  </si>
  <si>
    <t>K04967</t>
  </si>
  <si>
    <t>K17513</t>
  </si>
  <si>
    <t>K06085</t>
  </si>
  <si>
    <t>K10412</t>
  </si>
  <si>
    <t>K01596</t>
  </si>
  <si>
    <t>K06468</t>
  </si>
  <si>
    <t>K00544,K00547</t>
  </si>
  <si>
    <t>K12347,K21398</t>
  </si>
  <si>
    <t>K01278,K08674</t>
  </si>
  <si>
    <t>K01052,K14452,K19406</t>
  </si>
  <si>
    <t>K08504</t>
  </si>
  <si>
    <t>K08252</t>
  </si>
  <si>
    <t>K07827</t>
  </si>
  <si>
    <t>K06619</t>
  </si>
  <si>
    <t>K09657</t>
  </si>
  <si>
    <t>K00026</t>
  </si>
  <si>
    <t>K02576,K02577,K02578,K02579</t>
  </si>
  <si>
    <t>K04615</t>
  </si>
  <si>
    <t>K19410</t>
  </si>
  <si>
    <t>K06499</t>
  </si>
  <si>
    <t>K10349</t>
  </si>
  <si>
    <t>K08011</t>
  </si>
  <si>
    <t>K05104,K05105,K05106,K05108,K05110</t>
  </si>
  <si>
    <t>K15115</t>
  </si>
  <si>
    <t>K18655,K18656</t>
  </si>
  <si>
    <t>K08585</t>
  </si>
  <si>
    <t>K10478</t>
  </si>
  <si>
    <t>K20865</t>
  </si>
  <si>
    <t>GO:0002162,GO:0003674,GO:0005488,GO:0005515,GO:0005575,GO:0005576,GO:0005604,GO:0005605,GO:0031012,GO:0044420,GO:0044421,GO:0062023</t>
  </si>
  <si>
    <t>GO:0003008,GO:0005575,GO:0005623,GO:0005886,GO:0005929,GO:0007600,GO:0007605,GO:0008150,GO:0009986,GO:0016020,GO:0031090,GO:0031253,GO:0032420,GO:0032421,GO:0032501,GO:0042995,GO:0043005,GO:0043226,GO:0043227,GO:0044422,GO:0044425,GO:0044441,GO:0044459,GO:0044463,GO:0044464,GO:0050877,GO:0050954,GO:0060170,GO:0071944,GO:0097458,GO:0098588,GO:0098590,GO:0098858,GO:0098862,GO:0120025,GO:0120038</t>
  </si>
  <si>
    <t>GO:0003008,GO:0003012,GO:0005575,GO:0005576,GO:0005604,GO:0005622,GO:0005623,GO:0005737,GO:0005938,GO:0006936,GO:0006939,GO:0008150,GO:0009605,GO:0009607,GO:0009617,GO:0030054,GO:0030334,GO:0030335,GO:0031012,GO:0032501,GO:0032879,GO:0040012,GO:0040017,GO:0043207,GO:0044421,GO:0044424,GO:0044444,GO:0044464,GO:0048518,GO:0048522,GO:0050789,GO:0050794,GO:0050896,GO:0051270,GO:0051272,GO:0051704,GO:0051707,GO:0062023,GO:0065007,GO:0071944,GO:0099568,GO:2000145,GO:2000147</t>
  </si>
  <si>
    <t>GO:0003674,GO:0003824,GO:0004842,GO:0005488,GO:0005515,GO:0005575,GO:0005622,GO:0005623,GO:0005737,GO:0006464,GO:0006807,GO:0007275,GO:0007399,GO:0008022,GO:0008150,GO:0008152,GO:0009987,GO:0016567,GO:0016740,GO:0019538,GO:0019787,GO:0032446,GO:0032501,GO:0032502,GO:0036211,GO:0043170,GO:0043412,GO:0044237,GO:0044238,GO:0044260,GO:0044267,GO:0044424,GO:0044464,GO:0048731,GO:0048856,GO:0061630,GO:0061659,GO:0070647,GO:0071704,GO:0140096,GO:1901564</t>
  </si>
  <si>
    <t>GO:0005575,GO:0005622,GO:0005623,GO:0005737,GO:0005739,GO:0008150,GO:0019222,GO:0031323,GO:0043226,GO:0043227,GO:0043229,GO:0043231,GO:0043457,GO:0043467,GO:0044424,GO:0044444,GO:0044464,GO:0050789,GO:0050794,GO:0065007</t>
  </si>
  <si>
    <t>GO:0003674,GO:0003676,GO:0003723,GO:0003735,GO:0005198,GO:0005488,GO:0005575,GO:0005622,GO:0005623,GO:0005737,GO:0005829,GO:0005840,GO:0006417,GO:0006450,GO:0008150,GO:0009889,GO:0009891,GO:0009893,GO:0010468,GO:0010556,GO:0010557,GO:0010604,GO:0010608,GO:0010628,GO:0015935,GO:0019222,GO:0019843,GO:0022626,GO:0022627,GO:0031323,GO:0031325,GO:0031326,GO:0031328,GO:0032268,GO:0032270,GO:0032991,GO:0034248,GO:0034250,GO:0043226,GO:0043228,GO:0043229,GO:0043232,GO:0044391,GO:0044422,GO:0044424,GO:0044444,GO:0044445,GO:0044446,GO:0044464,GO:0045727,GO:0045903,GO:0048518,GO:0048522,GO:0050789,GO:0050794,GO:0051171,GO:0051173,GO:0051246,GO:0051247,GO:0060255,GO:0065007,GO:0065008,GO:0080090,GO:0097159,GO:1901363,GO:1990904,GO:1990932,GO:2000112</t>
  </si>
  <si>
    <t>GO:0005575,GO:0005623,GO:0005886,GO:0006810,GO:0006811,GO:0006820,GO:0006855,GO:0006869,GO:0008150,GO:0010876,GO:0015711,GO:0015718,GO:0015849,GO:0015850,GO:0015893,GO:0016020,GO:0033036,GO:0034220,GO:0034633,GO:0035461,GO:0042221,GO:0042493,GO:0044464,GO:0046864,GO:0046865,GO:0046942,GO:0050896,GO:0051179,GO:0051180,GO:0051234,GO:0055085,GO:0071702,GO:0071938,GO:0071939,GO:0071944,GO:0098656,GO:1903825,GO:1905039</t>
  </si>
  <si>
    <t>GO:0003674,GO:0003712,GO:0003713,GO:0005575,GO:0005622,GO:0005623,GO:0005634,GO:0005654,GO:0006355,GO:0006357,GO:0008150,GO:0009889,GO:0009891,GO:0009893,GO:0010468,GO:0010556,GO:0010557,GO:0010604,GO:0010628,GO:0019216,GO:0019219,GO:0019222,GO:0030374,GO:0031323,GO:0031325,GO:0031326,GO:0031328,GO:0031974,GO:0031981,GO:0043226,GO:0043227,GO:0043229,GO:0043231,GO:0043233,GO:0044422,GO:0044424,GO:0044428,GO:0044446,GO:0044464,GO:0045893,GO:0045935,GO:0045944,GO:0048518,GO:0048522,GO:0050789,GO:0050794,GO:0051171,GO:0051173,GO:0051252,GO:0051254,GO:0060255,GO:0065007,GO:0070013,GO:0080090,GO:0140110,GO:1902680,GO:1903506,GO:1903508,GO:2000112,GO:2001141</t>
  </si>
  <si>
    <t>GO:0001527,GO:0005575,GO:0005576,GO:0008150,GO:0009314,GO:0009411,GO:0009416,GO:0009628,GO:0009650,GO:0009987,GO:0010224,GO:0010712,GO:0016043,GO:0019222,GO:0022607,GO:0030198,GO:0031012,GO:0034644,GO:0043062,GO:0044085,GO:0044420,GO:0044421,GO:0048251,GO:0050789,GO:0050896,GO:0051716,GO:0065007,GO:0071214,GO:0071478,GO:0071482,GO:0071493,GO:0071840,GO:0071953,GO:0085029,GO:0097435,GO:0099080,GO:0099081,GO:0099512,GO:0104004</t>
  </si>
  <si>
    <t>GO:0003674,GO:0003824,GO:0004601,GO:0008150,GO:0008152,GO:0009636,GO:0009987,GO:0016209,GO:0016491,GO:0016684,GO:0042221,GO:0050896,GO:0051716,GO:0055114,GO:0070887,GO:0097237,GO:0098754,GO:0098869,GO:1990748</t>
  </si>
  <si>
    <t>GO:0003674,GO:0003824,GO:0004518,GO:0004519,GO:0004520,GO:0004527,GO:0004529,GO:0004536,GO:0005575,GO:0005622,GO:0005623,GO:0005634,GO:0006139,GO:0006259,GO:0006281,GO:0006298,GO:0006310,GO:0006725,GO:0006807,GO:0006950,GO:0006974,GO:0008150,GO:0008152,GO:0008297,GO:0008309,GO:0008409,GO:0009987,GO:0016787,GO:0016788,GO:0016796,GO:0016895,GO:0033554,GO:0034641,GO:0035312,GO:0043170,GO:0043226,GO:0043227,GO:0043229,GO:0043231,GO:0044237,GO:0044238,GO:0044260,GO:0044424,GO:0044464,GO:0045145,GO:0046483,GO:0048256,GO:0050896,GO:0051716,GO:0051908,GO:0071704,GO:0090304,GO:0090305,GO:0140097,GO:1901360</t>
  </si>
  <si>
    <t>GO:0003674,GO:0003824,GO:0004672,GO:0004674,GO:0004712,GO:0005575,GO:0005622,GO:0005623,GO:0005737,GO:0005829,GO:0006464,GO:0006468,GO:0006793,GO:0006796,GO:0006807,GO:0006996,GO:0007154,GO:0007165,GO:0008150,GO:0008152,GO:0009657,GO:0009658,GO:0009987,GO:0016043,GO:0016301,GO:0016310,GO:0016740,GO:0016772,GO:0016773,GO:0019538,GO:0023052,GO:0035556,GO:0036211,GO:0043170,GO:0043412,GO:0044237,GO:0044238,GO:0044260,GO:0044267,GO:0044424,GO:0044444,GO:0044464,GO:0050789,GO:0050794,GO:0050896,GO:0051716,GO:0065007,GO:0071704,GO:0071840,GO:0140096,GO:1901564</t>
  </si>
  <si>
    <t>GO:0003386,GO:0003387,GO:0003388,GO:0003389,GO:0003390,GO:0003391,GO:0005575,GO:0005623,GO:0005886,GO:0007275,GO:0007399,GO:0007423,GO:0008150,GO:0009987,GO:0016020,GO:0016043,GO:0016358,GO:0022008,GO:0030030,GO:0030154,GO:0030182,GO:0030425,GO:0031175,GO:0031252,GO:0031253,GO:0031256,GO:0032501,GO:0032502,GO:0032589,GO:0032590,GO:0036477,GO:0042995,GO:0043005,GO:0044425,GO:0044459,GO:0044463,GO:0044464,GO:0048468,GO:0048513,GO:0048666,GO:0048699,GO:0048731,GO:0048856,GO:0048869,GO:0071840,GO:0071944,GO:0097447,GO:0097458,GO:0098590,GO:0120025,GO:0120036,GO:0120038</t>
  </si>
  <si>
    <t>GO:0005575,GO:0007044,GO:0008150,GO:0009987,GO:0016043,GO:0022607,GO:0030054,GO:0030055,GO:0030056,GO:0031581,GO:0034329,GO:0034330,GO:0044085,GO:0071840</t>
  </si>
  <si>
    <t>GO:0003674,GO:0005215,GO:0005319,GO:0005488,GO:0005543,GO:0005548,GO:0005575,GO:0005622,GO:0005623,GO:0005737,GO:0005829,GO:0006066,GO:0006629,GO:0006644,GO:0006650,GO:0006656,GO:0006793,GO:0006796,GO:0006807,GO:0006810,GO:0006811,GO:0006820,GO:0006869,GO:0008150,GO:0008152,GO:0008202,GO:0008203,GO:0008289,GO:0008525,GO:0008610,GO:0008654,GO:0009058,GO:0009987,GO:0010876,GO:0015711,GO:0015748,GO:0015914,GO:0016125,GO:0019637,GO:0031210,GO:0033036,GO:0043167,GO:0043168,GO:0043169,GO:0044237,GO:0044238,GO:0044249,GO:0044255,GO:0044281,GO:0044424,GO:0044444,GO:0044464,GO:0045017,GO:0046470,GO:0046474,GO:0046486,GO:0050997,GO:0051179,GO:0051234,GO:0070405,GO:0071702,GO:0071704,GO:0090407,GO:0097164,GO:1901360,GO:1901564,GO:1901566,GO:1901576,GO:1901615,GO:1902652</t>
  </si>
  <si>
    <t>GO:0003674,GO:0003824,GO:0004844,GO:0006139,GO:0006259,GO:0006281,GO:0006284,GO:0006285,GO:0006725,GO:0006807,GO:0006950,GO:0006974,GO:0008150,GO:0008152,GO:0009987,GO:0016787,GO:0016798,GO:0016799,GO:0019104,GO:0033554,GO:0034641,GO:0043170,GO:0044237,GO:0044238,GO:0044260,GO:0046483,GO:0050896,GO:0051716,GO:0071704,GO:0090304,GO:0097506,GO:0097510,GO:0140097,GO:1901360</t>
  </si>
  <si>
    <t>GO:0003674,GO:0003824,GO:0004553,GO:0004565,GO:0005575,GO:0005622,GO:0005623,GO:0005737,GO:0005773,GO:0015925,GO:0016787,GO:0016798,GO:0043226,GO:0043227,GO:0043229,GO:0043231,GO:0044424,GO:0044444,GO:0044464</t>
  </si>
  <si>
    <t>GO:0000095,GO:0003674,GO:0005215,GO:0005575,GO:0005622,GO:0005623,GO:0005737,GO:0005739,GO:0005740,GO:0005743,GO:0006810,GO:0006839,GO:0006855,GO:0008150,GO:0015238,GO:0015805,GO:0015893,GO:0016020,GO:0016021,GO:0019866,GO:0022857,GO:0031090,GO:0031224,GO:0031966,GO:0031967,GO:0031975,GO:0042221,GO:0042493,GO:0043226,GO:0043227,GO:0043229,GO:0043231,GO:0044422,GO:0044424,GO:0044425,GO:0044429,GO:0044444,GO:0044446,GO:0044464,GO:0050896,GO:0051179,GO:0051181,GO:0051182,GO:0051184,GO:0051185,GO:0051234,GO:0055085,GO:0071702,GO:0072348,GO:1901682,GO:1901962</t>
  </si>
  <si>
    <t>GO:0003674,GO:0003824,GO:0004165,GO:0005575,GO:0005622,GO:0005623,GO:0005737,GO:0005777,GO:0006950,GO:0006952,GO:0008150,GO:0009605,GO:0009607,GO:0009617,GO:0016853,GO:0016860,GO:0016863,GO:0042579,GO:0042742,GO:0043207,GO:0043226,GO:0043227,GO:0043229,GO:0043231,GO:0044424,GO:0044444,GO:0044464,GO:0050829,GO:0050896,GO:0051704,GO:0051707,GO:0098542</t>
  </si>
  <si>
    <t>GO:0000323,GO:0003674,GO:0003824,GO:0005575,GO:0005622,GO:0005623,GO:0005737,GO:0005764,GO:0005773,GO:0005775,GO:0006022,GO:0006026,GO:0006027,GO:0006029,GO:0006516,GO:0006807,GO:0008150,GO:0008152,GO:0009056,GO:0009057,GO:0009100,GO:0009987,GO:0016250,GO:0016787,GO:0016826,GO:0019538,GO:0030163,GO:0030167,GO:0030200,GO:0030201,GO:0030203,GO:0031974,GO:0043170,GO:0043202,GO:0043226,GO:0043227,GO:0043229,GO:0043231,GO:0043233,GO:0044237,GO:0044238,GO:0044248,GO:0044260,GO:0044265,GO:0044422,GO:0044424,GO:0044437,GO:0044444,GO:0044446,GO:0044464,GO:0070013,GO:0071704,GO:1901135,GO:1901136,GO:1901564,GO:1901565,GO:1901575</t>
  </si>
  <si>
    <t>GO:0008150,GO:0016032,GO:0019058,GO:0019079,GO:0039693,GO:0044403,GO:0044419,GO:0051704</t>
  </si>
  <si>
    <t>GO:0005575,GO:0005623,GO:0005886,GO:0016020,GO:0016324,GO:0016328,GO:0044425,GO:0044459,GO:0044464,GO:0045177,GO:0071944,GO:0098590</t>
  </si>
  <si>
    <t>GO:0005575,GO:0005622,GO:0005623,GO:0005737,GO:0005783,GO:0005789,GO:0006464,GO:0006486,GO:0006487,GO:0006807,GO:0008150,GO:0008152,GO:0008250,GO:0009058,GO:0009059,GO:0009100,GO:0009101,GO:0009987,GO:0012505,GO:0016020,GO:0018193,GO:0018196,GO:0018279,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t>
  </si>
  <si>
    <t>GO:0000166,GO:0003674,GO:0005488,GO:0005575,GO:0005623,GO:0005886,GO:0008144,GO:0016020,GO:0016208,GO:0017076,GO:0030554,GO:0032553,GO:0032555,GO:0032559,GO:0036094,GO:0043167,GO:0043168,GO:0043169,GO:0044464,GO:0071944,GO:0097159,GO:0097367,GO:1901265,GO:1901363</t>
  </si>
  <si>
    <t>GO:0003674,GO:0005488,GO:0005509,GO:0005515,GO:0005575,GO:0005622,GO:0005623,GO:0005634,GO:0005737,GO:0005856,GO:0006928,GO:0008092,GO:0008150,GO:0009987,GO:0015629,GO:0016459,GO:0016461,GO:0017022,GO:0030029,GO:0030048,GO:0031476,GO:0032028,GO:0032036,GO:0032991,GO:0043167,GO:0043169,GO:0043226,GO:0043227,GO:0043228,GO:0043229,GO:0043231,GO:0043232,GO:0044422,GO:0044424,GO:0044430,GO:0044446,GO:0044464,GO:0046872,GO:0070853,GO:0070854,GO:0070855,GO:0070864,GO:0070865</t>
  </si>
  <si>
    <t>GO:0003674,GO:0003824,GO:0005488,GO:0005515,GO:0005575,GO:0005622,GO:0005623,GO:0005856,GO:0005875,GO:0006928,GO:0007017,GO:0007018,GO:0008092,GO:0008150,GO:0009987,GO:0015630,GO:0016462,GO:0016787,GO:0016817,GO:0016818,GO:0016887,GO:0017111,GO:0030286,GO:0032781,GO:0032991,GO:0042623,GO:0043085,GO:0043226,GO:0043228,GO:0043229,GO:0043232,GO:0043462,GO:0044093,GO:0044422,GO:0044424,GO:0044430,GO:0044446,GO:0044464,GO:0045505,GO:0050790,GO:0051336,GO:0051345,GO:0051959,GO:0065007,GO:0065009,GO:1902494,GO:2000574,GO:2000576,GO:2000580,GO:2000582</t>
  </si>
  <si>
    <t>GO:0000149,GO:0003674,GO:0005484,GO:0005488,GO:0005515,GO:0005575,GO:0005622,GO:0005623,GO:0005737,GO:0006810,GO:0006888,GO:0008150,GO:0009987,GO:0016020,GO:0016043,GO:0016192,GO:0019905,GO:0031201,GO:0032991,GO:0044424,GO:0044425,GO:0044444,GO:0044464,GO:0046907,GO:0048193,GO:0051179,GO:0051234,GO:0051641,GO:0051649,GO:0061024,GO:0061025,GO:0071840,GO:0098796</t>
  </si>
  <si>
    <t>GO:0003674,GO:0003824,GO:0004672,GO:0004713,GO:0005575,GO:0005623,GO:0005886,GO:0005887,GO:0006464,GO:0006468,GO:0006793,GO:0006796,GO:0006807,GO:0006950,GO:0006996,GO:0007030,GO:0007155,GO:0008150,GO:0008152,GO:0008361,GO:0009611,GO:0009987,GO:0010256,GO:0016020,GO:0016021,GO:0016043,GO:0016301,GO:0016310,GO:0016339,GO:0016740,GO:0016772,GO:0016773,GO:0018108,GO:0018193,GO:0018212,GO:0019538,GO:0022610,GO:0031224,GO:0031226,GO:0032535,GO:0036211,GO:0042060,GO:0043170,GO:0043412,GO:0044237,GO:0044238,GO:0044260,GO:0044267,GO:0044425,GO:0044459,GO:0044464,GO:0045177,GO:0045792,GO:0048518,GO:0048583,GO:0048584,GO:0050789,GO:0050896,GO:0061041,GO:0065007,GO:0065008,GO:0071704,GO:0071840,GO:0071944,GO:0080134,GO:0090066,GO:0090303,GO:0098609,GO:0098742,GO:0140096,GO:1901564,GO:1903034,GO:1903036</t>
  </si>
  <si>
    <t>GO:0005575,GO:0005622,GO:0005623,GO:0005737,GO:0009507,GO:0009536,GO:0043226,GO:0043227,GO:0043229,GO:0043231,GO:0044424,GO:0044444,GO:0044464</t>
  </si>
  <si>
    <t>GO:0003674,GO:0005488,GO:0005575,GO:0005622,GO:0005623,GO:0005634,GO:0005654,GO:0005737,GO:0005783,GO:0005794,GO:0005829,GO:0007275,GO:0007399,GO:0007417,GO:0007420,GO:0008150,GO:0008283,GO:0009987,GO:0012505,GO:0016043,GO:0021534,GO:0021924,GO:0021930,GO:0022607,GO:0030902,GO:0031974,GO:0031981,GO:0032501,GO:0032502,GO:0034622,GO:0043226,GO:0043227,GO:0043229,GO:0043231,GO:0043233,GO:0043248,GO:0043933,GO:0044085,GO:0044422,GO:0044424,GO:0044428,GO:0044444,GO:0044446,GO:0044464,GO:0044877,GO:0048513,GO:0048731,GO:0048856,GO:0060322,GO:0061351,GO:0065003,GO:0070013,GO:0070628,GO:0071840,GO:0080129</t>
  </si>
  <si>
    <t>GO:0003674,GO:0005488,GO:0005506,GO:0005515,GO:0005575,GO:0005622,GO:0005623,GO:0005737,GO:0006873,GO:0006875,GO:0006879,GO:0006880,GO:0006950,GO:0006952,GO:0007154,GO:0008150,GO:0009267,GO:0009605,GO:0009607,GO:0009617,GO:0009987,GO:0009991,GO:0010106,GO:0019725,GO:0030003,GO:0031667,GO:0031668,GO:0031669,GO:0033554,GO:0042592,GO:0042594,GO:0042742,GO:0042802,GO:0043167,GO:0043169,GO:0043207,GO:0044424,GO:0044464,GO:0046872,GO:0046914,GO:0046916,GO:0048878,GO:0050801,GO:0050830,GO:0050896,GO:0051179,GO:0051235,GO:0051238,GO:0051641,GO:0051651,GO:0051704,GO:0051707,GO:0051716,GO:0055065,GO:0055072,GO:0055076,GO:0055080,GO:0055082,GO:0065007,GO:0065008,GO:0071496,GO:0097577,GO:0098542,GO:0098771</t>
  </si>
  <si>
    <t>GO:0003008,GO:0003012,GO:0005575,GO:0005576,GO:0005604,GO:0005622,GO:0005623,GO:0005737,GO:0005938,GO:0006936,GO:0006939,GO:0008150,GO:0030054,GO:0030334,GO:0030335,GO:0031012,GO:0032501,GO:0032879,GO:0040012,GO:0040017,GO:0044421,GO:0044424,GO:0044444,GO:0044464,GO:0048518,GO:0048522,GO:0050789,GO:0050794,GO:0051270,GO:0051272,GO:0062023,GO:0065007,GO:0071944,GO:0099568,GO:2000145,GO:2000147</t>
  </si>
  <si>
    <t>GO:0003674,GO:0003824,GO:0004411,GO:0005488,GO:0005515,GO:0005575,GO:0005622,GO:0005623,GO:0005737,GO:0005829,GO:0006082,GO:0006520,GO:0006558,GO:0006559,GO:0006570,GO:0006572,GO:0006725,GO:0006807,GO:0008150,GO:0008152,GO:0009056,GO:0009063,GO:0009072,GO:0009074,GO:0009987,GO:0016054,GO:0016491,GO:0016701,GO:0016702,GO:0017144,GO:0019439,GO:0019752,GO:0042737,GO:0042802,GO:0043436,GO:0044237,GO:0044238,GO:0044248,GO:0044281,GO:0044282,GO:0044424,GO:0044444,GO:0044464,GO:0046395,GO:0051213,GO:0055114,GO:0071704,GO:1901360,GO:1901361,GO:1901564,GO:1901565,GO:1901575,GO:1901605,GO:1901606,GO:1902221,GO:1902222</t>
  </si>
  <si>
    <t>GO:0003674,GO:0003824,GO:0005575,GO:0005622,GO:0005623,GO:0005737,GO:0005783,GO:0005789,GO:0006464,GO:0006486,GO:0006487,GO:0006490,GO:0006629,GO:0006807,GO:0008150,GO:0008152,GO:0009058,GO:0009059,GO:0009100,GO:0009101,GO:0009987,GO:0012505,GO:0016020,GO:0016740,GO:0016757,GO:0016758,GO:0019538,GO:0031984,GO:0034645,GO:0036211,GO:0042175,GO:0042281,GO:0043170,GO:0043226,GO:0043227,GO:0043229,GO:0043231,GO:0043412,GO:0043413,GO:0044237,GO:0044238,GO:0044249,GO:0044255,GO:0044260,GO:0044267,GO:0044422,GO:0044424,GO:0044425,GO:0044432,GO:0044444,GO:0044446,GO:0044464,GO:0046527,GO:0070085,GO:0071704,GO:0098827,GO:1901135,GO:1901137,GO:1901564,GO:1901566,GO:1901576</t>
  </si>
  <si>
    <t>GO:0000139,GO:0002790,GO:0003674,GO:0005215,GO:0005488,GO:0005515,GO:0005575,GO:0005622,GO:0005623,GO:0005634,GO:0005654,GO:0005737,GO:0005768,GO:0005769,GO:0005794,GO:0005802,GO:0005829,GO:0006807,GO:0006810,GO:0006886,GO:0006892,GO:0008104,GO:0008150,GO:0008152,GO:0008565,GO:0009306,GO:0009893,GO:0009894,GO:0009896,GO:0009987,GO:0010008,GO:0010604,GO:0012505,GO:0015031,GO:0015833,GO:0016020,GO:0016192,GO:0019222,GO:0019538,GO:0019899,GO:0030135,GO:0030136,GO:0030276,GO:0030306,GO:0031090,GO:0031267,GO:0031410,GO:0031901,GO:0031974,GO:0031981,GO:0031982,GO:0031984,GO:0032050,GO:0032588,GO:0032940,GO:0032991,GO:0033036,GO:0034613,GO:0042176,GO:0042886,GO:0043170,GO:0043226,GO:0043227,GO:0043229,GO:0043231,GO:0043233,GO:0044237,GO:0044238,GO:0044260,GO:0044267,GO:0044422,GO:0044424,GO:0044428,GO:0044431,GO:0044433,GO:0044440,GO:0044444,GO:0044446,GO:0044464,GO:0045184,GO:0045732,GO:0046903,GO:0046907,GO:0046982,GO:0046983,GO:0047485,GO:0048193,GO:0048471,GO:0048518,GO:0050789,GO:0051020,GO:0051171,GO:0051173,GO:0051179,GO:0051234,GO:0051246,GO:0051247,GO:0051641,GO:0051649,GO:0060255,GO:0065007,GO:0070013,GO:0070727,GO:0071702,GO:0071704,GO:0071705,GO:0080090,GO:0097708,GO:0098588,GO:0098791,GO:0098805,GO:1901564,GO:1901998</t>
  </si>
  <si>
    <t>GO:0000003,GO:0001666,GO:0003674,GO:0003824,GO:0005488,GO:0005575,GO:0005622,GO:0005623,GO:0005737,GO:0005739,GO:0005740,GO:0005743,GO:0005746,GO:0005750,GO:0006091,GO:0006119,GO:0006122,GO:0006139,GO:0006163,GO:0006725,GO:0006753,GO:0006793,GO:0006796,GO:0006807,GO:0006810,GO:0006811,GO:0006812,GO:0006950,GO:0006970,GO:0006972,GO:0006979,GO:0007275,GO:0007276,GO:0007283,GO:0007584,GO:0008121,GO:0008150,GO:0008152,GO:0009055,GO:0009117,GO:0009123,GO:0009126,GO:0009141,GO:0009144,GO:0009150,GO:0009161,GO:0009167,GO:0009199,GO:0009205,GO:0009259,GO:0009266,GO:0009408,GO:0009605,GO:0009628,GO:0009636,GO:0009651,GO:0009719,GO:0009725,GO:0009987,GO:0009991,GO:0010033,GO:0010035,GO:0010038,GO:0010243,GO:0014070,GO:0015672,GO:0015980,GO:0015988,GO:0015990,GO:0016020,GO:0016021,GO:0016310,GO:0016491,GO:0016679,GO:0016681,GO:0017144,GO:0019637,GO:0019693,GO:0019866,GO:0019953,GO:0020037,GO:0022414,GO:0022900,GO:0022904,GO:0031090,GO:0031099,GO:0031100,GO:0031224,GO:0031300,GO:0031301,GO:0031304,GO:0031305,GO:0031667,GO:0031966,GO:0031967,GO:0031975,GO:0032501,GO:0032502,GO:0032504,GO:0032592,GO:0032991,GO:0033273,GO:0033590,GO:0033762,GO:0034220,GO:0034641,GO:0036293,GO:0036296,GO:0042221,GO:0042493,GO:0042538,GO:0042773,GO:0042775,GO:0043226,GO:0043227,GO:0043229,GO:0043231,GO:0043434,GO:0044237,GO:0044238,GO:0044281,GO:0044422,GO:0044424,GO:0044425,GO:0044429,GO:0044444,GO:0044446,GO:0044455,GO:0044464,GO:0044703,GO:0044877,GO:0045275,GO:0045333,GO:0045471,GO:0046034,GO:0046483,GO:0046677,GO:0046686,GO:0046688,GO:0046689,GO:0046906,GO:0048037,GO:0048038,GO:0048039,GO:0048232,GO:0048513,GO:0048609,GO:0048731,GO:0048856,GO:0050896,GO:0051179,GO:0051234,GO:0051592,GO:0051704,GO:0055085,GO:0055086,GO:0055093,GO:0055114,GO:0070069,GO:0070469,GO:0070482,GO:0071704,GO:0072521,GO:0097159,GO:0097305,GO:0098573,GO:0098655,GO:0098660,GO:0098662,GO:0098796,GO:0098798,GO:0098800,GO:0098803,GO:1901135,GO:1901360,GO:1901363,GO:1901564,GO:1901652,GO:1901698,GO:1901700,GO:1902494,GO:1902600,GO:1990204</t>
  </si>
  <si>
    <t>GO:0000184,GO:0000462,GO:0000956,GO:0001666,GO:0002181,GO:0003674,GO:0003735,GO:0005198,GO:0005575,GO:0005622,GO:0005623,GO:0005634,GO:0005654,GO:0005737,GO:0005783,GO:0005789,GO:0005791,GO:0005829,GO:0005840,GO:0005844,GO:0006139,GO:0006355,GO:0006357,GO:0006364,GO:0006396,GO:0006401,GO:0006402,GO:0006412,GO:0006413,GO:0006417,GO:0006450,GO:0006518,GO:0006605,GO:0006606,GO:0006612,GO:0006613,GO:0006614,GO:0006725,GO:0006807,GO:0006810,GO:0006886,GO:0006913,GO:0006950,GO:0006996,GO:0008104,GO:0008150,GO:0008152,GO:0009056,GO:0009057,GO:0009058,GO:0009059,GO:0009628,GO:0009889,GO:0009891,GO:0009892,GO:0009893,GO:0009966,GO:0009967,GO:0009987,GO:0010467,GO:0010468,GO:0010556,GO:0010557,GO:0010604,GO:0010605,GO:0010608,GO:0010628,GO:0010629,GO:0010646,GO:0010647,GO:0012505,GO:0015031,GO:0015833,GO:0015935,GO:0016020,GO:0016043,GO:0016070,GO:0016071,GO:0016072,GO:0017038,GO:0019219,GO:0019222,GO:0019439,GO:0019538,GO:0022607,GO:0022613,GO:0022618,GO:0022626,GO:0022627,GO:0023051,GO:0023056,GO:0030490,GO:0030867,GO:0031090,GO:0031323,GO:0031325,GO:0031326,GO:0031328,GO:0031974,GO:0031981,GO:0031984,GO:0032268,GO:0032991,GO:0033036,GO:0033365,GO:0033554,GO:0034063,GO:0034248,GO:0034470,GO:0034504,GO:0034613,GO:0034622,GO:0034641,GO:0034645,GO:0034655,GO:0034660,GO:0036293,GO:0036294,GO:0042175,GO:0042221,GO:0042254,GO:0042274,GO:0042788,GO:0042886,GO:0043043,GO:0043170,GO:0043226,GO:0043227,GO:0043228,GO:0043229,GO:0043231,GO:0043232,GO:0043233,GO:0043603,GO:0043604,GO:0043933,GO:0044085,GO:0044237,GO:0044238,GO:0044248,GO:0044249,GO:0044260,GO:0044265,GO:0044267,GO:0044270,GO:0044271,GO:0044391,GO:0044422,GO:0044424,GO:0044425,GO:0044428,GO:0044432,GO:0044444,GO:0044445,GO:0044446,GO:0044464,GO:0045047,GO:0045182,GO:0045184,GO:0045893,GO:0045935,GO:0045944,GO:0046483,GO:0046700,GO:0046907,GO:0048518,GO:0048519,GO:0048522,GO:0048583,GO:0048584,GO:0050789,GO:0050794,GO:0050896,GO:0051169,GO:0051170,GO:0051171,GO:0051173,GO:0051179,GO:0051234,GO:0051246,GO:0051252,GO:0051254,GO:0051641,GO:0051649,GO:0051716,GO:0060255,GO:0065003,GO:0065007,GO:0065008,GO:0070013,GO:0070482,GO:0070727,GO:0070887,GO:0070925,GO:0070972,GO:0071453,GO:0071456,GO:0071702,GO:0071704,GO:0071705,GO:0071826,GO:0071840,GO:0072594,GO:0072599,GO:0072657,GO:0080090,GO:0080134,GO:0080135,GO:0090150,GO:0090304,GO:0098552,GO:0098554,GO:0098556,GO:0098562,GO:0098588,GO:0098827,GO:1901360,GO:1901361,GO:1901564,GO:1901566,GO:1901575,GO:1901576,GO:1902680,GO:1903506,GO:1903508,GO:1990145,GO:1990904,GO:2000112,GO:2000638,GO:2000640,GO:2001141</t>
  </si>
  <si>
    <t>GO:0000228,GO:0000775,GO:0000776,GO:0000785,GO:0000786,GO:0000788,GO:0000790,GO:0003674,GO:0003676,GO:0003677,GO:0005488,GO:0005515,GO:0005575,GO:0005622,GO:0005623,GO:0005634,GO:0005694,GO:0006323,GO:0006325,GO:0006333,GO:0006334,GO:0006996,GO:0008104,GO:0008150,GO:0009987,GO:0010035,GO:0010038,GO:0016043,GO:0022607,GO:0031497,GO:0031974,GO:0031981,GO:0032991,GO:0032993,GO:0033036,GO:0033365,GO:0034501,GO:0034502,GO:0034508,GO:0034613,GO:0034622,GO:0034728,GO:0042221,GO:0042393,GO:0043226,GO:0043227,GO:0043228,GO:0043229,GO:0043231,GO:0043232,GO:0043233,GO:0043933,GO:0044085,GO:0044422,GO:0044424,GO:0044427,GO:0044428,GO:0044446,GO:0044454,GO:0044464,GO:0044815,GO:0046689,GO:0050896,GO:0051179,GO:0051276,GO:0051382,GO:0051383,GO:0051641,GO:0065003,GO:0065004,GO:0070013,GO:0070727,GO:0070925,GO:0071103,GO:0071459,GO:0071824,GO:0071840,GO:0097159,GO:0098687,GO:1901363,GO:1903394</t>
  </si>
  <si>
    <t>GO:0000228,GO:0000785,GO:0000790,GO:0003674,GO:0003676,GO:0003677,GO:0005488,GO:0005575,GO:0005622,GO:0005623,GO:0005634,GO:0005694,GO:0006325,GO:0006342,GO:0006355,GO:0006996,GO:0008150,GO:0009889,GO:0009890,GO:0009892,GO:0009987,GO:0010468,GO:0010556,GO:0010558,GO:0010605,GO:0010629,GO:0016043,GO:0016458,GO:0019219,GO:0019222,GO:0031323,GO:0031324,GO:0031326,GO:0031327,GO:0031974,GO:0031981,GO:0040029,GO:0043226,GO:0043227,GO:0043228,GO:0043229,GO:0043231,GO:0043232,GO:0043233,GO:0044422,GO:0044424,GO:0044427,GO:0044428,GO:0044446,GO:0044454,GO:0044464,GO:0045814,GO:0045892,GO:0045934,GO:0048519,GO:0048523,GO:0050789,GO:0050794,GO:0051171,GO:0051172,GO:0051252,GO:0051253,GO:0051276,GO:0060255,GO:0065007,GO:0070013,GO:0071840,GO:0080090,GO:0097159,GO:1901363,GO:1902679,GO:1903506,GO:1903507,GO:2000112,GO:2000113,GO:2001141</t>
  </si>
  <si>
    <t>GO:0001654,GO:0001786,GO:0003008,GO:0003407,GO:0003674,GO:0005488,GO:0005543,GO:0005546,GO:0005547,GO:0005575,GO:0005576,GO:0005615,GO:0005623,GO:0005886,GO:0007154,GO:0007155,GO:0007165,GO:0007186,GO:0007275,GO:0007423,GO:0007600,GO:0007601,GO:0007602,GO:0007603,GO:0008150,GO:0008289,GO:0009314,GO:0009416,GO:0009581,GO:0009582,GO:0009583,GO:0009584,GO:0009605,GO:0009628,GO:0009642,GO:0009653,GO:0009887,GO:0009966,GO:0009987,GO:0010314,GO:0010646,GO:0010842,GO:0016020,GO:0016043,GO:0016056,GO:0016062,GO:0019897,GO:0019898,GO:0022607,GO:0022610,GO:0023051,GO:0023052,GO:0023058,GO:0030246,GO:0032266,GO:0032501,GO:0032502,GO:0035091,GO:0036367,GO:0043010,GO:0043167,GO:0043168,GO:0043325,GO:0043933,GO:0044085,GO:0044421,GO:0044425,GO:0044459,GO:0044464,GO:0048513,GO:0048583,GO:0048592,GO:0048593,GO:0048646,GO:0048731,GO:0048856,GO:0050789,GO:0050794,GO:0050877,GO:0050896,GO:0050953,GO:0051259,GO:0051260,GO:0051606,GO:0051716,GO:0060041,GO:0060042,GO:0065003,GO:0065007,GO:0070273,GO:0070492,GO:0071214,GO:0071478,GO:0071482,GO:0071840,GO:0071944,GO:0072341,GO:0080025,GO:0090596,GO:0104004,GO:1901981,GO:1902936</t>
  </si>
  <si>
    <t>GO:0000184,GO:0000956,GO:0002181,GO:0002262,GO:0002376,GO:0002520,GO:0003674,GO:0003735,GO:0005198,GO:0005575,GO:0005622,GO:0005623,GO:0005737,GO:0005783,GO:0005789,GO:0005791,GO:0005829,GO:0005840,GO:0006139,GO:0006364,GO:0006396,GO:0006401,GO:0006402,GO:0006412,GO:0006413,GO:0006518,GO:0006605,GO:0006612,GO:0006613,GO:0006614,GO:0006725,GO:0006807,GO:0006810,GO:0006886,GO:0007275,GO:0008104,GO:0008150,GO:0008152,GO:0009056,GO:0009057,GO:0009058,GO:0009059,GO:0009719,GO:0009725,GO:0009892,GO:0009987,GO:0010033,GO:0010467,GO:0010468,GO:0010605,GO:0010629,GO:0012505,GO:0014070,GO:0015031,GO:0015833,GO:0015934,GO:0016020,GO:0016070,GO:0016071,GO:0016072,GO:0019222,GO:0019439,GO:0019538,GO:0022613,GO:0022625,GO:0022626,GO:0030097,GO:0030099,GO:0030154,GO:0030218,GO:0030867,GO:0031090,GO:0031960,GO:0031984,GO:0032501,GO:0032502,GO:0032991,GO:0033036,GO:0033365,GO:0033993,GO:0034101,GO:0034470,GO:0034613,GO:0034641,GO:0034645,GO:0034655,GO:0034660,GO:0042175,GO:0042221,GO:0042254,GO:0042592,GO:0042886,GO:0043043,GO:0043170,GO:0043226,GO:0043227,GO:0043228,GO:0043229,GO:0043231,GO:0043232,GO:0043603,GO:0043604,GO:0044085,GO:0044237,GO:0044238,GO:0044248,GO:0044249,GO:0044260,GO:0044265,GO:0044267,GO:0044270,GO:0044271,GO:0044391,GO:0044422,GO:0044424,GO:0044425,GO:0044432,GO:0044444,GO:0044445,GO:0044446,GO:0044464,GO:0045047,GO:0045184,GO:0046483,GO:0046700,GO:0046907,GO:0048513,GO:0048519,GO:0048534,GO:0048545,GO:0048731,GO:0048856,GO:0048869,GO:0048872,GO:0050789,GO:0050896,GO:0051179,GO:0051234,GO:0051385,GO:0051641,GO:0051649,GO:0060255,GO:0065007,GO:0065008,GO:0070727,GO:0070972,GO:0071702,GO:0071704,GO:0071705,GO:0071840,GO:0072594,GO:0072599,GO:0072657,GO:0090150,GO:0090304,GO:0097305,GO:0098552,GO:0098554,GO:0098556,GO:0098562,GO:0098588,GO:0098827,GO:1901360,GO:1901361,GO:1901564,GO:1901566,GO:1901575,GO:1901576,GO:1901654,GO:1901700,GO:1904044,GO:1990904</t>
  </si>
  <si>
    <t>GO:0000187,GO:0000302,GO:0001501,GO:0001525,GO:0001568,GO:0001666,GO:0001786,GO:0001817,GO:0001818,GO:0001819,GO:0001932,GO:0001934,GO:0001936,GO:0001937,GO:0001944,GO:0001952,GO:0001953,GO:0001968,GO:0002040,GO:0002376,GO:0002544,GO:0002576,GO:0002577,GO:0002578,GO:0002580,GO:0002581,GO:0002604,GO:0002605,GO:0002682,GO:0002683,GO:0002684,GO:0002685,GO:0002687,GO:0002688,GO:0002690,GO:0002694,GO:0002696,GO:0003007,GO:0003151,GO:0003197,GO:0003416,GO:0003417,GO:0003674,GO:0005102,GO:0005178,GO:0005488,GO:0005509,GO:0005515,GO:0005518,GO:0005539,GO:0005543,GO:0005575,GO:0005576,GO:0005577,GO:0005615,GO:0005622,GO:0005623,GO:0005737,GO:0005783,GO:0005788,GO:0005886,GO:0006417,GO:0006464,GO:0006807,GO:0006810,GO:0006887,GO:0006897,GO:0006909,GO:0006911,GO:0006928,GO:0006950,GO:0006952,GO:0006954,GO:0006955,GO:0006979,GO:0007049,GO:0007050,GO:0007155,GO:0007162,GO:0007275,GO:0007507,GO:0007610,GO:0008150,GO:0008152,GO:0008201,GO:0008284,GO:0008285,GO:0008289,GO:0009266,GO:0009408,GO:0009605,GO:0009612,GO:0009628,GO:0009653,GO:0009719,GO:0009725,GO:0009743,GO:0009746,GO:0009749,GO:0009887,GO:0009888,GO:0009889,GO:0009891,GO:0009892,GO:0009893,GO:0009897,GO:0009966,GO:0009967,GO:0009968,GO:0009986,GO:0009987,GO:0010033,GO:0010035,GO:0010038,GO:0010324,GO:0010466,GO:0010468,GO:0010556,GO:0010557,GO:0010562,GO:0010594,GO:0010595,GO:0010596,GO:0010604,GO:0010605,GO:0010608,GO:0010628,GO:0010629,GO:0010632,GO:0010633,GO:0010634,GO:0010646,GO:0010647,GO:0010648,GO:0010746,GO:0010748,GO:0010749,GO:0010751,GO:0010752,GO:0010754,GO:0010755,GO:0010757,GO:0010758,GO:0010759,GO:0010762,GO:0010763,GO:0010810,GO:0010811,GO:0010812,GO:0010941,GO:0010942,GO:0010951,GO:0010955,GO:0012505,GO:0014070,GO:0016020,GO:0016043,GO:0016192,GO:0016477,GO:0016525,GO:0016528,GO:0016529,GO:0017015,GO:0017134,GO:0018149,GO:0019220,GO:0019222,GO:0019538,GO:0019838,GO:0019955,GO:0022402,GO:0022603,GO:0022610,GO:0023051,GO:0023056,GO:0023057,GO:0030141,GO:0030155,GO:0030162,GO:0030169,GO:0030193,GO:0030194,GO:0030198,GO:0030334,GO:0030335,GO:0030336,GO:0030511,GO:0031012,GO:0031091,GO:0031093,GO:0031323,GO:0031324,GO:0031325,GO:0031326,GO:0031328,GO:0031399,GO:0031401,GO:0031410,GO:0031974,GO:0031982,GO:0031983,GO:0032026,GO:0032101,GO:0032102,GO:0032103,GO:0032147,GO:0032268,GO:0032269,GO:0032270,GO:0032368,GO:0032369,GO:0032501,GO:0032502,GO:0032570,GO:0032655,GO:0032680,GO:0032695,GO:0032760,GO:0032879,GO:0032890,GO:0032891,GO:0032908,GO:0032914,GO:0032940,GO:0032991,GO:0033554,GO:0033555,GO:0033674,GO:0033993,GO:0034248,GO:0034250,GO:0034284,GO:0034599,GO:0034605,GO:0034614,GO:0034762,GO:0034763,GO:0034765,GO:0034766,GO:0034774,GO:0034976,GO:0035239,GO:0035265,GO:0035295,GO:0035690,GO:0036211,GO:0036293,GO:0040007,GO:0040011,GO:0040012,GO:0040013,GO:0040017,GO:0040036,GO:0040037,GO:0042035,GO:0042108,GO:0042127,GO:0042221,GO:0042325,GO:0042327,GO:0042493,GO:0042534,GO:0042535,GO:0042802,GO:0042981,GO:0043030,GO:0043032,GO:0043062,GO:0043065,GO:0043066,GO:0043067,GO:0043068,GO:0043069,GO:0043085,GO:0043086,GO:0043154,GO:0043167,GO:0043168,GO:0043169,GO:0043170,GO:0043226,GO:0043227,GO:0043229,GO:0043231,GO:0043233,GO:0043236,GO:0043269,GO:0043271,GO:0043277,GO:0043281,GO:0043394,GO:0043405,GO:0043406,GO:0043408,GO:0043410,GO:0043412,GO:0043535,GO:0043536,GO:0043537,GO:0043549,GO:0043652,GO:0044070,GO:0044087,GO:0044092,GO:0044093,GO:0044237,GO:0044238,GO:0044260,GO:0044267,GO:0044421,GO:0044422,GO:0044424,GO:0044425,GO:0044432,GO:0044433,GO:0044444,GO:0044446,GO:0044459,GO:0044464,GO:0044877,GO:0045055,GO:0045595,GO:0045637,GO:0045652,GO:0045727,GO:0045765,GO:0045766,GO:0045785,GO:0045786,GO:0045859,GO:0045860,GO:0045861,GO:0045937,GO:0046872,GO:0046903,GO:0048265,GO:0048266,GO:0048513,GO:0048514,GO:0048518,GO:0048519,GO:0048522,GO:0048523,GO:0048545,GO:0048583,GO:0048584,GO:0048585,GO:0048589,GO:0048646,GO:0048660,GO:0048661,GO:0048705,GO:0048731,GO:0048856,GO:0048870,GO:0050431,GO:0050678,GO:0050680,GO:0050789,GO:0050790,GO:0050793,GO:0050794,GO:0050818,GO:0050820,GO:0050839,GO:0050840,GO:0050865,GO:0050867,GO:0050878,GO:0050896,GO:0050920,GO:0050921,GO:0050922,GO:0051049,GO:0051051,GO:0051093,GO:0051094,GO:0051128,GO:0051129,GO:0051171,GO:0051172,GO:0051173,GO:0051174,GO:0051179,GO:0051216,GO:0051234,GO:0051239,GO:0051240,GO:0051241,GO:0051246,GO:0051247,GO:0051248,GO:0051270,GO:0051271,GO:0051272,GO:0051336,GO:0051338,GO:0051346,GO:0051347,GO:0051592,GO:0051674,GO:0051716,GO:0051726,GO:0051893,GO:0051895,GO:0051896,GO:0051897,GO:0051917,GO:0051918,GO:0052547,GO:0052548,GO:0060205,GO:0060255,GO:0060348,GO:0060349,GO:0060350,GO:0060351,GO:0060485,GO:0060548,GO:0061024,GO:0061041,GO:0061448,GO:0065007,GO:0065008,GO:0065009,GO:0070013,GO:0070051,GO:0070052,GO:0070482,GO:0070613,GO:0070887,GO:0071241,GO:0071622,GO:0071634,GO:0071636,GO:0071675,GO:0071704,GO:0071731,GO:0071732,GO:0071813,GO:0071814,GO:0071840,GO:0071900,GO:0071902,GO:0071944,GO:0072341,GO:0072358,GO:0072359,GO:0080090,GO:0080134,GO:0090049,GO:0090051,GO:0090092,GO:0090100,GO:0090109,GO:0090287,GO:0090288,GO:0090303,GO:0097366,GO:0097367,GO:0097708,GO:0098552,GO:0098657,GO:0098868,GO:0099024,GO:0099503,GO:1900046,GO:1900048,GO:1901342,GO:1901343,GO:1901564,GO:1901654,GO:1901681,GO:1901698,GO:1901699,GO:1901700,GO:1901701,GO:1901888,GO:1901889,GO:1902041,GO:1902043,GO:1902170,GO:1902531,GO:1902532,GO:1902533,GO:1903034,GO:1903036,GO:1903317,GO:1903318,GO:1903391,GO:1903392,GO:1903555,GO:1903557,GO:1903587,GO:1903588,GO:1903670,GO:1903671,GO:1903706,GO:1903792,GO:1903844,GO:1903846,GO:1903959,GO:1903960,GO:1904018,GO:1904035,GO:1904037,GO:1905521,GO:1905523,GO:1905952,GO:1905953,GO:2000026,GO:2000112,GO:2000116,GO:2000117,GO:2000145,GO:2000146,GO:2000147,GO:2000181,GO:2000191,GO:2000192,GO:2000351,GO:2000353,GO:2000377,GO:2000379,GO:2001026,GO:2001027,GO:2001233,GO:2001234,GO:2001235,GO:2001236,GO:2001237,GO:2001238</t>
  </si>
  <si>
    <t>GO:0000902,GO:0000904,GO:0001654,GO:0003002,GO:0003674,GO:0004888,GO:0005042,GO:0005488,GO:0005515,GO:0005575,GO:0005623,GO:0005886,GO:0006928,GO:0006935,GO:0007154,GO:0007165,GO:0007166,GO:0007275,GO:0007389,GO:0007399,GO:0007409,GO:0007411,GO:0007422,GO:0007423,GO:0007431,GO:0007432,GO:0008037,GO:0008038,GO:0008045,GO:0008150,GO:0008347,GO:0009605,GO:0009653,GO:0009887,GO:0009987,GO:0010160,GO:0010769,GO:0010975,GO:0016020,GO:0016043,GO:0016198,GO:0016199,GO:0016358,GO:0016477,GO:0019904,GO:0022008,GO:0022603,GO:0022604,GO:0023052,GO:0030030,GO:0030154,GO:0030182,GO:0030424,GO:0030425,GO:0030426,GO:0030427,GO:0031175,GO:0031344,GO:0032501,GO:0032502,GO:0032989,GO:0032990,GO:0033267,GO:0035272,GO:0036477,GO:0038007,GO:0038023,GO:0040011,GO:0042063,GO:0042221,GO:0042330,GO:0042995,GO:0043005,GO:0043025,GO:0044295,GO:0044297,GO:0044463,GO:0044464,GO:0045595,GO:0045664,GO:0048468,GO:0048513,GO:0048645,GO:0048646,GO:0048666,GO:0048667,GO:0048699,GO:0048731,GO:0048732,GO:0048749,GO:0048812,GO:0048813,GO:0048856,GO:0048858,GO:0048859,GO:0048869,GO:0048870,GO:0048934,GO:0048935,GO:0048936,GO:0050767,GO:0050770,GO:0050773,GO:0050789,GO:0050793,GO:0050794,GO:0050896,GO:0051128,GO:0051179,GO:0051239,GO:0051674,GO:0051716,GO:0051960,GO:0060089,GO:0060284,GO:0061564,GO:0065007,GO:0070983,GO:0071840,GO:0071944,GO:0097447,GO:0097458,GO:0097485,GO:0120025,GO:0120035,GO:0120036,GO:0120038,GO:0120039,GO:0150034,GO:2000026</t>
  </si>
  <si>
    <t>GO:0000902,GO:0000904,GO:0005575,GO:0005576,GO:0005604,GO:0006928,GO:0006935,GO:0007163,GO:0007275,GO:0007399,GO:0007409,GO:0007411,GO:0007414,GO:0007415,GO:0008037,GO:0008038,GO:0008045,GO:0008150,GO:0009605,GO:0009653,GO:0009966,GO:0009967,GO:0009987,GO:0010646,GO:0010647,GO:0016043,GO:0022008,GO:0023051,GO:0023056,GO:0030011,GO:0030030,GO:0030154,GO:0030182,GO:0031012,GO:0031175,GO:0032501,GO:0032502,GO:0032989,GO:0032990,GO:0035088,GO:0035090,GO:0040011,GO:0042221,GO:0042330,GO:0042493,GO:0044421,GO:0045197,GO:0045199,GO:0048468,GO:0048518,GO:0048522,GO:0048583,GO:0048584,GO:0048666,GO:0048667,GO:0048699,GO:0048731,GO:0048812,GO:0048856,GO:0048858,GO:0048869,GO:0050789,GO:0050794,GO:0050896,GO:0061245,GO:0061564,GO:0062023,GO:0065007,GO:0071840,GO:0072347,GO:0097485,GO:0120036,GO:0120039,GO:2001260,GO:2001262</t>
  </si>
  <si>
    <t>GO:0000902,GO:0000904,GO:0001558,GO:0001655,GO:0001763,GO:0001822,GO:0001932,GO:0001934,GO:0002009,GO:0003674,GO:0003824,GO:0004672,GO:0004713,GO:0004714,GO:0004888,GO:0005003,GO:0005004,GO:0005102,GO:0005488,GO:0005515,GO:0005575,GO:0005623,GO:0005886,GO:0005887,GO:0006464,GO:0006468,GO:0006793,GO:0006796,GO:0006807,GO:0006928,GO:0006935,GO:0007154,GO:0007165,GO:0007166,GO:0007167,GO:0007169,GO:0007275,GO:0007399,GO:0007409,GO:0007411,GO:0007417,GO:0007420,GO:0008046,GO:0008150,GO:0008152,GO:0008361,GO:0009605,GO:0009653,GO:0009888,GO:0009893,GO:0009966,GO:0009987,GO:0010469,GO:0010562,GO:0010604,GO:0010646,GO:0010721,GO:0010769,GO:0010771,GO:0010941,GO:0010942,GO:0010975,GO:0010977,GO:0016020,GO:0016021,GO:0016043,GO:0016301,GO:0016310,GO:0016740,GO:0016772,GO:0016773,GO:0018108,GO:0018193,GO:0018212,GO:0019199,GO:0019220,GO:0019222,GO:0019538,GO:0022008,GO:0022407,GO:0022603,GO:0022604,GO:0023051,GO:0023052,GO:0030030,GO:0030154,GO:0030155,GO:0030162,GO:0030182,GO:0030308,GO:0030425,GO:0030545,GO:0031175,GO:0031224,GO:0031226,GO:0031290,GO:0031323,GO:0031325,GO:0031344,GO:0031345,GO:0031399,GO:0031401,GO:0031594,GO:0031952,GO:0032268,GO:0032270,GO:0032501,GO:0032502,GO:0032535,GO:0032989,GO:0032990,GO:0035239,GO:0035295,GO:0036211,GO:0036477,GO:0038023,GO:0040008,GO:0040011,GO:0042221,GO:0042325,GO:0042327,GO:0042330,GO:0042981,GO:0042995,GO:0043005,GO:0043025,GO:0043065,GO:0043067,GO:0043068,GO:0043170,GO:0043281,GO:0043408,GO:0043412,GO:0043523,GO:0043525,GO:0044087,GO:0044237,GO:0044238,GO:0044260,GO:0044267,GO:0044297,GO:0044425,GO:0044456,GO:0044459,GO:0044463,GO:0044464,GO:0045202,GO:0045211,GO:0045499,GO:0045595,GO:0045596,GO:0045664,GO:0045665,GO:0045926,GO:0045937,GO:0046875,GO:0048013,GO:0048018,GO:0048468,GO:0048513,GO:0048518,GO:0048519,GO:0048522,GO:0048523,GO:0048583,GO:0048638,GO:0048640,GO:0048666,GO:0048667,GO:0048670,GO:0048671,GO:0048699,GO:0048729,GO:0048731,GO:0048755,GO:0048812,GO:0048856,GO:0048858,GO:0048869,GO:0050730,GO:0050767,GO:0050768,GO:0050770,GO:0050771,GO:0050789,GO:0050790,GO:0050793,GO:0050794,GO:0050803,GO:0050807,GO:0050896,GO:0050919,GO:0051093,GO:0051128,GO:0051129,GO:0051171,GO:0051173,GO:0051174,GO:0051239,GO:0051241,GO:0051246,GO:0051247,GO:0051336,GO:0051716,GO:0051960,GO:0051961,GO:0051963,GO:0051964,GO:0052547,GO:0052548,GO:0060089,GO:0060255,GO:0060284,GO:0060322,GO:0060429,GO:0060562,GO:0061387,GO:0061564,GO:0065007,GO:0065008,GO:0065009,GO:0070372,GO:0071704,GO:0071840,GO:0071944,GO:0072001,GO:0072073,GO:0072176,GO:0072178,GO:0080090,GO:0090066,GO:0097060,GO:0097447,GO:0097458,GO:0097485,GO:0098590,GO:0098772,GO:0098794,GO:0120025,GO:0120035,GO:0120036,GO:0120038,GO:0120039,GO:0140096,GO:1901214,GO:1901216,GO:1901564,GO:1902531,GO:1905809,GO:2000026,GO:2000116</t>
  </si>
  <si>
    <t>GO:0000003,GO:0000323,GO:0000768,GO:0001667,GO:0001775,GO:0002064,GO:0002065,GO:0002066,GO:0002252,GO:0002263,GO:0002274,GO:0002275,GO:0002283,GO:0002366,GO:0002376,GO:0002443,GO:0002444,GO:0002446,GO:0003002,GO:0003006,GO:0003674,GO:0003824,GO:0004175,GO:0004197,GO:0004198,GO:0005488,GO:0005509,GO:0005515,GO:0005575,GO:0005576,GO:0005622,GO:0005623,GO:0005737,GO:0005739,GO:0005764,GO:0005773,GO:0005829,GO:0005856,GO:0005886,GO:0006355,GO:0006357,GO:0006508,GO:0006807,GO:0006810,GO:0006887,GO:0006928,GO:0006949,GO:0006950,GO:0006952,GO:0006955,GO:0007154,GO:0007165,GO:0007166,GO:0007167,GO:0007178,GO:0007275,GO:0007276,GO:0007281,GO:0007292,GO:0007297,GO:0007298,GO:0007389,GO:0007399,GO:0007417,GO:0007520,GO:0007568,GO:0007610,GO:0007626,GO:0008092,GO:0008150,GO:0008152,GO:0008219,GO:0008233,GO:0008234,GO:0008284,GO:0008340,GO:0008345,GO:0008544,GO:0008589,GO:0009056,GO:0009057,GO:0009605,GO:0009607,GO:0009620,GO:0009653,GO:0009719,GO:0009887,GO:0009888,GO:0009889,GO:0009894,GO:0009913,GO:0009953,GO:0009966,GO:0009968,GO:0009987,GO:0010033,GO:0010259,GO:0010467,GO:0010468,GO:0010469,GO:0010506,GO:0010556,GO:0010631,GO:0010646,GO:0010648,GO:0012501,GO:0012505,GO:0014902,GO:0015629,GO:0016020,GO:0016192,GO:0016241,GO:0016322,GO:0016477,GO:0016485,GO:0016540,GO:0016787,GO:0019219,GO:0019222,GO:0019538,GO:0019953,GO:0021510,GO:0021511,GO:0021513,GO:0021700,GO:0021914,GO:0021919,GO:0022008,GO:0022412,GO:0022414,GO:0022612,GO:0022898,GO:0023051,GO:0023052,GO:0023057,GO:0030141,GO:0030154,GO:0030182,GO:0030216,GO:0030509,GO:0030537,GO:0030707,GO:0030855,GO:0030879,GO:0031323,GO:0031326,GO:0031329,GO:0031410,GO:0031424,GO:0031974,GO:0031982,GO:0032409,GO:0032412,GO:0032501,GO:0032502,GO:0032504,GO:0032801,GO:0032879,GO:0032940,GO:0034762,GO:0034765,GO:0036230,GO:0036477,GO:0040011,GO:0042119,GO:0042127,GO:0042221,GO:0042335,GO:0042551,GO:0042692,GO:0043025,GO:0043112,GO:0043167,GO:0043169,GO:0043170,GO:0043207,GO:0043226,GO:0043227,GO:0043228,GO:0043229,GO:0043231,GO:0043232,GO:0043233,GO:0043269,GO:0043299,GO:0043312,GO:0043588,GO:0044237,GO:0044238,GO:0044248,GO:0044260,GO:0044297,GO:0044422,GO:0044424,GO:0044433,GO:0044444,GO:0044446,GO:0044464,GO:0044703,GO:0045055,GO:0045321,GO:0045879,GO:0046872,GO:0046903,GO:0048468,GO:0048469,GO:0048477,GO:0048513,GO:0048518,GO:0048519,GO:0048522,GO:0048523,GO:0048583,GO:0048585,GO:0048609,GO:0048646,GO:0048666,GO:0048699,GO:0048731,GO:0048732,GO:0048771,GO:0048856,GO:0048869,GO:0048870,GO:0050789,GO:0050790,GO:0050793,GO:0050794,GO:0050832,GO:0050896,GO:0051049,GO:0051093,GO:0051146,GO:0051171,GO:0051179,GO:0051234,GO:0051239,GO:0051241,GO:0051252,GO:0051604,GO:0051674,GO:0051704,GO:0051707,GO:0051716,GO:0051960,GO:0051961,GO:0060056,GO:0060255,GO:0060429,GO:0060443,GO:0061061,GO:0065007,GO:0065009,GO:0070011,GO:0070013,GO:0070268,GO:0070848,GO:0070887,GO:0071310,GO:0071363,GO:0071495,GO:0071695,GO:0071704,GO:0071772,GO:0071773,GO:0071944,GO:0080090,GO:0090130,GO:0090132,GO:0097264,GO:0097458,GO:0097708,GO:0098542,GO:0099503,GO:0099601,GO:0101002,GO:0140096,GO:1900449,GO:1901564,GO:1901575,GO:1903506,GO:1904062,GO:1904813,GO:2000026,GO:2000112,GO:2000310,GO:2001141,GO:2001257</t>
  </si>
  <si>
    <t>GO:0000902,GO:0000904,GO:0000932,GO:0002682,GO:0005575,GO:0005622,GO:0005623,GO:0005737,GO:0005829,GO:0006139,GO:0006379,GO:0006725,GO:0006807,GO:0007154,GO:0007165,GO:0007166,GO:0007223,GO:0007267,GO:0007275,GO:0007399,GO:0008150,GO:0008152,GO:0009653,GO:0009892,GO:0009987,GO:0010468,GO:0010605,GO:0010608,GO:0010629,GO:0016043,GO:0016055,GO:0016070,GO:0016071,GO:0016358,GO:0016441,GO:0016458,GO:0019222,GO:0022008,GO:0023052,GO:0030030,GO:0030154,GO:0030182,GO:0031047,GO:0031175,GO:0032501,GO:0032502,GO:0032989,GO:0032990,GO:0032991,GO:0034641,GO:0035194,GO:0035195,GO:0035279,GO:0035567,GO:0035770,GO:0036464,GO:0040029,GO:0043170,GO:0043226,GO:0043228,GO:0043229,GO:0043232,GO:0044237,GO:0044238,GO:0044424,GO:0044444,GO:0044464,GO:0045595,GO:0045637,GO:0045652,GO:0046483,GO:0048468,GO:0048519,GO:0048666,GO:0048667,GO:0048699,GO:0048731,GO:0048812,GO:0048813,GO:0048856,GO:0048858,GO:0048869,GO:0050789,GO:0050793,GO:0050794,GO:0050896,GO:0051239,GO:0051716,GO:0060255,GO:0065007,GO:0071704,GO:0071840,GO:0090304,GO:0090305,GO:0090501,GO:0098795,GO:0120036,GO:0120039,GO:0198738,GO:1901360,GO:1903706,GO:1905114,GO:1990904,GO:2000026</t>
  </si>
  <si>
    <t>GO:0002682,GO:0002683,GO:0002694,GO:0002695,GO:0003674,GO:0003824,GO:0004620,GO:0004623,GO:0005575,GO:0005576,GO:0005622,GO:0005623,GO:0005737,GO:0005829,GO:0006575,GO:0006629,GO:0006644,GO:0006650,GO:0006654,GO:0006658,GO:0006793,GO:0006796,GO:0006807,GO:0007162,GO:0008150,GO:0008152,GO:0008285,GO:0008610,GO:0008654,GO:0009058,GO:0009987,GO:0016298,GO:0016787,GO:0016788,GO:0019637,GO:0022407,GO:0022408,GO:0030155,GO:0032944,GO:0032945,GO:0036148,GO:0036149,GO:0036150,GO:0036151,GO:0036152,GO:0042127,GO:0042129,GO:0042130,GO:0044237,GO:0044238,GO:0044249,GO:0044255,GO:0044424,GO:0044444,GO:0044464,GO:0045017,GO:0046470,GO:0046471,GO:0046473,GO:0046474,GO:0046486,GO:0046488,GO:0048519,GO:0048523,GO:0050670,GO:0050672,GO:0050789,GO:0050794,GO:0050863,GO:0050865,GO:0050866,GO:0050868,GO:0051249,GO:0051250,GO:0052689,GO:0065007,GO:0070663,GO:0070664,GO:0071704,GO:0090407,GO:0097164,GO:1901564,GO:1901576,GO:1903037,GO:1903038</t>
  </si>
  <si>
    <t>GO:0000902,GO:0002790,GO:0003330,GO:0003331,GO:0005575,GO:0005622,GO:0005623,GO:0005737,GO:0005783,GO:0005798,GO:0006810,GO:0006888,GO:0006900,GO:0006996,GO:0007029,GO:0007030,GO:0007163,GO:0007275,GO:0007424,GO:0007517,GO:0008104,GO:0008150,GO:0008360,GO:0009306,GO:0009653,GO:0009987,GO:0010256,GO:0012505,GO:0012506,GO:0012507,GO:0015031,GO:0015833,GO:0016020,GO:0016043,GO:0016050,GO:0016192,GO:0016203,GO:0022407,GO:0022409,GO:0022603,GO:0022604,GO:0022607,GO:0030011,GO:0030117,GO:0030120,GO:0030127,GO:0030133,GO:0030134,GO:0030135,GO:0030155,GO:0030198,GO:0030658,GO:0030659,GO:0030660,GO:0030662,GO:0031090,GO:0031410,GO:0031982,GO:0032501,GO:0032502,GO:0032879,GO:0032940,GO:0032989,GO:0032991,GO:0033036,GO:0034394,GO:0034613,GO:0034622,GO:0035148,GO:0035149,GO:0035150,GO:0035151,GO:0035152,GO:0035158,GO:0035159,GO:0035239,GO:0035295,GO:0035296,GO:0035459,GO:0040003,GO:0042335,GO:0042886,GO:0043062,GO:0043226,GO:0043227,GO:0043229,GO:0043231,GO:0043933,GO:0044085,GO:0044422,GO:0044424,GO:0044425,GO:0044432,GO:0044433,GO:0044444,GO:0044446,GO:0044464,GO:0045184,GO:0045785,GO:0046903,GO:0046907,GO:0048070,GO:0048079,GO:0048081,GO:0048087,GO:0048193,GO:0048194,GO:0048475,GO:0048513,GO:0048518,GO:0048522,GO:0048646,GO:0048731,GO:0048856,GO:0048869,GO:0050789,GO:0050793,GO:0050794,GO:0051046,GO:0051047,GO:0051049,GO:0051050,GO:0051094,GO:0051128,GO:0051130,GO:0051179,GO:0051234,GO:0051239,GO:0051240,GO:0051641,GO:0051649,GO:0051668,GO:0060538,GO:0060541,GO:0061024,GO:0061061,GO:0065003,GO:0065007,GO:0065008,GO:0070727,GO:0070971,GO:0071702,GO:0071705,GO:0071711,GO:0071840,GO:0072657,GO:0072659,GO:0090066,GO:0090110,GO:0090114,GO:0097708,GO:0098588,GO:0098796,GO:0098805,GO:1903053,GO:1903055,GO:1903530,GO:1903532,GO:1990778,GO:2000026</t>
  </si>
  <si>
    <t>GO:0000723,GO:0001325,GO:0001775,GO:0002200,GO:0002204,GO:0002208,GO:0002250,GO:0002252,GO:0002263,GO:0002285,GO:0002312,GO:0002366,GO:0002376,GO:0002377,GO:0002381,GO:0002440,GO:0002443,GO:0002449,GO:0002455,GO:0002460,GO:0002520,GO:0002562,GO:0002566,GO:0003674,GO:0003676,GO:0003677,GO:0003682,GO:0003824,GO:0004518,GO:0004519,GO:0004520,GO:0004521,GO:0004523,GO:0004527,GO:0004529,GO:0004536,GO:0004540,GO:0005488,GO:0005575,GO:0005622,GO:0005623,GO:0005634,GO:0005654,GO:0005886,GO:0006139,GO:0006259,GO:0006260,GO:0006281,GO:0006298,GO:0006310,GO:0006725,GO:0006807,GO:0006950,GO:0006955,GO:0006959,GO:0006974,GO:0006996,GO:0007275,GO:0008150,GO:0008152,GO:0008297,GO:0008309,GO:0008409,GO:0009058,GO:0009059,GO:0009987,GO:0016020,GO:0016043,GO:0016064,GO:0016070,GO:0016444,GO:0016445,GO:0016446,GO:0016447,GO:0016604,GO:0016787,GO:0016788,GO:0016796,GO:0016891,GO:0016893,GO:0016895,GO:0019724,GO:0022607,GO:0031974,GO:0031981,GO:0032200,GO:0032501,GO:0032502,GO:0033554,GO:0034641,GO:0034645,GO:0035312,GO:0042113,GO:0042592,GO:0043170,GO:0043226,GO:0043227,GO:0043229,GO:0043231,GO:0043233,GO:0044085,GO:0044237,GO:0044238,GO:0044249,GO:0044260,GO:0044422,GO:0044424,GO:0044428,GO:0044446,GO:0044451,GO:0044464,GO:0045145,GO:0045190,GO:0045321,GO:0046483,GO:0046649,GO:0048256,GO:0048731,GO:0048856,GO:0050896,GO:0051276,GO:0051716,GO:0051908,GO:0060249,GO:0065007,GO:0065008,GO:0070013,GO:0071704,GO:0071840,GO:0071944,GO:0090304,GO:0090305,GO:0090501,GO:0090502,GO:0090656,GO:0090737,GO:0097159,GO:0140097,GO:0140098,GO:1901360,GO:1901363,GO:1901576</t>
  </si>
  <si>
    <t>GO:0000902,GO:0001505,GO:0001508,GO:0001700,GO:0002009,GO:0002020,GO:0002175,GO:0003007,GO:0003008,GO:0003013,GO:0003015,GO:0003674,GO:0005070,GO:0005488,GO:0005515,GO:0005575,GO:0005622,GO:0005623,GO:0005737,GO:0005768,GO:0005769,GO:0005794,GO:0005886,GO:0005887,GO:0005911,GO:0005918,GO:0005919,GO:0006810,GO:0006836,GO:0006887,GO:0006903,GO:0006904,GO:0006996,GO:0007010,GO:0007043,GO:0007154,GO:0007155,GO:0007163,GO:0007165,GO:0007267,GO:0007268,GO:0007269,GO:0007272,GO:0007275,GO:0007391,GO:0007399,GO:0007416,GO:0007417,GO:0007420,GO:0007422,GO:0007424,GO:0007507,GO:0007610,GO:0007611,GO:0007612,GO:0007638,GO:0008037,GO:0008038,GO:0008039,GO:0008076,GO:0008104,GO:0008150,GO:0008366,GO:0009605,GO:0009612,GO:0009628,GO:0009653,GO:0009790,GO:0009792,GO:0009887,GO:0009888,GO:0009966,GO:0009967,GO:0009986,GO:0009987,GO:0010001,GO:0010646,GO:0010647,GO:0010927,GO:0010996,GO:0012505,GO:0014003,GO:0014037,GO:0014044,GO:0016020,GO:0016021,GO:0016043,GO:0016079,GO:0016080,GO:0016081,GO:0016192,GO:0016331,GO:0017124,GO:0017156,GO:0019226,GO:0019227,GO:0019899,GO:0019904,GO:0019991,GO:0021536,GO:0021537,GO:0021543,GO:0021544,GO:0021675,GO:0021682,GO:0021700,GO:0021756,GO:0021761,GO:0021782,GO:0021794,GO:0021987,GO:0022008,GO:0022010,GO:0022011,GO:0022406,GO:0022607,GO:0022610,GO:0023051,GO:0023052,GO:0023056,GO:0023061,GO:0030030,GO:0030054,GO:0030154,GO:0030182,GO:0030424,GO:0030425,GO:0030534,GO:0030673,GO:0030674,GO:0030900,GO:0030913,GO:0031175,GO:0031223,GO:0031224,GO:0031226,GO:0031252,GO:0031253,GO:0031256,GO:0031410,GO:0031982,GO:0032225,GO:0032228,GO:0032288,GO:0032291,GO:0032292,GO:0032501,GO:0032502,GO:0032589,GO:0032940,GO:0032989,GO:0032990,GO:0032991,GO:0033036,GO:0033267,GO:0033270,GO:0034329,GO:0034330,GO:0034613,GO:0034702,GO:0034703,GO:0034705,GO:0035150,GO:0035151,GO:0035152,GO:0035176,GO:0035591,GO:0035637,GO:0036477,GO:0038023,GO:0042063,GO:0042297,GO:0042391,GO:0042551,GO:0042552,GO:0042734,GO:0042995,GO:0043005,GO:0043025,GO:0043204,GO:0043209,GO:0043226,GO:0043227,GO:0043229,GO:0043231,GO:0043296,GO:0043297,GO:0044085,GO:0044091,GO:0044224,GO:0044297,GO:0044304,GO:0044325,GO:0044424,GO:0044425,GO:0044444,GO:0044456,GO:0044459,GO:0044463,GO:0044464,GO:0045055,GO:0045161,GO:0045163,GO:0045202,GO:0045216,GO:0046903,GO:0046907,GO:0048278,GO:0048468,GO:0048469,GO:0048489,GO:0048513,GO:0048518,GO:0048522,GO:0048583,GO:0048584,GO:0048598,GO:0048646,GO:0048666,GO:0048699,GO:0048709,GO:0048729,GO:0048731,GO:0048786,GO:0048812,GO:0048856,GO:0048858,GO:0048869,GO:0050789,GO:0050794,GO:0050795,GO:0050804,GO:0050808,GO:0050877,GO:0050884,GO:0050885,GO:0050890,GO:0050896,GO:0050905,GO:0051179,GO:0051234,GO:0051640,GO:0051641,GO:0051648,GO:0051649,GO:0051650,GO:0051656,GO:0051703,GO:0051704,GO:0051705,GO:0051716,GO:0060089,GO:0060090,GO:0060322,GO:0060429,GO:0060541,GO:0060856,GO:0060857,GO:0061024,GO:0061343,GO:0065007,GO:0065008,GO:0070160,GO:0070727,GO:0071109,GO:0071205,GO:0071625,GO:0071695,GO:0071709,GO:0071840,GO:0071944,GO:0072359,GO:0072553,GO:0090066,GO:0097060,GO:0097090,GO:0097105,GO:0097447,GO:0097458,GO:0097479,GO:0097480,GO:0097708,GO:0098590,GO:0098596,GO:0098597,GO:0098598,GO:0098793,GO:0098796,GO:0098797,GO:0098870,GO:0098916,GO:0099003,GO:0099054,GO:0099172,GO:0099177,GO:0099504,GO:0099536,GO:0099537,GO:0099612,GO:0099643,GO:0120025,GO:0120036,GO:0120038,GO:0120039,GO:0140029,GO:0140056,GO:1902495,GO:1990351,GO:2000821</t>
  </si>
  <si>
    <t>GO:0003674,GO:0003676,GO:0003723,GO:0003746,GO:0003824,GO:0003924,GO:0005488,GO:0005515,GO:0005575,GO:0005622,GO:0005623,GO:0005737,GO:0005829,GO:0006412,GO:0006414,GO:0006417,GO:0006448,GO:0006518,GO:0006807,GO:0008135,GO:0008150,GO:0008152,GO:0009058,GO:0009059,GO:0009889,GO:0009891,GO:0009893,GO:0009987,GO:0010467,GO:0010468,GO:0010556,GO:0010557,GO:0010604,GO:0010608,GO:0010628,GO:0016462,GO:0016787,GO:0016817,GO:0016818,GO:0017111,GO:0019222,GO:0019538,GO:0031323,GO:0031325,GO:0031326,GO:0031328,GO:0032268,GO:0032270,GO:0034248,GO:0034250,GO:0034641,GO:0034645,GO:0042802,GO:0043043,GO:0043170,GO:0043603,GO:0043604,GO:0044237,GO:0044238,GO:0044249,GO:0044260,GO:0044267,GO:0044271,GO:0044424,GO:0044444,GO:0044464,GO:0045727,GO:0045901,GO:0048518,GO:0048522,GO:0050789,GO:0050794,GO:0051171,GO:0051173,GO:0051246,GO:0051247,GO:0060255,GO:0065007,GO:0071704,GO:0080090,GO:0097159,GO:1901363,GO:1901564,GO:1901566,GO:1901576,GO:1990145,GO:2000112</t>
  </si>
  <si>
    <t>GO:0000166,GO:0000302,GO:0000322,GO:0000323,GO:0000324,GO:0000329,GO:0001882,GO:0001883,GO:0001932,GO:0001933,GO:0003674,GO:0003676,GO:0003723,GO:0003746,GO:0003779,GO:0003785,GO:0003824,GO:0003924,GO:0005488,GO:0005515,GO:0005516,GO:0005525,GO:0005575,GO:0005622,GO:0005623,GO:0005737,GO:0005739,GO:0005773,GO:0005774,GO:0005829,GO:0005840,GO:0005853,GO:0005938,GO:0006403,GO:0006405,GO:0006409,GO:0006412,GO:0006414,GO:0006469,GO:0006518,GO:0006611,GO:0006807,GO:0006810,GO:0006886,GO:0006913,GO:0006950,GO:0006979,GO:0006996,GO:0007010,GO:0007015,GO:0007017,GO:0007154,GO:0007165,GO:0008092,GO:0008104,GO:0008135,GO:0008150,GO:0008152,GO:0009058,GO:0009059,GO:0009267,GO:0009268,GO:0009605,GO:0009628,GO:0009892,GO:0009987,GO:0009991,GO:0010446,GO:0010467,GO:0010563,GO:0010605,GO:0015031,GO:0015833,GO:0015931,GO:0016020,GO:0016043,GO:0016462,GO:0016787,GO:0016817,GO:0016818,GO:0017016,GO:0017048,GO:0017076,GO:0017111,GO:0019001,GO:0019003,GO:0019220,GO:0019222,GO:0019538,GO:0019722,GO:0019899,GO:0019900,GO:0019901,GO:0019932,GO:0022607,GO:0023052,GO:0030027,GO:0030029,GO:0030036,GO:0030175,GO:0031090,GO:0031143,GO:0031252,GO:0031267,GO:0031323,GO:0031324,GO:0031399,GO:0031400,GO:0031503,GO:0031667,GO:0031668,GO:0031669,GO:0032268,GO:0032269,GO:0032549,GO:0032550,GO:0032553,GO:0032555,GO:0032561,GO:0032991,GO:0033036,GO:0033554,GO:0033673,GO:0034198,GO:0034613,GO:0034641,GO:0034645,GO:0035556,GO:0035639,GO:0036094,GO:0042221,GO:0042325,GO:0042326,GO:0042594,GO:0042886,GO:0042995,GO:0043021,GO:0043022,GO:0043043,GO:0043086,GO:0043167,GO:0043168,GO:0043170,GO:0043226,GO:0043227,GO:0043228,GO:0043229,GO:0043231,GO:0043232,GO:0043549,GO:0043603,GO:0043604,GO:0044085,GO:0044092,GO:0044237,GO:0044238,GO:0044249,GO:0044260,GO:0044267,GO:0044271,GO:0044422,GO:0044424,GO:0044437,GO:0044444,GO:0044446,GO:0044464,GO:0044877,GO:0045184,GO:0045859,GO:0045936,GO:0046907,GO:0048519,GO:0048523,GO:0050657,GO:0050658,GO:0050789,GO:0050790,GO:0050794,GO:0050896,GO:0051015,GO:0051017,GO:0051020,GO:0051031,GO:0051168,GO:0051169,GO:0051171,GO:0051172,GO:0051174,GO:0051179,GO:0051234,GO:0051236,GO:0051246,GO:0051248,GO:0051338,GO:0051348,GO:0051641,GO:0051649,GO:0051716,GO:0060255,GO:0061572,GO:0065007,GO:0065009,GO:0070727,GO:0071166,GO:0071426,GO:0071431,GO:0071496,GO:0071702,GO:0071704,GO:0071705,GO:0071840,GO:0071944,GO:0080090,GO:0097064,GO:0097159,GO:0097367,GO:0097435,GO:0098588,GO:0098805,GO:0098852,GO:0098858,GO:0099568,GO:0120025,GO:1901265,GO:1901363,GO:1901564,GO:1901566,GO:1901576,GO:1901700,GO:1990904,GO:1990928</t>
  </si>
  <si>
    <t>GO:0000003,GO:0000280,GO:0000339,GO:0000340,GO:0000932,GO:0000956,GO:0000976,GO:0000977,GO:0000978,GO:0000987,GO:0000993,GO:0001012,GO:0001047,GO:0001067,GO:0001098,GO:0001099,GO:0001709,GO:0002119,GO:0002164,GO:0002682,GO:0003002,GO:0003006,GO:0003008,GO:0003674,GO:0003676,GO:0003677,GO:0003690,GO:0003723,GO:0003725,GO:0003727,GO:0003729,GO:0003743,GO:0003824,GO:0004518,GO:0004519,GO:0004521,GO:0004540,GO:0005488,GO:0005515,GO:0005575,GO:0005576,GO:0005615,GO:0005622,GO:0005623,GO:0005634,GO:0005654,GO:0005737,GO:0005739,GO:0005829,GO:0005844,GO:0005845,GO:0006139,GO:0006325,GO:0006342,GO:0006355,GO:0006357,GO:0006379,GO:0006396,GO:0006401,GO:0006402,GO:0006412,GO:0006413,GO:0006417,GO:0006446,GO:0006518,GO:0006725,GO:0006807,GO:0006996,GO:0007049,GO:0007059,GO:0007127,GO:0007129,GO:0007130,GO:0007140,GO:0007154,GO:0007165,GO:0007166,GO:0007223,GO:0007267,GO:0007275,GO:0007276,GO:0007281,GO:0007292,GO:0007293,GO:0007294,GO:0007350,GO:0007365,GO:0007367,GO:0007389,GO:0007399,GO:0007416,GO:0007548,GO:0007610,GO:0007611,GO:0007612,GO:0008022,GO:0008135,GO:0008150,GO:0008152,GO:0008283,GO:0008406,GO:0008584,GO:0009056,GO:0009057,GO:0009058,GO:0009059,GO:0009653,GO:0009790,GO:0009791,GO:0009792,GO:0009880,GO:0009889,GO:0009890,GO:0009891,GO:0009892,GO:0009893,GO:0009894,GO:0009896,GO:0009966,GO:0009967,GO:0009987,GO:0009994,GO:0010033,GO:0010453,GO:0010467,GO:0010468,GO:0010501,GO:0010556,GO:0010557,GO:0010558,GO:0010586,GO:0010604,GO:0010605,GO:0010608,GO:0010628,GO:0010629,GO:0010646,GO:0010647,GO:0010941,GO:0014070,GO:0016043,GO:0016055,GO:0016070,GO:0016071,GO:0016246,GO:0016441,GO:0016442,GO:0016458,GO:0016525,GO:0016604,GO:0016787,GO:0016788,GO:0016891,GO:0016892,GO:0016893,GO:0016894,GO:0017148,GO:0019219,GO:0019222,GO:0019439,GO:0019538,GO:0019827,GO:0019899,GO:0019953,GO:0022402,GO:0022412,GO:0022414,GO:0022603,GO:0022604,GO:0022607,GO:0022613,GO:0022618,GO:0023051,GO:0023052,GO:0023056,GO:0030054,GO:0030154,GO:0030334,GO:0030335,GO:0030422,GO:0030423,GO:0030425,GO:0030706,GO:0030716,GO:0030718,GO:0030727,GO:0031047,GO:0031050,GO:0031054,GO:0031323,GO:0031324,GO:0031325,GO:0031326,GO:0031327,GO:0031328,GO:0031329,GO:0031331,GO:0031332,GO:0031644,GO:0031974,GO:0031981,GO:0031982,GO:0032268,GO:0032269,GO:0032501,GO:0032502,GO:0032504,GO:0032879,GO:0032991,GO:0034248,GO:0034249,GO:0034470,GO:0034518,GO:0034622,GO:0034641,GO:0034645,GO:0034655,GO:0034660,GO:0035068,GO:0035087,GO:0035194,GO:0035195,GO:0035196,GO:0035197,GO:0035198,GO:0035278,GO:0035279,GO:0035280,GO:0035282,GO:0035567,GO:0035770,GO:0036099,GO:0036464,GO:0036477,GO:0040012,GO:0040017,GO:0040025,GO:0040029,GO:0040033,GO:0040034,GO:0040035,GO:0042221,GO:0042659,GO:0042981,GO:0042995,GO:0043005,GO:0043043,GO:0043066,GO:0043067,GO:0043069,GO:0043170,GO:0043175,GO:0043226,GO:0043227,GO:0043228,GO:0043229,GO:0043230,GO:0043231,GO:0043232,GO:0043233,GO:0043331,GO:0043565,GO:0043603,GO:0043604,GO:0043900,GO:0043902,GO:0043933,GO:0044057,GO:0044085,GO:0044212,GO:0044237,GO:0044238,GO:0044248,GO:0044249,GO:0044260,GO:0044265,GO:0044267,GO:0044270,GO:0044271,GO:0044421,GO:0044422,GO:0044424,GO:0044428,GO:0044444,GO:0044446,GO:0044451,GO:0044463,GO:0044464,GO:0044703,GO:0044877,GO:0045132,GO:0045137,GO:0045143,GO:0045165,GO:0045595,GO:0045637,GO:0045652,GO:0045765,GO:0045766,GO:0045814,GO:0045892,GO:0045893,GO:0045934,GO:0045935,GO:0045944,GO:0045947,GO:0045974,GO:0046483,GO:0046546,GO:0046661,GO:0046700,GO:0046958,GO:0046959,GO:0048134,GO:0048135,GO:0048232,GO:0048285,GO:0048468,GO:0048471,GO:0048477,GO:0048513,GO:0048518,GO:0048519,GO:0048522,GO:0048523,GO:0048569,GO:0048583,GO:0048584,GO:0048608,GO:0048609,GO:0048646,GO:0048731,GO:0048806,GO:0048856,GO:0048869,GO:0050789,GO:0050793,GO:0050794,GO:0050795,GO:0050808,GO:0050877,GO:0050890,GO:0050896,GO:0051093,GO:0051094,GO:0051128,GO:0051171,GO:0051172,GO:0051173,GO:0051239,GO:0051240,GO:0051241,GO:0051246,GO:0051248,GO:0051252,GO:0051253,GO:0051254,GO:0051270,GO:0051272,GO:0051276,GO:0051321,GO:0051704,GO:0051716,GO:0060147,GO:0060148,GO:0060211,GO:0060213,GO:0060255,GO:0060548,GO:0060964,GO:0060966,GO:0060968,GO:0061013,GO:0061014,GO:0061458,GO:0061980,GO:0061982,GO:0065003,GO:0065007,GO:0070013,GO:0070062,GO:0070063,GO:0070192,GO:0070193,GO:0070551,GO:0070578,GO:0070887,GO:0070918,GO:0070922,GO:0071310,GO:0071359,GO:0071407,GO:0071704,GO:0071826,GO:0071840,GO:0080090,GO:0090304,GO:0090305,GO:0090328,GO:0090501,GO:0090502,GO:0090624,GO:0090625,GO:0097159,GO:0097447,GO:0097458,GO:0098727,GO:0098795,GO:0098808,GO:0098813,GO:0120025,GO:0120038,GO:0140013,GO:0140098,GO:0198738,GO:1900151,GO:1900153,GO:1901163,GO:1901165,GO:1901222,GO:1901224,GO:1901342,GO:1901343,GO:1901360,GO:1901361,GO:1901363,GO:1901564,GO:1901566,GO:1901575,GO:1901576,GO:1901698,GO:1901699,GO:1902494,GO:1902531,GO:1902533,GO:1902555,GO:1902679,GO:1902680,GO:1903046,GO:1903311,GO:1903313,GO:1903506,GO:1903507,GO:1903508,GO:1903561,GO:1903706,GO:1904018,GO:1905114,GO:1905348,GO:1905616,GO:1905618,GO:1990837,GO:1990904,GO:2000026,GO:2000112,GO:2000113,GO:2000145,GO:2000147,GO:2000181,GO:2000241,GO:2000243,GO:2000637,GO:2001141</t>
  </si>
  <si>
    <t>GO:0001666,GO:0001932,GO:0001934,GO:0002376,GO:0003674,GO:0005102,GO:0005488,GO:0005515,GO:0005575,GO:0005576,GO:0005615,GO:0006928,GO:0006950,GO:0007154,GO:0007165,GO:0007166,GO:0007167,GO:0007169,GO:0007171,GO:0008047,GO:0008150,GO:0009628,GO:0009893,GO:0009966,GO:0009967,GO:0009987,GO:0010469,GO:0010562,GO:0010594,GO:0010595,GO:0010596,GO:0010604,GO:0010632,GO:0010633,GO:0010634,GO:0010646,GO:0010647,GO:0010941,GO:0016043,GO:0016477,GO:0016525,GO:0019207,GO:0019209,GO:0019220,GO:0019222,GO:0019887,GO:0019899,GO:0019900,GO:0019901,GO:0022603,GO:0022607,GO:0023051,GO:0023052,GO:0023056,GO:0030234,GO:0030295,GO:0030296,GO:0030297,GO:0030334,GO:0030335,GO:0030336,GO:0030545,GO:0030546,GO:0030971,GO:0031323,GO:0031325,GO:0031399,GO:0031401,GO:0032147,GO:0032268,GO:0032270,GO:0032879,GO:0033554,GO:0033674,GO:0034622,GO:0036293,GO:0036294,GO:0040011,GO:0040012,GO:0040013,GO:0040017,GO:0042221,GO:0042325,GO:0042327,GO:0042981,GO:0043066,GO:0043067,GO:0043069,GO:0043085,GO:0043535,GO:0043536,GO:0043537,GO:0043549,GO:0043933,GO:0044085,GO:0044093,GO:0044421,GO:0045765,GO:0045766,GO:0045859,GO:0045860,GO:0045937,GO:0048518,GO:0048519,GO:0048522,GO:0048523,GO:0048583,GO:0048584,GO:0048870,GO:0050730,GO:0050731,GO:0050789,GO:0050790,GO:0050793,GO:0050794,GO:0050896,GO:0050900,GO:0051093,GO:0051094,GO:0051171,GO:0051173,GO:0051174,GO:0051179,GO:0051239,GO:0051240,GO:0051241,GO:0051246,GO:0051247,GO:0051270,GO:0051271,GO:0051272,GO:0051338,GO:0051347,GO:0051674,GO:0051716,GO:0060255,GO:0060548,GO:0061097,GO:0061098,GO:0065003,GO:0065007,GO:0065009,GO:0070482,GO:0070887,GO:0071453,GO:0071456,GO:0071840,GO:0080090,GO:0098772,GO:1901342,GO:1901343,GO:1904018,GO:1990782,GO:2000026,GO:2000145,GO:2000146,GO:2000147,GO:2000181,GO:2000273</t>
  </si>
  <si>
    <t>GO:0002576,GO:0003008,GO:0003013,GO:0005575,GO:0005576,GO:0005615,GO:0005622,GO:0005623,GO:0005737,GO:0005783,GO:0005788,GO:0005793,GO:0005794,GO:0005798,GO:0005886,GO:0006464,GO:0006807,GO:0006810,GO:0006887,GO:0006888,GO:0006900,GO:0006901,GO:0006903,GO:0006950,GO:0006996,GO:0007596,GO:0007599,GO:0008015,GO:0008150,GO:0008152,GO:0009611,GO:0009987,GO:0012505,GO:0016020,GO:0016043,GO:0016050,GO:0016192,GO:0019538,GO:0022607,GO:0030134,GO:0030135,GO:0030141,GO:0031090,GO:0031091,GO:0031093,GO:0031410,GO:0031974,GO:0031982,GO:0031983,GO:0032501,GO:0032940,GO:0033116,GO:0034774,GO:0036211,GO:0042060,GO:0043170,GO:0043226,GO:0043227,GO:0043229,GO:0043231,GO:0043233,GO:0043412,GO:0043687,GO:0043933,GO:0044085,GO:0044237,GO:0044238,GO:0044260,GO:0044267,GO:0044421,GO:0044422,GO:0044424,GO:0044432,GO:0044433,GO:0044444,GO:0044446,GO:0044464,GO:0045055,GO:0046903,GO:0046907,GO:0048193,GO:0048194,GO:0048199,GO:0048207,GO:0048208,GO:0050817,GO:0050878,GO:0050896,GO:0051179,GO:0051234,GO:0051640,GO:0051641,GO:0051648,GO:0051649,GO:0051650,GO:0051656,GO:0060205,GO:0061024,GO:0065003,GO:0065007,GO:0065008,GO:0070013,GO:0071704,GO:0071840,GO:0071944,GO:0090114,GO:0097708,GO:0098588,GO:0099503,GO:1901564</t>
  </si>
  <si>
    <t>GO:0000243,GO:0000245,GO:0000375,GO:0000377,GO:0000381,GO:0000387,GO:0000395,GO:0000398,GO:0003674,GO:0003676,GO:0003723,GO:0003727,GO:0005488,GO:0005515,GO:0005575,GO:0005622,GO:0005623,GO:0005634,GO:0005654,GO:0005681,GO:0005684,GO:0005685,GO:0006139,GO:0006376,GO:0006396,GO:0006397,GO:0006725,GO:0006807,GO:0008150,GO:0008152,GO:0008270,GO:0008380,GO:0009987,GO:0010467,GO:0010468,GO:0015030,GO:0016043,GO:0016070,GO:0016071,GO:0016604,GO:0019219,GO:0019222,GO:0022607,GO:0022613,GO:0022618,GO:0030532,GO:0030627,GO:0031323,GO:0031974,GO:0031981,GO:0032991,GO:0034622,GO:0034641,GO:0036002,GO:0042802,GO:0042803,GO:0043021,GO:0043167,GO:0043169,GO:0043170,GO:0043226,GO:0043227,GO:0043229,GO:0043231,GO:0043233,GO:0043484,GO:0043933,GO:0044085,GO:0044237,GO:0044238,GO:0044422,GO:0044424,GO:0044428,GO:0044446,GO:0044451,GO:0044464,GO:0044877,GO:0045292,GO:0046483,GO:0046872,GO:0046914,GO:0046983,GO:0048024,GO:0050684,GO:0050789,GO:0050794,GO:0051171,GO:0051252,GO:0060255,GO:0065003,GO:0065007,GO:0070013,GO:0070990,GO:0071010,GO:0071704,GO:0071826,GO:0071840,GO:0080090,GO:0090304,GO:0097159,GO:0097525,GO:0120114,GO:1901360,GO:1901363,GO:1903311,GO:1990446,GO:1990904</t>
  </si>
  <si>
    <t>GO:0000902,GO:0000904,GO:0001525,GO:0001568,GO:0001667,GO:0001755,GO:0001764,GO:0001936,GO:0001938,GO:0001944,GO:0002116,GO:0003002,GO:0003007,GO:0003148,GO:0003151,GO:0003205,GO:0003206,GO:0003279,GO:0003674,GO:0003824,GO:0004672,GO:0004713,GO:0004714,GO:0004888,GO:0005021,GO:0005488,GO:0005515,GO:0005575,GO:0005623,GO:0005886,GO:0006464,GO:0006468,GO:0006793,GO:0006796,GO:0006807,GO:0006928,GO:0006929,GO:0006935,GO:0007154,GO:0007155,GO:0007165,GO:0007166,GO:0007167,GO:0007169,GO:0007275,GO:0007350,GO:0007389,GO:0007399,GO:0007409,GO:0007411,GO:0007417,GO:0007420,GO:0007507,GO:0008150,GO:0008152,GO:0008284,GO:0009605,GO:0009653,GO:0009790,GO:0009880,GO:0009887,GO:0009888,GO:0009987,GO:0010033,GO:0010594,GO:0010595,GO:0010632,GO:0010634,GO:0014031,GO:0014032,GO:0014033,GO:0016020,GO:0016021,GO:0016043,GO:0016049,GO:0016301,GO:0016310,GO:0016477,GO:0016740,GO:0016772,GO:0016773,GO:0017154,GO:0018108,GO:0018193,GO:0018212,GO:0019199,GO:0019538,GO:0019838,GO:0019955,GO:0021536,GO:0021537,GO:0021543,GO:0021545,GO:0021561,GO:0021562,GO:0021602,GO:0021604,GO:0021610,GO:0021612,GO:0021648,GO:0021649,GO:0021675,GO:0021761,GO:0021783,GO:0021795,GO:0021800,GO:0021824,GO:0021825,GO:0021828,GO:0021854,GO:0021855,GO:0021856,GO:0021872,GO:0021879,GO:0021884,GO:0021885,GO:0021886,GO:0021888,GO:0021953,GO:0021954,GO:0021979,GO:0021987,GO:0022008,GO:0022029,GO:0022610,GO:0023052,GO:0030030,GO:0030154,GO:0030182,GO:0030334,GO:0030335,GO:0030424,GO:0030900,GO:0031175,GO:0031224,GO:0032501,GO:0032502,GO:0032879,GO:0032989,GO:0032990,GO:0032991,GO:0034097,GO:0035239,GO:0035282,GO:0035290,GO:0035295,GO:0035924,GO:0036211,GO:0036484,GO:0036486,GO:0038023,GO:0038084,GO:0040007,GO:0040011,GO:0040012,GO:0040017,GO:0042127,GO:0042221,GO:0042330,GO:0042802,GO:0042995,GO:0043005,GO:0043170,GO:0043235,GO:0043412,GO:0044237,GO:0044238,GO:0044260,GO:0044267,GO:0044425,GO:0044464,GO:0048010,GO:0048468,GO:0048483,GO:0048485,GO:0048486,GO:0048513,GO:0048514,GO:0048518,GO:0048522,GO:0048532,GO:0048588,GO:0048589,GO:0048646,GO:0048666,GO:0048667,GO:0048675,GO:0048699,GO:0048729,GO:0048731,GO:0048762,GO:0048812,GO:0048846,GO:0048856,GO:0048858,GO:0048863,GO:0048864,GO:0048869,GO:0048870,GO:0050678,GO:0050679,GO:0050789,GO:0050794,GO:0050896,GO:0050919,GO:0051179,GO:0051239,GO:0051240,GO:0051270,GO:0051272,GO:0051674,GO:0051716,GO:0060089,GO:0060322,GO:0060411,GO:0060485,GO:0060560,GO:0061548,GO:0061549,GO:0061550,GO:0061551,GO:0061552,GO:0061564,GO:0065007,GO:0070848,GO:0070887,GO:0071310,GO:0071345,GO:0071363,GO:0071526,GO:0071704,GO:0071840,GO:0071944,GO:0072358,GO:0072359,GO:0097374,GO:0097458,GO:0097485,GO:0097490,GO:0097491,GO:0120025,GO:0120036,GO:0120039,GO:0140096,GO:1901166,GO:1901564,GO:1902284,GO:1902285,GO:1903375,GO:1904835,GO:1990138,GO:1990791,GO:1990823,GO:1990830,GO:2000145,GO:2000147</t>
  </si>
  <si>
    <t>GO:0000209,GO:0000323,GO:0002230,GO:0002682,GO:0002697,GO:0002831,GO:0003674,GO:0003824,GO:0004842,GO:0004857,GO:0005488,GO:0005515,GO:0005575,GO:0005622,GO:0005623,GO:0005634,GO:0005654,GO:0005737,GO:0005764,GO:0005773,GO:0005829,GO:0006139,GO:0006259,GO:0006281,GO:0006282,GO:0006302,GO:0006325,GO:0006355,GO:0006464,GO:0006508,GO:0006511,GO:0006513,GO:0006725,GO:0006807,GO:0006810,GO:0006950,GO:0006974,GO:0006996,GO:0007034,GO:0007041,GO:0008047,GO:0008150,GO:0008152,GO:0008333,GO:0009056,GO:0009057,GO:0009889,GO:0009891,GO:0009892,GO:0009893,GO:0009894,GO:0009896,GO:0009987,GO:0010390,GO:0010468,GO:0010556,GO:0010557,GO:0010604,GO:0010605,GO:0010628,GO:0016043,GO:0016192,GO:0016567,GO:0016569,GO:0016570,GO:0016574,GO:0016740,GO:0019219,GO:0019222,GO:0019538,GO:0019787,GO:0019899,GO:0019941,GO:0030163,GO:0030234,GO:0031323,GO:0031324,GO:0031325,GO:0031326,GO:0031328,GO:0031329,GO:0031331,GO:0031347,GO:0031396,GO:0031397,GO:0031399,GO:0031400,GO:0031974,GO:0031981,GO:0032092,GO:0032101,GO:0032268,GO:0032269,GO:0032446,GO:0032879,GO:0032880,GO:0032991,GO:0033522,GO:0033523,GO:0033554,GO:0034641,GO:0035561,GO:0035563,GO:0036211,GO:0042393,GO:0043085,GO:0043086,GO:0043170,GO:0043226,GO:0043227,GO:0043229,GO:0043231,GO:0043233,GO:0043393,GO:0043412,GO:0043632,GO:0043900,GO:0044092,GO:0044093,GO:0044237,GO:0044238,GO:0044248,GO:0044257,GO:0044260,GO:0044265,GO:0044267,GO:0044389,GO:0044422,GO:0044424,GO:0044428,GO:0044444,GO:0044446,GO:0044464,GO:0045739,GO:0045893,GO:0045935,GO:0046483,GO:0046907,GO:0048518,GO:0048519,GO:0048522,GO:0048523,GO:0048583,GO:0048584,GO:0050688,GO:0050691,GO:0050789,GO:0050790,GO:0050794,GO:0050896,GO:0051052,GO:0051054,GO:0051098,GO:0051099,GO:0051171,GO:0051172,GO:0051173,GO:0051179,GO:0051234,GO:0051246,GO:0051248,GO:0051252,GO:0051254,GO:0051276,GO:0051338,GO:0051340,GO:0051347,GO:0051348,GO:0051352,GO:0051438,GO:0051444,GO:0051603,GO:0051641,GO:0051649,GO:0051716,GO:0051865,GO:0060255,GO:0060341,GO:0065007,GO:0065009,GO:0070013,GO:0070647,GO:0070936,GO:0071704,GO:0071840,GO:0080090,GO:0080134,GO:0080135,GO:0090304,GO:0097677,GO:0098772,GO:0140096,GO:1900180,GO:1900182,GO:1901360,GO:1901564,GO:1901565,GO:1901575,GO:1901664,GO:1901666,GO:1902680,GO:1902965,GO:1902966,GO:1903320,GO:1903321,GO:1903506,GO:1903508,GO:1903827,GO:1903829,GO:1905666,GO:1905668,GO:2000112,GO:2000644,GO:2000646,GO:2000779,GO:2000781,GO:2001020,GO:2001022,GO:2001032,GO:2001034,GO:2001141</t>
  </si>
  <si>
    <t>GO:0000187,GO:0001816,GO:0001932,GO:0001934,GO:0002227,GO:0002251,GO:0002252,GO:0002376,GO:0002385,GO:0002443,GO:0002444,GO:0002446,GO:0002682,GO:0002684,GO:0002791,GO:0002793,GO:0003674,GO:0003824,GO:0004620,GO:0004623,GO:0005102,GO:0005488,GO:0005509,GO:0005515,GO:0005575,GO:0005576,GO:0005615,GO:0005622,GO:0005623,GO:0005737,GO:0005829,GO:0006082,GO:0006275,GO:0006355,GO:0006357,GO:0006575,GO:0006629,GO:0006631,GO:0006633,GO:0006644,GO:0006650,GO:0006654,GO:0006658,GO:0006690,GO:0006691,GO:0006793,GO:0006796,GO:0006807,GO:0006810,GO:0006811,GO:0006820,GO:0006869,GO:0006873,GO:0006874,GO:0006875,GO:0006928,GO:0006935,GO:0006950,GO:0006952,GO:0006955,GO:0006959,GO:0006996,GO:0007010,GO:0007015,GO:0007154,GO:0007165,GO:0007204,GO:0008150,GO:0008152,GO:0008284,GO:0008610,GO:0008654,GO:0009056,GO:0009058,GO:0009395,GO:0009605,GO:0009607,GO:0009617,GO:0009719,GO:0009725,GO:0009889,GO:0009891,GO:0009893,GO:0009966,GO:0009967,GO:0009986,GO:0009987,GO:0010033,GO:0010243,GO:0010468,GO:0010517,GO:0010518,GO:0010522,GO:0010524,GO:0010556,GO:0010557,GO:0010562,GO:0010604,GO:0010628,GO:0010646,GO:0010647,GO:0010827,GO:0010876,GO:0010959,GO:0012505,GO:0015711,GO:0015718,GO:0015849,GO:0015908,GO:0015909,GO:0016042,GO:0016043,GO:0016053,GO:0016298,GO:0016477,GO:0016787,GO:0016788,GO:0019219,GO:0019220,GO:0019222,GO:0019370,GO:0019637,GO:0019725,GO:0019730,GO:0019731,GO:0019752,GO:0023051,GO:0023052,GO:0023056,GO:0030003,GO:0030029,GO:0030036,GO:0030141,GO:0030593,GO:0030595,GO:0031323,GO:0031325,GO:0031326,GO:0031328,GO:0031399,GO:0031401,GO:0031406,GO:0031410,GO:0031982,GO:0032052,GO:0032147,GO:0032268,GO:0032270,GO:0032309,GO:0032429,GO:0032430,GO:0032431,GO:0032501,GO:0032637,GO:0032787,GO:0032868,GO:0032869,GO:0032870,GO:0032879,GO:0032880,GO:0033036,GO:0033293,GO:0033674,GO:0034762,GO:0035556,GO:0036094,GO:0036148,GO:0036149,GO:0036150,GO:0036151,GO:0036152,GO:0040011,GO:0042127,GO:0042221,GO:0042325,GO:0042327,GO:0042330,GO:0042592,GO:0042742,GO:0043085,GO:0043167,GO:0043168,GO:0043169,GO:0043177,GO:0043207,GO:0043226,GO:0043227,GO:0043229,GO:0043269,GO:0043270,GO:0043405,GO:0043406,GO:0043408,GO:0043410,GO:0043434,GO:0043436,GO:0043549,GO:0044093,GO:0044237,GO:0044238,GO:0044242,GO:0044248,GO:0044249,GO:0044255,GO:0044281,GO:0044283,GO:0044421,GO:0044424,GO:0044444,GO:0044464,GO:0045017,GO:0045087,GO:0045740,GO:0045859,GO:0045860,GO:0045893,GO:0045935,GO:0045937,GO:0045944,GO:0046324,GO:0046394,GO:0046434,GO:0046456,GO:0046470,GO:0046471,GO:0046473,GO:0046474,GO:0046486,GO:0046488,GO:0046717,GO:0046872,GO:0046903,GO:0046942,GO:0047498,GO:0048145,GO:0048146,GO:0048518,GO:0048522,GO:0048583,GO:0048584,GO:0048870,GO:0048878,GO:0050482,GO:0050708,GO:0050714,GO:0050776,GO:0050778,GO:0050789,GO:0050790,GO:0050794,GO:0050801,GO:0050830,GO:0050896,GO:0050900,GO:0051046,GO:0051047,GO:0051049,GO:0051050,GO:0051052,GO:0051054,GO:0051090,GO:0051091,GO:0051092,GO:0051171,GO:0051173,GO:0051174,GO:0051179,GO:0051222,GO:0051223,GO:0051234,GO:0051246,GO:0051247,GO:0051252,GO:0051254,GO:0051336,GO:0051338,GO:0051345,GO:0051347,GO:0051480,GO:0051674,GO:0051704,GO:0051707,GO:0051716,GO:0051924,GO:0051928,GO:0052689,GO:0055065,GO:0055074,GO:0055080,GO:0055082,GO:0060191,GO:0060193,GO:0060255,GO:0060326,GO:0060341,GO:0061844,GO:0065007,GO:0065008,GO:0065009,GO:0070201,GO:0070887,GO:0071310,GO:0071375,GO:0071417,GO:0071495,GO:0071621,GO:0071702,GO:0071704,GO:0071715,GO:0071840,GO:0071900,GO:0071902,GO:0072330,GO:0072503,GO:0072507,GO:0080090,GO:0090087,GO:0090407,GO:0097164,GO:0097435,GO:0097529,GO:0097530,GO:0097708,GO:0098542,GO:0098771,GO:0099503,GO:1901564,GO:1901568,GO:1901570,GO:1901571,GO:1901575,GO:1901576,GO:1901652,GO:1901653,GO:1901698,GO:1901699,GO:1901700,GO:1901701,GO:1902531,GO:1902533,GO:1902680,GO:1903506,GO:1903508,GO:1903530,GO:1903532,GO:1903963,GO:1904951,GO:1990266,GO:2000112,GO:2001141</t>
  </si>
  <si>
    <t>GO:0000122,GO:0000139,GO:0000151,GO:0000209,GO:0000266,GO:0000422,GO:0000423,GO:0000976,GO:0001067,GO:0001101,GO:0001504,GO:0001505,GO:0001558,GO:0001664,GO:0001932,GO:0001933,GO:0001959,GO:0001961,GO:0001963,GO:0001964,GO:0002020,GO:0002791,GO:0002792,GO:0002793,GO:0003008,GO:0003674,GO:0003676,GO:0003677,GO:0003690,GO:0003700,GO:0003779,GO:0003824,GO:0004842,GO:0005102,GO:0005488,GO:0005515,GO:0005575,GO:0005622,GO:0005623,GO:0005634,GO:0005654,GO:0005737,GO:0005739,GO:0005740,GO:0005741,GO:0005783,GO:0005789,GO:0005794,GO:0005829,GO:0006109,GO:0006140,GO:0006355,GO:0006357,GO:0006464,GO:0006508,GO:0006511,GO:0006513,GO:0006584,GO:0006725,GO:0006807,GO:0006810,GO:0006811,GO:0006812,GO:0006836,GO:0006839,GO:0006914,GO:0006915,GO:0006950,GO:0006979,GO:0006986,GO:0006996,GO:0007005,GO:0007034,GO:0007041,GO:0007154,GO:0007267,GO:0007268,GO:0007275,GO:0007399,GO:0007417,GO:0007420,GO:0007568,GO:0007584,GO:0007610,GO:0007611,GO:0007612,GO:0007626,GO:0008013,GO:0008021,GO:0008092,GO:0008104,GO:0008150,GO:0008152,GO:0008219,GO:0008270,GO:0008340,GO:0008344,GO:0008637,GO:0009056,GO:0009057,GO:0009605,GO:0009636,GO:0009712,GO:0009719,GO:0009725,GO:0009889,GO:0009890,GO:0009891,GO:0009892,GO:0009893,GO:0009894,GO:0009896,GO:0009966,GO:0009967,GO:0009968,GO:0009987,GO:0009991,GO:0010033,GO:0010035,GO:0010038,GO:0010042,GO:0010243,GO:0010259,GO:0010468,GO:0010498,GO:0010506,GO:0010508,GO:0010556,GO:0010557,GO:0010558,GO:0010562,GO:0010563,GO:0010604,GO:0010605,GO:0010628,GO:0010629,GO:0010635,GO:0010636,GO:0010637,GO:0010638,GO:0010639,GO:0010646,GO:0010647,GO:0010648,GO:0010675,GO:0010677,GO:0010720,GO:0010803,GO:0010817,GO:0010821,GO:0010822,GO:0010823,GO:0010906,GO:0010918,GO:0010941,GO:0010942,GO:0010975,GO:0010976,GO:0010992,GO:0010994,GO:0012501,GO:0012505,GO:0012506,GO:0014059,GO:0014069,GO:0014070,GO:0014823,GO:0014850,GO:0015631,GO:0015696,GO:0015844,GO:0015850,GO:0015872,GO:0015893,GO:0016020,GO:0016032,GO:0016043,GO:0016192,GO:0016234,GO:0016235,GO:0016236,GO:0016239,GO:0016241,GO:0016567,GO:0016579,GO:0016604,GO:0016607,GO:0016740,GO:0017124,GO:0017144,GO:0017157,GO:0018958,GO:0019048,GO:0019054,GO:0019219,GO:0019220,GO:0019222,GO:0019538,GO:0019725,GO:0019787,GO:0019867,GO:0019899,GO:0019900,GO:0019901,GO:0019904,GO:0019941,GO:0022008,GO:0022411,GO:0022603,GO:0022604,GO:0022607,GO:0023051,GO:0023052,GO:0023056,GO:0023057,GO:0030100,GO:0030111,GO:0030133,GO:0030154,GO:0030162,GO:0030163,GO:0030165,GO:0030178,GO:0030307,GO:0030334,GO:0030336,GO:0030424,GO:0030534,GO:0030544,GO:0030658,GO:0030659,GO:0030672,GO:0030808,GO:0030810,GO:0031072,GO:0031090,GO:0031323,GO:0031324,GO:0031325,GO:0031326,GO:0031327,GO:0031328,GO:0031329,GO:0031331,GO:0031344,GO:0031346,GO:0031396,GO:0031398,GO:0031399,GO:0031400,GO:0031401,GO:0031410,GO:0031624,GO:0031625,GO:0031644,GO:0031645,GO:0031647,GO:0031648,GO:0031667,GO:0031668,GO:0031669,GO:0031670,GO:0031960,GO:0031966,GO:0031967,GO:0031968,GO:0031974,GO:0031975,GO:0031981,GO:0031982,GO:0031984,GO:0032024,GO:0032092,GO:0032182,GO:0032231,GO:0032232,GO:0032268,GO:0032269,GO:0032270,GO:0032279,GO:0032368,GO:0032386,GO:0032388,GO:0032434,GO:0032436,GO:0032446,GO:0032501,GO:0032502,GO:0032872,GO:0032873,GO:0032879,GO:0032880,GO:0032956,GO:0032970,GO:0032991,GO:0033036,GO:0033043,GO:0033131,GO:0033132,GO:0033157,GO:0033238,GO:0033267,GO:0033365,GO:0033554,GO:0033673,GO:0033993,GO:0034613,GO:0034620,GO:0034622,GO:0034976,GO:0035249,GO:0035519,GO:0035690,GO:0035774,GO:0035821,GO:0035966,GO:0035967,GO:0036211,GO:0036477,GO:0036503,GO:0040008,GO:0040012,GO:0040013,GO:0042053,GO:0042069,GO:0042175,GO:0042176,GO:0042221,GO:0042325,GO:0042326,GO:0042391,GO:0042415,GO:0042417,GO:0042493,GO:0042592,GO:0042802,GO:0042826,GO:0042981,GO:0042995,GO:0043005,GO:0043025,GO:0043065,GO:0043066,GO:0043067,GO:0043068,GO:0043069,GO:0043086,GO:0043122,GO:0043123,GO:0043130,GO:0043161,GO:0043167,GO:0043169,GO:0043170,GO:0043195,GO:0043200,GO:0043226,GO:0043227,GO:0043229,GO:0043231,GO:0043233,GO:0043269,GO:0043274,GO:0043388,GO:0043393,GO:0043408,GO:0043409,GO:0043412,GO:0043523,GO:0043524,GO:0043549,GO:0043565,GO:0043632,GO:0043653,GO:0043679,GO:0043900,GO:0043901,GO:0043903,GO:0043933,GO:0044003,GO:0044057,GO:0044068,GO:0044085,GO:0044087,GO:0044092,GO:0044093,GO:0044212,GO:0044237,GO:0044238,GO:0044248,GO:0044257,GO:0044260,GO:0044265,GO:0044267,GO:0044297,GO:0044306,GO:0044314,GO:0044389,GO:0044390,GO:0044403,GO:0044419,GO:0044422,GO:0044424,GO:0044425,GO:0044428,GO:0044429,GO:0044431,GO:0044432,GO:0044433,GO:0044444,GO:0044446,GO:0044451,GO:0044456,GO:0044463,GO:0044464,GO:0044788,GO:0044793,GO:0044827,GO:0044828,GO:0044877,GO:0045069,GO:0045071,GO:0045121,GO:0045202,GO:0045472,GO:0045595,GO:0045597,GO:0045664,GO:0045666,GO:0045732,GO:0045806,GO:0045838,GO:0045862,GO:0045892,GO:0045893,GO:0045912,GO:0045920,GO:0045927,GO:0045934,GO:0045935,GO:0045936,GO:0045937,GO:0045944,GO:0045981,GO:0046328,GO:0046329,GO:0046676,GO:0046677,GO:0046872,GO:0046883,GO:0046887,GO:0046888,GO:0046914,GO:0046928,GO:0046929,GO:0048285,GO:0048471,GO:0048513,GO:0048518,GO:0048519,GO:0048522,GO:0048523,GO:0048525,GO:0048545,GO:0048583,GO:0048584,GO:0048585,GO:0048638,GO:0048639,GO:0048699,GO:0048731,GO:0048856,GO:0048869,GO:0048878,GO:0050433,GO:0050708,GO:0050709,GO:0050714,GO:0050764,GO:0050765,GO:0050767,GO:0050769,GO:0050789,GO:0050790,GO:0050792,GO:0050793,GO:0050794,GO:0050796,GO:0050801,GO:0050804,GO:0050805,GO:0050821,GO:0050877,GO:0050890,GO:0050896,GO:0050905,GO:0051046,GO:0051047,GO:0051048,GO:0051049,GO:0051050,GO:0051051,GO:0051087,GO:0051093,GO:0051094,GO:0051098,GO:0051099,GO:0051101,GO:0051128,GO:0051129,GO:0051130,GO:0051171,GO:0051172,GO:0051173,GO:0051174,GO:0051179,GO:0051222,GO:0051223,GO:0051224,GO:0051234,GO:0051239,GO:0051240,GO:0051241,GO:0051246,GO:0051247,GO:0051248,GO:0051252,GO:0051253,GO:0051254,GO:0051258,GO:0051270,GO:0051271,GO:0051338,GO:0051341,GO:0051348,GO:0051354,GO:0051384,GO:0051385,GO:0051412,GO:0051493,GO:0051494,GO:0051580,GO:0051582,GO:0051583,GO:0051588,GO:0051589,GO:0051590,GO:0051603,GO:0051640,GO:0051641,GO:0051646,GO:0051649,GO:0051701,GO:0051702,GO:0051704,GO:0051716,GO:0051817,GO:0051851,GO:0051865,GO:0051881,GO:0051934,GO:0051937,GO:0051952,GO:0051960,GO:0051962,GO:0051966,GO:0051967,GO:0055065,GO:0055069,GO:0055076,GO:0055080,GO:0060099,GO:0060101,GO:0060249,GO:0060255,GO:0060284,GO:0060322,GO:0060341,GO:0060359,GO:0060548,GO:0060627,GO:0060759,GO:0060760,GO:0060828,GO:0061136,GO:0061178,GO:0061630,GO:0061659,GO:0061726,GO:0061734,GO:0061912,GO:0061919,GO:0062012,GO:0062013,GO:0065003,GO:0065007,GO:0065008,GO:0065009,GO:0070013,GO:0070050,GO:0070201,GO:0070302,GO:0070303,GO:0070382,GO:0070534,GO:0070585,GO:0070646,GO:0070647,GO:0070727,GO:0070841,GO:0070842,GO:0070887,GO:0070936,GO:0070979,GO:0071229,GO:0071230,GO:0071241,GO:0071242,GO:0071248,GO:0071287,GO:0071310,GO:0071407,GO:0071417,GO:0071495,GO:0071496,GO:0071702,GO:0071704,GO:0071705,GO:0071840,GO:0071867,GO:0071868,GO:0071869,GO:0071870,GO:0072507,GO:0080090,GO:0080134,GO:0080135,GO:0085020,GO:0090087,GO:0090090,GO:0090140,GO:0090141,GO:0090199,GO:0090201,GO:0090258,GO:0090276,GO:0090277,GO:0090278,GO:0090394,GO:0090493,GO:0090494,GO:0097159,GO:0097164,GO:0097237,GO:0097305,GO:0097327,GO:0097413,GO:0097458,GO:0097602,GO:0097708,GO:0098588,GO:0098589,GO:0098657,GO:0098771,GO:0098779,GO:0098780,GO:0098791,GO:0098793,GO:0098794,GO:0098805,GO:0098810,GO:0098815,GO:0098827,GO:0098857,GO:0098916,GO:0098984,GO:0099074,GO:0099075,GO:0099177,GO:0099501,GO:0099503,GO:0099536,GO:0099537,GO:0099572,GO:0110053,GO:0120025,GO:0120035,GO:0120038,GO:0140096,GO:0140110,GO:0150003,GO:0150034,GO:1900371,GO:1900373,GO:1900407,GO:1900408,GO:1900542,GO:1900544,GO:1901074,GO:1901075,GO:1901214,GO:1901215,GO:1901360,GO:1901363,GO:1901524,GO:1901526,GO:1901564,GO:1901565,GO:1901575,GO:1901615,GO:1901654,GO:1901698,GO:1901699,GO:1901700,GO:1901701,GO:1901796,GO:1901797,GO:1901800,GO:1902065,GO:1902175,GO:1902176,GO:1902235,GO:1902236,GO:1902253,GO:1902254,GO:1902283,GO:1902494,GO:1902528,GO:1902530,GO:1902531,GO:1902532,GO:1902533,GO:1902679,GO:1902680,GO:1902803,GO:1902882,GO:1902883,GO:1902903,GO:1902904,GO:1902914,GO:1902916,GO:1903008,GO:1903050,GO:1903052,GO:1903146,GO:1903201,GO:1903202,GO:1903203,GO:1903204,GO:1903214,GO:1903265,GO:1903299,GO:1903300,GO:1903320,GO:1903322,GO:1903350,GO:1903351,GO:1903362,GO:1903364,GO:1903376,GO:1903377,GO:1903381,GO:1903382,GO:1903426,GO:1903427,GO:1903506,GO:1903507,GO:1903508,GO:1903530,GO:1903531,GO:1903532,GO:1903533,GO:1903541,GO:1903542,GO:1903573,GO:1903578,GO:1903580,GO:1903599,GO:1903649,GO:1903651,GO:1903747,GO:1903827,GO:1903829,GO:1903859,GO:1903861,GO:1903900,GO:1903901,GO:1904048,GO:1904049,GO:1904643,GO:1904844,GO:1904845,GO:1904880,GO:1904881,GO:1904923,GO:1904925,GO:1904950,GO:1904951,GO:1904978,GO:1904979,GO:1905153,GO:1905154,GO:1905232,GO:1905279,GO:1905281,GO:1905365,GO:1905366,GO:1905475,GO:1905477,GO:1905897,GO:1905952,GO:1990234,GO:1990381,GO:1990444,GO:1990452,GO:1990837,GO:2000026,GO:2000058,GO:2000060,GO:2000112,GO:2000113,GO:2000145,GO:2000146,GO:2000377,GO:2000378,GO:2000425,GO:2000426,GO:2001023,GO:2001141,GO:2001169,GO:2001171,GO:2001233,GO:2001234,GO:2001242,GO:2001243</t>
  </si>
  <si>
    <t>GO:0000323,GO:0001775,GO:0002252,GO:0002263,GO:0002274,GO:0002275,GO:0002283,GO:0002366,GO:0002376,GO:0002443,GO:0002444,GO:0002446,GO:0003674,GO:0003824,GO:0004308,GO:0004553,GO:0004565,GO:0005488,GO:0005515,GO:0005575,GO:0005576,GO:0005615,GO:0005622,GO:0005623,GO:0005737,GO:0005764,GO:0005766,GO:0005773,GO:0005775,GO:0005794,GO:0005975,GO:0005996,GO:0006012,GO:0006022,GO:0006026,GO:0006027,GO:0006082,GO:0006629,GO:0006643,GO:0006664,GO:0006665,GO:0006687,GO:0006790,GO:0006807,GO:0006810,GO:0006887,GO:0006955,GO:0008150,GO:0008152,GO:0009056,GO:0009057,GO:0009987,GO:0012505,GO:0015925,GO:0016052,GO:0016192,GO:0016787,GO:0016798,GO:0016936,GO:0016997,GO:0019318,GO:0019320,GO:0019388,GO:0030141,GO:0030203,GO:0031410,GO:0031974,GO:0031982,GO:0031983,GO:0032940,GO:0034774,GO:0035578,GO:0036230,GO:0042119,GO:0042339,GO:0042340,GO:0042582,GO:0042802,GO:0042803,GO:0043170,GO:0043202,GO:0043226,GO:0043227,GO:0043229,GO:0043231,GO:0043233,GO:0043299,GO:0043312,GO:0043436,GO:0044237,GO:0044238,GO:0044248,GO:0044255,GO:0044262,GO:0044273,GO:0044281,GO:0044282,GO:0044421,GO:0044422,GO:0044424,GO:0044433,GO:0044437,GO:0044444,GO:0044446,GO:0044464,GO:0045055,GO:0045321,GO:0046365,GO:0046903,GO:0046983,GO:0050896,GO:0051179,GO:0051234,GO:0060205,GO:0070013,GO:0071704,GO:0097367,GO:0097708,GO:0099503,GO:0101002,GO:1901135,GO:1901136,GO:1901564,GO:1901565,GO:1901575,GO:1903509,GO:1903510,GO:1904813</t>
  </si>
  <si>
    <t>GO:0000184,GO:0000956,GO:0001775,GO:0002181,GO:0002376,GO:0002520,GO:0002521,GO:0003674,GO:0003676,GO:0003723,GO:0003735,GO:0005198,GO:0005488,GO:0005539,GO:0005575,GO:0005622,GO:0005623,GO:0005634,GO:0005737,GO:0005783,GO:0005789,GO:0005791,GO:0005829,GO:0005840,GO:0006139,GO:0006401,GO:0006402,GO:0006412,GO:0006413,GO:0006518,GO:0006605,GO:0006612,GO:0006613,GO:0006614,GO:0006725,GO:0006807,GO:0006810,GO:0006886,GO:0007275,GO:0008104,GO:0008150,GO:0008152,GO:0008201,GO:0009056,GO:0009057,GO:0009058,GO:0009059,GO:0009892,GO:0009987,GO:0010467,GO:0010468,GO:0010605,GO:0010629,GO:0012505,GO:0015031,GO:0015833,GO:0015934,GO:0016020,GO:0016070,GO:0016071,GO:0019222,GO:0019439,GO:0019538,GO:0022625,GO:0022626,GO:0030097,GO:0030098,GO:0030154,GO:0030217,GO:0030867,GO:0031090,GO:0031984,GO:0032501,GO:0032502,GO:0032991,GO:0033036,GO:0033365,GO:0034613,GO:0034641,GO:0034645,GO:0034655,GO:0042110,GO:0042175,GO:0042886,GO:0043043,GO:0043167,GO:0043168,GO:0043170,GO:0043226,GO:0043227,GO:0043228,GO:0043229,GO:0043231,GO:0043232,GO:0043603,GO:0043604,GO:0044237,GO:0044238,GO:0044248,GO:0044249,GO:0044260,GO:0044265,GO:0044267,GO:0044270,GO:0044271,GO:0044391,GO:0044422,GO:0044424,GO:0044425,GO:0044432,GO:0044444,GO:0044445,GO:0044446,GO:0044464,GO:0045047,GO:0045184,GO:0045321,GO:0046483,GO:0046631,GO:0046632,GO:0046649,GO:0046700,GO:0046907,GO:0048513,GO:0048519,GO:0048534,GO:0048731,GO:0048856,GO:0048869,GO:0050789,GO:0051179,GO:0051234,GO:0051641,GO:0051649,GO:0060255,GO:0065007,GO:0070727,GO:0070972,GO:0071702,GO:0071704,GO:0071705,GO:0072594,GO:0072599,GO:0072657,GO:0090150,GO:0090304,GO:0097159,GO:0097367,GO:0098552,GO:0098554,GO:0098556,GO:0098562,GO:0098588,GO:0098827,GO:1901360,GO:1901361,GO:1901363,GO:1901564,GO:1901566,GO:1901575,GO:1901576,GO:1901681,GO:1990904</t>
  </si>
  <si>
    <t>GO:0003674,GO:0003779,GO:0005488,GO:0005515,GO:0005575,GO:0005622,GO:0005623,GO:0005737,GO:0005856,GO:0005865,GO:0005912,GO:0005924,GO:0005925,GO:0006996,GO:0007010,GO:0007015,GO:0007016,GO:0008092,GO:0008104,GO:0008150,GO:0009653,GO:0009987,GO:0010927,GO:0015629,GO:0016043,GO:0022607,GO:0030016,GO:0030017,GO:0030018,GO:0030029,GO:0030036,GO:0030054,GO:0030055,GO:0030154,GO:0030239,GO:0031032,GO:0031532,GO:0031674,GO:0032502,GO:0032507,GO:0032989,GO:0033036,GO:0034613,GO:0036379,GO:0042692,GO:0043226,GO:0043228,GO:0043229,GO:0043232,GO:0043292,GO:0044085,GO:0044422,GO:0044424,GO:0044430,GO:0044444,GO:0044446,GO:0044449,GO:0044464,GO:0044877,GO:0045185,GO:0045214,GO:0048468,GO:0048646,GO:0048856,GO:0048869,GO:0051015,GO:0051017,GO:0051146,GO:0051179,GO:0051235,GO:0051641,GO:0051651,GO:0055001,GO:0055002,GO:0055120,GO:0061061,GO:0061572,GO:0065007,GO:0065008,GO:0070161,GO:0070727,GO:0070925,GO:0071840,GO:0097435,GO:0099080,GO:0099081,GO:0099512</t>
  </si>
  <si>
    <t>GO:0000041,GO:0001894,GO:0001895,GO:0003008,GO:0003674,GO:0005215,GO:0005216,GO:0005261,GO:0005262,GO:0005488,GO:0005515,GO:0005575,GO:0005623,GO:0005886,GO:0005887,GO:0005902,GO:0006810,GO:0006811,GO:0006812,GO:0006816,GO:0006828,GO:0006873,GO:0006874,GO:0006875,GO:0006950,GO:0006996,GO:0007005,GO:0007154,GO:0007165,GO:0007186,GO:0007600,GO:0007601,GO:0007602,GO:0007603,GO:0007605,GO:0007610,GO:0007611,GO:0007612,GO:0007635,GO:0008104,GO:0008150,GO:0008306,GO:0008324,GO:0008355,GO:0008377,GO:0009314,GO:0009416,GO:0009581,GO:0009582,GO:0009583,GO:0009584,GO:0009605,GO:0009628,GO:0009987,GO:0010461,GO:0015075,GO:0015085,GO:0015267,GO:0015318,GO:0016020,GO:0016021,GO:0016027,GO:0016028,GO:0016043,GO:0016056,GO:0019725,GO:0019897,GO:0019898,GO:0022803,GO:0022838,GO:0022857,GO:0022890,GO:0023052,GO:0030001,GO:0030003,GO:0031224,GO:0031226,GO:0031253,GO:0031528,GO:0032501,GO:0032879,GO:0032991,GO:0033036,GO:0033554,GO:0033583,GO:0034059,GO:0034220,GO:0034702,GO:0034703,GO:0035996,GO:0035997,GO:0036293,GO:0036294,GO:0042048,GO:0042221,GO:0042592,GO:0042802,GO:0042803,GO:0042995,GO:0044425,GO:0044459,GO:0044463,GO:0044464,GO:0046873,GO:0046982,GO:0046983,GO:0048519,GO:0048523,GO:0048871,GO:0048878,GO:0050789,GO:0050794,GO:0050801,GO:0050877,GO:0050890,GO:0050896,GO:0050906,GO:0050908,GO:0050953,GO:0050954,GO:0050962,GO:0051179,GO:0051234,GO:0051282,GO:0051283,GO:0051480,GO:0051606,GO:0051716,GO:0055065,GO:0055074,GO:0055080,GO:0055082,GO:0055085,GO:0060249,GO:0065007,GO:0065008,GO:0070482,GO:0070588,GO:0070838,GO:0070887,GO:0071214,GO:0071453,GO:0071454,GO:0071478,GO:0071482,GO:0071840,GO:0071944,GO:0072503,GO:0072507,GO:0072511,GO:0098590,GO:0098655,GO:0098660,GO:0098662,GO:0098771,GO:0098796,GO:0098797,GO:0098858,GO:0104004,GO:0120025,GO:0120038,GO:1902495,GO:1990351</t>
  </si>
  <si>
    <t>GO:0000003,GO:0000323,GO:0001775,GO:0002237,GO:0002252,GO:0002263,GO:0002274,GO:0002275,GO:0002283,GO:0002366,GO:0002376,GO:0002443,GO:0002444,GO:0002446,GO:0003006,GO:0003674,GO:0003824,GO:0004364,GO:0004601,GO:0004602,GO:0005488,GO:0005515,GO:0005575,GO:0005622,GO:0005623,GO:0005634,GO:0005737,GO:0005739,GO:0005740,GO:0005741,GO:0005764,GO:0005765,GO:0005766,GO:0005773,GO:0005774,GO:0005777,GO:0005778,GO:0005783,GO:0005789,GO:0005886,GO:0006518,GO:0006575,GO:0006749,GO:0006790,GO:0006805,GO:0006807,GO:0006810,GO:0006887,GO:0006950,GO:0006955,GO:0006979,GO:0006982,GO:0007275,GO:0007548,GO:0008150,GO:0008152,GO:0008406,GO:0008584,GO:0009058,GO:0009410,GO:0009605,GO:0009607,GO:0009617,GO:0009636,GO:0009987,GO:0010033,GO:0010243,GO:0012505,GO:0012506,GO:0016020,GO:0016021,GO:0016043,GO:0016192,GO:0016209,GO:0016491,GO:0016684,GO:0016740,GO:0016765,GO:0019867,GO:0022414,GO:0022607,GO:0030141,GO:0030154,GO:0030659,GO:0030667,GO:0031090,GO:0031224,GO:0031410,GO:0031903,GO:0031966,GO:0031967,GO:0031968,GO:0031975,GO:0031982,GO:0031984,GO:0032496,GO:0032501,GO:0032502,GO:0032940,GO:0033194,GO:0033218,GO:0033327,GO:0033554,GO:0033993,GO:0034599,GO:0034641,GO:0035577,GO:0036230,GO:0042119,GO:0042175,GO:0042221,GO:0042277,GO:0042493,GO:0042579,GO:0042582,GO:0042802,GO:0042803,GO:0043167,GO:0043168,GO:0043207,GO:0043226,GO:0043227,GO:0043229,GO:0043231,GO:0043295,GO:0043299,GO:0043312,GO:0043603,GO:0043933,GO:0044085,GO:0044237,GO:0044249,GO:0044272,GO:0044422,GO:0044424,GO:0044425,GO:0044429,GO:0044432,GO:0044433,GO:0044437,GO:0044438,GO:0044439,GO:0044444,GO:0044446,GO:0044464,GO:0045055,GO:0045137,GO:0045177,GO:0045321,GO:0046546,GO:0046661,GO:0046903,GO:0046983,GO:0048037,GO:0048513,GO:0048608,GO:0048731,GO:0048856,GO:0048869,GO:0050896,GO:0051179,GO:0051186,GO:0051234,GO:0051259,GO:0051260,GO:0051704,GO:0051707,GO:0051716,GO:0055114,GO:0061458,GO:0065003,GO:0070206,GO:0070207,GO:0070887,GO:0071447,GO:0071449,GO:0071466,GO:0071704,GO:0071840,GO:0071944,GO:0072341,GO:0097237,GO:0097708,GO:0098588,GO:0098754,GO:0098805,GO:0098827,GO:0098852,GO:0098869,GO:0099503,GO:1900750,GO:1901564,GO:1901566,GO:1901576,GO:1901681,GO:1901685,GO:1901687,GO:1901698,GO:1901700,GO:1901701,GO:1990748</t>
  </si>
  <si>
    <t>GO:0001676,GO:0001775,GO:0002252,GO:0002263,GO:0002274,GO:0002275,GO:0002283,GO:0002366,GO:0002376,GO:0002443,GO:0002444,GO:0002446,GO:0002526,GO:0002532,GO:0002538,GO:0002540,GO:0003008,GO:0003013,GO:0003018,GO:0003674,GO:0003824,GO:0004051,GO:0005488,GO:0005506,GO:0005575,GO:0005576,GO:0005622,GO:0005623,GO:0005634,GO:0005635,GO:0005641,GO:0005654,GO:0005737,GO:0005829,GO:0005886,GO:0006082,GO:0006629,GO:0006631,GO:0006633,GO:0006690,GO:0006691,GO:0006810,GO:0006887,GO:0006950,GO:0006952,GO:0006954,GO:0006955,GO:0007154,GO:0007165,GO:0007166,GO:0007584,GO:0007600,GO:0008015,GO:0008150,GO:0008152,GO:0008610,GO:0009058,GO:0009605,GO:0009628,GO:0009987,GO:0009991,GO:0010033,GO:0012505,GO:0016020,GO:0016053,GO:0016192,GO:0016363,GO:0016491,GO:0016701,GO:0016702,GO:0019221,GO:0019229,GO:0019233,GO:0019369,GO:0019370,GO:0019372,GO:0019752,GO:0023052,GO:0030141,GO:0030425,GO:0031090,GO:0031410,GO:0031667,GO:0031965,GO:0031967,GO:0031970,GO:0031974,GO:0031975,GO:0031981,GO:0031982,GO:0031983,GO:0032501,GO:0032787,GO:0032940,GO:0033559,GO:0034097,GO:0034399,GO:0034774,GO:0035150,GO:0035296,GO:0035655,GO:0036230,GO:0036296,GO:0036477,GO:0042119,GO:0042221,GO:0042383,GO:0042759,GO:0042995,GO:0043005,GO:0043167,GO:0043169,GO:0043226,GO:0043227,GO:0043229,GO:0043231,GO:0043233,GO:0043299,GO:0043312,GO:0043436,GO:0044057,GO:0044237,GO:0044238,GO:0044249,GO:0044255,GO:0044281,GO:0044283,GO:0044422,GO:0044424,GO:0044428,GO:0044433,GO:0044444,GO:0044446,GO:0044463,GO:0044464,GO:0045055,GO:0045321,GO:0045907,GO:0046394,GO:0046456,GO:0046872,GO:0046903,GO:0046914,GO:0048518,GO:0050789,GO:0050794,GO:0050877,GO:0050880,GO:0050896,GO:0051179,GO:0051213,GO:0051234,GO:0051239,GO:0051240,GO:0051716,GO:0055093,GO:0055114,GO:0060205,GO:0065007,GO:0065008,GO:0070013,GO:0070482,GO:0070673,GO:0070887,GO:0071310,GO:0071345,GO:0071351,GO:0071704,GO:0071944,GO:0072330,GO:0090066,GO:0097447,GO:0097458,GO:0097708,GO:0097746,GO:0099503,GO:0101002,GO:0120025,GO:0120038,GO:1901568,GO:1901570,GO:1901576,GO:1903522,GO:1903524,GO:1904813</t>
  </si>
  <si>
    <t>GO:0001932,GO:0001933,GO:0003002,GO:0003674,GO:0005488,GO:0005515,GO:0005543,GO:0005575,GO:0005622,GO:0005623,GO:0005737,GO:0006469,GO:0007275,GO:0007389,GO:0008150,GO:0008289,GO:0009799,GO:0009855,GO:0009892,GO:0009953,GO:0009966,GO:0009968,GO:0010563,GO:0010605,GO:0010646,GO:0010648,GO:0016020,GO:0019220,GO:0019222,GO:0019904,GO:0023051,GO:0023057,GO:0031323,GO:0031324,GO:0031399,GO:0031400,GO:0032268,GO:0032269,GO:0032501,GO:0032502,GO:0032872,GO:0032873,GO:0033673,GO:0035091,GO:0042325,GO:0042326,GO:0043086,GO:0043167,GO:0043168,GO:0043393,GO:0043405,GO:0043407,GO:0043408,GO:0043409,GO:0043496,GO:0043506,GO:0043508,GO:0043549,GO:0044092,GO:0044424,GO:0044464,GO:0045859,GO:0045936,GO:0046328,GO:0046329,GO:0048262,GO:0048264,GO:0048519,GO:0048523,GO:0048583,GO:0048585,GO:0048856,GO:0050789,GO:0050790,GO:0050793,GO:0050794,GO:0051093,GO:0051098,GO:0051171,GO:0051172,GO:0051174,GO:0051239,GO:0051241,GO:0051246,GO:0051248,GO:0051338,GO:0051348,GO:0060255,GO:0065007,GO:0065009,GO:0070302,GO:0070303,GO:0071900,GO:0071901,GO:0080090,GO:0080134,GO:0080135,GO:1902531,GO:1902532,GO:2000015,GO:2000016,GO:2000026</t>
  </si>
  <si>
    <t>GO:0000139,GO:0002009,GO:0002165,GO:0005575,GO:0005622,GO:0005623,GO:0005737,GO:0005783,GO:0005793,GO:0005794,GO:0005795,GO:0005798,GO:0005886,GO:0006464,GO:0006486,GO:0006487,GO:0006807,GO:0006810,GO:0006888,GO:0006900,GO:0006901,GO:0006903,GO:0006996,GO:0007030,GO:0007275,GO:0007399,GO:0007444,GO:0007472,GO:0007476,GO:0007552,GO:0007560,GO:0008150,GO:0008152,GO:0009058,GO:0009059,GO:0009100,GO:0009101,GO:0009653,GO:0009791,GO:0009886,GO:0009887,GO:0009888,GO:0009893,GO:0009987,GO:0010256,GO:0010604,GO:0010721,GO:0010769,GO:0010771,GO:0010975,GO:0010977,GO:0012505,GO:0016020,GO:0016043,GO:0016050,GO:0016192,GO:0016333,GO:0019222,GO:0019538,GO:0022008,GO:0022603,GO:0022604,GO:0022607,GO:0030154,GO:0031090,GO:0031323,GO:0031325,GO:0031344,GO:0031345,GO:0031396,GO:0031398,GO:0031399,GO:0031401,GO:0031410,GO:0031982,GO:0031984,GO:0032268,GO:0032270,GO:0032501,GO:0032502,GO:0033116,GO:0034645,GO:0035107,GO:0035114,GO:0035120,GO:0035220,GO:0035239,GO:0035295,GO:0036211,GO:0043085,GO:0043170,GO:0043226,GO:0043227,GO:0043229,GO:0043231,GO:0043412,GO:0043413,GO:0043933,GO:0044085,GO:0044093,GO:0044237,GO:0044238,GO:0044249,GO:0044260,GO:0044267,GO:0044422,GO:0044424,GO:0044431,GO:0044444,GO:0044446,GO:0044464,GO:0044719,GO:0045595,GO:0045596,GO:0045664,GO:0045665,GO:0046907,GO:0048193,GO:0048194,GO:0048199,GO:0048207,GO:0048208,GO:0048513,GO:0048518,GO:0048519,GO:0048522,GO:0048523,GO:0048563,GO:0048569,GO:0048699,GO:0048707,GO:0048729,GO:0048731,GO:0048736,GO:0048737,GO:0048814,GO:0048856,GO:0048869,GO:0050767,GO:0050768,GO:0050773,GO:0050774,GO:0050789,GO:0050790,GO:0050793,GO:0050794,GO:0051093,GO:0051128,GO:0051129,GO:0051171,GO:0051173,GO:0051179,GO:0051234,GO:0051239,GO:0051241,GO:0051246,GO:0051247,GO:0051338,GO:0051347,GO:0051438,GO:0051443,GO:0051640,GO:0051641,GO:0051648,GO:0051649,GO:0051650,GO:0051656,GO:0051960,GO:0051961,GO:0060255,GO:0060284,GO:0060429,GO:0060562,GO:0061024,GO:0065003,GO:0065007,GO:0065008,GO:0065009,GO:0070085,GO:0071704,GO:0071840,GO:0071944,GO:0080090,GO:0090066,GO:0090114,GO:0097708,GO:0098588,GO:0098791,GO:0120035,GO:1901135,GO:1901137,GO:1901564,GO:1901566,GO:1901576,GO:1903320,GO:1903322,GO:1904666,GO:1904668,GO:2000026,GO:2000171</t>
  </si>
  <si>
    <t>GO:0000003,GO:0000339,GO:0000340,GO:0000932,GO:0000993,GO:0001047,GO:0001067,GO:0001098,GO:0001099,GO:0001709,GO:0002119,GO:0002164,GO:0003002,GO:0003006,GO:0003008,GO:0003674,GO:0003676,GO:0003677,GO:0003723,GO:0003725,GO:0003727,GO:0003729,GO:0003743,GO:0003824,GO:0004518,GO:0004519,GO:0004521,GO:0004540,GO:0005488,GO:0005515,GO:0005575,GO:0005576,GO:0005615,GO:0005622,GO:0005623,GO:0005634,GO:0005654,GO:0005737,GO:0005739,GO:0005829,GO:0005844,GO:0005845,GO:0006139,GO:0006325,GO:0006342,GO:0006355,GO:0006357,GO:0006379,GO:0006396,GO:0006401,GO:0006402,GO:0006412,GO:0006413,GO:0006417,GO:0006446,GO:0006518,GO:0006725,GO:0006807,GO:0006996,GO:0007154,GO:0007165,GO:0007166,GO:0007223,GO:0007267,GO:0007275,GO:0007276,GO:0007281,GO:0007292,GO:0007293,GO:0007294,GO:0007350,GO:0007365,GO:0007367,GO:0007389,GO:0007399,GO:0007416,GO:0007548,GO:0007610,GO:0007611,GO:0007612,GO:0008022,GO:0008135,GO:0008150,GO:0008152,GO:0008283,GO:0008406,GO:0009056,GO:0009057,GO:0009058,GO:0009059,GO:0009653,GO:0009790,GO:0009791,GO:0009792,GO:0009880,GO:0009889,GO:0009890,GO:0009891,GO:0009892,GO:0009893,GO:0009894,GO:0009896,GO:0009987,GO:0009994,GO:0010033,GO:0010453,GO:0010467,GO:0010468,GO:0010501,GO:0010556,GO:0010557,GO:0010558,GO:0010586,GO:0010604,GO:0010605,GO:0010608,GO:0010628,GO:0010629,GO:0014070,GO:0016043,GO:0016055,GO:0016070,GO:0016071,GO:0016246,GO:0016441,GO:0016442,GO:0016458,GO:0016787,GO:0016788,GO:0016891,GO:0016892,GO:0016893,GO:0016894,GO:0017148,GO:0019219,GO:0019222,GO:0019439,GO:0019538,GO:0019827,GO:0019899,GO:0019953,GO:0022412,GO:0022414,GO:0022603,GO:0022607,GO:0022613,GO:0022618,GO:0023052,GO:0030054,GO:0030154,GO:0030334,GO:0030335,GO:0030422,GO:0030423,GO:0030425,GO:0030706,GO:0030716,GO:0030718,GO:0030727,GO:0031047,GO:0031050,GO:0031054,GO:0031323,GO:0031324,GO:0031325,GO:0031326,GO:0031327,GO:0031328,GO:0031329,GO:0031331,GO:0031332,GO:0031644,GO:0031974,GO:0031981,GO:0031982,GO:0032268,GO:0032269,GO:0032501,GO:0032502,GO:0032504,GO:0032879,GO:0032991,GO:0034248,GO:0034249,GO:0034470,GO:0034518,GO:0034622,GO:0034641,GO:0034645,GO:0034655,GO:0034660,GO:0035068,GO:0035087,GO:0035194,GO:0035195,GO:0035196,GO:0035197,GO:0035198,GO:0035278,GO:0035279,GO:0035280,GO:0035282,GO:0035567,GO:0035770,GO:0036099,GO:0036464,GO:0036477,GO:0040012,GO:0040017,GO:0040025,GO:0040029,GO:0040033,GO:0040034,GO:0040035,GO:0042221,GO:0042659,GO:0042995,GO:0043005,GO:0043043,GO:0043170,GO:0043175,GO:0043226,GO:0043227,GO:0043228,GO:0043229,GO:0043230,GO:0043231,GO:0043232,GO:0043233,GO:0043331,GO:0043603,GO:0043604,GO:0043900,GO:0043902,GO:0043933,GO:0044057,GO:0044085,GO:0044212,GO:0044237,GO:0044238,GO:0044248,GO:0044249,GO:0044260,GO:0044265,GO:0044267,GO:0044270,GO:0044271,GO:0044421,GO:0044422,GO:0044424,GO:0044428,GO:0044444,GO:0044446,GO:0044463,GO:0044464,GO:0044703,GO:0044877,GO:0045137,GO:0045165,GO:0045595,GO:0045765,GO:0045766,GO:0045814,GO:0045892,GO:0045893,GO:0045934,GO:0045935,GO:0045944,GO:0045947,GO:0045974,GO:0046483,GO:0046700,GO:0046958,GO:0046959,GO:0048134,GO:0048135,GO:0048468,GO:0048471,GO:0048477,GO:0048513,GO:0048518,GO:0048519,GO:0048522,GO:0048523,GO:0048569,GO:0048583,GO:0048608,GO:0048609,GO:0048646,GO:0048731,GO:0048806,GO:0048856,GO:0048869,GO:0050789,GO:0050793,GO:0050794,GO:0050795,GO:0050808,GO:0050877,GO:0050890,GO:0050896,GO:0051094,GO:0051171,GO:0051172,GO:0051173,GO:0051239,GO:0051240,GO:0051246,GO:0051248,GO:0051252,GO:0051253,GO:0051254,GO:0051270,GO:0051272,GO:0051276,GO:0051704,GO:0051716,GO:0060147,GO:0060148,GO:0060211,GO:0060213,GO:0060255,GO:0060964,GO:0060966,GO:0060968,GO:0061013,GO:0061014,GO:0061458,GO:0061980,GO:0065003,GO:0065007,GO:0070013,GO:0070062,GO:0070063,GO:0070551,GO:0070578,GO:0070887,GO:0070918,GO:0070922,GO:0071310,GO:0071359,GO:0071407,GO:0071704,GO:0071826,GO:0071840,GO:0080090,GO:0090304,GO:0090305,GO:0090328,GO:0090501,GO:0090502,GO:0090624,GO:0090625,GO:0097159,GO:0097447,GO:0097458,GO:0098727,GO:0098795,GO:0098808,GO:0120025,GO:0120038,GO:0140098,GO:0198738,GO:1900151,GO:1900153,GO:1901163,GO:1901165,GO:1901342,GO:1901360,GO:1901361,GO:1901363,GO:1901564,GO:1901566,GO:1901575,GO:1901576,GO:1901698,GO:1901699,GO:1902494,GO:1902555,GO:1902679,GO:1902680,GO:1903311,GO:1903313,GO:1903506,GO:1903507,GO:1903508,GO:1903561,GO:1904018,GO:1905114,GO:1905348,GO:1905616,GO:1905618,GO:1990904,GO:2000026,GO:2000112,GO:2000113,GO:2000145,GO:2000147,GO:2000241,GO:2000243,GO:2000637,GO:2001141</t>
  </si>
  <si>
    <t>GO:0000139,GO:0000323,GO:0002790,GO:0003674,GO:0004888,GO:0005488,GO:0005575,GO:0005622,GO:0005623,GO:0005737,GO:0005764,GO:0005765,GO:0005768,GO:0005770,GO:0005773,GO:0005774,GO:0005794,GO:0005802,GO:0005886,GO:0005887,GO:0006810,GO:0006886,GO:0006897,GO:0006898,GO:0007034,GO:0007041,GO:0007154,GO:0007165,GO:0008104,GO:0008150,GO:0008333,GO:0009306,GO:0009987,GO:0012505,GO:0012506,GO:0015031,GO:0015833,GO:0016020,GO:0016021,GO:0016043,GO:0016192,GO:0023052,GO:0030133,GO:0030135,GO:0030136,GO:0030659,GO:0030662,GO:0030665,GO:0031090,GO:0031224,GO:0031226,GO:0031410,GO:0031982,GO:0031984,GO:0032588,GO:0032940,GO:0033036,GO:0033299,GO:0034613,GO:0038023,GO:0042886,GO:0043226,GO:0043227,GO:0043229,GO:0043231,GO:0044422,GO:0044424,GO:0044425,GO:0044431,GO:0044433,GO:0044437,GO:0044444,GO:0044446,GO:0044459,GO:0044464,GO:0044877,GO:0045184,GO:0046903,GO:0046907,GO:0048471,GO:0050789,GO:0050794,GO:0050896,GO:0051179,GO:0051234,GO:0051641,GO:0051649,GO:0051716,GO:0060089,GO:0061024,GO:0065007,GO:0070727,GO:0071702,GO:0071705,GO:0071840,GO:0071944,GO:0097708,GO:0098588,GO:0098657,GO:0098791,GO:0098805,GO:0098852,GO:1905394</t>
  </si>
  <si>
    <t>GO:0002682,GO:0002684,GO:0002697,GO:0002699,GO:0002703,GO:0002705,GO:0002706,GO:0002708,GO:0002712,GO:0002714,GO:0002819,GO:0002821,GO:0002822,GO:0002824,GO:0002889,GO:0002891,GO:0002920,GO:0002922,GO:0002923,GO:0002925,GO:0003674,GO:0005102,GO:0005178,GO:0005488,GO:0005515,GO:0005575,GO:0005576,GO:0005623,GO:0005886,GO:0005887,GO:0007154,GO:0007165,GO:0007166,GO:0007219,GO:0008150,GO:0009889,GO:0009891,GO:0009893,GO:0009897,GO:0009986,GO:0009987,GO:0010033,GO:0010556,GO:0010557,GO:0010604,GO:0016020,GO:0016021,GO:0019221,GO:0019222,GO:0023052,GO:0031224,GO:0031226,GO:0031341,GO:0031343,GO:0032768,GO:0032770,GO:0034097,GO:0042221,GO:0043085,GO:0043900,GO:0043902,GO:0044093,GO:0044425,GO:0044459,GO:0044464,GO:0044877,GO:0048518,GO:0048583,GO:0048584,GO:0050776,GO:0050778,GO:0050789,GO:0050790,GO:0050794,GO:0050839,GO:0050896,GO:0050999,GO:0051000,GO:0051341,GO:0051353,GO:0051709,GO:0051712,GO:0051716,GO:0051769,GO:0051770,GO:0060255,GO:0065007,GO:0065009,GO:0070887,GO:0071310,GO:0071345,GO:0071944,GO:0098552</t>
  </si>
  <si>
    <t>GO:0000096,GO:0000097,GO:0001505,GO:0002064,GO:0002065,GO:0002066,GO:0002067,GO:0002068,GO:0003309,GO:0003323,GO:0003674,GO:0003824,GO:0005488,GO:0005575,GO:0005576,GO:0005615,GO:0005622,GO:0005623,GO:0005737,GO:0005829,GO:0006082,GO:0006464,GO:0006479,GO:0006520,GO:0006521,GO:0006555,GO:0006575,GO:0006576,GO:0006577,GO:0006790,GO:0006807,GO:0007275,GO:0008150,GO:0008152,GO:0008168,GO:0008172,GO:0008213,GO:0008270,GO:0008652,GO:0009056,GO:0009058,GO:0009066,GO:0009067,GO:0009086,GO:0009308,GO:0009310,GO:0009888,GO:0009987,GO:0010033,GO:0010243,GO:0010565,GO:0016053,GO:0016740,GO:0016741,GO:0017144,GO:0019222,GO:0019538,GO:0019695,GO:0019752,GO:0030154,GO:0030855,GO:0031016,GO:0031018,GO:0031323,GO:0031335,GO:0031982,GO:0032259,GO:0032501,GO:0032502,GO:0032991,GO:0033238,GO:0034641,GO:0035270,GO:0035883,GO:0036211,GO:0042133,GO:0042135,GO:0042221,GO:0042402,GO:0042426,GO:0042762,GO:0043094,GO:0043102,GO:0043167,GO:0043169,GO:0043170,GO:0043226,GO:0043227,GO:0043230,GO:0043412,GO:0043414,GO:0043436,GO:0044106,GO:0044237,GO:0044238,GO:0044248,GO:0044249,GO:0044260,GO:0044267,GO:0044272,GO:0044281,GO:0044283,GO:0044421,GO:0044424,GO:0044444,GO:0044464,GO:0044877,GO:0046394,GO:0046872,GO:0046914,GO:0047150,GO:0048468,GO:0048513,GO:0048731,GO:0048856,GO:0048869,GO:0050666,GO:0050789,GO:0050794,GO:0050896,GO:0051171,GO:0055123,GO:0060429,GO:0062012,GO:0065007,GO:0065008,GO:0070062,GO:0071265,GO:0071267,GO:0071704,GO:0080090,GO:0097164,GO:1901564,GO:1901565,GO:1901566,GO:1901575,GO:1901576,GO:1901605,GO:1901607,GO:1901698,GO:1903561</t>
  </si>
  <si>
    <t>GO:0000421,GO:0002252,GO:0002376,GO:0003674,GO:0005488,GO:0005575,GO:0005622,GO:0005623,GO:0005737,GO:0005773,GO:0005774,GO:0005776,GO:0005783,GO:0005789,GO:0005791,GO:0006464,GO:0006486,GO:0006487,GO:0006807,GO:0006996,GO:0007029,GO:0007568,GO:0008150,GO:0008152,GO:0008250,GO:0009058,GO:0009059,GO:0009100,GO:0009101,GO:0009987,GO:0010256,GO:0012505,GO:0016020,GO:0016043,GO:0018193,GO:0018196,GO:0018279,GO:0019538,GO:0031090,GO:0031984,GO:0032502,GO:0032991,GO:0034645,GO:0035010,GO:0036211,GO:0042175,GO:0042221,GO:0042493,GO:0043021,GO:0043022,GO:0043170,GO:0043226,GO:0043227,GO:0043229,GO:0043231,GO:0043412,GO:0043413,GO:0044237,GO:0044238,GO:0044249,GO:0044260,GO:0044267,GO:0044422,GO:0044424,GO:0044425,GO:0044432,GO:0044437,GO:0044444,GO:0044446,GO:0044464,GO:0044877,GO:0050789,GO:0050794,GO:0050896,GO:0051302,GO:0065007,GO:0070085,GO:0071704,GO:0071840,GO:0098588,GO:0098796,GO:0098805,GO:0098827,GO:1901135,GO:1901137,GO:1901564,GO:1901566,GO:1901576,GO:1902494,GO:1990234</t>
  </si>
  <si>
    <t>GO:0000139,GO:0001540,GO:0001932,GO:0001933,GO:0003674,GO:0004888,GO:0005041,GO:0005488,GO:0005515,GO:0005575,GO:0005576,GO:0005615,GO:0005622,GO:0005623,GO:0005634,GO:0005635,GO:0005641,GO:0005737,GO:0005768,GO:0005769,GO:0005770,GO:0005771,GO:0005783,GO:0005794,GO:0005795,GO:0005802,GO:0005886,GO:0005887,GO:0006469,GO:0006605,GO:0006622,GO:0006623,GO:0006807,GO:0006810,GO:0006886,GO:0006892,GO:0006897,GO:0006898,GO:0006928,GO:0007034,GO:0007041,GO:0007154,GO:0007165,GO:0007275,GO:0007399,GO:0008104,GO:0008150,GO:0008152,GO:0009892,GO:0009893,GO:0009894,GO:0009896,GO:0009966,GO:0009968,GO:0009987,GO:0010008,GO:0010466,GO:0010467,GO:0010563,GO:0010604,GO:0010605,GO:0010646,GO:0010648,GO:0010721,GO:0010941,GO:0010951,GO:0012505,GO:0014910,GO:0015031,GO:0015833,GO:0016020,GO:0016021,GO:0016192,GO:0016477,GO:0019220,GO:0019222,GO:0019538,GO:0019899,GO:0022008,GO:0023051,GO:0023052,GO:0023057,GO:0030154,GO:0030162,GO:0030169,GO:0030228,GO:0030306,GO:0030334,GO:0031090,GO:0031224,GO:0031226,GO:0031267,GO:0031323,GO:0031324,GO:0031333,GO:0031399,GO:0031400,GO:0031410,GO:0031967,GO:0031970,GO:0031974,GO:0031975,GO:0031982,GO:0031984,GO:0031985,GO:0032091,GO:0032268,GO:0032269,GO:0032386,GO:0032388,GO:0032459,GO:0032460,GO:0032501,GO:0032502,GO:0032507,GO:0032879,GO:0032880,GO:0033036,GO:0033157,GO:0033218,GO:0033365,GO:0033673,GO:0034067,GO:0034248,GO:0034249,GO:0034613,GO:0036477,GO:0038023,GO:0038024,GO:0040011,GO:0040012,GO:0042176,GO:0042277,GO:0042325,GO:0042326,GO:0042886,GO:0043025,GO:0043085,GO:0043086,GO:0043170,GO:0043226,GO:0043227,GO:0043229,GO:0043231,GO:0043233,GO:0043254,GO:0043393,GO:0043405,GO:0043407,GO:0043408,GO:0043409,GO:0043549,GO:0044087,GO:0044092,GO:0044093,GO:0044237,GO:0044238,GO:0044260,GO:0044267,GO:0044297,GO:0044421,GO:0044422,GO:0044424,GO:0044425,GO:0044428,GO:0044431,GO:0044433,GO:0044440,GO:0044444,GO:0044446,GO:0044459,GO:0044464,GO:0044877,GO:0045053,GO:0045184,GO:0045185,GO:0045595,GO:0045596,GO:0045732,GO:0045859,GO:0045861,GO:0045936,GO:0046907,GO:0048193,GO:0048471,GO:0048518,GO:0048519,GO:0048522,GO:0048523,GO:0048583,GO:0048585,GO:0048699,GO:0048731,GO:0048856,GO:0048869,GO:0048870,GO:0050767,GO:0050768,GO:0050789,GO:0050790,GO:0050793,GO:0050794,GO:0050896,GO:0051020,GO:0051049,GO:0051050,GO:0051093,GO:0051098,GO:0051100,GO:0051128,GO:0051129,GO:0051171,GO:0051172,GO:0051173,GO:0051174,GO:0051179,GO:0051222,GO:0051223,GO:0051234,GO:0051235,GO:0051239,GO:0051241,GO:0051246,GO:0051247,GO:0051248,GO:0051270,GO:0051336,GO:0051338,GO:0051346,GO:0051347,GO:0051348,GO:0051604,GO:0051641,GO:0051649,GO:0051651,GO:0051674,GO:0051716,GO:0051960,GO:0051961,GO:0052547,GO:0052548,GO:0055037,GO:0060089,GO:0060255,GO:0060284,GO:0060341,GO:0060548,GO:0060627,GO:0060628,GO:0061462,GO:0065007,GO:0065008,GO:0065009,GO:0070013,GO:0070201,GO:0070727,GO:0070861,GO:0070863,GO:0071702,GO:0071704,GO:0071705,GO:0071813,GO:0071814,GO:0071900,GO:0071901,GO:0071944,GO:0072594,GO:0072665,GO:0072666,GO:0080090,GO:0090083,GO:0090084,GO:0090087,GO:0090316,GO:0097458,GO:0097708,GO:0098588,GO:0098657,GO:0098791,GO:0098805,GO:1901214,GO:1901215,GO:1901564,GO:1902003,GO:1902430,GO:1902531,GO:1902532,GO:1902769,GO:1902771,GO:1902947,GO:1902948,GO:1902953,GO:1902954,GO:1902955,GO:1902959,GO:1902960,GO:1902962,GO:1902963,GO:1902965,GO:1902966,GO:1902991,GO:1902992,GO:1902996,GO:1902997,GO:1903649,GO:1903651,GO:1903827,GO:1903829,GO:1904683,GO:1904684,GO:1904951,GO:1905048,GO:1905049,GO:1905245,GO:1905246,GO:1905666,GO:1905668,GO:2000026,GO:2000145,GO:2001135,GO:2001137</t>
  </si>
  <si>
    <t>GO:0000041,GO:0000165,GO:0000323,GO:0000902,GO:0000904,GO:0001562,GO:0001666,GO:0001775,GO:0001816,GO:0001817,GO:0001818,GO:0001819,GO:0001932,GO:0001934,GO:0002237,GO:0002250,GO:0002252,GO:0002262,GO:0002263,GO:0002274,GO:0002275,GO:0002283,GO:0002285,GO:0002286,GO:0002309,GO:0002366,GO:0002367,GO:0002369,GO:0002376,GO:0002440,GO:0002443,GO:0002444,GO:0002446,GO:0002449,GO:0002456,GO:0002460,GO:0002520,GO:0002577,GO:0002579,GO:0002604,GO:0002606,GO:0002682,GO:0002684,GO:0002819,GO:0002821,GO:0002822,GO:0002824,GO:0002825,GO:0002827,GO:0003008,GO:0003032,GO:0003674,GO:0005215,GO:0005375,GO:0005381,GO:0005384,GO:0005385,GO:0005488,GO:0005506,GO:0005507,GO:0005515,GO:0005575,GO:0005576,GO:0005622,GO:0005623,GO:0005634,GO:0005635,GO:0005737,GO:0005739,GO:0005764,GO:0005765,GO:0005768,GO:0005769,GO:0005770,GO:0005773,GO:0005774,GO:0005794,GO:0005802,GO:0005886,GO:0005887,GO:0005903,GO:0006355,GO:0006357,GO:0006464,GO:0006468,GO:0006725,GO:0006778,GO:0006779,GO:0006783,GO:0006793,GO:0006796,GO:0006807,GO:0006810,GO:0006811,GO:0006812,GO:0006820,GO:0006824,GO:0006825,GO:0006826,GO:0006828,GO:0006829,GO:0006865,GO:0006873,GO:0006875,GO:0006876,GO:0006878,GO:0006879,GO:0006885,GO:0006887,GO:0006897,GO:0006909,GO:0006919,GO:0006950,GO:0006952,GO:0006954,GO:0006955,GO:0006959,GO:0006979,GO:0007035,GO:0007154,GO:0007165,GO:0007275,GO:0007399,GO:0007600,GO:0007606,GO:0007610,GO:0007611,GO:0008150,GO:0008152,GO:0008270,GO:0008283,GO:0008324,GO:0009058,GO:0009059,GO:0009593,GO:0009605,GO:0009607,GO:0009611,GO:0009617,GO:0009628,GO:0009653,GO:0009889,GO:0009891,GO:0009892,GO:0009893,GO:0009894,GO:0009895,GO:0009986,GO:0009987,GO:0010008,GO:0010033,GO:0010035,GO:0010038,GO:0010039,GO:0010042,GO:0010288,GO:0010468,GO:0010556,GO:0010557,GO:0010562,GO:0010604,GO:0010605,GO:0010608,GO:0010628,GO:0010941,GO:0010942,GO:0010950,GO:0010952,GO:0010959,GO:0012505,GO:0012506,GO:0015075,GO:0015077,GO:0015078,GO:0015086,GO:0015087,GO:0015093,GO:0015094,GO:0015099,GO:0015100,GO:0015291,GO:0015293,GO:0015294,GO:0015295,GO:0015297,GO:0015298,GO:0015299,GO:0015318,GO:0015491,GO:0015672,GO:0015675,GO:0015676,GO:0015677,GO:0015679,GO:0015684,GO:0015691,GO:0015692,GO:0015698,GO:0015707,GO:0015711,GO:0015802,GO:0015807,GO:0015809,GO:0015849,GO:0015893,GO:0016020,GO:0016021,GO:0016032,GO:0016043,GO:0016151,GO:0016192,GO:0016310,GO:0016324,GO:0016358,GO:0018130,GO:0019058,GO:0019219,GO:0019220,GO:0019222,GO:0019438,GO:0019538,GO:0019725,GO:0019730,GO:0019882,GO:0022008,GO:0022804,GO:0022857,GO:0022890,GO:0023014,GO:0023052,GO:0030001,GO:0030003,GO:0030004,GO:0030030,GO:0030097,GO:0030099,GO:0030100,GO:0030139,GO:0030141,GO:0030145,GO:0030154,GO:0030162,GO:0030182,GO:0030218,GO:0030260,GO:0030641,GO:0030659,GO:0030666,GO:0030667,GO:0030670,GO:0031090,GO:0031175,GO:0031224,GO:0031226,GO:0031253,GO:0031323,GO:0031324,GO:0031325,GO:0031326,GO:0031328,GO:0031329,GO:0031330,GO:0031399,GO:0031401,GO:0031410,GO:0031526,GO:0031902,GO:0031967,GO:0031975,GO:0031982,GO:0031984,GO:0032147,GO:0032268,GO:0032270,GO:0032496,GO:0032501,GO:0032502,GO:0032623,GO:0032632,GO:0032649,GO:0032729,GO:0032879,GO:0032940,GO:0032943,GO:0032989,GO:0032990,GO:0032991,GO:0033013,GO:0033014,GO:0033212,GO:0033554,GO:0033674,GO:0033993,GO:0034097,GO:0034101,GO:0034220,GO:0034341,GO:0034599,GO:0034612,GO:0034641,GO:0034755,GO:0034756,GO:0034758,GO:0034759,GO:0034761,GO:0034762,GO:0034764,GO:0034765,GO:0034767,GO:0035434,GO:0035444,GO:0035556,GO:0036211,GO:0036230,GO:0036293,GO:0036294,GO:0042060,GO:0042098,GO:0042110,GO:0042116,GO:0042119,GO:0042168,GO:0042221,GO:0042325,GO:0042327,GO:0042440,GO:0042493,GO:0042592,GO:0042742,GO:0042802,GO:0042803,GO:0042832,GO:0042981,GO:0042995,GO:0043065,GO:0043067,GO:0043068,GO:0043085,GO:0043167,GO:0043169,GO:0043170,GO:0043207,GO:0043226,GO:0043227,GO:0043229,GO:0043230,GO:0043231,GO:0043269,GO:0043270,GO:0043280,GO:0043281,GO:0043299,GO:0043312,GO:0043412,GO:0043487,GO:0043488,GO:0043489,GO:0043549,GO:0044093,GO:0044237,GO:0044238,GO:0044249,GO:0044260,GO:0044267,GO:0044271,GO:0044403,GO:0044409,GO:0044419,GO:0044421,GO:0044422,GO:0044424,GO:0044425,GO:0044428,GO:0044431,GO:0044433,GO:0044437,GO:0044440,GO:0044444,GO:0044446,GO:0044459,GO:0044463,GO:0044464,GO:0045055,GO:0045087,GO:0045177,GO:0045178,GO:0045321,GO:0045335,GO:0045342,GO:0045454,GO:0045730,GO:0045807,GO:0045851,GO:0045859,GO:0045860,GO:0045862,GO:0045893,GO:0045934,GO:0045935,GO:0045937,GO:0045944,GO:0046148,GO:0046483,GO:0046649,GO:0046651,GO:0046686,GO:0046718,GO:0046870,GO:0046872,GO:0046873,GO:0046903,GO:0046914,GO:0046915,GO:0046916,GO:0046942,GO:0046983,GO:0048002,GO:0048255,GO:0048468,GO:0048471,GO:0048513,GO:0048518,GO:0048519,GO:0048522,GO:0048523,GO:0048534,GO:0048583,GO:0048584,GO:0048585,GO:0048666,GO:0048667,GO:0048699,GO:0048731,GO:0048812,GO:0048813,GO:0048821,GO:0048856,GO:0048858,GO:0048869,GO:0048871,GO:0048872,GO:0048878,GO:0050764,GO:0050766,GO:0050776,GO:0050778,GO:0050789,GO:0050790,GO:0050794,GO:0050801,GO:0050829,GO:0050877,GO:0050890,GO:0050896,GO:0050897,GO:0050909,GO:0050916,GO:0051049,GO:0051050,GO:0051128,GO:0051130,GO:0051139,GO:0051171,GO:0051172,GO:0051173,GO:0051174,GO:0051179,GO:0051186,GO:0051188,GO:0051234,GO:0051239,GO:0051240,GO:0051241,GO:0051246,GO:0051247,GO:0051252,GO:0051253,GO:0051254,GO:0051336,GO:0051338,GO:0051345,GO:0051347,GO:0051452,GO:0051453,GO:0051606,GO:0051701,GO:0051704,GO:0051707,GO:0051716,GO:0051806,GO:0051828,GO:0052547,GO:0052548,GO:0055037,GO:0055065,GO:0055067,GO:0055070,GO:0055071,GO:0055072,GO:0055073,GO:0055076,GO:0055080,GO:0055082,GO:0055085,GO:0060255,GO:0060586,GO:0060627,GO:0061013,GO:0061515,GO:0065007,GO:0065008,GO:0065009,GO:0070482,GO:0070574,GO:0070627,GO:0070661,GO:0070820,GO:0070821,GO:0070826,GO:0070838,GO:0070839,GO:0070887,GO:0071241,GO:0071248,GO:0071281,GO:0071310,GO:0071345,GO:0071356,GO:0071421,GO:0071453,GO:0071456,GO:0071577,GO:0071702,GO:0071704,GO:0071705,GO:0071840,GO:0071944,GO:0072503,GO:0072507,GO:0072509,GO:0072511,GO:0080090,GO:0097286,GO:0097708,GO:0098542,GO:0098588,GO:0098590,GO:0098655,GO:0098657,GO:0098659,GO:0098660,GO:0098662,GO:0098705,GO:0098739,GO:0098771,GO:0098791,GO:0098805,GO:0098852,GO:0098862,GO:0099503,GO:0099516,GO:0099587,GO:0101002,GO:0101003,GO:0120025,GO:0120036,GO:0120038,GO:0120039,GO:1901214,GO:1901216,GO:1901360,GO:1901362,GO:1901564,GO:1901566,GO:1901576,GO:1901700,GO:1902023,GO:1902369,GO:1902373,GO:1902600,GO:1902680,GO:1903311,GO:1903312,GO:1903506,GO:1903508,GO:1903561,GO:1903874,GO:1904062,GO:1904064,GO:1905802,GO:1905803,GO:2000112,GO:2000116,GO:2001056,GO:2001141</t>
  </si>
  <si>
    <t>GO:0001618,GO:0001662,GO:0001666,GO:0001667,GO:0001775,GO:0002020,GO:0002209,GO:0002376,GO:0002682,GO:0002684,GO:0002694,GO:0002696,GO:0002697,GO:0002703,GO:0002706,GO:0002709,GO:0002791,GO:0002819,GO:0002822,GO:0003674,GO:0003824,GO:0004175,GO:0004177,GO:0004252,GO:0005102,GO:0005488,GO:0005515,GO:0005518,GO:0005575,GO:0005576,GO:0005622,GO:0005623,GO:0005737,GO:0005783,GO:0005794,GO:0005886,GO:0005911,GO:0006508,GO:0006807,GO:0006928,GO:0006950,GO:0006952,GO:0007610,GO:0007626,GO:0008150,GO:0008152,GO:0008233,GO:0008236,GO:0008238,GO:0008239,GO:0008284,GO:0009628,GO:0009986,GO:0009987,GO:0010631,GO:0010646,GO:0010715,GO:0010716,GO:0010817,GO:0012505,GO:0016020,GO:0016032,GO:0016324,GO:0016477,GO:0016787,GO:0017171,GO:0019058,GO:0019538,GO:0019899,GO:0022407,GO:0022409,GO:0023051,GO:0030027,GO:0030054,GO:0030139,GO:0030155,GO:0030260,GO:0031252,GO:0031253,GO:0031294,GO:0031295,GO:0031410,GO:0031982,GO:0032501,GO:0032879,GO:0032880,GO:0033218,GO:0033555,GO:0033628,GO:0033632,GO:0035640,GO:0035641,GO:0036293,GO:0036343,GO:0040011,GO:0042110,GO:0042127,GO:0042277,GO:0042596,GO:0042802,GO:0042803,GO:0042995,GO:0043170,GO:0043226,GO:0043227,GO:0043229,GO:0043231,GO:0043542,GO:0044238,GO:0044403,GO:0044409,GO:0044419,GO:0044424,GO:0044425,GO:0044444,GO:0044459,GO:0044463,GO:0044464,GO:0044877,GO:0045177,GO:0045321,GO:0045785,GO:0046581,GO:0046649,GO:0046718,GO:0046883,GO:0046983,GO:0048518,GO:0048519,GO:0048522,GO:0048523,GO:0048583,GO:0048870,GO:0050708,GO:0050776,GO:0050789,GO:0050794,GO:0050796,GO:0050863,GO:0050865,GO:0050867,GO:0050870,GO:0050896,GO:0051046,GO:0051049,GO:0051128,GO:0051129,GO:0051179,GO:0051223,GO:0051234,GO:0051249,GO:0051251,GO:0051674,GO:0051701,GO:0051704,GO:0051806,GO:0051828,GO:0061744,GO:0065007,GO:0065008,GO:0070011,GO:0070201,GO:0070482,GO:0071437,GO:0071438,GO:0071704,GO:0071944,GO:0090087,GO:0090130,GO:0090132,GO:0090276,GO:0097708,GO:0098590,GO:0104005,GO:0120025,GO:0120038,GO:0140096,GO:1901564,GO:1903037,GO:1903039,GO:1903053,GO:1903054,GO:1903530</t>
  </si>
  <si>
    <t>GO:0000323,GO:0000902,GO:0001650,GO:0001816,GO:0001894,GO:0003674,GO:0003824,GO:0004465,GO:0004771,GO:0004806,GO:0005488,GO:0005575,GO:0005576,GO:0005615,GO:0005622,GO:0005623,GO:0005634,GO:0005730,GO:0005737,GO:0005739,GO:0005764,GO:0005773,GO:0005775,GO:0006082,GO:0006108,GO:0006629,GO:0006631,GO:0006638,GO:0006639,GO:0006641,GO:0006950,GO:0006952,GO:0006954,GO:0007275,GO:0007586,GO:0008150,GO:0008152,GO:0008202,GO:0008219,GO:0008283,GO:0008289,GO:0008544,GO:0009653,GO:0009888,GO:0009913,GO:0009987,GO:0012501,GO:0016043,GO:0016125,GO:0016298,GO:0016491,GO:0016614,GO:0016615,GO:0016787,GO:0016788,GO:0019752,GO:0030154,GO:0030216,GO:0030323,GO:0030324,GO:0030855,GO:0031424,GO:0031974,GO:0031981,GO:0032501,GO:0032502,GO:0032787,GO:0032989,GO:0034381,GO:0034383,GO:0035295,GO:0042592,GO:0043202,GO:0043226,GO:0043227,GO:0043228,GO:0043229,GO:0043231,GO:0043232,GO:0043233,GO:0043436,GO:0043588,GO:0043648,GO:0044237,GO:0044238,GO:0044255,GO:0044281,GO:0044421,GO:0044422,GO:0044424,GO:0044428,GO:0044437,GO:0044444,GO:0044446,GO:0044452,GO:0044464,GO:0046486,GO:0048513,GO:0048731,GO:0048771,GO:0048856,GO:0048869,GO:0048871,GO:0048872,GO:0048873,GO:0050789,GO:0050896,GO:0052689,GO:0055114,GO:0060249,GO:0060429,GO:0060541,GO:0065007,GO:0065008,GO:0070013,GO:0070268,GO:0071704,GO:0071840,GO:0097006,GO:1901360,GO:1901615</t>
  </si>
  <si>
    <t>GO:0000003,GO:0000166,GO:0000287,GO:0001101,GO:0001505,GO:0001655,GO:0001666,GO:0001678,GO:0001822,GO:0001882,GO:0001883,GO:0001889,GO:0002237,GO:0002791,GO:0002793,GO:0003006,GO:0003008,GO:0003674,GO:0003676,GO:0003677,GO:0003723,GO:0003729,GO:0003824,GO:0004457,GO:0004550,GO:0004611,GO:0004613,GO:0005488,GO:0005515,GO:0005525,GO:0005575,GO:0005622,GO:0005623,GO:0005737,GO:0005739,GO:0005759,GO:0005829,GO:0005975,GO:0005996,GO:0006006,GO:0006007,GO:0006066,GO:0006071,GO:0006082,GO:0006089,GO:0006090,GO:0006091,GO:0006094,GO:0006107,GO:0006109,GO:0006111,GO:0006113,GO:0006114,GO:0006116,GO:0006139,GO:0006163,GO:0006165,GO:0006355,GO:0006357,GO:0006464,GO:0006473,GO:0006475,GO:0006520,GO:0006522,GO:0006531,GO:0006536,GO:0006541,GO:0006544,GO:0006560,GO:0006629,GO:0006631,GO:0006638,GO:0006639,GO:0006641,GO:0006725,GO:0006732,GO:0006733,GO:0006734,GO:0006735,GO:0006753,GO:0006793,GO:0006796,GO:0006807,GO:0006810,GO:0006811,GO:0006820,GO:0006835,GO:0006950,GO:0007028,GO:0007154,GO:0007275,GO:0007276,GO:0007281,GO:0007292,GO:0007296,GO:0007568,GO:0007586,GO:0007610,GO:0007631,GO:0008150,GO:0008152,GO:0008343,GO:0008610,GO:0008906,GO:0009056,GO:0009058,GO:0009062,GO:0009064,GO:0009066,GO:0009069,GO:0009078,GO:0009117,GO:0009123,GO:0009126,GO:0009132,GO:0009135,GO:0009141,GO:0009144,GO:0009150,GO:0009161,GO:0009166,GO:0009167,GO:0009179,GO:0009185,GO:0009199,GO:0009205,GO:0009259,GO:0009267,GO:0009268,GO:0009410,GO:0009605,GO:0009607,GO:0009617,GO:0009628,GO:0009636,GO:0009653,GO:0009719,GO:0009725,GO:0009743,GO:0009746,GO:0009749,GO:0009750,GO:0009790,GO:0009792,GO:0009887,GO:0009888,GO:0009889,GO:0009891,GO:0009892,GO:0009893,GO:0009966,GO:0009967,GO:0009987,GO:0009991,GO:0010033,GO:0010243,GO:0010447,GO:0010468,GO:0010556,GO:0010557,GO:0010604,GO:0010628,GO:0010646,GO:0010647,GO:0010675,GO:0010676,GO:0010817,GO:0010906,GO:0010907,GO:0014070,GO:0014074,GO:0014823,GO:0015036,GO:0015711,GO:0015740,GO:0015743,GO:0015849,GO:0015980,GO:0016042,GO:0016043,GO:0016051,GO:0016052,GO:0016053,GO:0016054,GO:0016301,GO:0016310,GO:0016491,GO:0016614,GO:0016651,GO:0016667,GO:0016668,GO:0016740,GO:0016772,GO:0016773,GO:0016776,GO:0016829,GO:0016830,GO:0016831,GO:0016899,GO:0016999,GO:0017001,GO:0017076,GO:0017144,GO:0018130,GO:0018991,GO:0019001,GO:0019003,GO:0019098,GO:0019157,GO:0019205,GO:0019219,GO:0019222,GO:0019249,GO:0019318,GO:0019319,GO:0019320,GO:0019362,GO:0019400,GO:0019401,GO:0019405,GO:0019432,GO:0019438,GO:0019439,GO:0019516,GO:0019538,GO:0019541,GO:0019543,GO:0019563,GO:0019626,GO:0019637,GO:0019659,GO:0019660,GO:0019661,GO:0019666,GO:0019674,GO:0019693,GO:0019725,GO:0019751,GO:0019752,GO:0019904,GO:0019953,GO:0022412,GO:0022414,GO:0022600,GO:0023051,GO:0023056,GO:0030145,GO:0030154,GO:0030534,GO:0030703,GO:0030855,GO:0031323,GO:0031325,GO:0031326,GO:0031328,GO:0031406,GO:0031667,GO:0031668,GO:0031669,GO:0031960,GO:0031974,GO:0032024,GO:0032496,GO:0032501,GO:0032502,GO:0032504,GO:0032526,GO:0032549,GO:0032550,GO:0032553,GO:0032555,GO:0032561,GO:0032787,GO:0032868,GO:0032869,GO:0032870,GO:0032879,GO:0032880,GO:0033500,GO:0033554,GO:0033762,GO:0033993,GO:0034097,GO:0034284,GO:0034404,GO:0034612,GO:0034637,GO:0034641,GO:0034654,GO:0034655,GO:0035639,GO:0035690,GO:0036094,GO:0036211,GO:0036293,GO:0036294,GO:0040007,GO:0042133,GO:0042149,GO:0042221,GO:0042493,GO:0042592,GO:0042593,GO:0042594,GO:0042737,GO:0043167,GO:0043168,GO:0043169,GO:0043170,GO:0043177,GO:0043200,GO:0043207,GO:0043226,GO:0043227,GO:0043229,GO:0043231,GO:0043233,GO:0043255,GO:0043412,GO:0043434,GO:0043436,GO:0043543,GO:0043565,GO:0043648,GO:0043687,GO:0043900,GO:0043903,GO:0043949,GO:0043950,GO:0044237,GO:0044238,GO:0044242,GO:0044248,GO:0044249,GO:0044255,GO:0044260,GO:0044262,GO:0044267,GO:0044270,GO:0044271,GO:0044275,GO:0044281,GO:0044282,GO:0044283,GO:0044422,GO:0044424,GO:0044429,GO:0044444,GO:0044446,GO:0044464,GO:0044703,GO:0045017,GO:0045471,GO:0045722,GO:0045893,GO:0045912,GO:0045913,GO:0045935,GO:0045944,GO:0046015,GO:0046031,GO:0046034,GO:0046164,GO:0046165,GO:0046173,GO:0046174,GO:0046327,GO:0046364,GO:0046365,GO:0046394,GO:0046395,GO:0046434,GO:0046459,GO:0046460,GO:0046463,GO:0046483,GO:0046486,GO:0046496,GO:0046677,GO:0046683,GO:0046700,GO:0046872,GO:0046883,GO:0046887,GO:0046898,GO:0046914,GO:0046939,GO:0046942,GO:0047134,GO:0048468,GO:0048477,GO:0048513,GO:0048518,GO:0048519,GO:0048522,GO:0048545,GO:0048562,GO:0048568,GO:0048583,GO:0048584,GO:0048589,GO:0048598,GO:0048609,GO:0048646,GO:0048731,GO:0048732,GO:0048856,GO:0048869,GO:0048878,GO:0050692,GO:0050708,GO:0050714,GO:0050789,GO:0050792,GO:0050794,GO:0050795,GO:0050796,GO:0050892,GO:0050896,GO:0051046,GO:0051047,GO:0051049,GO:0051050,GO:0051171,GO:0051173,GO:0051179,GO:0051186,GO:0051222,GO:0051223,GO:0051234,GO:0051252,GO:0051254,GO:0051365,GO:0051379,GO:0051384,GO:0051591,GO:0051704,GO:0051707,GO:0051716,GO:0055082,GO:0055086,GO:0055114,GO:0060255,GO:0060259,GO:0060429,GO:0060992,GO:0061005,GO:0061008,GO:0061402,GO:0062012,GO:0062013,GO:0065007,GO:0065008,GO:0070013,GO:0070201,GO:0070365,GO:0070482,GO:0070555,GO:0070741,GO:0070887,GO:0071107,GO:0071214,GO:0071229,GO:0071236,GO:0071300,GO:0071310,GO:0071320,GO:0071322,GO:0071326,GO:0071331,GO:0071332,GO:0071333,GO:0071345,GO:0071347,GO:0071356,GO:0071361,GO:0071374,GO:0071375,GO:0071377,GO:0071383,GO:0071384,GO:0071385,GO:0071396,GO:0071407,GO:0071417,GO:0071453,GO:0071456,GO:0071466,GO:0071467,GO:0071468,GO:0071495,GO:0071496,GO:0071548,GO:0071549,GO:0071702,GO:0071704,GO:0071840,GO:0072001,GO:0072071,GO:0072329,GO:0072330,GO:0072521,GO:0072524,GO:0080090,GO:0090087,GO:0090276,GO:0090277,GO:0097159,GO:0097237,GO:0097305,GO:0097306,GO:0097327,GO:0097367,GO:0104004,GO:1901135,GO:1901265,GO:1901292,GO:1901338,GO:1901360,GO:1901361,GO:1901362,GO:1901363,GO:1901564,GO:1901575,GO:1901576,GO:1901605,GO:1901615,GO:1901616,GO:1901617,GO:1901652,GO:1901653,GO:1901654,GO:1901655,GO:1901698,GO:1901699,GO:1901700,GO:1901701,GO:1902531,GO:1902533,GO:1902680,GO:1903506,GO:1903508,GO:1903530,GO:1903532,GO:1904640,GO:1904951,GO:2000112,GO:2001141</t>
  </si>
  <si>
    <t>GO:0000375,GO:0000377,GO:0000398,GO:0001932,GO:0001934,GO:0003674,GO:0003676,GO:0003712,GO:0003713,GO:0003723,GO:0003727,GO:0005488,GO:0005515,GO:0005575,GO:0005622,GO:0005623,GO:0005634,GO:0005654,GO:0005685,GO:0005737,GO:0005829,GO:0006139,GO:0006396,GO:0006397,GO:0006725,GO:0006807,GO:0006950,GO:0006979,GO:0008143,GO:0008150,GO:0008152,GO:0008380,GO:0009889,GO:0009891,GO:0009893,GO:0009966,GO:0009967,GO:0009987,GO:0010467,GO:0010494,GO:0010556,GO:0010557,GO:0010562,GO:0010604,GO:0010646,GO:0010647,GO:0010862,GO:0016070,GO:0016071,GO:0017069,GO:0019219,GO:0019220,GO:0019222,GO:0023051,GO:0023056,GO:0030532,GO:0030619,GO:0031323,GO:0031325,GO:0031326,GO:0031328,GO:0031399,GO:0031401,GO:0031974,GO:0031981,GO:0032268,GO:0032270,GO:0032991,GO:0034641,GO:0035613,GO:0035614,GO:0035770,GO:0036464,GO:0042325,GO:0042327,GO:0042802,GO:0042803,GO:0043170,GO:0043226,GO:0043227,GO:0043228,GO:0043229,GO:0043231,GO:0043232,GO:0043233,GO:0044237,GO:0044238,GO:0044422,GO:0044424,GO:0044428,GO:0044444,GO:0044446,GO:0044464,GO:0045935,GO:0045937,GO:0046483,GO:0046983,GO:0048518,GO:0048522,GO:0048583,GO:0048584,GO:0050789,GO:0050794,GO:0050896,GO:0051171,GO:0051173,GO:0051174,GO:0051246,GO:0051247,GO:0051252,GO:0051254,GO:0060255,GO:0060390,GO:0060391,GO:0060393,GO:0065007,GO:0070013,GO:0070717,GO:0071704,GO:0080090,GO:0090092,GO:0090100,GO:0090304,GO:0097159,GO:0097525,GO:0120114,GO:0140110,GO:1901360,GO:1901363,GO:1902680,GO:1903506,GO:1903508,GO:1990904,GO:2001141</t>
  </si>
  <si>
    <t>GO:0000003,GO:0000165,GO:0000166,GO:0001763,GO:0001882,GO:0001883,GO:0001889,GO:0001894,GO:0001932,GO:0001934,GO:0002009,GO:0002218,GO:0002220,GO:0002223,GO:0002253,GO:0002376,GO:0002429,GO:0002682,GO:0002684,GO:0002757,GO:0002758,GO:0002764,GO:0002768,GO:0003008,GO:0003674,GO:0003824,GO:0003924,GO:0005488,GO:0005515,GO:0005575,GO:0005622,GO:0005623,GO:0005737,GO:0005739,GO:0005886,GO:0006355,GO:0006464,GO:0006468,GO:0006793,GO:0006796,GO:0006807,GO:0006950,GO:0006996,GO:0007010,GO:0007154,GO:0007165,GO:0007166,GO:0007264,GO:0007265,GO:0007267,GO:0007275,GO:0007399,GO:0007417,GO:0007420,GO:0007565,GO:0007610,GO:0007611,GO:0007612,GO:0007632,GO:0008150,GO:0008152,GO:0008284,GO:0008306,GO:0008542,GO:0009314,GO:0009416,GO:0009628,GO:0009653,GO:0009719,GO:0009725,GO:0009887,GO:0009888,GO:0009889,GO:0009893,GO:0009898,GO:0009966,GO:0009967,GO:0009987,GO:0010001,GO:0010033,GO:0010468,GO:0010556,GO:0010562,GO:0010604,GO:0010628,GO:0010646,GO:0010647,GO:0010941,GO:0014002,GO:0014070,GO:0016020,GO:0016043,GO:0016310,GO:0016462,GO:0016787,GO:0016817,GO:0016818,GO:0017076,GO:0017111,GO:0019001,GO:0019002,GO:0019003,GO:0019219,GO:0019220,GO:0019221,GO:0019222,GO:0019538,GO:0019897,GO:0019898,GO:0019904,GO:0021782,GO:0021896,GO:0021897,GO:0022008,GO:0022414,GO:0023014,GO:0023051,GO:0023052,GO:0023056,GO:0030029,GO:0030036,GO:0030154,GO:0030275,GO:0030323,GO:0030324,GO:0030900,GO:0031234,GO:0031323,GO:0031325,GO:0031326,GO:0031347,GO:0031349,GO:0031399,GO:0031401,GO:0031647,GO:0031960,GO:0032228,GO:0032268,GO:0032270,GO:0032501,GO:0032502,GO:0032549,GO:0032550,GO:0032553,GO:0032555,GO:0032561,GO:0032768,GO:0032770,GO:0033674,GO:0033993,GO:0034097,GO:0035020,GO:0035022,GO:0035239,GO:0035295,GO:0035556,GO:0035900,GO:0036094,GO:0036211,GO:0038002,GO:0042063,GO:0042127,GO:0042221,GO:0042325,GO:0042327,GO:0042592,GO:0042692,GO:0042802,GO:0042981,GO:0043066,GO:0043067,GO:0043069,GO:0043085,GO:0043167,GO:0043168,GO:0043170,GO:0043226,GO:0043227,GO:0043229,GO:0043231,GO:0043405,GO:0043406,GO:0043408,GO:0043410,GO:0043412,GO:0043523,GO:0043524,GO:0043549,GO:0044093,GO:0044237,GO:0044238,GO:0044260,GO:0044267,GO:0044424,GO:0044425,GO:0044444,GO:0044459,GO:0044464,GO:0044703,GO:0044706,GO:0044877,GO:0045088,GO:0045089,GO:0045121,GO:0045595,GO:0045596,GO:0045859,GO:0045860,GO:0045937,GO:0046578,GO:0046579,GO:0048167,GO:0048168,GO:0048169,GO:0048468,GO:0048513,GO:0048518,GO:0048519,GO:0048522,GO:0048523,GO:0048545,GO:0048583,GO:0048584,GO:0048708,GO:0048729,GO:0048731,GO:0048732,GO:0048754,GO:0048856,GO:0048869,GO:0048871,GO:0048872,GO:0048873,GO:0050776,GO:0050778,GO:0050789,GO:0050790,GO:0050793,GO:0050794,GO:0050804,GO:0050877,GO:0050886,GO:0050890,GO:0050896,GO:0050999,GO:0051000,GO:0051056,GO:0051057,GO:0051090,GO:0051091,GO:0051092,GO:0051093,GO:0051094,GO:0051146,GO:0051171,GO:0051173,GO:0051174,GO:0051246,GO:0051247,GO:0051252,GO:0051338,GO:0051341,GO:0051347,GO:0051353,GO:0051384,GO:0051385,GO:0051704,GO:0051716,GO:0060249,GO:0060255,GO:0060322,GO:0060425,GO:0060429,GO:0060441,GO:0060541,GO:0060548,GO:0060562,GO:0061008,GO:0061061,GO:0061138,GO:0065007,GO:0065008,GO:0065009,GO:0070887,GO:0071310,GO:0071345,GO:0071704,GO:0071840,GO:0071900,GO:0071902,GO:0071944,GO:0080090,GO:0080134,GO:0080135,GO:0090342,GO:0090343,GO:0097159,GO:0097367,GO:0098552,GO:0098562,GO:0098589,GO:0098805,GO:0098857,GO:0099177,GO:1901214,GO:1901215,GO:1901265,GO:1901363,GO:1901564,GO:1902531,GO:1902533,GO:1903506,GO:2000112,GO:2000772,GO:2000774,GO:2001141</t>
  </si>
  <si>
    <t>GO:0000139,GO:0001101,GO:0001568,GO:0001667,GO:0001755,GO:0001775,GO:0001838,GO:0001841,GO:0001843,GO:0001944,GO:0001947,GO:0002009,GO:0002252,GO:0002263,GO:0002274,GO:0002275,GO:0002283,GO:0002366,GO:0002376,GO:0002443,GO:0002444,GO:0002446,GO:0003007,GO:0003143,GO:0003147,GO:0003151,GO:0003253,GO:0003674,GO:0005488,GO:0005542,GO:0005575,GO:0005576,GO:0005622,GO:0005623,GO:0005634,GO:0005737,GO:0005783,GO:0005789,GO:0005793,GO:0005794,GO:0005798,GO:0005886,GO:0005903,GO:0006082,GO:0006575,GO:0006605,GO:0006612,GO:0006620,GO:0006725,GO:0006732,GO:0006760,GO:0006766,GO:0006767,GO:0006807,GO:0006810,GO:0006811,GO:0006820,GO:0006835,GO:0006886,GO:0006887,GO:0006888,GO:0006897,GO:0006898,GO:0006900,GO:0006901,GO:0006903,GO:0006928,GO:0006950,GO:0006952,GO:0006954,GO:0006955,GO:0006996,GO:0007154,GO:0007165,GO:0007275,GO:0007368,GO:0007389,GO:0007399,GO:0007507,GO:0007584,GO:0008104,GO:0008144,GO:0008150,GO:0008152,GO:0008284,GO:0009605,GO:0009611,GO:0009653,GO:0009719,GO:0009790,GO:0009792,GO:0009799,GO:0009855,GO:0009887,GO:0009888,GO:0009889,GO:0009897,GO:0009966,GO:0009986,GO:0009987,GO:0009991,GO:0010033,GO:0010243,GO:0010556,GO:0010646,GO:0012505,GO:0012506,GO:0012507,GO:0014020,GO:0014031,GO:0014032,GO:0014033,GO:0014070,GO:0015031,GO:0015711,GO:0015833,GO:0015849,GO:0015884,GO:0015893,GO:0016020,GO:0016043,GO:0016050,GO:0016192,GO:0016323,GO:0016324,GO:0016331,GO:0016477,GO:0017015,GO:0017144,GO:0019222,GO:0019752,GO:0019842,GO:0019898,GO:0021915,GO:0022008,GO:0022607,GO:0023051,GO:0023052,GO:0030030,GO:0030111,GO:0030133,GO:0030134,GO:0030135,GO:0030141,GO:0030154,GO:0030182,GO:0030658,GO:0030659,GO:0030660,GO:0030662,GO:0031090,GO:0031099,GO:0031102,GO:0031103,GO:0031175,GO:0031224,GO:0031225,GO:0031226,GO:0031233,GO:0031253,GO:0031362,GO:0031406,GO:0031410,GO:0031526,GO:0031667,GO:0031668,GO:0031669,GO:0031670,GO:0031974,GO:0031982,GO:0031983,GO:0031984,GO:0032501,GO:0032502,GO:0032940,GO:0033036,GO:0033116,GO:0033218,GO:0033273,GO:0033365,GO:0033554,GO:0034613,GO:0034641,GO:0034774,GO:0035050,GO:0035051,GO:0035148,GO:0035239,GO:0035295,GO:0035580,GO:0035690,GO:0036094,GO:0036230,GO:0038023,GO:0038024,GO:0040011,GO:0042119,GO:0042127,GO:0042175,GO:0042221,GO:0042493,GO:0042558,GO:0042581,GO:0042886,GO:0042995,GO:0043009,GO:0043167,GO:0043168,GO:0043177,GO:0043226,GO:0043227,GO:0043229,GO:0043231,GO:0043233,GO:0043299,GO:0043312,GO:0043436,GO:0043603,GO:0043648,GO:0043933,GO:0044085,GO:0044237,GO:0044281,GO:0044422,GO:0044424,GO:0044425,GO:0044431,GO:0044432,GO:0044433,GO:0044444,GO:0044446,GO:0044459,GO:0044463,GO:0044464,GO:0045047,GO:0045055,GO:0045177,GO:0045184,GO:0045321,GO:0046483,GO:0046655,GO:0046658,GO:0046903,GO:0046907,GO:0046942,GO:0048193,GO:0048194,GO:0048199,GO:0048207,GO:0048208,GO:0048468,GO:0048513,GO:0048514,GO:0048518,GO:0048522,GO:0048562,GO:0048568,GO:0048583,GO:0048598,GO:0048645,GO:0048646,GO:0048666,GO:0048678,GO:0048699,GO:0048729,GO:0048731,GO:0048762,GO:0048844,GO:0048856,GO:0048863,GO:0048864,GO:0048869,GO:0048870,GO:0050758,GO:0050789,GO:0050794,GO:0050896,GO:0051171,GO:0051179,GO:0051180,GO:0051181,GO:0051186,GO:0051234,GO:0051246,GO:0051593,GO:0051640,GO:0051641,GO:0051648,GO:0051649,GO:0051650,GO:0051656,GO:0051674,GO:0051716,GO:0051870,GO:0060037,GO:0060089,GO:0060205,GO:0060255,GO:0060429,GO:0060485,GO:0060562,GO:0060606,GO:0060828,GO:0060840,GO:0060914,GO:0060973,GO:0060974,GO:0061024,GO:0061307,GO:0061308,GO:0061309,GO:0061371,GO:0061564,GO:0061626,GO:0061713,GO:0061714,GO:0065003,GO:0065007,GO:0070013,GO:0070727,GO:0070820,GO:0070887,GO:0070972,GO:0071229,GO:0071231,GO:0071295,GO:0071310,GO:0071407,GO:0071417,GO:0071495,GO:0071496,GO:0071702,GO:0071704,GO:0071705,GO:0071840,GO:0071944,GO:0072175,GO:0072337,GO:0072341,GO:0072358,GO:0072359,GO:0072594,GO:0072599,GO:0072657,GO:0080090,GO:0090092,GO:0090114,GO:0090150,GO:0090287,GO:0097159,GO:0097708,GO:0098552,GO:0098588,GO:0098590,GO:0098657,GO:0098791,GO:0098805,GO:0098827,GO:0098862,GO:0099503,GO:0120025,GO:0120036,GO:0120038,GO:1901360,GO:1901363,GO:1901564,GO:1901698,GO:1901699,GO:1901700,GO:1901701,GO:1903844,GO:1904724</t>
  </si>
  <si>
    <t>GO:0003674,GO:0003824,GO:0005488,GO:0005515,GO:0005575,GO:0005622,GO:0005623,GO:0005737,GO:0005739,GO:0005759,GO:0005975,GO:0005996,GO:0006006,GO:0006082,GO:0006091,GO:0006094,GO:0006099,GO:0006101,GO:0006107,GO:0006108,GO:0006139,GO:0006464,GO:0006473,GO:0006475,GO:0006725,GO:0006732,GO:0006733,GO:0006734,GO:0006753,GO:0006793,GO:0006796,GO:0006807,GO:0008150,GO:0008152,GO:0009058,GO:0009060,GO:0009117,GO:0009987,GO:0015980,GO:0016020,GO:0016051,GO:0016491,GO:0016614,GO:0016615,GO:0016616,GO:0016999,GO:0017144,GO:0019318,GO:0019319,GO:0019362,GO:0019538,GO:0019637,GO:0019674,GO:0019752,GO:0030060,GO:0031974,GO:0034641,GO:0036211,GO:0042802,GO:0042803,GO:0043170,GO:0043209,GO:0043226,GO:0043227,GO:0043229,GO:0043231,GO:0043233,GO:0043412,GO:0043436,GO:0043543,GO:0043621,GO:0043648,GO:0044237,GO:0044238,GO:0044260,GO:0044267,GO:0044281,GO:0044283,GO:0044422,GO:0044424,GO:0044429,GO:0044444,GO:0044446,GO:0044464,GO:0045333,GO:0046364,GO:0046483,GO:0046496,GO:0046554,GO:0046983,GO:0051087,GO:0051186,GO:0055086,GO:0055114,GO:0070013,GO:0071704,GO:0072350,GO:0072524,GO:1901360,GO:1901564,GO:1901576</t>
  </si>
  <si>
    <t>GO:0000003,GO:0000137,GO:0000139,GO:0000271,GO:0001501,GO:0001568,GO:0001667,GO:0001704,GO:0001707,GO:0001932,GO:0001934,GO:0001944,GO:0001990,GO:0001991,GO:0002002,GO:0002009,GO:0002165,GO:0003002,GO:0003008,GO:0003013,GO:0003044,GO:0003073,GO:0003081,GO:0003205,GO:0003279,GO:0003674,GO:0003824,GO:0005575,GO:0005622,GO:0005623,GO:0005737,GO:0005783,GO:0005794,GO:0005795,GO:0005975,GO:0005976,GO:0006022,GO:0006023,GO:0006024,GO:0006029,GO:0006464,GO:0006476,GO:0006477,GO:0006790,GO:0006807,GO:0006810,GO:0006897,GO:0006928,GO:0006996,GO:0007005,GO:0007154,GO:0007165,GO:0007166,GO:0007167,GO:0007169,GO:0007267,GO:0007275,GO:0007276,GO:0007283,GO:0007350,GO:0007365,GO:0007367,GO:0007369,GO:0007389,GO:0007399,GO:0007417,GO:0007420,GO:0007424,GO:0007427,GO:0007444,GO:0007472,GO:0007474,GO:0007476,GO:0007498,GO:0007507,GO:0007509,GO:0007552,GO:0007560,GO:0007585,GO:0008015,GO:0008078,GO:0008146,GO:0008150,GO:0008152,GO:0008194,GO:0008217,GO:0008375,GO:0008543,GO:0008587,GO:0008589,GO:0009058,GO:0009059,GO:0009100,GO:0009101,GO:0009653,GO:0009719,GO:0009790,GO:0009791,GO:0009792,GO:0009880,GO:0009886,GO:0009887,GO:0009888,GO:0009893,GO:0009966,GO:0009967,GO:0009987,GO:0010033,GO:0010562,GO:0010604,GO:0010631,GO:0010646,GO:0010647,GO:0010817,GO:0012505,GO:0015012,GO:0015014,GO:0015016,GO:0016020,GO:0016021,GO:0016043,GO:0016051,GO:0016055,GO:0016192,GO:0016477,GO:0016740,GO:0016757,GO:0016758,GO:0016782,GO:0016787,GO:0016810,GO:0016811,GO:0019213,GO:0019220,GO:0019222,GO:0019538,GO:0019953,GO:0022414,GO:0023051,GO:0023052,GO:0023056,GO:0030166,GO:0030201,GO:0030203,GO:0030900,GO:0030901,GO:0031090,GO:0031224,GO:0031323,GO:0031325,GO:0031399,GO:0031401,GO:0031984,GO:0031985,GO:0032268,GO:0032270,GO:0032501,GO:0032502,GO:0032504,GO:0033692,GO:0034483,GO:0034637,GO:0034645,GO:0035107,GO:0035114,GO:0035120,GO:0035220,GO:0035239,GO:0035282,GO:0035295,GO:0035601,GO:0035904,GO:0036211,GO:0036465,GO:0040008,GO:0040011,GO:0042074,GO:0042221,GO:0042325,GO:0042327,GO:0042328,GO:0043009,GO:0043170,GO:0043226,GO:0043227,GO:0043229,GO:0043231,GO:0043408,GO:0043410,GO:0043412,GO:0044237,GO:0044238,GO:0044249,GO:0044260,GO:0044262,GO:0044264,GO:0044267,GO:0044344,GO:0044422,GO:0044424,GO:0044425,GO:0044431,GO:0044444,GO:0044446,GO:0044464,GO:0044703,GO:0045570,GO:0045880,GO:0045937,GO:0046620,GO:0048232,GO:0048311,GO:0048312,GO:0048332,GO:0048488,GO:0048513,GO:0048518,GO:0048522,GO:0048562,GO:0048563,GO:0048568,GO:0048569,GO:0048583,GO:0048584,GO:0048598,GO:0048609,GO:0048638,GO:0048646,GO:0048701,GO:0048702,GO:0048703,GO:0048704,GO:0048705,GO:0048706,GO:0048707,GO:0048729,GO:0048731,GO:0048736,GO:0048737,GO:0048856,GO:0048870,GO:0050119,GO:0050789,GO:0050793,GO:0050794,GO:0050886,GO:0050896,GO:0051171,GO:0051173,GO:0051174,GO:0051179,GO:0051234,GO:0051239,GO:0051246,GO:0051247,GO:0051640,GO:0051641,GO:0051646,GO:0051649,GO:0051674,GO:0051704,GO:0051716,GO:0051923,GO:0060255,GO:0060322,GO:0060429,GO:0060541,GO:0060562,GO:0060840,GO:0060976,GO:0065007,GO:0065008,GO:0070848,GO:0070887,GO:0071310,GO:0071363,GO:0071495,GO:0071704,GO:0071774,GO:0071840,GO:0072358,GO:0072359,GO:0080090,GO:0090130,GO:0090132,GO:0098588,GO:0098657,GO:0098732,GO:0098791,GO:0099003,GO:0099504,GO:0198738,GO:1901135,GO:1901137,GO:1901564,GO:1901566,GO:1901576,GO:1902531,GO:1902533,GO:1904888,GO:1905114,GO:2000026</t>
  </si>
  <si>
    <t>GO:0002009,GO:0002020,GO:0002165,GO:0003674,GO:0004857,GO:0004866,GO:0005488,GO:0005515,GO:0005575,GO:0005576,GO:0005615,GO:0005623,GO:0007155,GO:0007162,GO:0007275,GO:0007399,GO:0007417,GO:0007419,GO:0007424,GO:0007426,GO:0007444,GO:0007472,GO:0007476,GO:0007552,GO:0007560,GO:0008150,GO:0008191,GO:0008270,GO:0009314,GO:0009416,GO:0009453,GO:0009605,GO:0009628,GO:0009653,GO:0009791,GO:0009886,GO:0009887,GO:0009888,GO:0009892,GO:0009894,GO:0009895,GO:0009987,GO:0010033,GO:0010466,GO:0010605,GO:0010951,GO:0016043,GO:0019222,GO:0019899,GO:0022407,GO:0022408,GO:0022610,GO:0030155,GO:0030162,GO:0030198,GO:0030234,GO:0030414,GO:0030425,GO:0031323,GO:0031324,GO:0031329,GO:0031330,GO:0032268,GO:0032269,GO:0032501,GO:0032502,GO:0035107,GO:0035114,GO:0035120,GO:0035202,GO:0035220,GO:0035239,GO:0035295,GO:0036477,GO:0040007,GO:0040011,GO:0042176,GO:0042177,GO:0042221,GO:0042330,GO:0042331,GO:0042995,GO:0043005,GO:0043062,GO:0043086,GO:0043167,GO:0043169,GO:0044092,GO:0044421,GO:0044463,GO:0044464,GO:0045861,GO:0046872,GO:0046914,GO:0048513,GO:0048519,GO:0048523,GO:0048526,GO:0048563,GO:0048569,GO:0048589,GO:0048646,GO:0048707,GO:0048729,GO:0048731,GO:0048736,GO:0048737,GO:0048856,GO:0050789,GO:0050790,GO:0050794,GO:0050896,GO:0051043,GO:0051045,GO:0051171,GO:0051172,GO:0051246,GO:0051248,GO:0051336,GO:0051346,GO:0052547,GO:0052548,GO:0060232,GO:0060255,GO:0060429,GO:0060541,GO:0060560,GO:0060562,GO:0061134,GO:0061135,GO:0065007,GO:0065009,GO:0071711,GO:0071840,GO:0080090,GO:0097447,GO:0097458,GO:0098772,GO:0120025,GO:0120038</t>
  </si>
  <si>
    <t>GO:0000381,GO:0001558,GO:0001655,GO:0001822,GO:0002009,GO:0005575,GO:0005622,GO:0005623,GO:0005634,GO:0005654,GO:0005737,GO:0005829,GO:0007049,GO:0007050,GO:0007275,GO:0008150,GO:0009653,GO:0009887,GO:0009888,GO:0009987,GO:0010468,GO:0019219,GO:0019222,GO:0022402,GO:0030307,GO:0030856,GO:0030858,GO:0031323,GO:0031974,GO:0031981,GO:0032501,GO:0032502,GO:0035239,GO:0035295,GO:0040008,GO:0043226,GO:0043227,GO:0043229,GO:0043231,GO:0043233,GO:0043484,GO:0044422,GO:0044424,GO:0044428,GO:0044444,GO:0044446,GO:0044464,GO:0045595,GO:0045597,GO:0045786,GO:0045927,GO:0048024,GO:0048513,GO:0048518,GO:0048519,GO:0048522,GO:0048523,GO:0048729,GO:0048731,GO:0048856,GO:0050684,GO:0050789,GO:0050793,GO:0050794,GO:0051094,GO:0051128,GO:0051171,GO:0051239,GO:0051252,GO:0051726,GO:0060255,GO:0060429,GO:0060562,GO:0060993,GO:0061326,GO:0061333,GO:0065007,GO:0070013,GO:0072001,GO:0072006,GO:0072009,GO:0072014,GO:0072028,GO:0072073,GO:0072078,GO:0072080,GO:0072088,GO:0072158,GO:0080090,GO:1903311,GO:2000026</t>
  </si>
  <si>
    <t>GO:0000086,GO:0000166,GO:0000226,GO:0000278,GO:0000323,GO:0001775,GO:0001882,GO:0001883,GO:0001906,GO:0001909,GO:0002228,GO:0002252,GO:0002263,GO:0002274,GO:0002275,GO:0002283,GO:0002366,GO:0002376,GO:0002443,GO:0002444,GO:0002446,GO:0002449,GO:0003674,GO:0005102,GO:0005198,GO:0005200,GO:0005488,GO:0005515,GO:0005525,GO:0005575,GO:0005576,GO:0005622,GO:0005623,GO:0005634,GO:0005635,GO:0005641,GO:0005737,GO:0005764,GO:0005766,GO:0005773,GO:0005775,GO:0005829,GO:0005856,GO:0005874,GO:0006810,GO:0006887,GO:0006950,GO:0006952,GO:0006955,GO:0006996,GO:0007010,GO:0007017,GO:0007049,GO:0007051,GO:0007346,GO:0008150,GO:0009987,GO:0010389,GO:0010564,GO:0012505,GO:0015630,GO:0016020,GO:0016043,GO:0016192,GO:0017076,GO:0019001,GO:0019899,GO:0019904,GO:0022402,GO:0022406,GO:0022607,GO:0030030,GO:0030031,GO:0030141,GO:0030705,GO:0031410,GO:0031625,GO:0031967,GO:0031970,GO:0031974,GO:0031975,GO:0031982,GO:0031983,GO:0032549,GO:0032550,GO:0032553,GO:0032555,GO:0032561,GO:0032794,GO:0032940,GO:0032991,GO:0034774,GO:0035578,GO:0035639,GO:0035770,GO:0036094,GO:0036230,GO:0036464,GO:0042119,GO:0042267,GO:0042287,GO:0042288,GO:0042582,GO:0043167,GO:0043168,GO:0043226,GO:0043227,GO:0043228,GO:0043229,GO:0043231,GO:0043232,GO:0043233,GO:0043299,GO:0043312,GO:0044085,GO:0044297,GO:0044389,GO:0044422,GO:0044424,GO:0044425,GO:0044428,GO:0044430,GO:0044433,GO:0044437,GO:0044444,GO:0044446,GO:0044464,GO:0044770,GO:0044772,GO:0044782,GO:0044839,GO:0044877,GO:0045055,GO:0045087,GO:0045121,GO:0045298,GO:0045321,GO:0046903,GO:0046907,GO:0050789,GO:0050794,GO:0050896,GO:0051179,GO:0051225,GO:0051234,GO:0051301,GO:0051640,GO:0051641,GO:0051649,GO:0051726,GO:0060205,GO:0060271,GO:0065007,GO:0070013,GO:0070925,GO:0071840,GO:0097159,GO:0097367,GO:0097708,GO:0097711,GO:0098589,GO:0098805,GO:0098857,GO:0099080,GO:0099081,GO:0099503,GO:0099512,GO:0099513,GO:0120031,GO:0120036,GO:0140056,GO:1901265,GO:1901363,GO:1901987,GO:1901990,GO:1902749,GO:1903047,GO:1990904</t>
  </si>
  <si>
    <t>GO:0000323,GO:0001775,GO:0002252,GO:0002263,GO:0002274,GO:0002275,GO:0002283,GO:0002366,GO:0002376,GO:0002443,GO:0002444,GO:0002446,GO:0003674,GO:0003824,GO:0004553,GO:0004566,GO:0005102,GO:0005488,GO:0005515,GO:0005575,GO:0005576,GO:0005615,GO:0005622,GO:0005623,GO:0005737,GO:0005764,GO:0005766,GO:0005773,GO:0005775,GO:0005975,GO:0006022,GO:0006026,GO:0006027,GO:0006082,GO:0006807,GO:0006810,GO:0006887,GO:0006955,GO:0008150,GO:0008152,GO:0009056,GO:0009057,GO:0009987,GO:0012505,GO:0016020,GO:0016054,GO:0016192,GO:0016787,GO:0016798,GO:0019752,GO:0019904,GO:0030141,GO:0030203,GO:0030212,GO:0030214,GO:0030246,GO:0031224,GO:0031410,GO:0031974,GO:0031982,GO:0031983,GO:0032940,GO:0034774,GO:0035578,GO:0036230,GO:0042119,GO:0042582,GO:0043170,GO:0043202,GO:0043226,GO:0043227,GO:0043229,GO:0043231,GO:0043233,GO:0043299,GO:0043312,GO:0043436,GO:0044237,GO:0044238,GO:0044248,GO:0044281,GO:0044282,GO:0044421,GO:0044422,GO:0044424,GO:0044425,GO:0044433,GO:0044437,GO:0044444,GO:0044446,GO:0044464,GO:0045055,GO:0045321,GO:0046395,GO:0046903,GO:0050896,GO:0051179,GO:0051234,GO:0060205,GO:0070013,GO:0071704,GO:0097708,GO:0099503,GO:0101002,GO:1901135,GO:1901136,GO:1901564,GO:1901565,GO:1901575,GO:1903510,GO:1904813</t>
  </si>
  <si>
    <t>GO:0000003,GO:0000278,GO:0000280,GO:0000281,GO:0000910,GO:0001525,GO:0001568,GO:0001667,GO:0001944,GO:0002041,GO:0002044,GO:0003674,GO:0003676,GO:0003677,GO:0003682,GO:0005488,GO:0005515,GO:0005521,GO:0005575,GO:0005622,GO:0005623,GO:0005634,GO:0005635,GO:0005637,GO:0005639,GO:0006355,GO:0006357,GO:0006928,GO:0006996,GO:0006997,GO:0006998,GO:0007049,GO:0007059,GO:0007127,GO:0007275,GO:0007517,GO:0007519,GO:0008150,GO:0009314,GO:0009628,GO:0009653,GO:0009888,GO:0009889,GO:0009966,GO:0009968,GO:0009987,GO:0010165,GO:0010212,GO:0010256,GO:0010468,GO:0010556,GO:0010631,GO:0010646,GO:0010648,GO:0012505,GO:0014706,GO:0016020,GO:0016021,GO:0016043,GO:0016477,GO:0017015,GO:0019219,GO:0019222,GO:0019866,GO:0022402,GO:0022414,GO:0023051,GO:0023057,GO:0030154,GO:0030510,GO:0030512,GO:0030514,GO:0031090,GO:0031224,GO:0031229,GO:0031300,GO:0031301,GO:0031323,GO:0031326,GO:0031490,GO:0031965,GO:0031967,GO:0031975,GO:0032501,GO:0032502,GO:0032925,GO:0032926,GO:0034397,GO:0034398,GO:0035239,GO:0035295,GO:0035914,GO:0040011,GO:0043226,GO:0043227,GO:0043229,GO:0043231,GO:0043534,GO:0043542,GO:0044422,GO:0044424,GO:0044425,GO:0044428,GO:0044446,GO:0044453,GO:0044464,GO:0044821,GO:0045132,GO:0045141,GO:0045143,GO:0048285,GO:0048513,GO:0048514,GO:0048519,GO:0048523,GO:0048583,GO:0048585,GO:0048646,GO:0048731,GO:0048856,GO:0048869,GO:0048870,GO:0050000,GO:0050789,GO:0050794,GO:0050896,GO:0051128,GO:0051171,GO:0051179,GO:0051234,GO:0051252,GO:0051276,GO:0051301,GO:0051303,GO:0051321,GO:0051640,GO:0051641,GO:0051649,GO:0051656,GO:0051674,GO:0051726,GO:0060255,GO:0060537,GO:0060538,GO:0061024,GO:0061061,GO:0061640,GO:0061982,GO:0065007,GO:0070192,GO:0070197,GO:0071840,GO:0072358,GO:0072359,GO:0080090,GO:0090092,GO:0090101,GO:0090130,GO:0090132,GO:0090220,GO:0090287,GO:0090288,GO:0097159,GO:0097240,GO:0098813,GO:0140013,GO:1901363,GO:1903046,GO:1903047,GO:1903053,GO:1903506,GO:1903844,GO:1903845,GO:2000112,GO:2001141</t>
  </si>
  <si>
    <t>GO:0000003,GO:0000407,GO:0000421,GO:0002790,GO:0005575,GO:0005622,GO:0005623,GO:0005634,GO:0005730,GO:0005737,GO:0005773,GO:0005774,GO:0005776,GO:0005783,GO:0006810,GO:0006887,GO:0006914,GO:0006996,GO:0007029,GO:0007030,GO:0007155,GO:0007275,GO:0007565,GO:0007566,GO:0008104,GO:0008150,GO:0008152,GO:0009056,GO:0009306,GO:0009892,GO:0009894,GO:0009895,GO:0009987,GO:0010256,GO:0010506,GO:0010507,GO:0010639,GO:0012505,GO:0015031,GO:0015833,GO:0016020,GO:0016043,GO:0016192,GO:0016236,GO:0016241,GO:0016242,GO:0019222,GO:0022414,GO:0022607,GO:0022610,GO:0031090,GO:0031323,GO:0031324,GO:0031329,GO:0031330,GO:0031974,GO:0031981,GO:0032501,GO:0032502,GO:0032940,GO:0033036,GO:0033043,GO:0034329,GO:0034330,GO:0042886,GO:0043226,GO:0043227,GO:0043228,GO:0043229,GO:0043231,GO:0043232,GO:0043233,GO:0044085,GO:0044087,GO:0044088,GO:0044237,GO:0044248,GO:0044422,GO:0044424,GO:0044428,GO:0044437,GO:0044444,GO:0044446,GO:0044464,GO:0044703,GO:0044706,GO:0045184,GO:0046903,GO:0048519,GO:0048523,GO:0048856,GO:0050789,GO:0050794,GO:0051128,GO:0051129,GO:0051179,GO:0051234,GO:0051704,GO:0061919,GO:0065007,GO:0070013,GO:0071702,GO:0071705,GO:0071840,GO:0098588,GO:0098609,GO:0098805,GO:1902115,GO:1902116,GO:1902902,GO:2000785</t>
  </si>
  <si>
    <t>GO:0001654,GO:0001775,GO:0001932,GO:0001933,GO:0002252,GO:0002263,GO:0002274,GO:0002275,GO:0002283,GO:0002366,GO:0002376,GO:0002443,GO:0002444,GO:0002446,GO:0003674,GO:0005488,GO:0005515,GO:0005575,GO:0005576,GO:0005622,GO:0005623,GO:0005634,GO:0005737,GO:0005829,GO:0005856,GO:0006469,GO:0006807,GO:0006810,GO:0006887,GO:0006950,GO:0006955,GO:0007154,GO:0007165,GO:0007166,GO:0007167,GO:0007169,GO:0007275,GO:0007399,GO:0007417,GO:0007420,GO:0007423,GO:0008150,GO:0008152,GO:0008283,GO:0009892,GO:0009987,GO:0010563,GO:0010605,GO:0012505,GO:0016043,GO:0016192,GO:0019220,GO:0019222,GO:0019538,GO:0019899,GO:0019900,GO:0019901,GO:0019902,GO:0019903,GO:0022008,GO:0023051,GO:0023052,GO:0023057,GO:0030030,GO:0030141,GO:0030154,GO:0030182,GO:0031099,GO:0031102,GO:0031175,GO:0031323,GO:0031324,GO:0031399,GO:0031400,GO:0031410,GO:0031952,GO:0031953,GO:0031974,GO:0031982,GO:0031983,GO:0032268,GO:0032269,GO:0032501,GO:0032502,GO:0032940,GO:0033554,GO:0033673,GO:0034774,GO:0036230,GO:0038127,GO:0042119,GO:0042325,GO:0042326,GO:0042802,GO:0043086,GO:0043170,GO:0043226,GO:0043227,GO:0043228,GO:0043229,GO:0043231,GO:0043232,GO:0043233,GO:0043299,GO:0043312,GO:0043549,GO:0044092,GO:0044238,GO:0044422,GO:0044424,GO:0044433,GO:0044444,GO:0044446,GO:0044464,GO:0045055,GO:0045321,GO:0045859,GO:0045936,GO:0046903,GO:0048468,GO:0048471,GO:0048513,GO:0048519,GO:0048523,GO:0048666,GO:0048699,GO:0048731,GO:0048856,GO:0048869,GO:0050730,GO:0050732,GO:0050789,GO:0050790,GO:0050794,GO:0050896,GO:0051171,GO:0051172,GO:0051174,GO:0051179,GO:0051234,GO:0051246,GO:0051248,GO:0051338,GO:0051348,GO:0051716,GO:0060205,GO:0060255,GO:0060322,GO:0061097,GO:0061099,GO:0065007,GO:0065009,GO:0070013,GO:0071704,GO:0071840,GO:0072376,GO:0080090,GO:0097708,GO:0099503,GO:0101002,GO:0120036,GO:1901564,GO:1904813</t>
  </si>
  <si>
    <t>GO:0000003,GO:0001655,GO:0001763,GO:0002009,GO:0002064,GO:0002070,GO:0003006,GO:0003674,GO:0003824,GO:0004842,GO:0005102,GO:0005123,GO:0005126,GO:0005488,GO:0005515,GO:0005575,GO:0005622,GO:0005623,GO:0005634,GO:0005654,GO:0005737,GO:0005829,GO:0006464,GO:0006807,GO:0006915,GO:0007275,GO:0008150,GO:0008152,GO:0008219,GO:0009653,GO:0009887,GO:0009888,GO:0009966,GO:0009987,GO:0010646,GO:0010941,GO:0012501,GO:0016567,GO:0016740,GO:0019222,GO:0019538,GO:0019787,GO:0021700,GO:0022414,GO:0022612,GO:0023051,GO:0030154,GO:0030850,GO:0030855,GO:0031323,GO:0031396,GO:0031399,GO:0031974,GO:0031981,GO:0032268,GO:0032446,GO:0032501,GO:0032502,GO:0032813,GO:0036211,GO:0042981,GO:0043067,GO:0043170,GO:0043226,GO:0043227,GO:0043229,GO:0043231,GO:0043233,GO:0043412,GO:0043687,GO:0044237,GO:0044238,GO:0044260,GO:0044267,GO:0044422,GO:0044424,GO:0044428,GO:0044444,GO:0044446,GO:0044464,GO:0048468,GO:0048469,GO:0048513,GO:0048583,GO:0048608,GO:0048729,GO:0048731,GO:0048732,GO:0048856,GO:0048869,GO:0050789,GO:0050790,GO:0050794,GO:0051171,GO:0051246,GO:0051338,GO:0051340,GO:0051438,GO:0051726,GO:0060255,GO:0060429,GO:0060442,GO:0060512,GO:0060740,GO:0060742,GO:0060743,GO:0061138,GO:0061458,GO:0065007,GO:0065009,GO:0070013,GO:0070647,GO:0071695,GO:0071704,GO:0080090,GO:0080134,GO:0080135,GO:0140096,GO:1901564,GO:1901976,GO:1902041,GO:1903320,GO:2000001,GO:2001020,GO:2001233,GO:2001236</t>
  </si>
  <si>
    <t>GO:0000122,GO:0000350,GO:0000375,GO:0000377,GO:0000393,GO:0000398,GO:0000785,GO:0000974,GO:0001101,GO:0001700,GO:0003674,GO:0003712,GO:0003713,GO:0003714,GO:0005102,GO:0005112,GO:0005488,GO:0005515,GO:0005575,GO:0005622,GO:0005623,GO:0005634,GO:0005654,GO:0005681,GO:0005684,GO:0005694,GO:0005737,GO:0006139,GO:0006351,GO:0006352,GO:0006355,GO:0006357,GO:0006366,GO:0006367,GO:0006396,GO:0006397,GO:0006725,GO:0006807,GO:0006915,GO:0006950,GO:0006974,GO:0007154,GO:0007165,GO:0007166,GO:0007219,GO:0007221,GO:0007275,GO:0007399,GO:0007444,GO:0007517,GO:0007519,GO:0008134,GO:0008150,GO:0008152,GO:0008219,GO:0008380,GO:0008593,GO:0008630,GO:0009058,GO:0009059,GO:0009790,GO:0009792,GO:0009888,GO:0009889,GO:0009890,GO:0009891,GO:0009892,GO:0009893,GO:0009966,GO:0009967,GO:0009987,GO:0010033,GO:0010467,GO:0010468,GO:0010556,GO:0010557,GO:0010558,GO:0010604,GO:0010605,GO:0010628,GO:0010629,GO:0010638,GO:0010646,GO:0010647,GO:0010720,GO:0012501,GO:0014706,GO:0016043,GO:0016070,GO:0016071,GO:0016363,GO:0016604,GO:0016607,GO:0017015,GO:0018130,GO:0019219,GO:0019222,GO:0019438,GO:0019899,GO:0022008,GO:0022607,GO:0022613,GO:0022618,GO:0023051,GO:0023052,GO:0023056,GO:0030154,GO:0030511,GO:0030522,GO:0031056,GO:0031058,GO:0031060,GO:0031062,GO:0031323,GO:0031324,GO:0031325,GO:0031326,GO:0031327,GO:0031328,GO:0031399,GO:0031401,GO:0031974,GO:0031981,GO:0032101,GO:0032103,GO:0032104,GO:0032106,GO:0032107,GO:0032109,GO:0032268,GO:0032270,GO:0032501,GO:0032502,GO:0032526,GO:0032774,GO:0032991,GO:0033043,GO:0033044,GO:0033120,GO:0033554,GO:0033993,GO:0034399,GO:0034622,GO:0034641,GO:0034645,GO:0034654,GO:0035214,GO:0035257,GO:0035258,GO:0035295,GO:0035556,GO:0035821,GO:0035914,GO:0042221,GO:0042771,GO:0042809,GO:0042974,GO:0043170,GO:0043226,GO:0043227,GO:0043228,GO:0043229,GO:0043231,GO:0043232,GO:0043233,GO:0043484,GO:0043900,GO:0043902,GO:0043903,GO:0043921,GO:0043923,GO:0043933,GO:0044085,GO:0044237,GO:0044238,GO:0044249,GO:0044260,GO:0044271,GO:0044403,GO:0044419,GO:0044422,GO:0044424,GO:0044427,GO:0044428,GO:0044446,GO:0044451,GO:0044464,GO:0045595,GO:0045597,GO:0045747,GO:0045892,GO:0045893,GO:0045934,GO:0045935,GO:0045944,GO:0046332,GO:0046483,GO:0046782,GO:0048024,GO:0048026,GO:0048384,GO:0048385,GO:0048513,GO:0048518,GO:0048519,GO:0048522,GO:0048523,GO:0048524,GO:0048583,GO:0048584,GO:0048699,GO:0048731,GO:0048856,GO:0048869,GO:0050434,GO:0050681,GO:0050684,GO:0050685,GO:0050767,GO:0050769,GO:0050789,GO:0050792,GO:0050793,GO:0050794,GO:0050896,GO:0051094,GO:0051128,GO:0051130,GO:0051171,GO:0051172,GO:0051173,GO:0051239,GO:0051240,GO:0051246,GO:0051247,GO:0051252,GO:0051253,GO:0051254,GO:0051427,GO:0051569,GO:0051571,GO:0051702,GO:0051704,GO:0051716,GO:0051817,GO:0051851,GO:0051960,GO:0051962,GO:0052312,GO:0052472,GO:0060255,GO:0060284,GO:0060429,GO:0060537,GO:0060538,GO:0061061,GO:0065003,GO:0065007,GO:0070013,GO:0070562,GO:0070564,GO:0070887,GO:0071007,GO:0071013,GO:0071014,GO:0071141,GO:0071229,GO:0071300,GO:0071310,GO:0071396,GO:0071704,GO:0071826,GO:0071840,GO:0072331,GO:0072332,GO:0080090,GO:0090092,GO:0090100,GO:0090287,GO:0090304,GO:0097190,GO:0097193,GO:0097659,GO:0140110,GO:1901360,GO:1901362,GO:1901576,GO:1901700,GO:1901701,GO:1902275,GO:1902494,GO:1902679,GO:1902680,GO:1903311,GO:1903313,GO:1903506,GO:1903507,GO:1903508,GO:1903844,GO:1903846,GO:1905269,GO:1990904,GO:2000026,GO:2000112,GO:2000113,GO:2001141,GO:2001252</t>
  </si>
  <si>
    <t>GO:0000350,GO:0000375,GO:0000377,GO:0000393,GO:0000398,GO:0000974,GO:0001700,GO:0003674,GO:0003712,GO:0005488,GO:0005515,GO:0005575,GO:0005622,GO:0005623,GO:0005634,GO:0005681,GO:0006139,GO:0006355,GO:0006357,GO:0006396,GO:0006397,GO:0006725,GO:0006807,GO:0007275,GO:0007444,GO:0008150,GO:0008152,GO:0008380,GO:0009790,GO:0009792,GO:0009888,GO:0009889,GO:0009987,GO:0010467,GO:0010468,GO:0010556,GO:0016043,GO:0016070,GO:0016071,GO:0019219,GO:0019222,GO:0022607,GO:0022613,GO:0022618,GO:0031323,GO:0031326,GO:0032501,GO:0032502,GO:0032991,GO:0034622,GO:0034641,GO:0035214,GO:0035295,GO:0043170,GO:0043226,GO:0043227,GO:0043229,GO:0043231,GO:0043933,GO:0044085,GO:0044237,GO:0044238,GO:0044422,GO:0044424,GO:0044428,GO:0044446,GO:0044464,GO:0046483,GO:0048513,GO:0048731,GO:0048856,GO:0050789,GO:0050794,GO:0051171,GO:0051252,GO:0060255,GO:0060429,GO:0065003,GO:0065007,GO:0071014,GO:0071141,GO:0071704,GO:0071826,GO:0071840,GO:0080090,GO:0090304,GO:0140110,GO:1901360,GO:1903506,GO:1990904,GO:2000112,GO:2001141</t>
  </si>
  <si>
    <t>GO:0000302,GO:0000323,GO:0001878,GO:0001906,GO:0001909,GO:0001932,GO:0001934,GO:0002102,GO:0002252,GO:0002376,GO:0002443,GO:0002444,GO:0002446,GO:0002679,GO:0003674,GO:0003824,GO:0005488,GO:0005515,GO:0005543,GO:0005575,GO:0005622,GO:0005623,GO:0005737,GO:0005764,GO:0005767,GO:0005773,GO:0005783,GO:0005791,GO:0005794,GO:0005829,GO:0005856,GO:0005886,GO:0005887,GO:0006082,GO:0006091,GO:0006139,GO:0006355,GO:0006605,GO:0006612,GO:0006690,GO:0006691,GO:0006725,GO:0006732,GO:0006733,GO:0006739,GO:0006742,GO:0006753,GO:0006793,GO:0006796,GO:0006801,GO:0006807,GO:0006810,GO:0006886,GO:0006915,GO:0006950,GO:0006952,GO:0006954,GO:0006955,GO:0006968,GO:0006979,GO:0006996,GO:0007154,GO:0007165,GO:0007166,GO:0007167,GO:0007169,GO:0007176,GO:0008047,GO:0008104,GO:0008150,GO:0008152,GO:0008219,GO:0008283,GO:0008289,GO:0009055,GO:0009056,GO:0009058,GO:0009109,GO:0009117,GO:0009166,GO:0009605,GO:0009607,GO:0009617,GO:0009620,GO:0009889,GO:0009891,GO:0009893,GO:0009966,GO:0009967,GO:0009987,GO:0010035,GO:0010038,GO:0010468,GO:0010469,GO:0010556,GO:0010557,GO:0010562,GO:0010604,GO:0010628,GO:0010646,GO:0010647,GO:0012501,GO:0012505,GO:0014066,GO:0014068,GO:0015031,GO:0015629,GO:0015833,GO:0016020,GO:0016021,GO:0016043,GO:0016175,GO:0016176,GO:0016491,GO:0016651,GO:0016999,GO:0017000,GO:0017124,GO:0017144,GO:0018130,GO:0019219,GO:0019220,GO:0019222,GO:0019362,GO:0019364,GO:0019438,GO:0019439,GO:0019637,GO:0019752,GO:0019898,GO:0019904,GO:0022607,GO:0022900,GO:0023051,GO:0023052,GO:0023056,GO:0030139,GO:0030234,GO:0030425,GO:0031224,GO:0031226,GO:0031323,GO:0031325,GO:0031326,GO:0031328,GO:0031399,GO:0031401,GO:0031410,GO:0031640,GO:0031982,GO:0032010,GO:0032268,GO:0032270,GO:0032872,GO:0032874,GO:0032991,GO:0033036,GO:0033554,GO:0033674,GO:0034404,GO:0034599,GO:0034613,GO:0034614,GO:0034641,GO:0034654,GO:0034655,GO:0035091,GO:0035821,GO:0036477,GO:0042058,GO:0042221,GO:0042325,GO:0042327,GO:0042554,GO:0042742,GO:0042743,GO:0042886,GO:0042995,GO:0043005,GO:0043020,GO:0043025,GO:0043085,GO:0043167,GO:0043168,GO:0043207,GO:0043226,GO:0043227,GO:0043228,GO:0043229,GO:0043231,GO:0043232,GO:0043325,GO:0043408,GO:0043410,GO:0043436,GO:0043549,GO:0043933,GO:0044085,GO:0044093,GO:0044237,GO:0044238,GO:0044248,GO:0044249,GO:0044270,GO:0044271,GO:0044281,GO:0044283,GO:0044297,GO:0044364,GO:0044403,GO:0044419,GO:0044422,GO:0044424,GO:0044425,GO:0044430,GO:0044444,GO:0044446,GO:0044459,GO:0044463,GO:0044464,GO:0045087,GO:0045184,GO:0045335,GO:0045730,GO:0045741,GO:0045742,GO:0045859,GO:0045860,GO:0045893,GO:0045935,GO:0045937,GO:0046328,GO:0046330,GO:0046434,GO:0046483,GO:0046496,GO:0046686,GO:0046700,GO:0046907,GO:0048010,GO:0048518,GO:0048522,GO:0048583,GO:0048584,GO:0050664,GO:0050665,GO:0050730,GO:0050731,GO:0050789,GO:0050790,GO:0050794,GO:0050830,GO:0050832,GO:0050896,GO:0051171,GO:0051173,GO:0051174,GO:0051179,GO:0051186,GO:0051187,GO:0051188,GO:0051234,GO:0051246,GO:0051247,GO:0051252,GO:0051254,GO:0051338,GO:0051347,GO:0051641,GO:0051649,GO:0051702,GO:0051704,GO:0051707,GO:0051716,GO:0051817,GO:0051818,GO:0051851,GO:0051852,GO:0051873,GO:0051883,GO:0055086,GO:0055114,GO:0060255,GO:0061097,GO:0061098,GO:0065003,GO:0065007,GO:0065009,GO:0070302,GO:0070304,GO:0070727,GO:0070887,GO:0070925,GO:0070942,GO:0070943,GO:0070944,GO:0070946,GO:0070947,GO:0071241,GO:0071248,GO:0071276,GO:0071702,GO:0071704,GO:0071705,GO:0071800,GO:0071840,GO:0071944,GO:0072524,GO:0072526,GO:0072593,GO:0072657,GO:0080090,GO:0080134,GO:0080135,GO:0090150,GO:0097447,GO:0097458,GO:0097708,GO:0098542,GO:0098772,GO:0098796,GO:0098797,GO:0120025,GO:0120038,GO:1900744,GO:1900745,GO:1901184,GO:1901186,GO:1901292,GO:1901360,GO:1901361,GO:1901362,GO:1901564,GO:1901565,GO:1901568,GO:1901575,GO:1901576,GO:1901700,GO:1901701,GO:1901981,GO:1902494,GO:1902531,GO:1902533,GO:1902680,GO:1902936,GO:1903409,GO:1903506,GO:1903508,GO:1990204,GO:2000112,GO:2000273,GO:2001141</t>
  </si>
  <si>
    <t>GO:0001505,GO:0003674,GO:0005215,GO:0005310,GO:0005342,GO:0005575,GO:0005622,GO:0005623,GO:0005737,GO:0005739,GO:0005740,GO:0005743,GO:0006082,GO:0006520,GO:0006544,GO:0006575,GO:0006725,GO:0006732,GO:0006760,GO:0006766,GO:0006767,GO:0006807,GO:0006810,GO:0006811,GO:0006820,GO:0006835,GO:0006839,GO:0006855,GO:0006862,GO:0008150,GO:0008152,GO:0008509,GO:0008514,GO:0008517,GO:0009069,GO:0009987,GO:0015075,GO:0015215,GO:0015230,GO:0015238,GO:0015318,GO:0015605,GO:0015711,GO:0015748,GO:0015849,GO:0015884,GO:0015893,GO:0015931,GO:0015932,GO:0016020,GO:0016021,GO:0017144,GO:0019752,GO:0019866,GO:0022857,GO:0031090,GO:0031224,GO:0031966,GO:0031967,GO:0031975,GO:0034220,GO:0034641,GO:0035350,GO:0035461,GO:0042133,GO:0042221,GO:0042493,GO:0042558,GO:0042886,GO:0042887,GO:0043226,GO:0043227,GO:0043229,GO:0043231,GO:0043436,GO:0043603,GO:0043648,GO:0044237,GO:0044238,GO:0044281,GO:0044422,GO:0044424,GO:0044425,GO:0044429,GO:0044444,GO:0044446,GO:0044464,GO:0046483,GO:0046655,GO:0046942,GO:0046943,GO:0050896,GO:0051179,GO:0051180,GO:0051181,GO:0051184,GO:0051186,GO:0051234,GO:0055085,GO:0065007,GO:0065008,GO:0071702,GO:0071704,GO:0071705,GO:0072337,GO:0072349,GO:0090482,GO:0098656,GO:0098838,GO:1901360,GO:1901564,GO:1901605,GO:1901679,GO:1903825,GO:1904947,GO:1905039,GO:1990542</t>
  </si>
  <si>
    <t>GO:0000003,GO:0000166,GO:0003006,GO:0003674,GO:0003676,GO:0003723,GO:0003724,GO:0003824,GO:0004004,GO:0004386,GO:0005488,GO:0005524,GO:0005575,GO:0005622,GO:0005623,GO:0005634,GO:0005635,GO:0005643,GO:0005681,GO:0005730,GO:0005737,GO:0006139,GO:0006396,GO:0006403,GO:0006405,GO:0006406,GO:0006417,GO:0006611,GO:0006725,GO:0006807,GO:0006810,GO:0006886,GO:0006913,GO:0007276,GO:0007281,GO:0007283,GO:0007286,GO:0008026,GO:0008104,GO:0008144,GO:0008150,GO:0008152,GO:0008186,GO:0008380,GO:0009889,GO:0009987,GO:0010467,GO:0010468,GO:0010501,GO:0010556,GO:0010608,GO:0010941,GO:0010942,GO:0012505,GO:0015031,GO:0015833,GO:0015931,GO:0016020,GO:0016070,GO:0016462,GO:0016787,GO:0016817,GO:0016818,GO:0016887,GO:0017076,GO:0017111,GO:0019222,GO:0019953,GO:0022412,GO:0022414,GO:0030154,GO:0030554,GO:0031090,GO:0031323,GO:0031326,GO:0031503,GO:0031965,GO:0031967,GO:0031974,GO:0031975,GO:0031981,GO:0032268,GO:0032501,GO:0032502,GO:0032504,GO:0032553,GO:0032555,GO:0032559,GO:0032991,GO:0033036,GO:0033391,GO:0034248,GO:0034613,GO:0034641,GO:0035639,GO:0035770,GO:0036094,GO:0036464,GO:0042623,GO:0042886,GO:0042981,GO:0043065,GO:0043067,GO:0043068,GO:0043167,GO:0043168,GO:0043170,GO:0043186,GO:0043226,GO:0043227,GO:0043228,GO:0043229,GO:0043231,GO:0043232,GO:0043233,GO:0044237,GO:0044238,GO:0044422,GO:0044424,GO:0044428,GO:0044444,GO:0044446,GO:0044464,GO:0044614,GO:0044703,GO:0045184,GO:0045495,GO:0046483,GO:0046907,GO:0048232,GO:0048468,GO:0048515,GO:0048518,GO:0048522,GO:0048609,GO:0048856,GO:0048869,GO:0050657,GO:0050658,GO:0050789,GO:0050794,GO:0051028,GO:0051168,GO:0051169,GO:0051171,GO:0051179,GO:0051234,GO:0051236,GO:0051246,GO:0051641,GO:0051649,GO:0051704,GO:0060255,GO:0060293,GO:0065007,GO:0070013,GO:0070035,GO:0070727,GO:0071013,GO:0071166,GO:0071426,GO:0071427,GO:0071702,GO:0071704,GO:0071705,GO:0080090,GO:0090304,GO:0097159,GO:0097367,GO:0140098,GO:1901265,GO:1901360,GO:1901363,GO:1902494,GO:1990904,GO:2000112</t>
  </si>
  <si>
    <t>GO:0000003,GO:0000768,GO:0001667,GO:0002064,GO:0002065,GO:0002066,GO:0003002,GO:0003006,GO:0003674,GO:0003824,GO:0004175,GO:0004197,GO:0004198,GO:0005488,GO:0005509,GO:0005575,GO:0005622,GO:0005623,GO:0005737,GO:0005856,GO:0006355,GO:0006357,GO:0006508,GO:0006807,GO:0006928,GO:0006949,GO:0006950,GO:0006952,GO:0007154,GO:0007165,GO:0007166,GO:0007167,GO:0007178,GO:0007275,GO:0007276,GO:0007281,GO:0007292,GO:0007297,GO:0007298,GO:0007389,GO:0007399,GO:0007417,GO:0007520,GO:0007568,GO:0007610,GO:0007626,GO:0008150,GO:0008152,GO:0008233,GO:0008234,GO:0008340,GO:0008345,GO:0008589,GO:0009605,GO:0009607,GO:0009620,GO:0009653,GO:0009719,GO:0009888,GO:0009889,GO:0009953,GO:0009966,GO:0009968,GO:0009987,GO:0010033,GO:0010259,GO:0010467,GO:0010468,GO:0010556,GO:0010631,GO:0010646,GO:0010648,GO:0014902,GO:0015629,GO:0016322,GO:0016477,GO:0016485,GO:0016540,GO:0016787,GO:0019219,GO:0019222,GO:0019538,GO:0019953,GO:0021510,GO:0021511,GO:0021513,GO:0021700,GO:0021914,GO:0021919,GO:0022008,GO:0022412,GO:0022414,GO:0023051,GO:0023052,GO:0023057,GO:0030154,GO:0030182,GO:0030509,GO:0030537,GO:0030707,GO:0030855,GO:0031323,GO:0031326,GO:0032501,GO:0032502,GO:0032504,GO:0036477,GO:0040011,GO:0042221,GO:0042335,GO:0042551,GO:0042692,GO:0043025,GO:0043167,GO:0043169,GO:0043170,GO:0043207,GO:0043226,GO:0043228,GO:0043229,GO:0043232,GO:0044238,GO:0044297,GO:0044424,GO:0044464,GO:0044703,GO:0045879,GO:0046872,GO:0048468,GO:0048469,GO:0048477,GO:0048513,GO:0048519,GO:0048523,GO:0048583,GO:0048585,GO:0048609,GO:0048646,GO:0048666,GO:0048699,GO:0048731,GO:0048856,GO:0048869,GO:0048870,GO:0050789,GO:0050793,GO:0050794,GO:0050832,GO:0050896,GO:0051093,GO:0051146,GO:0051171,GO:0051179,GO:0051239,GO:0051241,GO:0051252,GO:0051604,GO:0051674,GO:0051704,GO:0051707,GO:0051716,GO:0051960,GO:0051961,GO:0060255,GO:0060429,GO:0061061,GO:0065007,GO:0070011,GO:0070848,GO:0070887,GO:0071310,GO:0071363,GO:0071495,GO:0071695,GO:0071704,GO:0071772,GO:0071773,GO:0080090,GO:0090130,GO:0090132,GO:0097458,GO:0098542,GO:0140096,GO:1901564,GO:1903506,GO:2000026,GO:2000112,GO:2001141</t>
  </si>
  <si>
    <t>GO:0000003,GO:0000902,GO:0000904,GO:0001556,GO:0002009,GO:0002252,GO:0002376,GO:0003006,GO:0003674,GO:0003824,GO:0004672,GO:0004713,GO:0004714,GO:0004888,GO:0005003,GO:0005005,GO:0005488,GO:0005515,GO:0005575,GO:0005623,GO:0005886,GO:0005887,GO:0006464,GO:0006468,GO:0006582,GO:0006725,GO:0006793,GO:0006796,GO:0006807,GO:0006928,GO:0006935,GO:0006950,GO:0006952,GO:0006955,GO:0007154,GO:0007165,GO:0007166,GO:0007167,GO:0007169,GO:0007275,GO:0007276,GO:0007281,GO:0007292,GO:0007399,GO:0007409,GO:0007411,GO:0007417,GO:0007420,GO:0007422,GO:0008150,GO:0008152,GO:0009605,GO:0009653,GO:0009790,GO:0009792,GO:0009888,GO:0009987,GO:0009994,GO:0010171,GO:0010172,GO:0010769,GO:0010975,GO:0016020,GO:0016021,GO:0016043,GO:0016301,GO:0016310,GO:0016319,GO:0016331,GO:0016740,GO:0016772,GO:0016773,GO:0018108,GO:0018193,GO:0018212,GO:0018958,GO:0019199,GO:0019538,GO:0019748,GO:0019904,GO:0019953,GO:0021700,GO:0022008,GO:0022412,GO:0022414,GO:0022603,GO:0022604,GO:0023052,GO:0030030,GO:0030154,GO:0030182,GO:0030424,GO:0031175,GO:0031224,GO:0031226,GO:0031344,GO:0032101,GO:0032501,GO:0032502,GO:0032504,GO:0032879,GO:0032989,GO:0032990,GO:0035006,GO:0035010,GO:0035011,GO:0036211,GO:0038023,GO:0040011,GO:0040012,GO:0042221,GO:0042330,GO:0042440,GO:0042995,GO:0043005,GO:0043170,GO:0043412,GO:0044237,GO:0044238,GO:0044260,GO:0044267,GO:0044425,GO:0044459,GO:0044464,GO:0044703,GO:0045087,GO:0045595,GO:0045664,GO:0046777,GO:0048013,GO:0048468,GO:0048469,GO:0048477,GO:0048513,GO:0048583,GO:0048598,GO:0048599,GO:0048609,GO:0048666,GO:0048667,GO:0048699,GO:0048729,GO:0048731,GO:0048812,GO:0048856,GO:0048858,GO:0048869,GO:0050767,GO:0050770,GO:0050789,GO:0050793,GO:0050794,GO:0050896,GO:0050920,GO:0051128,GO:0051239,GO:0051270,GO:0051704,GO:0051716,GO:0051960,GO:0060089,GO:0060284,GO:0060322,GO:0060429,GO:0061564,GO:0065007,GO:0071695,GO:0071704,GO:0071840,GO:0071944,GO:0097458,GO:0097485,GO:0120025,GO:0120035,GO:0120036,GO:0120039,GO:0140096,GO:1901360,GO:1901564,GO:1901615,GO:1902667,GO:2000026</t>
  </si>
  <si>
    <t>ADP-ribosylation factor binding</t>
  </si>
  <si>
    <t>mitotic sister chromatid biorientation</t>
  </si>
  <si>
    <t>Ribosomal protein S12/S23</t>
  </si>
  <si>
    <t>encoded within the 25S rRNA gene on the opposite strand</t>
  </si>
  <si>
    <t>Fibrinogen-related domains (FReDs)</t>
  </si>
  <si>
    <t>protein heterodimerization activity</t>
  </si>
  <si>
    <t>Rhodanese Homology Domain</t>
  </si>
  <si>
    <t>biological adhesion</t>
  </si>
  <si>
    <t>triglyceride lipase activity</t>
  </si>
  <si>
    <t>Periplasmic binding protein</t>
  </si>
  <si>
    <t>TerD domain</t>
  </si>
  <si>
    <t>Thrombospondin C-terminal region</t>
  </si>
  <si>
    <t>nuclear receptor transcription coactivator activity</t>
  </si>
  <si>
    <t>complement activation</t>
  </si>
  <si>
    <t>positive regulation of protein kinase C activity</t>
  </si>
  <si>
    <t>Common central domain of tyrosinase</t>
  </si>
  <si>
    <t>structural constituent of cytoskeleton</t>
  </si>
  <si>
    <t>5'-tyrosyl-DNA phosphodiesterase activity</t>
  </si>
  <si>
    <t>THAP domain containing 10</t>
  </si>
  <si>
    <t>Animal haem peroxidase</t>
  </si>
  <si>
    <t>Leucine-rich repeats, typical (most populated) subfamily</t>
  </si>
  <si>
    <t>mRNA cleavage involved in gene silencing</t>
  </si>
  <si>
    <t>Serine threonine-protein kinase</t>
  </si>
  <si>
    <t>Extracellular domain of unknown function in nidogen (entactin) and hypothetical proteins.</t>
  </si>
  <si>
    <t>Protein of unknown function (DUF917)</t>
  </si>
  <si>
    <t>Elongation factor G, domain IV family protein</t>
  </si>
  <si>
    <t>Sidekick cell adhesion molecule</t>
  </si>
  <si>
    <t>Si dkey-24p1.1</t>
  </si>
  <si>
    <t>Protein tyrosine phosphatase, catalytic domain</t>
  </si>
  <si>
    <t>endoribonuclease activity, cleaving siRNA-paired mRNA</t>
  </si>
  <si>
    <t>Putative peptidoglycan binding domain</t>
  </si>
  <si>
    <t>phosphatidylcholine transporter activity</t>
  </si>
  <si>
    <t>galactosidase, beta</t>
  </si>
  <si>
    <t>Belongs to the intermediate filament family</t>
  </si>
  <si>
    <t>coagulation factor V</t>
  </si>
  <si>
    <t>Deltex 3 like, E3 ubiquitin ligase</t>
  </si>
  <si>
    <t>EGF domain, unclasssified subfamily</t>
  </si>
  <si>
    <t>cytoskeletal protein binding</t>
  </si>
  <si>
    <t>N-sulfoglucosamine sulfohydrolase</t>
  </si>
  <si>
    <t>Deleted in malignant brain tumors 1</t>
  </si>
  <si>
    <t>Tetratricopeptide repeat domain 4</t>
  </si>
  <si>
    <t>DEAD-like helicases superfamily</t>
  </si>
  <si>
    <t>integrin alpha FG-GAP repeat containing 1</t>
  </si>
  <si>
    <t>Enoyl-(Acyl carrier protein) reductase</t>
  </si>
  <si>
    <t>Myosin, light chain 12, genome duplicate</t>
  </si>
  <si>
    <t>regulation of intraciliary retrograde transport</t>
  </si>
  <si>
    <t>Cytoskeletal-regulatory complex EF hand</t>
  </si>
  <si>
    <t>copper ion binding</t>
  </si>
  <si>
    <t>Axin interactor</t>
  </si>
  <si>
    <t>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t>
  </si>
  <si>
    <t>regulation of ATP-dependent microtubule motor activity, plus-end-directed</t>
  </si>
  <si>
    <t>phosphoenolpyruvate carboxykinase activity</t>
  </si>
  <si>
    <t>Low affinity immunoglobulin epsilon Fc receptor</t>
  </si>
  <si>
    <t>Involved in the regulation of homocysteine metabolism</t>
  </si>
  <si>
    <t>Sortilin-related receptor</t>
  </si>
  <si>
    <t>interleukin-3 production</t>
  </si>
  <si>
    <t>Fibroblast activation protein, alpha</t>
  </si>
  <si>
    <t>hydrolase activity, acting on ester bonds</t>
  </si>
  <si>
    <t>BET1 homolog</t>
  </si>
  <si>
    <t>Tyrosine kinase, catalytic domain</t>
  </si>
  <si>
    <t>Galactose binding lectin domain</t>
  </si>
  <si>
    <t>N-acetyl-beta-glucosaminyl-glycoprotein 4-beta-N-acetylgalactosaminyltransferase activity</t>
  </si>
  <si>
    <t>L-malate dehydrogenase activity</t>
  </si>
  <si>
    <t>[heparan sulfate]-glucosamine N-sulfotransferase activity</t>
  </si>
  <si>
    <t>ThiJ/PfpI family-like</t>
  </si>
  <si>
    <t>meiotic attachment of telomere to nuclear envelope</t>
  </si>
  <si>
    <t>Transposase IS4</t>
  </si>
  <si>
    <t>Immunoglobulin like</t>
  </si>
  <si>
    <t>EP4 subtype prostaglandin E2 receptor binding</t>
  </si>
  <si>
    <t>sperm capacitation</t>
  </si>
  <si>
    <t>Glycosyl transferase 4-like domain</t>
  </si>
  <si>
    <t>phosphoenolpyruvate carboxykinase (GTP) activity</t>
  </si>
  <si>
    <t>Peptidase family M28</t>
  </si>
  <si>
    <t>podosome assembly</t>
  </si>
  <si>
    <t>FAD transmembrane transport</t>
  </si>
  <si>
    <t>non-membrane spanning protein tyrosine kinase activity</t>
  </si>
  <si>
    <t>ATP-dependent RNA helicase</t>
  </si>
  <si>
    <t>hyalurononglucosaminidase activity</t>
  </si>
  <si>
    <t>ubiquitin protein ligase binding</t>
  </si>
  <si>
    <t>NLRC3-like</t>
  </si>
  <si>
    <t>U1 small nuclear ribonucleoprotein C-like; pre-mRNA 5'-splice site binding</t>
  </si>
  <si>
    <t>ficolin-1-like; microfibrillar-associated protein 4</t>
  </si>
  <si>
    <t>COMM domain-containing protein 5-like; regulation of RNA metabolic process</t>
  </si>
  <si>
    <t>peroxidasin-like; von Willebrand factor D and EGF</t>
  </si>
  <si>
    <t>putative Agrin; Kazal type serine protease inhibitors</t>
  </si>
  <si>
    <t>crt homolog 2-like; chloroquine-resistance transporter-like</t>
  </si>
  <si>
    <t xml:space="preserve">sushi domain-containing protein 2-like; Nidogen-like </t>
  </si>
  <si>
    <t>EGF-like repeat and discoidin I-like domain-containing protein 3; Retinoschisin</t>
  </si>
  <si>
    <t>putative urease</t>
  </si>
  <si>
    <t>SLC32A, VGAT; Vesicular inhibitory amino acid</t>
  </si>
  <si>
    <t>TRINITY_DN238705_c0_g2</t>
  </si>
  <si>
    <t>TRINITY_DN455443_c3_g2</t>
  </si>
  <si>
    <t>TRINITY_DN431472_c4_g13</t>
  </si>
  <si>
    <t>TRINITY_DN437801_c2_g1</t>
  </si>
  <si>
    <t>TRINITY_DN259550_c0_g1</t>
  </si>
  <si>
    <t>TRINITY_DN424931_c1_g6</t>
  </si>
  <si>
    <t>TRINITY_DN410009_c0_g1</t>
  </si>
  <si>
    <t>TRINITY_DN602873_c0_g1</t>
  </si>
  <si>
    <t>TRINITY_DN771949_c0_g1</t>
  </si>
  <si>
    <t>TRINITY_DN434501_c3_g5</t>
  </si>
  <si>
    <t>TRINITY_DN304222_c0_g1</t>
  </si>
  <si>
    <t>TRINITY_DN256599_c0_g2</t>
  </si>
  <si>
    <t>TRINITY_DN30145_c0_g1</t>
  </si>
  <si>
    <t>TRINITY_DN294153_c0_g2</t>
  </si>
  <si>
    <t>TRINITY_DN431734_c1_g7</t>
  </si>
  <si>
    <t>TRINITY_DN393438_c0_g6</t>
  </si>
  <si>
    <t>TRINITY_DN195095_c0_g1</t>
  </si>
  <si>
    <t>TRINITY_DN366077_c0_g4</t>
  </si>
  <si>
    <t>TRINITY_DN11954_c0_g1</t>
  </si>
  <si>
    <t>TRINITY_DN234703_c0_g3</t>
  </si>
  <si>
    <t>K17892</t>
  </si>
  <si>
    <t>K02256</t>
  </si>
  <si>
    <t>Chitobiase/beta-hexosaminidase C-terminal domain</t>
  </si>
  <si>
    <t>ELMO domain-containing protein</t>
  </si>
  <si>
    <t>Catalytic subunit of the ferredoxin-thioredoxin reductase (FTR), which catalyzes the two-electron reduction of thioredoxins by the electrons provided by reduced ferredoxin</t>
  </si>
  <si>
    <t>ZIP Zinc transporter</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</si>
  <si>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</si>
  <si>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Flavodoxin</t>
  </si>
  <si>
    <t>FKBP-type peptidyl-prolyl cis-trans isomerase</t>
  </si>
  <si>
    <t>ABC transporter transmembrane region 2; BacA</t>
  </si>
  <si>
    <t>D-galacturonate reductase; Oxidoreductase family, NAD-binding Rossmann fold</t>
  </si>
  <si>
    <t>GO:0003674,GO:0005215,GO:0005575,GO:0005623,GO:0005886,GO:0005887,GO:0006810,GO:0006855,GO:0008150,GO:0015238,GO:0015291,GO:0015638,GO:0015833,GO:0015893,GO:0016020,GO:0016021,GO:0019534,GO:0022804,GO:0022857,GO:0031224,GO:0031226,GO:0042221,GO:0042493,GO:0042884,GO:0042885,GO:0042886,GO:0042887,GO:0042891,GO:0042895,GO:0044425,GO:0044459,GO:0044464,GO:0046677,GO:0050896,GO:0051179,GO:0051234,GO:0055085,GO:0071702,GO:0071705,GO:0071944,GO:1901998,GO:1904680</t>
  </si>
  <si>
    <t>GO:0003674,GO:0005488,GO:0005515,GO:0005575,GO:0005622,GO:0005623,GO:0005737,GO:0006928,GO:0008064,GO:0008092,GO:0008150,GO:0009987,GO:0010639,GO:0016043,GO:0017022,GO:0030100,GO:0030587,GO:0030832,GO:0030833,GO:0030837,GO:0031333,GO:0032271,GO:0032272,GO:0032502,GO:0032535,GO:0032879,GO:0032956,GO:0032970,GO:0033043,GO:0040011,GO:0043254,GO:0044087,GO:0044424,GO:0044464,GO:0045159,GO:0048519,GO:0048523,GO:0048856,GO:0048870,GO:0050764,GO:0050789,GO:0050794,GO:0051049,GO:0051128,GO:0051129,GO:0051179,GO:0051493,GO:0051494,GO:0051674,GO:0051703,GO:0051704,GO:0060627,GO:0065007,GO:0065008,GO:0071840,GO:0090066,GO:0090702,GO:0099120,GO:0110053,GO:1902903,GO:1902904</t>
  </si>
  <si>
    <t>GO:0003674,GO:0003824,GO:0005488,GO:0005575,GO:0005622,GO:0005623,GO:0005737,GO:0006091,GO:0008150,GO:0008152,GO:0009055,GO:0009507,GO:0009526,GO:0009532,GO:0009536,GO:0009570,GO:0009941,GO:0009987,GO:0016491,GO:0016730,GO:0022900,GO:0030385,GO:0031967,GO:0031975,GO:0043226,GO:0043227,GO:0043229,GO:0043231,GO:0044237,GO:0044422,GO:0044424,GO:0044434,GO:0044435,GO:0044444,GO:0044446,GO:0044464,GO:0048037,GO:0051536,GO:0051539,GO:0051540,GO:0055114</t>
  </si>
  <si>
    <t>GO:0000003,GO:0001504,GO:0001505,GO:0003333,GO:0003674,GO:0005215,GO:0005283,GO:0005290,GO:0005326,GO:0005342,GO:0005343,GO:0005416,GO:0005575,GO:0005623,GO:0005886,GO:0005887,GO:0005903,GO:0006355,GO:0006357,GO:0006810,GO:0006811,GO:0006812,GO:0006814,GO:0006820,GO:0006835,GO:0006836,GO:0006855,GO:0006865,GO:0006867,GO:0006868,GO:0006950,GO:0007154,GO:0007275,GO:0007399,GO:0007417,GO:0007420,GO:0007565,GO:0008028,GO:0008150,GO:0008324,GO:0008509,GO:0008514,GO:0009267,GO:0009268,GO:0009605,GO:0009612,GO:0009628,GO:0009889,GO:0009891,GO:0009893,GO:0009987,GO:0009991,GO:0010447,GO:0010468,GO:0010556,GO:0010557,GO:0010604,GO:0010628,GO:0014047,GO:0015075,GO:0015077,GO:0015081,GO:0015171,GO:0015174,GO:0015175,GO:0015179,GO:0015180,GO:0015182,GO:0015186,GO:0015187,GO:0015238,GO:0015291,GO:0015293,GO:0015294,GO:0015318,GO:0015370,GO:0015672,GO:0015695,GO:0015696,GO:0015697,GO:0015711,GO:0015718,GO:0015800,GO:0015802,GO:0015804,GO:0015807,GO:0015808,GO:0015816,GO:0015817,GO:0015838,GO:0015849,GO:0015893,GO:0016020,GO:0016021,GO:0016323,GO:0019219,GO:0019222,GO:0021537,GO:0021543,GO:0021987,GO:0022414,GO:0022804,GO:0022857,GO:0022858,GO:0022890,GO:0030001,GO:0030424,GO:0030425,GO:0030900,GO:0031224,GO:0031226,GO:0031323,GO:0031325,GO:0031326,GO:0031328,GO:0031460,GO:0031667,GO:0031668,GO:0031669,GO:0032328,GO:0032501,GO:0032502,GO:0032879,GO:0032890,GO:0032892,GO:0032940,GO:0033554,GO:0034198,GO:0034220,GO:0035725,GO:0036477,GO:0042221,GO:0042383,GO:0042493,GO:0042594,GO:0042886,GO:0042887,GO:0042995,GO:0043005,GO:0043025,GO:0043269,GO:0043270,GO:0044070,GO:0044297,GO:0044425,GO:0044459,GO:0044463,GO:0044464,GO:0044703,GO:0044706,GO:0045117,GO:0045893,GO:0045935,GO:0045944,GO:0046717,GO:0046873,GO:0046903,GO:0046942,GO:0046943,GO:0048513,GO:0048518,GO:0048522,GO:0048731,GO:0048856,GO:0050789,GO:0050794,GO:0050896,GO:0051049,GO:0051050,GO:0051171,GO:0051173,GO:0051179,GO:0051234,GO:0051252,GO:0051254,GO:0051365,GO:0051704,GO:0051716,GO:0051952,GO:0051954,GO:0051955,GO:0051957,GO:0055085,GO:0060255,GO:0060322,GO:0061402,GO:0065007,GO:0065008,GO:0071214,GO:0071260,GO:0071467,GO:0071468,GO:0071496,GO:0071702,GO:0071705,GO:0071944,GO:0072337,GO:0080090,GO:0089709,GO:0097447,GO:0097458,GO:0098590,GO:0098655,GO:0098656,GO:0098657,GO:0098660,GO:0098662,GO:0098862,GO:0104004,GO:0120025,GO:0120038,GO:1901474,GO:1902475,GO:1902680,GO:1903506,GO:1903508,GO:1903793,GO:1903825,GO:1905039,GO:1990822,GO:1990928,GO:2000112,GO:2000485,GO:2000487,GO:2001141</t>
  </si>
  <si>
    <t>GO:0003674,GO:0003824,GO:0004129,GO:0005215,GO:0005575,GO:0005622,GO:0005623,GO:0005737,GO:0005739,GO:0005740,GO:0005743,GO:0005746,GO:0005751,GO:0006091,GO:0006119,GO:0006123,GO:0006139,GO:0006163,GO:0006725,GO:0006753,GO:0006793,GO:0006796,GO:0006807,GO:0006810,GO:0006811,GO:0006812,GO:0008150,GO:0008152,GO:0008324,GO:0009055,GO:0009060,GO:0009117,GO:0009123,GO:0009126,GO:0009141,GO:0009144,GO:0009150,GO:0009161,GO:0009167,GO:0009199,GO:0009205,GO:0009259,GO:0009987,GO:0015002,GO:0015075,GO:0015077,GO:0015078,GO:0015318,GO:0015672,GO:0015980,GO:0015988,GO:0015990,GO:0016020,GO:0016310,GO:0016491,GO:0016675,GO:0016676,GO:0017144,GO:0019637,GO:0019646,GO:0019693,GO:0019866,GO:0022857,GO:0022890,GO:0022900,GO:0022904,GO:0031090,GO:0031966,GO:0031967,GO:0031975,GO:0032991,GO:0034220,GO:0034641,GO:0042773,GO:0042775,GO:0043226,GO:0043227,GO:0043229,GO:0043231,GO:0044237,GO:0044238,GO:0044281,GO:0044422,GO:0044424,GO:0044425,GO:0044429,GO:0044444,GO:0044446,GO:0044455,GO:0044464,GO:0045277,GO:0045333,GO:0046034,GO:0046483,GO:0051179,GO:0051234,GO:0055085,GO:0055086,GO:0055114,GO:0070069,GO:0070469,GO:0071704,GO:0072521,GO:0098655,GO:0098660,GO:0098662,GO:0098796,GO:0098798,GO:0098800,GO:0098803,GO:1901135,GO:1901360,GO:1901564,GO:1902600</t>
  </si>
  <si>
    <t>GO:0000413,GO:0003674,GO:0003755,GO:0003824,GO:0005488,GO:0005527,GO:0005528,GO:0005575,GO:0005576,GO:0005622,GO:0005623,GO:0005634,GO:0005737,GO:0005739,GO:0006325,GO:0006457,GO:0006464,GO:0006521,GO:0006807,GO:0006996,GO:0008144,GO:0008150,GO:0008152,GO:0009889,GO:0009987,GO:0010565,GO:0016043,GO:0016853,GO:0016859,GO:0018193,GO:0018208,GO:0019222,GO:0019538,GO:0031012,GO:0031323,GO:0031326,GO:0033238,GO:0035690,GO:0036211,GO:0042221,GO:0042493,GO:0043170,GO:0043226,GO:0043227,GO:0043229,GO:0043231,GO:0043412,GO:0044237,GO:0044238,GO:0044260,GO:0044267,GO:0044421,GO:0044424,GO:0044444,GO:0044464,GO:0050789,GO:0050794,GO:0050896,GO:0051171,GO:0051276,GO:0051716,GO:0061077,GO:0062012,GO:0062039,GO:0062040,GO:0065007,GO:0070887,GO:0071704,GO:0071840,GO:0080090,GO:0097159,GO:0140096,GO:1901363,GO:1901564,GO:1901710,GO:2000282</t>
  </si>
  <si>
    <t>K22078,K01194</t>
  </si>
  <si>
    <t>K01194,K22078</t>
  </si>
  <si>
    <t>microfibril-associated glycoprotein 4-like; tenascin</t>
  </si>
  <si>
    <r>
      <t xml:space="preserve">Table S1. Heat treatment DEGs in </t>
    </r>
    <r>
      <rPr>
        <i/>
        <sz val="12"/>
        <color theme="1"/>
        <rFont val="Arial"/>
        <family val="2"/>
      </rPr>
      <t>O. faveolata</t>
    </r>
    <r>
      <rPr>
        <sz val="12"/>
        <color theme="1"/>
        <rFont val="Arial"/>
        <family val="2"/>
      </rPr>
      <t xml:space="preserve"> host -2&gt;logFC&gt;2; p&lt;0.001   </t>
    </r>
  </si>
  <si>
    <r>
      <t xml:space="preserve">Table S2. Heat treatment DEGs in </t>
    </r>
    <r>
      <rPr>
        <i/>
        <sz val="12"/>
        <color theme="1"/>
        <rFont val="Arial"/>
        <family val="2"/>
      </rPr>
      <t>O. faveolata</t>
    </r>
    <r>
      <rPr>
        <sz val="12"/>
        <color theme="1"/>
        <rFont val="Arial"/>
        <family val="2"/>
      </rPr>
      <t xml:space="preserve"> host -2&gt;logFC&gt;2; p&lt;0.01  </t>
    </r>
  </si>
  <si>
    <r>
      <t xml:space="preserve">Table S3. Heat treatment DEGs in </t>
    </r>
    <r>
      <rPr>
        <i/>
        <sz val="12"/>
        <color theme="1"/>
        <rFont val="Arial"/>
        <family val="2"/>
      </rPr>
      <t>Symbiodinium</t>
    </r>
    <r>
      <rPr>
        <sz val="12"/>
        <color theme="1"/>
        <rFont val="Arial"/>
        <family val="2"/>
      </rPr>
      <t xml:space="preserve"> A3 -2&gt;logFC&gt;2; p&lt;0.001  </t>
    </r>
  </si>
  <si>
    <r>
      <t xml:space="preserve">Table S4. Heat treatment DEGs in </t>
    </r>
    <r>
      <rPr>
        <i/>
        <sz val="12"/>
        <color theme="1"/>
        <rFont val="Arial"/>
        <family val="2"/>
      </rPr>
      <t>Symbiodinium</t>
    </r>
    <r>
      <rPr>
        <sz val="12"/>
        <color theme="1"/>
        <rFont val="Arial"/>
        <family val="2"/>
      </rPr>
      <t xml:space="preserve"> A3 -2&gt;logFC&gt;2; p&lt;0.01  </t>
    </r>
  </si>
  <si>
    <r>
      <t xml:space="preserve">Table S5. Heat treatment DEGs in </t>
    </r>
    <r>
      <rPr>
        <i/>
        <sz val="12"/>
        <color theme="1"/>
        <rFont val="Arial"/>
        <family val="2"/>
      </rPr>
      <t>P. clivosa</t>
    </r>
    <r>
      <rPr>
        <sz val="12"/>
        <color theme="1"/>
        <rFont val="Arial"/>
        <family val="2"/>
      </rPr>
      <t xml:space="preserve"> host -2&gt;logFC&gt;2; p&lt;0.001   </t>
    </r>
  </si>
  <si>
    <r>
      <t xml:space="preserve">Table S6. Heat treatment DEGs in </t>
    </r>
    <r>
      <rPr>
        <i/>
        <sz val="12"/>
        <color theme="1"/>
        <rFont val="Arial"/>
        <family val="2"/>
      </rPr>
      <t>P.clivosa</t>
    </r>
    <r>
      <rPr>
        <sz val="12"/>
        <color theme="1"/>
        <rFont val="Arial"/>
        <family val="2"/>
      </rPr>
      <t xml:space="preserve"> host -2&gt;logFC&gt;2;  p&lt;0.01  </t>
    </r>
  </si>
  <si>
    <r>
      <t xml:space="preserve">Table S7. Heat treatment DEGs in </t>
    </r>
    <r>
      <rPr>
        <i/>
        <sz val="12"/>
        <color theme="1"/>
        <rFont val="Arial"/>
        <family val="2"/>
      </rPr>
      <t>B. faviinorum</t>
    </r>
    <r>
      <rPr>
        <sz val="12"/>
        <color theme="1"/>
        <rFont val="Arial"/>
        <family val="2"/>
      </rPr>
      <t xml:space="preserve"> -2&gt;logFC&gt;2; p&lt;0.001  </t>
    </r>
  </si>
  <si>
    <r>
      <t xml:space="preserve">Table S8. Heat treatment DEGs in </t>
    </r>
    <r>
      <rPr>
        <i/>
        <sz val="12"/>
        <color theme="1"/>
        <rFont val="Arial"/>
        <family val="2"/>
      </rPr>
      <t>B. faviinorum</t>
    </r>
    <r>
      <rPr>
        <sz val="12"/>
        <color theme="1"/>
        <rFont val="Arial"/>
        <family val="2"/>
      </rPr>
      <t xml:space="preserve">  -2&gt;logFC&gt;2;  p&lt;0.01  </t>
    </r>
  </si>
  <si>
    <r>
      <t xml:space="preserve">Table S9. Heat treatment DEGs in </t>
    </r>
    <r>
      <rPr>
        <i/>
        <sz val="12"/>
        <color theme="1"/>
        <rFont val="Arial"/>
        <family val="2"/>
      </rPr>
      <t xml:space="preserve">S. radians </t>
    </r>
    <r>
      <rPr>
        <sz val="12"/>
        <color theme="1"/>
        <rFont val="Arial"/>
        <family val="2"/>
      </rPr>
      <t xml:space="preserve">host -2&gt;logFC&gt;2; p&lt;0.001   </t>
    </r>
  </si>
  <si>
    <r>
      <t xml:space="preserve">Table S10. Heat treatment DEGs in </t>
    </r>
    <r>
      <rPr>
        <i/>
        <sz val="12"/>
        <color theme="1"/>
        <rFont val="Arial"/>
        <family val="2"/>
      </rPr>
      <t>S. radians</t>
    </r>
    <r>
      <rPr>
        <sz val="12"/>
        <color theme="1"/>
        <rFont val="Arial"/>
        <family val="2"/>
      </rPr>
      <t xml:space="preserve"> host -2&gt;logFC&gt;2; p&lt;0.01</t>
    </r>
  </si>
  <si>
    <r>
      <t xml:space="preserve">Table S11. Heat treatment DEGs in </t>
    </r>
    <r>
      <rPr>
        <i/>
        <sz val="12"/>
        <color theme="1"/>
        <rFont val="Arial"/>
        <family val="2"/>
      </rPr>
      <t xml:space="preserve">Breviolum </t>
    </r>
    <r>
      <rPr>
        <sz val="12"/>
        <color theme="1"/>
        <rFont val="Arial"/>
        <family val="2"/>
      </rPr>
      <t xml:space="preserve">B5 -2&gt;logFC&gt;2; p&lt;0.001  </t>
    </r>
  </si>
  <si>
    <r>
      <t>Table S12. Heat treatment DEGs in</t>
    </r>
    <r>
      <rPr>
        <i/>
        <sz val="12"/>
        <color theme="1"/>
        <rFont val="Arial"/>
        <family val="2"/>
      </rPr>
      <t xml:space="preserve"> Breviolum</t>
    </r>
    <r>
      <rPr>
        <sz val="12"/>
        <color theme="1"/>
        <rFont val="Arial"/>
        <family val="2"/>
      </rPr>
      <t xml:space="preserve"> B5 -2&gt;logFC&gt;2; p&lt;0.01  </t>
    </r>
  </si>
  <si>
    <r>
      <t xml:space="preserve">Table S1 |  Heat treatment DEGs in </t>
    </r>
    <r>
      <rPr>
        <b/>
        <i/>
        <sz val="12"/>
        <color theme="1"/>
        <rFont val="Arial"/>
        <family val="2"/>
      </rPr>
      <t>Orbicella faveolata</t>
    </r>
    <r>
      <rPr>
        <b/>
        <sz val="12"/>
        <color theme="1"/>
        <rFont val="Arial"/>
        <family val="2"/>
      </rPr>
      <t xml:space="preserve"> host -2&gt;logFC&gt;2  padj&lt;0.001. p value is obtained from a Wald test, and BH adjusted p-values are provided as padj (DESeq2).</t>
    </r>
  </si>
  <si>
    <r>
      <t xml:space="preserve">Table S2 |  Heat treatment DEGs in </t>
    </r>
    <r>
      <rPr>
        <b/>
        <i/>
        <sz val="12"/>
        <color theme="1"/>
        <rFont val="Arial"/>
        <family val="2"/>
      </rPr>
      <t>Orbicella faveolata</t>
    </r>
    <r>
      <rPr>
        <b/>
        <sz val="12"/>
        <color theme="1"/>
        <rFont val="Arial"/>
        <family val="2"/>
      </rPr>
      <t xml:space="preserve"> host -2&gt;logFC&gt;2  padj&lt;0.01. p value is obtained from a Wald test, and BH adjusted p-values are provided as padj (DESeq2).</t>
    </r>
  </si>
  <si>
    <r>
      <t xml:space="preserve">Table S3 |  Heat treatment DEGs in </t>
    </r>
    <r>
      <rPr>
        <b/>
        <i/>
        <sz val="12"/>
        <color theme="1"/>
        <rFont val="Arial"/>
        <family val="2"/>
      </rPr>
      <t xml:space="preserve">Orbicella faveolata Symbiodinium </t>
    </r>
    <r>
      <rPr>
        <b/>
        <sz val="12"/>
        <color theme="1"/>
        <rFont val="Arial"/>
        <family val="2"/>
      </rPr>
      <t>A3 -2&gt;logFC&gt;2  padj&lt;0.001. p value is obtained from a Wald test, and BH adjusted p-values are provided as padj (DESeq2).</t>
    </r>
  </si>
  <si>
    <r>
      <t xml:space="preserve">Table S4 |  Heat treatment DEGs in </t>
    </r>
    <r>
      <rPr>
        <b/>
        <i/>
        <sz val="12"/>
        <color theme="1"/>
        <rFont val="Arial"/>
        <family val="2"/>
      </rPr>
      <t xml:space="preserve">Orbicella faveolata Symbiodinium </t>
    </r>
    <r>
      <rPr>
        <b/>
        <sz val="12"/>
        <color theme="1"/>
        <rFont val="Arial"/>
        <family val="2"/>
      </rPr>
      <t>A3 -2&gt;logFC&gt;2  padj&lt;0.01. p value is obtained from a Wald test, and BH adjusted p-values are provided as padj (DESeq2).</t>
    </r>
  </si>
  <si>
    <r>
      <t xml:space="preserve">Table S5 |  Heat treatment DEGs in </t>
    </r>
    <r>
      <rPr>
        <b/>
        <i/>
        <sz val="12"/>
        <color theme="1"/>
        <rFont val="Arial"/>
        <family val="2"/>
      </rPr>
      <t>Pseudodiploria clivosa</t>
    </r>
    <r>
      <rPr>
        <b/>
        <sz val="12"/>
        <color theme="1"/>
        <rFont val="Arial"/>
        <family val="2"/>
      </rPr>
      <t xml:space="preserve"> host -2&gt;logFC&gt;2  padj&lt;0.001. p value is obtained from a Wald test, and BH adjusted p-values are provided as padj (DESeq2).</t>
    </r>
  </si>
  <si>
    <r>
      <t xml:space="preserve">Table S6 |  Heat treatment DEGs in </t>
    </r>
    <r>
      <rPr>
        <b/>
        <i/>
        <sz val="12"/>
        <color theme="1"/>
        <rFont val="Arial"/>
        <family val="2"/>
      </rPr>
      <t>Pseudodiploria clivosa</t>
    </r>
    <r>
      <rPr>
        <b/>
        <sz val="12"/>
        <color theme="1"/>
        <rFont val="Arial"/>
        <family val="2"/>
      </rPr>
      <t xml:space="preserve"> host -2&gt;logFC&gt;2  padj&lt;0.01. p value is obtained from a Wald test, and BH adjusted p-values are provided as padj (DESeq2).</t>
    </r>
  </si>
  <si>
    <r>
      <t xml:space="preserve">Table S7 |  Heat treatment DEGs in </t>
    </r>
    <r>
      <rPr>
        <b/>
        <i/>
        <sz val="12"/>
        <color theme="1"/>
        <rFont val="Arial"/>
        <family val="2"/>
      </rPr>
      <t>Pseudodiploria clivosa-Breviolum faviinorum</t>
    </r>
    <r>
      <rPr>
        <b/>
        <sz val="12"/>
        <color theme="1"/>
        <rFont val="Arial"/>
        <family val="2"/>
      </rPr>
      <t xml:space="preserve"> -2&gt;logFC&gt;2  padj&lt;0.001. p value is obtained from a Wald test, and BH adjusted p-values are provided as padj (DESeq2).</t>
    </r>
  </si>
  <si>
    <r>
      <t xml:space="preserve">Table S8 |  Heat treatment DEGs in </t>
    </r>
    <r>
      <rPr>
        <b/>
        <i/>
        <sz val="12"/>
        <color theme="1"/>
        <rFont val="Arial"/>
        <family val="2"/>
      </rPr>
      <t>Pseudodiploria clivosa-Breviolum faviinorum</t>
    </r>
    <r>
      <rPr>
        <b/>
        <sz val="12"/>
        <color theme="1"/>
        <rFont val="Arial"/>
        <family val="2"/>
      </rPr>
      <t xml:space="preserve"> -2&gt;logFC&gt;2  padj&lt;0.01. p value is obtained from a Wald test, and BH adjusted p-values are provided as padj (DESeq2).</t>
    </r>
  </si>
  <si>
    <r>
      <t xml:space="preserve">Table S9 |  Heat treatment DEGs in </t>
    </r>
    <r>
      <rPr>
        <b/>
        <i/>
        <sz val="12"/>
        <color theme="1"/>
        <rFont val="Arial"/>
        <family val="2"/>
      </rPr>
      <t>Siderastrea radians</t>
    </r>
    <r>
      <rPr>
        <b/>
        <sz val="12"/>
        <color theme="1"/>
        <rFont val="Arial"/>
        <family val="2"/>
      </rPr>
      <t xml:space="preserve"> host -2&gt;logFC&gt;2  padj&lt;0.001. p value is obtained from a Wald test, and BH adjusted p-values are provided as padj (DESeq2).</t>
    </r>
  </si>
  <si>
    <r>
      <t>Table S10 |  Heat treatment DEGs in</t>
    </r>
    <r>
      <rPr>
        <b/>
        <i/>
        <sz val="12"/>
        <color theme="1"/>
        <rFont val="Arial"/>
        <family val="2"/>
      </rPr>
      <t xml:space="preserve"> Siderastrea radians</t>
    </r>
    <r>
      <rPr>
        <b/>
        <sz val="12"/>
        <color theme="1"/>
        <rFont val="Arial"/>
        <family val="2"/>
      </rPr>
      <t xml:space="preserve"> host -2&gt;logFC&gt;2  padj&lt;0.01. p value is obtained from a Wald test, and BH adjusted p-values are provided as padj (DESeq2).</t>
    </r>
  </si>
  <si>
    <r>
      <t xml:space="preserve">Table S11 |  Heat treatment DEGs in </t>
    </r>
    <r>
      <rPr>
        <b/>
        <i/>
        <sz val="12"/>
        <color theme="1"/>
        <rFont val="Arial"/>
        <family val="2"/>
      </rPr>
      <t>Siderastrea radians-Breviolum</t>
    </r>
    <r>
      <rPr>
        <b/>
        <sz val="12"/>
        <color theme="1"/>
        <rFont val="Arial"/>
        <family val="2"/>
      </rPr>
      <t xml:space="preserve"> B5 -2&gt;logFC&gt;2  padj&lt;0.001. p value is obtained from a Wald test, and BH adjusted p-values are provided as padj (DESeq2).</t>
    </r>
  </si>
  <si>
    <r>
      <t xml:space="preserve">Table S12 |  Heat treatment DEGs in </t>
    </r>
    <r>
      <rPr>
        <b/>
        <i/>
        <sz val="12"/>
        <color theme="1"/>
        <rFont val="Arial"/>
        <family val="2"/>
      </rPr>
      <t>Siderastrea radians-Breviolum</t>
    </r>
    <r>
      <rPr>
        <b/>
        <sz val="12"/>
        <color theme="1"/>
        <rFont val="Arial"/>
        <family val="2"/>
      </rPr>
      <t xml:space="preserve"> B5 -2&gt;logFC&gt;2  padj&lt;0.001. p value is obtained from a Wald test, and BH adjusted p-values are provided as padj (DESeq2).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</si>
</sst>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rial"/>
    </font>
    <font>
      <b/>
      <sz val="12"/>
      <color theme="1"/>
      <name val="Arial"/>
      <family val="2"/>
    </font>
    <font>
      <sz val="12"/>
      <name val="Arial"/>
      <family val="2"/>
    </font>
    <font>
      <sz val="12"/>
      <color theme="1"/>
      <name val="Calibri"/>
      <family val="2"/>
    </font>
    <font>
      <sz val="12"/>
      <name val="Arial"/>
      <family val="2"/>
    </font>
    <font>
      <sz val="11"/>
      <color rgb="FF000000"/>
      <name val="Arial"/>
      <family val="2"/>
    </font>
    <font>
      <sz val="12"/>
      <color rgb="FF000000"/>
      <name val="Arial"/>
      <family val="2"/>
    </font>
    <font>
      <sz val="12"/>
      <color theme="1"/>
      <name val="Arial"/>
      <family val="2"/>
    </font>
    <font>
      <b/>
      <sz val="12"/>
      <name val="Arial"/>
      <family val="2"/>
    </font>
    <font>
      <sz val="8"/>
      <name val="Arial"/>
      <family val="2"/>
    </font>
    <font>
      <sz val="8"/>
      <name val="Arial"/>
      <family val="2"/>
    </font>
    <font>
      <i/>
      <sz val="12"/>
      <color theme="1"/>
      <name val="Arial"/>
      <family val="2"/>
    </font>
    <font>
      <b/>
      <i/>
      <sz val="12"/>
      <color theme="1"/>
      <name val="Arial"/>
      <family val="2"/>
    </font>
  </fonts>
  <fills count="4">
    <fill>
      <patternFill patternType="none"/>
    </fill>
    <fill>
      <patternFill patternType="gray125"/>
    </fill>
    <fill>
      <patternFill patternType="solid">
        <fgColor rgb="FFFFFFFF"/>
        <bgColor rgb="FFFFFFFF"/>
      </patternFill>
    </fill>
    <fill>
      <patternFill patternType="solid">
        <fgColor theme="9" tint="0.39997558519241921"/>
        <bgColor indexed="64"/>
      </patternFill>
    </fill>
  </fills>
  <borders count="5">
    <border>
      <left/>
      <right/>
      <top/>
      <bottom/>
      <diagonal/>
    </border>
    <border>
      <left/>
      <right/>
      <top/>
      <bottom style="thin">
        <color rgb="FF000000"/>
      </bottom>
      <diagonal/>
    </border>
    <border>
      <left/>
      <right/>
      <top/>
      <bottom/>
      <diagonal/>
    </border>
    <border>
      <left/>
      <right/>
      <top style="thin">
        <color rgb="FF000000"/>
      </top>
      <bottom/>
      <diagonal/>
    </border>
    <border>
      <left/>
      <right/>
      <top style="thin">
        <color indexed="64"/>
      </top>
      <bottom/>
      <diagonal/>
    </border>
  </borders>
  <cellStyleXfs count="1">
    <xf numFmtId="0" fontId="0" fillId="0" borderId="0"/>
  </cellStyleXfs>
  <cellXfs count="60">
    <xf numFmtId="0" fontId="0" fillId="0" borderId="0" xfId="0" applyFont="1" applyAlignment="1"/>
    <xf numFmtId="0" fontId="0" fillId="2" borderId="0" xfId="0" applyFont="1" applyFill="1"/>
    <xf numFmtId="0" fontId="0" fillId="0" borderId="0" xfId="0" applyFont="1"/>
    <xf numFmtId="0" fontId="3" fillId="2" borderId="0" xfId="0" applyFont="1" applyFill="1"/>
    <xf numFmtId="0" fontId="0" fillId="2" borderId="3" xfId="0" applyFont="1" applyFill="1" applyBorder="1"/>
    <xf numFmtId="0" fontId="4" fillId="2" borderId="3" xfId="0" applyFont="1" applyFill="1" applyBorder="1" applyAlignment="1"/>
    <xf numFmtId="11" fontId="0" fillId="2" borderId="0" xfId="0" applyNumberFormat="1" applyFont="1" applyFill="1"/>
    <xf numFmtId="0" fontId="4" fillId="0" borderId="3" xfId="0" applyFont="1" applyBorder="1" applyAlignment="1"/>
    <xf numFmtId="0" fontId="0" fillId="2" borderId="0" xfId="0" applyFont="1" applyFill="1" applyAlignment="1"/>
    <xf numFmtId="0" fontId="2" fillId="2" borderId="0" xfId="0" applyFont="1" applyFill="1" applyAlignment="1"/>
    <xf numFmtId="11" fontId="0" fillId="0" borderId="0" xfId="0" applyNumberFormat="1" applyFont="1"/>
    <xf numFmtId="0" fontId="2" fillId="0" borderId="0" xfId="0" applyFont="1" applyAlignment="1"/>
    <xf numFmtId="0" fontId="4" fillId="2" borderId="0" xfId="0" applyFont="1" applyFill="1" applyAlignment="1"/>
    <xf numFmtId="0" fontId="3" fillId="0" borderId="0" xfId="0" applyFont="1"/>
    <xf numFmtId="0" fontId="0" fillId="2" borderId="2" xfId="0" applyFont="1" applyFill="1" applyBorder="1"/>
    <xf numFmtId="0" fontId="4" fillId="0" borderId="0" xfId="0" applyFont="1" applyAlignment="1"/>
    <xf numFmtId="0" fontId="5" fillId="2" borderId="0" xfId="0" applyFont="1" applyFill="1" applyAlignment="1"/>
    <xf numFmtId="0" fontId="2" fillId="2" borderId="0" xfId="0" applyFont="1" applyFill="1"/>
    <xf numFmtId="0" fontId="6" fillId="2" borderId="0" xfId="0" applyFont="1" applyFill="1" applyAlignment="1"/>
    <xf numFmtId="0" fontId="6" fillId="0" borderId="3" xfId="0" applyFont="1" applyBorder="1" applyAlignment="1"/>
    <xf numFmtId="0" fontId="0" fillId="0" borderId="0" xfId="0" applyFont="1" applyAlignment="1"/>
    <xf numFmtId="0" fontId="6" fillId="0" borderId="0" xfId="0" applyFont="1" applyAlignment="1"/>
    <xf numFmtId="0" fontId="7" fillId="0" borderId="0" xfId="0" applyFont="1"/>
    <xf numFmtId="0" fontId="0" fillId="0" borderId="1" xfId="0" applyFont="1" applyFill="1" applyBorder="1"/>
    <xf numFmtId="0" fontId="0" fillId="0" borderId="0" xfId="0" applyFont="1" applyFill="1"/>
    <xf numFmtId="0" fontId="6" fillId="0" borderId="0" xfId="0" applyFont="1" applyFill="1" applyAlignment="1"/>
    <xf numFmtId="11" fontId="0" fillId="0" borderId="0" xfId="0" applyNumberFormat="1" applyFont="1" applyFill="1"/>
    <xf numFmtId="0" fontId="0" fillId="0" borderId="0" xfId="0" applyFont="1" applyFill="1" applyAlignment="1"/>
    <xf numFmtId="0" fontId="0" fillId="0" borderId="2" xfId="0" applyFont="1" applyFill="1" applyBorder="1"/>
    <xf numFmtId="0" fontId="7" fillId="0" borderId="0" xfId="0" applyFont="1" applyFill="1"/>
    <xf numFmtId="0" fontId="7" fillId="0" borderId="0" xfId="0" applyFont="1" applyAlignment="1"/>
    <xf numFmtId="0" fontId="0" fillId="0" borderId="0" xfId="0" applyFont="1" applyAlignment="1"/>
    <xf numFmtId="11" fontId="0" fillId="0" borderId="0" xfId="0" applyNumberFormat="1" applyFont="1" applyAlignment="1"/>
    <xf numFmtId="0" fontId="0" fillId="0" borderId="0" xfId="0" applyFont="1" applyAlignment="1"/>
    <xf numFmtId="0" fontId="0" fillId="0" borderId="0" xfId="0" applyFont="1" applyAlignment="1"/>
    <xf numFmtId="0" fontId="0" fillId="0" borderId="0" xfId="0"/>
    <xf numFmtId="0" fontId="0" fillId="0" borderId="4" xfId="0" applyFont="1" applyBorder="1" applyAlignment="1"/>
    <xf numFmtId="0" fontId="0" fillId="2" borderId="4" xfId="0" applyFont="1" applyFill="1" applyBorder="1" applyAlignment="1"/>
    <xf numFmtId="0" fontId="2" fillId="0" borderId="3" xfId="0" applyFont="1" applyBorder="1" applyAlignment="1"/>
    <xf numFmtId="0" fontId="0" fillId="0" borderId="4" xfId="0" applyFont="1" applyFill="1" applyBorder="1" applyAlignment="1"/>
    <xf numFmtId="11" fontId="0" fillId="0" borderId="0" xfId="0" applyNumberFormat="1"/>
    <xf numFmtId="0" fontId="0" fillId="0" borderId="0" xfId="0" applyFont="1" applyAlignment="1"/>
    <xf numFmtId="0" fontId="0" fillId="0" borderId="0" xfId="0" applyFont="1" applyAlignment="1"/>
    <xf numFmtId="0" fontId="7" fillId="0" borderId="0" xfId="0" applyFont="1" applyFill="1" applyAlignment="1"/>
    <xf numFmtId="0" fontId="7" fillId="2" borderId="0" xfId="0" applyFont="1" applyFill="1"/>
    <xf numFmtId="0" fontId="0" fillId="3" borderId="0" xfId="0" applyFill="1"/>
    <xf numFmtId="11" fontId="0" fillId="3" borderId="0" xfId="0" applyNumberFormat="1" applyFill="1"/>
    <xf numFmtId="0" fontId="0" fillId="3" borderId="0" xfId="0" applyFont="1" applyFill="1"/>
    <xf numFmtId="0" fontId="7" fillId="3" borderId="0" xfId="0" applyFont="1" applyFill="1"/>
    <xf numFmtId="0" fontId="7" fillId="3" borderId="0" xfId="0" applyFont="1" applyFill="1" applyAlignment="1"/>
    <xf numFmtId="0" fontId="0" fillId="3" borderId="0" xfId="0" applyFont="1" applyFill="1" applyAlignment="1"/>
    <xf numFmtId="11" fontId="0" fillId="3" borderId="0" xfId="0" applyNumberFormat="1" applyFont="1" applyFill="1" applyAlignment="1"/>
    <xf numFmtId="0" fontId="6" fillId="0" borderId="2" xfId="0" applyFont="1" applyBorder="1" applyAlignment="1"/>
    <xf numFmtId="0" fontId="1" fillId="2" borderId="1" xfId="0" applyFont="1" applyFill="1" applyBorder="1" applyAlignment="1">
      <alignment vertical="top" wrapText="1"/>
    </xf>
    <xf numFmtId="0" fontId="2" fillId="0" borderId="1" xfId="0" applyFont="1" applyBorder="1" applyAlignment="1">
      <alignment wrapText="1"/>
    </xf>
    <xf numFmtId="0" fontId="2" fillId="0" borderId="1" xfId="0" applyFont="1" applyBorder="1"/>
    <xf numFmtId="0" fontId="1" fillId="0" borderId="1" xfId="0" applyFont="1" applyBorder="1" applyAlignment="1">
      <alignment vertical="top" wrapText="1"/>
    </xf>
    <xf numFmtId="0" fontId="1" fillId="0" borderId="1" xfId="0" applyFont="1" applyFill="1" applyBorder="1" applyAlignment="1">
      <alignment vertical="top" wrapText="1"/>
    </xf>
    <xf numFmtId="0" fontId="2" fillId="0" borderId="1" xfId="0" applyFont="1" applyFill="1" applyBorder="1"/>
    <xf numFmtId="0" fontId="8" fillId="0"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AA962-86F2-6245-AD73-17C6B5B8C24D}">
  <dimension ref="A1:A12"/>
  <sheetViews>
    <sheetView tabSelected="1" workbookViewId="0">
      <selection activeCell="C17" sqref="C17"/>
    </sheetView>
  </sheetViews>
  <sheetFormatPr baseColWidth="10" defaultRowHeight="16" x14ac:dyDescent="0.2"/>
  <sheetData>
    <row r="1" spans="1:1" x14ac:dyDescent="0.2">
      <c r="A1" s="30" t="s">
        <v>5232</v>
      </c>
    </row>
    <row r="2" spans="1:1" x14ac:dyDescent="0.2">
      <c r="A2" s="30" t="s">
        <v>5233</v>
      </c>
    </row>
    <row r="3" spans="1:1" x14ac:dyDescent="0.2">
      <c r="A3" s="30" t="s">
        <v>5234</v>
      </c>
    </row>
    <row r="4" spans="1:1" x14ac:dyDescent="0.2">
      <c r="A4" s="30" t="s">
        <v>5235</v>
      </c>
    </row>
    <row r="5" spans="1:1" x14ac:dyDescent="0.2">
      <c r="A5" s="30" t="s">
        <v>5236</v>
      </c>
    </row>
    <row r="6" spans="1:1" x14ac:dyDescent="0.2">
      <c r="A6" s="30" t="s">
        <v>5237</v>
      </c>
    </row>
    <row r="7" spans="1:1" x14ac:dyDescent="0.2">
      <c r="A7" s="30" t="s">
        <v>5238</v>
      </c>
    </row>
    <row r="8" spans="1:1" x14ac:dyDescent="0.2">
      <c r="A8" s="30" t="s">
        <v>5239</v>
      </c>
    </row>
    <row r="9" spans="1:1" x14ac:dyDescent="0.2">
      <c r="A9" s="30" t="s">
        <v>5240</v>
      </c>
    </row>
    <row r="10" spans="1:1" x14ac:dyDescent="0.2">
      <c r="A10" s="30" t="s">
        <v>5241</v>
      </c>
    </row>
    <row r="11" spans="1:1" x14ac:dyDescent="0.2">
      <c r="A11" s="30" t="s">
        <v>5242</v>
      </c>
    </row>
    <row r="12" spans="1:1" x14ac:dyDescent="0.2">
      <c r="A12" s="30" t="s">
        <v>5243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workbookViewId="0">
      <selection sqref="A1:G1"/>
    </sheetView>
  </sheetViews>
  <sheetFormatPr baseColWidth="10" defaultColWidth="11.28515625" defaultRowHeight="15" customHeight="1" x14ac:dyDescent="0.2"/>
  <cols>
    <col min="1" max="1" width="31.7109375" customWidth="1"/>
    <col min="2" max="2" width="10.5703125" customWidth="1"/>
    <col min="3" max="3" width="20.85546875" customWidth="1"/>
    <col min="4" max="4" width="15" customWidth="1"/>
    <col min="5" max="5" width="17.42578125" customWidth="1"/>
    <col min="6" max="6" width="14.140625" customWidth="1"/>
    <col min="7" max="7" width="39" customWidth="1"/>
    <col min="8" max="8" width="28" customWidth="1"/>
    <col min="9" max="9" width="37.7109375" customWidth="1"/>
    <col min="10" max="20" width="10.5703125" customWidth="1"/>
  </cols>
  <sheetData>
    <row r="1" spans="1:10" ht="25.25" customHeight="1" x14ac:dyDescent="0.2">
      <c r="A1" s="53" t="s">
        <v>5244</v>
      </c>
      <c r="B1" s="54"/>
      <c r="C1" s="54"/>
      <c r="D1" s="54"/>
      <c r="E1" s="54"/>
      <c r="F1" s="54"/>
      <c r="G1" s="54"/>
      <c r="H1" s="1"/>
      <c r="I1" s="3"/>
    </row>
    <row r="2" spans="1:10" ht="15.75" customHeight="1" x14ac:dyDescent="0.2">
      <c r="A2" s="1" t="s">
        <v>0</v>
      </c>
      <c r="B2" s="1" t="s">
        <v>1</v>
      </c>
      <c r="C2" s="1" t="s">
        <v>2</v>
      </c>
      <c r="D2" s="1" t="s">
        <v>3</v>
      </c>
      <c r="E2" s="1" t="s">
        <v>4</v>
      </c>
      <c r="F2" s="1" t="s">
        <v>5</v>
      </c>
      <c r="G2" s="1" t="s">
        <v>6</v>
      </c>
      <c r="H2" s="4" t="s">
        <v>7</v>
      </c>
      <c r="I2" s="5" t="s">
        <v>8</v>
      </c>
      <c r="J2" s="37" t="s">
        <v>3155</v>
      </c>
    </row>
    <row r="3" spans="1:10" ht="15.75" customHeight="1" x14ac:dyDescent="0.2">
      <c r="A3" s="1" t="s">
        <v>9</v>
      </c>
      <c r="B3" s="1">
        <v>268.57450392480303</v>
      </c>
      <c r="C3" s="1">
        <v>-25.1104239215903</v>
      </c>
      <c r="D3" s="1">
        <v>4.78506728346823</v>
      </c>
      <c r="E3" s="1">
        <v>-5.2476637075393802</v>
      </c>
      <c r="F3" s="6">
        <v>1.54040150701461E-7</v>
      </c>
      <c r="G3" s="6">
        <v>3.8715617575737502E-5</v>
      </c>
      <c r="H3" s="8" t="s">
        <v>10</v>
      </c>
      <c r="I3" s="9" t="s">
        <v>10</v>
      </c>
      <c r="J3" t="s">
        <v>10</v>
      </c>
    </row>
    <row r="4" spans="1:10" ht="15.75" customHeight="1" x14ac:dyDescent="0.2">
      <c r="A4" s="1" t="s">
        <v>12</v>
      </c>
      <c r="B4" s="1">
        <v>42.653788304632599</v>
      </c>
      <c r="C4" s="1">
        <v>-9.2162559879316799</v>
      </c>
      <c r="D4" s="1">
        <v>1.58878310527797</v>
      </c>
      <c r="E4" s="1">
        <v>-5.8008270337940298</v>
      </c>
      <c r="F4" s="6">
        <v>6.5988640742982201E-9</v>
      </c>
      <c r="G4" s="6">
        <v>2.7746355829384102E-6</v>
      </c>
      <c r="H4" s="8" t="s">
        <v>10</v>
      </c>
      <c r="I4" s="9" t="s">
        <v>10</v>
      </c>
      <c r="J4" s="33" t="s">
        <v>10</v>
      </c>
    </row>
    <row r="5" spans="1:10" ht="15.75" customHeight="1" x14ac:dyDescent="0.2">
      <c r="A5" s="1" t="s">
        <v>13</v>
      </c>
      <c r="B5" s="1">
        <v>37.227241684555601</v>
      </c>
      <c r="C5" s="1">
        <v>-9.0821118022432508</v>
      </c>
      <c r="D5" s="1">
        <v>1.5764716122436599</v>
      </c>
      <c r="E5" s="1">
        <v>-5.7610373264618699</v>
      </c>
      <c r="F5" s="6">
        <v>8.3598548057485497E-9</v>
      </c>
      <c r="G5" s="6">
        <v>3.3872611699292102E-6</v>
      </c>
      <c r="H5" s="8" t="s">
        <v>10</v>
      </c>
      <c r="I5" s="9" t="s">
        <v>10</v>
      </c>
      <c r="J5" s="33" t="s">
        <v>10</v>
      </c>
    </row>
    <row r="6" spans="1:10" ht="15.75" customHeight="1" x14ac:dyDescent="0.2">
      <c r="A6" s="1" t="s">
        <v>14</v>
      </c>
      <c r="B6" s="1">
        <v>20119.852838254199</v>
      </c>
      <c r="C6" s="1">
        <v>-9.0172137237311905</v>
      </c>
      <c r="D6" s="1">
        <v>0.95707082941409805</v>
      </c>
      <c r="E6" s="1">
        <v>-9.4216785702802905</v>
      </c>
      <c r="F6" s="6">
        <v>4.4393341669253401E-21</v>
      </c>
      <c r="G6" s="6">
        <v>1.2903986336077999E-17</v>
      </c>
      <c r="H6" s="8" t="s">
        <v>10</v>
      </c>
      <c r="I6" s="9" t="s">
        <v>10</v>
      </c>
      <c r="J6" s="33" t="s">
        <v>10</v>
      </c>
    </row>
    <row r="7" spans="1:10" ht="15.75" customHeight="1" x14ac:dyDescent="0.2">
      <c r="A7" s="1" t="s">
        <v>15</v>
      </c>
      <c r="B7" s="1">
        <v>35.2457653879272</v>
      </c>
      <c r="C7" s="1">
        <v>-8.9771765353829593</v>
      </c>
      <c r="D7" s="1">
        <v>1.5709409104707399</v>
      </c>
      <c r="E7" s="1">
        <v>-5.7145220902630198</v>
      </c>
      <c r="F7" s="6">
        <v>1.1001275809750801E-8</v>
      </c>
      <c r="G7" s="6">
        <v>4.2635012340841298E-6</v>
      </c>
      <c r="H7" s="1" t="s">
        <v>16</v>
      </c>
      <c r="I7" s="12" t="s">
        <v>17</v>
      </c>
      <c r="J7" s="33" t="s">
        <v>10</v>
      </c>
    </row>
    <row r="8" spans="1:10" ht="15.75" customHeight="1" x14ac:dyDescent="0.2">
      <c r="A8" s="1" t="s">
        <v>19</v>
      </c>
      <c r="B8" s="1">
        <v>21217.980961976598</v>
      </c>
      <c r="C8" s="1">
        <v>-8.8854598061651409</v>
      </c>
      <c r="D8" s="1">
        <v>0.97644837362471704</v>
      </c>
      <c r="E8" s="1">
        <v>-9.0997742903509007</v>
      </c>
      <c r="F8" s="6">
        <v>9.0519749934299603E-20</v>
      </c>
      <c r="G8" s="6">
        <v>2.2413695858731902E-16</v>
      </c>
      <c r="H8" s="8" t="s">
        <v>10</v>
      </c>
      <c r="I8" s="9" t="s">
        <v>10</v>
      </c>
      <c r="J8" s="33" t="s">
        <v>10</v>
      </c>
    </row>
    <row r="9" spans="1:10" ht="15.75" customHeight="1" x14ac:dyDescent="0.2">
      <c r="A9" s="14" t="s">
        <v>21</v>
      </c>
      <c r="B9" s="1">
        <v>27.676422916970399</v>
      </c>
      <c r="C9" s="1">
        <v>-8.6186916601105796</v>
      </c>
      <c r="D9" s="1">
        <v>1.5985006297311399</v>
      </c>
      <c r="E9" s="1">
        <v>-5.3917349169641602</v>
      </c>
      <c r="F9" s="6">
        <v>6.97806564318354E-8</v>
      </c>
      <c r="G9" s="6">
        <v>2.0412063693681199E-5</v>
      </c>
      <c r="H9" s="1" t="s">
        <v>25</v>
      </c>
      <c r="I9" s="12" t="s">
        <v>26</v>
      </c>
      <c r="J9" s="33" t="s">
        <v>10</v>
      </c>
    </row>
    <row r="10" spans="1:10" ht="15.75" customHeight="1" x14ac:dyDescent="0.2">
      <c r="A10" s="1" t="s">
        <v>27</v>
      </c>
      <c r="B10" s="1">
        <v>25.262238209655798</v>
      </c>
      <c r="C10" s="1">
        <v>-8.5124695231230501</v>
      </c>
      <c r="D10" s="1">
        <v>1.61160298053836</v>
      </c>
      <c r="E10" s="1">
        <v>-5.28198919083622</v>
      </c>
      <c r="F10" s="6">
        <v>1.2778873974972801E-7</v>
      </c>
      <c r="G10" s="6">
        <v>3.3113628666542902E-5</v>
      </c>
      <c r="H10" s="8" t="s">
        <v>10</v>
      </c>
      <c r="I10" s="9" t="s">
        <v>10</v>
      </c>
      <c r="J10" s="33" t="s">
        <v>10</v>
      </c>
    </row>
    <row r="11" spans="1:10" ht="15.75" customHeight="1" x14ac:dyDescent="0.2">
      <c r="A11" s="1" t="s">
        <v>28</v>
      </c>
      <c r="B11" s="1">
        <v>48.702017242401503</v>
      </c>
      <c r="C11" s="1">
        <v>-8.0379654377225904</v>
      </c>
      <c r="D11" s="1">
        <v>1.53746380643134</v>
      </c>
      <c r="E11" s="1">
        <v>-5.22806807165093</v>
      </c>
      <c r="F11" s="6">
        <v>1.7129044936101199E-7</v>
      </c>
      <c r="G11" s="6">
        <v>4.2223764519125299E-5</v>
      </c>
      <c r="H11" s="8" t="s">
        <v>10</v>
      </c>
      <c r="I11" s="9" t="s">
        <v>10</v>
      </c>
      <c r="J11" s="33" t="s">
        <v>10</v>
      </c>
    </row>
    <row r="12" spans="1:10" ht="15.75" customHeight="1" x14ac:dyDescent="0.2">
      <c r="A12" s="1" t="s">
        <v>30</v>
      </c>
      <c r="B12" s="1">
        <v>488.75958285332098</v>
      </c>
      <c r="C12" s="1">
        <v>-8.0228644224455792</v>
      </c>
      <c r="D12" s="1">
        <v>0.56707541906081504</v>
      </c>
      <c r="E12" s="1">
        <v>-14.147790845409901</v>
      </c>
      <c r="F12" s="6">
        <v>1.92716758537237E-45</v>
      </c>
      <c r="G12" s="6">
        <v>2.57681577840139E-41</v>
      </c>
      <c r="H12" s="8" t="s">
        <v>10</v>
      </c>
      <c r="I12" s="9" t="s">
        <v>10</v>
      </c>
      <c r="J12" s="33" t="s">
        <v>10</v>
      </c>
    </row>
    <row r="13" spans="1:10" ht="15.75" customHeight="1" x14ac:dyDescent="0.2">
      <c r="A13" s="1" t="s">
        <v>31</v>
      </c>
      <c r="B13" s="1">
        <v>853.28024276942097</v>
      </c>
      <c r="C13" s="1">
        <v>-7.81601975823048</v>
      </c>
      <c r="D13" s="1">
        <v>0.44626898829374101</v>
      </c>
      <c r="E13" s="1">
        <v>-17.5141449736719</v>
      </c>
      <c r="F13" s="6">
        <v>1.1175236056321701E-68</v>
      </c>
      <c r="G13" s="6">
        <v>7.47120406545387E-64</v>
      </c>
      <c r="H13" s="8" t="s">
        <v>10</v>
      </c>
      <c r="I13" s="9" t="s">
        <v>10</v>
      </c>
      <c r="J13" s="33" t="s">
        <v>10</v>
      </c>
    </row>
    <row r="14" spans="1:10" ht="15.75" customHeight="1" x14ac:dyDescent="0.2">
      <c r="A14" s="1" t="s">
        <v>33</v>
      </c>
      <c r="B14" s="1">
        <v>1131.69219945189</v>
      </c>
      <c r="C14" s="1">
        <v>-7.3204771511761999</v>
      </c>
      <c r="D14" s="1">
        <v>1.02840638786644</v>
      </c>
      <c r="E14" s="1">
        <v>-7.1182727349286798</v>
      </c>
      <c r="F14" s="6">
        <v>1.0928795332284199E-12</v>
      </c>
      <c r="G14" s="6">
        <v>1.1416322061560299E-9</v>
      </c>
      <c r="H14" s="8" t="s">
        <v>10</v>
      </c>
      <c r="I14" s="9" t="s">
        <v>10</v>
      </c>
      <c r="J14" s="33" t="s">
        <v>10</v>
      </c>
    </row>
    <row r="15" spans="1:10" ht="15.75" customHeight="1" x14ac:dyDescent="0.2">
      <c r="A15" s="1" t="s">
        <v>34</v>
      </c>
      <c r="B15" s="1">
        <v>29.422602343709102</v>
      </c>
      <c r="C15" s="1">
        <v>-7.2739679728188298</v>
      </c>
      <c r="D15" s="1">
        <v>1.5555466633316899</v>
      </c>
      <c r="E15" s="1">
        <v>-4.6761489991173502</v>
      </c>
      <c r="F15" s="6">
        <v>2.9231225481184199E-6</v>
      </c>
      <c r="G15" s="1">
        <v>4.6419324929799702E-4</v>
      </c>
      <c r="H15" s="8" t="s">
        <v>10</v>
      </c>
      <c r="I15" s="9" t="s">
        <v>10</v>
      </c>
      <c r="J15" s="33" t="s">
        <v>10</v>
      </c>
    </row>
    <row r="16" spans="1:10" ht="15.75" customHeight="1" x14ac:dyDescent="0.2">
      <c r="A16" s="1" t="s">
        <v>35</v>
      </c>
      <c r="B16" s="1">
        <v>243.19211138033299</v>
      </c>
      <c r="C16" s="1">
        <v>-6.6302432201000503</v>
      </c>
      <c r="D16" s="1">
        <v>0.55856638461616004</v>
      </c>
      <c r="E16" s="1">
        <v>-11.870107838043801</v>
      </c>
      <c r="F16" s="6">
        <v>1.6924932809145501E-32</v>
      </c>
      <c r="G16" s="6">
        <v>1.6164519756506001E-28</v>
      </c>
      <c r="H16" s="8" t="s">
        <v>10</v>
      </c>
      <c r="I16" s="9" t="s">
        <v>10</v>
      </c>
      <c r="J16" s="33" t="s">
        <v>10</v>
      </c>
    </row>
    <row r="17" spans="1:10" ht="15.75" customHeight="1" x14ac:dyDescent="0.2">
      <c r="A17" s="1" t="s">
        <v>36</v>
      </c>
      <c r="B17" s="1">
        <v>167.13952911883601</v>
      </c>
      <c r="C17" s="1">
        <v>-6.5847474313385703</v>
      </c>
      <c r="D17" s="1">
        <v>0.62659617227796804</v>
      </c>
      <c r="E17" s="1">
        <v>-10.5087578294645</v>
      </c>
      <c r="F17" s="6">
        <v>7.8723586281477702E-26</v>
      </c>
      <c r="G17" s="6">
        <v>5.2630653608481903E-22</v>
      </c>
      <c r="H17" s="8" t="s">
        <v>10</v>
      </c>
      <c r="I17" s="9" t="s">
        <v>10</v>
      </c>
      <c r="J17" s="33" t="s">
        <v>10</v>
      </c>
    </row>
    <row r="18" spans="1:10" ht="15.75" customHeight="1" x14ac:dyDescent="0.2">
      <c r="A18" s="1" t="s">
        <v>38</v>
      </c>
      <c r="B18" s="1">
        <v>51.879896315626503</v>
      </c>
      <c r="C18" s="1">
        <v>-6.51567125382181</v>
      </c>
      <c r="D18" s="1">
        <v>0.99153374646452097</v>
      </c>
      <c r="E18" s="1">
        <v>-6.5713055930315303</v>
      </c>
      <c r="F18" s="6">
        <v>4.9875975820674497E-11</v>
      </c>
      <c r="G18" s="6">
        <v>3.79447280700528E-8</v>
      </c>
      <c r="H18" s="8" t="s">
        <v>10</v>
      </c>
      <c r="I18" s="9" t="s">
        <v>10</v>
      </c>
      <c r="J18" s="33" t="s">
        <v>10</v>
      </c>
    </row>
    <row r="19" spans="1:10" ht="15.75" customHeight="1" x14ac:dyDescent="0.2">
      <c r="A19" s="1" t="s">
        <v>39</v>
      </c>
      <c r="B19" s="1">
        <v>724.80478745813798</v>
      </c>
      <c r="C19" s="1">
        <v>-6.3391752200339901</v>
      </c>
      <c r="D19" s="1">
        <v>0.43166795910099698</v>
      </c>
      <c r="E19" s="1">
        <v>-14.6853040314507</v>
      </c>
      <c r="F19" s="6">
        <v>8.0074253744849104E-49</v>
      </c>
      <c r="G19" s="6">
        <v>1.78445474470396E-44</v>
      </c>
      <c r="H19" s="8" t="s">
        <v>10</v>
      </c>
      <c r="I19" s="9" t="s">
        <v>10</v>
      </c>
      <c r="J19" s="33" t="s">
        <v>10</v>
      </c>
    </row>
    <row r="20" spans="1:10" ht="15.75" customHeight="1" x14ac:dyDescent="0.2">
      <c r="A20" s="1" t="s">
        <v>41</v>
      </c>
      <c r="B20" s="1">
        <v>652.76179540288604</v>
      </c>
      <c r="C20" s="1">
        <v>-6.14243339305935</v>
      </c>
      <c r="D20" s="1">
        <v>0.425305857409156</v>
      </c>
      <c r="E20" s="1">
        <v>-14.4423907784326</v>
      </c>
      <c r="F20" s="6">
        <v>2.7995999132571501E-47</v>
      </c>
      <c r="G20" s="6">
        <v>4.6791813050201704E-43</v>
      </c>
      <c r="H20" s="8" t="s">
        <v>10</v>
      </c>
      <c r="I20" s="9" t="s">
        <v>10</v>
      </c>
      <c r="J20" s="33" t="s">
        <v>10</v>
      </c>
    </row>
    <row r="21" spans="1:10" ht="15.75" customHeight="1" x14ac:dyDescent="0.2">
      <c r="A21" s="1" t="s">
        <v>42</v>
      </c>
      <c r="B21" s="1">
        <v>17189.452256237899</v>
      </c>
      <c r="C21" s="1">
        <v>-6.1423206274089504</v>
      </c>
      <c r="D21" s="1">
        <v>0.41410311135439798</v>
      </c>
      <c r="E21" s="1">
        <v>-14.832828971797399</v>
      </c>
      <c r="F21" s="6">
        <v>8.9864517399553192E-50</v>
      </c>
      <c r="G21" s="6">
        <v>3.0039461553735597E-45</v>
      </c>
      <c r="H21" s="8" t="s">
        <v>10</v>
      </c>
      <c r="I21" s="9" t="s">
        <v>10</v>
      </c>
      <c r="J21" s="33" t="s">
        <v>10</v>
      </c>
    </row>
    <row r="22" spans="1:10" ht="15.75" customHeight="1" x14ac:dyDescent="0.2">
      <c r="A22" s="1" t="s">
        <v>43</v>
      </c>
      <c r="B22" s="1">
        <v>47.363200252460302</v>
      </c>
      <c r="C22" s="1">
        <v>-5.9959241407275998</v>
      </c>
      <c r="D22" s="1">
        <v>0.95457600677799703</v>
      </c>
      <c r="E22" s="1">
        <v>-6.2812432935181102</v>
      </c>
      <c r="F22" s="6">
        <v>3.3587603817658598E-10</v>
      </c>
      <c r="G22" s="6">
        <v>2.1800963623588E-7</v>
      </c>
      <c r="H22" s="8" t="s">
        <v>10</v>
      </c>
      <c r="I22" s="9" t="s">
        <v>10</v>
      </c>
      <c r="J22" s="33" t="s">
        <v>10</v>
      </c>
    </row>
    <row r="23" spans="1:10" ht="15.75" customHeight="1" x14ac:dyDescent="0.2">
      <c r="A23" s="1" t="s">
        <v>44</v>
      </c>
      <c r="B23" s="1">
        <v>398.11032180842898</v>
      </c>
      <c r="C23" s="1">
        <v>-5.5703776747299498</v>
      </c>
      <c r="D23" s="1">
        <v>0.96519993987102704</v>
      </c>
      <c r="E23" s="1">
        <v>-5.7712163507534804</v>
      </c>
      <c r="F23" s="6">
        <v>7.8701349509029896E-9</v>
      </c>
      <c r="G23" s="6">
        <v>3.2478880996457999E-6</v>
      </c>
      <c r="H23" s="1" t="s">
        <v>45</v>
      </c>
      <c r="I23" s="12" t="s">
        <v>46</v>
      </c>
      <c r="J23" s="33" t="s">
        <v>10</v>
      </c>
    </row>
    <row r="24" spans="1:10" ht="15.75" customHeight="1" x14ac:dyDescent="0.2">
      <c r="A24" s="1" t="s">
        <v>47</v>
      </c>
      <c r="B24" s="1">
        <v>286.18118881223103</v>
      </c>
      <c r="C24" s="1">
        <v>-5.3449200196939897</v>
      </c>
      <c r="D24" s="1">
        <v>0.51404621789628102</v>
      </c>
      <c r="E24" s="1">
        <v>-10.3977421360436</v>
      </c>
      <c r="F24" s="6">
        <v>2.5387749787197601E-25</v>
      </c>
      <c r="G24" s="6">
        <v>1.54299819274827E-21</v>
      </c>
      <c r="H24" s="8" t="s">
        <v>10</v>
      </c>
      <c r="I24" s="9" t="s">
        <v>10</v>
      </c>
      <c r="J24" s="33" t="s">
        <v>10</v>
      </c>
    </row>
    <row r="25" spans="1:10" ht="15.75" customHeight="1" x14ac:dyDescent="0.2">
      <c r="A25" s="1" t="s">
        <v>48</v>
      </c>
      <c r="B25" s="1">
        <v>108.886195058925</v>
      </c>
      <c r="C25" s="1">
        <v>-5.3328523867250404</v>
      </c>
      <c r="D25" s="1">
        <v>0.64667239891137596</v>
      </c>
      <c r="E25" s="1">
        <v>-8.2466058481891302</v>
      </c>
      <c r="F25" s="6">
        <v>1.6295679740537801E-16</v>
      </c>
      <c r="G25" s="6">
        <v>2.7934555616760301E-13</v>
      </c>
      <c r="H25" s="8" t="s">
        <v>10</v>
      </c>
      <c r="I25" s="9" t="s">
        <v>10</v>
      </c>
      <c r="J25" s="33" t="s">
        <v>10</v>
      </c>
    </row>
    <row r="26" spans="1:10" ht="15.75" customHeight="1" x14ac:dyDescent="0.2">
      <c r="A26" s="1" t="s">
        <v>50</v>
      </c>
      <c r="B26" s="1">
        <v>259.56683335929199</v>
      </c>
      <c r="C26" s="1">
        <v>-5.22535029037026</v>
      </c>
      <c r="D26" s="1">
        <v>0.50865607282736602</v>
      </c>
      <c r="E26" s="1">
        <v>-10.2728554115655</v>
      </c>
      <c r="F26" s="6">
        <v>9.3398538167099805E-25</v>
      </c>
      <c r="G26" s="6">
        <v>4.8031994378165E-21</v>
      </c>
      <c r="H26" s="1" t="s">
        <v>52</v>
      </c>
      <c r="I26" s="16" t="s">
        <v>53</v>
      </c>
      <c r="J26" s="33" t="s">
        <v>10</v>
      </c>
    </row>
    <row r="27" spans="1:10" ht="15.75" customHeight="1" x14ac:dyDescent="0.2">
      <c r="A27" s="1" t="s">
        <v>55</v>
      </c>
      <c r="B27" s="1">
        <v>100.188484543952</v>
      </c>
      <c r="C27" s="1">
        <v>-5.1886037520111401</v>
      </c>
      <c r="D27" s="1">
        <v>0.58680093442701897</v>
      </c>
      <c r="E27" s="1">
        <v>-8.8421872693122907</v>
      </c>
      <c r="F27" s="6">
        <v>9.3862727962166608E-19</v>
      </c>
      <c r="G27" s="6">
        <v>2.16385954410712E-15</v>
      </c>
      <c r="H27" s="8" t="s">
        <v>10</v>
      </c>
      <c r="I27" s="9" t="s">
        <v>10</v>
      </c>
      <c r="J27" s="33" t="s">
        <v>10</v>
      </c>
    </row>
    <row r="28" spans="1:10" ht="15.75" customHeight="1" x14ac:dyDescent="0.2">
      <c r="A28" s="1" t="s">
        <v>56</v>
      </c>
      <c r="B28" s="1">
        <v>280.06927294292501</v>
      </c>
      <c r="C28" s="1">
        <v>-5.0482939813186203</v>
      </c>
      <c r="D28" s="1">
        <v>0.442410591050444</v>
      </c>
      <c r="E28" s="1">
        <v>-11.410879584351999</v>
      </c>
      <c r="F28" s="6">
        <v>3.68979127006197E-30</v>
      </c>
      <c r="G28" s="6">
        <v>2.7408999484443703E-26</v>
      </c>
      <c r="H28" s="8" t="s">
        <v>10</v>
      </c>
      <c r="I28" s="9" t="s">
        <v>10</v>
      </c>
      <c r="J28" s="33" t="s">
        <v>10</v>
      </c>
    </row>
    <row r="29" spans="1:10" ht="15.75" customHeight="1" x14ac:dyDescent="0.2">
      <c r="A29" s="1" t="s">
        <v>58</v>
      </c>
      <c r="B29" s="1">
        <v>40.218776803154</v>
      </c>
      <c r="C29" s="1">
        <v>-5.0352306097077104</v>
      </c>
      <c r="D29" s="1">
        <v>0.91827429029736196</v>
      </c>
      <c r="E29" s="1">
        <v>-5.4833622839175504</v>
      </c>
      <c r="F29" s="6">
        <v>4.17317168474356E-8</v>
      </c>
      <c r="G29" s="6">
        <v>1.34133362011313E-5</v>
      </c>
      <c r="H29" s="8" t="s">
        <v>10</v>
      </c>
      <c r="I29" s="9" t="s">
        <v>10</v>
      </c>
      <c r="J29" s="33" t="s">
        <v>10</v>
      </c>
    </row>
    <row r="30" spans="1:10" ht="15.75" customHeight="1" x14ac:dyDescent="0.2">
      <c r="A30" s="1" t="s">
        <v>59</v>
      </c>
      <c r="B30" s="1">
        <v>48.215579668704301</v>
      </c>
      <c r="C30" s="1">
        <v>-4.9760986343887401</v>
      </c>
      <c r="D30" s="1">
        <v>0.75196943596288002</v>
      </c>
      <c r="E30" s="1">
        <v>-6.61742139561425</v>
      </c>
      <c r="F30" s="6">
        <v>3.6551845750365497E-11</v>
      </c>
      <c r="G30" s="6">
        <v>2.8414809856286999E-8</v>
      </c>
      <c r="H30" s="8" t="s">
        <v>10</v>
      </c>
      <c r="I30" s="9" t="s">
        <v>10</v>
      </c>
      <c r="J30" s="33" t="s">
        <v>10</v>
      </c>
    </row>
    <row r="31" spans="1:10" ht="15.75" customHeight="1" x14ac:dyDescent="0.2">
      <c r="A31" s="1" t="s">
        <v>60</v>
      </c>
      <c r="B31" s="1">
        <v>443.82920476070302</v>
      </c>
      <c r="C31" s="1">
        <v>-4.9017353371246504</v>
      </c>
      <c r="D31" s="1">
        <v>0.41483347280594901</v>
      </c>
      <c r="E31" s="1">
        <v>-11.8161519222861</v>
      </c>
      <c r="F31" s="6">
        <v>3.2210352117137799E-32</v>
      </c>
      <c r="G31" s="6">
        <v>2.6917788634890599E-28</v>
      </c>
      <c r="H31" s="8" t="s">
        <v>10</v>
      </c>
      <c r="I31" s="9" t="s">
        <v>10</v>
      </c>
      <c r="J31" s="33" t="s">
        <v>10</v>
      </c>
    </row>
    <row r="32" spans="1:10" ht="15.75" customHeight="1" x14ac:dyDescent="0.2">
      <c r="A32" s="1" t="s">
        <v>62</v>
      </c>
      <c r="B32" s="1">
        <v>564.31165897769995</v>
      </c>
      <c r="C32" s="1">
        <v>-4.72573184579859</v>
      </c>
      <c r="D32" s="1">
        <v>0.380027598231301</v>
      </c>
      <c r="E32" s="1">
        <v>-12.4352333035621</v>
      </c>
      <c r="F32" s="6">
        <v>1.6824884645845999E-35</v>
      </c>
      <c r="G32" s="6">
        <v>1.87471277166339E-31</v>
      </c>
      <c r="H32" s="8" t="s">
        <v>10</v>
      </c>
      <c r="I32" s="9" t="s">
        <v>10</v>
      </c>
      <c r="J32" s="33" t="s">
        <v>10</v>
      </c>
    </row>
    <row r="33" spans="1:10" ht="15.75" customHeight="1" x14ac:dyDescent="0.2">
      <c r="A33" s="1" t="s">
        <v>66</v>
      </c>
      <c r="B33" s="1">
        <v>72.367438820410996</v>
      </c>
      <c r="C33" s="1">
        <v>-4.6810424219375903</v>
      </c>
      <c r="D33" s="1">
        <v>0.66908279284250705</v>
      </c>
      <c r="E33" s="1">
        <v>-6.9962080508016298</v>
      </c>
      <c r="F33" s="6">
        <v>2.62982932840143E-12</v>
      </c>
      <c r="G33" s="6">
        <v>2.54807593840982E-9</v>
      </c>
      <c r="H33" s="8" t="s">
        <v>10</v>
      </c>
      <c r="I33" s="9" t="s">
        <v>10</v>
      </c>
      <c r="J33" s="33" t="s">
        <v>10</v>
      </c>
    </row>
    <row r="34" spans="1:10" ht="15.75" customHeight="1" x14ac:dyDescent="0.2">
      <c r="A34" s="1" t="s">
        <v>67</v>
      </c>
      <c r="B34" s="1">
        <v>837.97755399349603</v>
      </c>
      <c r="C34" s="1">
        <v>-4.60982278533782</v>
      </c>
      <c r="D34" s="1">
        <v>0.45596770853628099</v>
      </c>
      <c r="E34" s="1">
        <v>-10.109976428234299</v>
      </c>
      <c r="F34" s="6">
        <v>4.9896279891012797E-24</v>
      </c>
      <c r="G34" s="6">
        <v>2.2238771947424399E-20</v>
      </c>
      <c r="H34" s="8" t="s">
        <v>10</v>
      </c>
      <c r="I34" s="9" t="s">
        <v>10</v>
      </c>
      <c r="J34" s="33" t="s">
        <v>10</v>
      </c>
    </row>
    <row r="35" spans="1:10" ht="15.75" customHeight="1" x14ac:dyDescent="0.2">
      <c r="A35" s="1" t="s">
        <v>69</v>
      </c>
      <c r="B35" s="1">
        <v>31.799502447589202</v>
      </c>
      <c r="C35" s="1">
        <v>-4.5039825829286801</v>
      </c>
      <c r="D35" s="1">
        <v>0.96776042648264005</v>
      </c>
      <c r="E35" s="1">
        <v>-4.6540264095098101</v>
      </c>
      <c r="F35" s="6">
        <v>3.25515083139538E-6</v>
      </c>
      <c r="G35" s="1">
        <v>5.0610025309985704E-4</v>
      </c>
      <c r="H35" s="8" t="s">
        <v>10</v>
      </c>
      <c r="I35" s="9" t="s">
        <v>10</v>
      </c>
      <c r="J35" s="33" t="s">
        <v>10</v>
      </c>
    </row>
    <row r="36" spans="1:10" ht="15.75" customHeight="1" x14ac:dyDescent="0.2">
      <c r="A36" s="1" t="s">
        <v>70</v>
      </c>
      <c r="B36" s="1">
        <v>82.071332124656294</v>
      </c>
      <c r="C36" s="1">
        <v>-4.4891615747909501</v>
      </c>
      <c r="D36" s="1">
        <v>0.58661397848502905</v>
      </c>
      <c r="E36" s="1">
        <v>-7.6526672384871004</v>
      </c>
      <c r="F36" s="6">
        <v>1.96852842389671E-14</v>
      </c>
      <c r="G36" s="6">
        <v>2.6321193555922799E-11</v>
      </c>
      <c r="H36" s="8" t="s">
        <v>10</v>
      </c>
      <c r="I36" s="9" t="s">
        <v>10</v>
      </c>
      <c r="J36" s="33" t="s">
        <v>10</v>
      </c>
    </row>
    <row r="37" spans="1:10" ht="15.75" customHeight="1" x14ac:dyDescent="0.2">
      <c r="A37" s="1" t="s">
        <v>71</v>
      </c>
      <c r="B37" s="1">
        <v>38.490159905601097</v>
      </c>
      <c r="C37" s="1">
        <v>-4.4386757759703004</v>
      </c>
      <c r="D37" s="1">
        <v>0.81375496874057096</v>
      </c>
      <c r="E37" s="1">
        <v>-5.4545605820876704</v>
      </c>
      <c r="F37" s="6">
        <v>4.9094095700108799E-8</v>
      </c>
      <c r="G37" s="6">
        <v>1.54093228546046E-5</v>
      </c>
      <c r="H37" s="1" t="s">
        <v>73</v>
      </c>
      <c r="I37" s="16" t="s">
        <v>74</v>
      </c>
      <c r="J37" s="33" t="s">
        <v>10</v>
      </c>
    </row>
    <row r="38" spans="1:10" ht="15.75" customHeight="1" x14ac:dyDescent="0.2">
      <c r="A38" s="1" t="s">
        <v>75</v>
      </c>
      <c r="B38" s="1">
        <v>694.226608944448</v>
      </c>
      <c r="C38" s="1">
        <v>-4.4272959737745499</v>
      </c>
      <c r="D38" s="1">
        <v>0.97981423817566304</v>
      </c>
      <c r="E38" s="1">
        <v>-4.5185054485611698</v>
      </c>
      <c r="F38" s="6">
        <v>6.2277671117882503E-6</v>
      </c>
      <c r="G38" s="1">
        <v>8.6202354090808098E-4</v>
      </c>
      <c r="H38" s="8" t="s">
        <v>10</v>
      </c>
      <c r="I38" s="9" t="s">
        <v>10</v>
      </c>
      <c r="J38" s="33" t="s">
        <v>10</v>
      </c>
    </row>
    <row r="39" spans="1:10" ht="15.75" customHeight="1" x14ac:dyDescent="0.2">
      <c r="A39" s="1" t="s">
        <v>76</v>
      </c>
      <c r="B39" s="1">
        <v>517.01293152913195</v>
      </c>
      <c r="C39" s="1">
        <v>-4.3770200422649399</v>
      </c>
      <c r="D39" s="1">
        <v>0.44803325227900698</v>
      </c>
      <c r="E39" s="1">
        <v>-9.7694088998983695</v>
      </c>
      <c r="F39" s="6">
        <v>1.52338251631872E-22</v>
      </c>
      <c r="G39" s="6">
        <v>5.6580965626937896E-19</v>
      </c>
      <c r="H39" s="8" t="s">
        <v>10</v>
      </c>
      <c r="I39" s="9" t="s">
        <v>10</v>
      </c>
      <c r="J39" s="33" t="s">
        <v>10</v>
      </c>
    </row>
    <row r="40" spans="1:10" ht="15.75" customHeight="1" x14ac:dyDescent="0.2">
      <c r="A40" s="1" t="s">
        <v>79</v>
      </c>
      <c r="B40" s="1">
        <v>293.07094496285799</v>
      </c>
      <c r="C40" s="1">
        <v>-4.3168122963855096</v>
      </c>
      <c r="D40" s="1">
        <v>0.46578684369182399</v>
      </c>
      <c r="E40" s="1">
        <v>-9.2677849425082108</v>
      </c>
      <c r="F40" s="6">
        <v>1.90051625161069E-20</v>
      </c>
      <c r="G40" s="6">
        <v>5.2941255833930198E-17</v>
      </c>
      <c r="H40" s="8" t="s">
        <v>10</v>
      </c>
      <c r="I40" s="9" t="s">
        <v>10</v>
      </c>
      <c r="J40" s="33" t="s">
        <v>10</v>
      </c>
    </row>
    <row r="41" spans="1:10" ht="15.75" customHeight="1" x14ac:dyDescent="0.2">
      <c r="A41" s="1" t="s">
        <v>80</v>
      </c>
      <c r="B41" s="1">
        <v>708.35888731939201</v>
      </c>
      <c r="C41" s="1">
        <v>-4.3130363601613197</v>
      </c>
      <c r="D41" s="1">
        <v>0.43479001674993101</v>
      </c>
      <c r="E41" s="1">
        <v>-9.9198146093633994</v>
      </c>
      <c r="F41" s="6">
        <v>3.4138967846474799E-23</v>
      </c>
      <c r="G41" s="6">
        <v>1.42647543461004E-19</v>
      </c>
      <c r="H41" s="8" t="s">
        <v>10</v>
      </c>
      <c r="I41" s="9" t="s">
        <v>10</v>
      </c>
      <c r="J41" s="33" t="s">
        <v>10</v>
      </c>
    </row>
    <row r="42" spans="1:10" ht="15.75" customHeight="1" x14ac:dyDescent="0.2">
      <c r="A42" s="1" t="s">
        <v>82</v>
      </c>
      <c r="B42" s="1">
        <v>24.9625628955007</v>
      </c>
      <c r="C42" s="1">
        <v>-4.1988334823653704</v>
      </c>
      <c r="D42" s="1">
        <v>0.89366825246889803</v>
      </c>
      <c r="E42" s="1">
        <v>-4.6984252498233401</v>
      </c>
      <c r="F42" s="6">
        <v>2.6217510914861098E-6</v>
      </c>
      <c r="G42" s="1">
        <v>4.31717165569714E-4</v>
      </c>
      <c r="H42" s="8" t="s">
        <v>10</v>
      </c>
      <c r="I42" s="9" t="s">
        <v>10</v>
      </c>
      <c r="J42" s="33" t="s">
        <v>10</v>
      </c>
    </row>
    <row r="43" spans="1:10" ht="15.75" customHeight="1" x14ac:dyDescent="0.2">
      <c r="A43" s="1" t="s">
        <v>83</v>
      </c>
      <c r="B43" s="1">
        <v>118.740528914137</v>
      </c>
      <c r="C43" s="1">
        <v>-4.1477008615051698</v>
      </c>
      <c r="D43" s="1">
        <v>0.55559226560476804</v>
      </c>
      <c r="E43" s="1">
        <v>-7.4653682534445496</v>
      </c>
      <c r="F43" s="6">
        <v>8.3066967348479497E-14</v>
      </c>
      <c r="G43" s="6">
        <v>9.9168608965760704E-11</v>
      </c>
      <c r="H43" s="17" t="s">
        <v>84</v>
      </c>
      <c r="I43" s="17" t="s">
        <v>86</v>
      </c>
      <c r="J43" s="33" t="s">
        <v>10</v>
      </c>
    </row>
    <row r="44" spans="1:10" ht="15.75" customHeight="1" x14ac:dyDescent="0.2">
      <c r="A44" s="1" t="s">
        <v>88</v>
      </c>
      <c r="B44" s="1">
        <v>32.810025050080597</v>
      </c>
      <c r="C44" s="1">
        <v>-4.0590459482110903</v>
      </c>
      <c r="D44" s="1">
        <v>0.77743726001931901</v>
      </c>
      <c r="E44" s="1">
        <v>-5.2210591863197102</v>
      </c>
      <c r="F44" s="6">
        <v>1.77902667357847E-7</v>
      </c>
      <c r="G44" s="6">
        <v>4.35666037590067E-5</v>
      </c>
      <c r="H44" s="8" t="s">
        <v>10</v>
      </c>
      <c r="I44" s="9" t="s">
        <v>10</v>
      </c>
      <c r="J44" s="33" t="s">
        <v>10</v>
      </c>
    </row>
    <row r="45" spans="1:10" ht="15.75" customHeight="1" x14ac:dyDescent="0.2">
      <c r="A45" s="1" t="s">
        <v>89</v>
      </c>
      <c r="B45" s="1">
        <v>58.900122269861797</v>
      </c>
      <c r="C45" s="1">
        <v>-4.0516705461087703</v>
      </c>
      <c r="D45" s="1">
        <v>0.66483971627343796</v>
      </c>
      <c r="E45" s="1">
        <v>-6.0942065387116298</v>
      </c>
      <c r="F45" s="6">
        <v>1.0998158819553899E-9</v>
      </c>
      <c r="G45" s="6">
        <v>5.9296928054941599E-7</v>
      </c>
      <c r="H45" s="8" t="s">
        <v>10</v>
      </c>
      <c r="I45" s="9" t="s">
        <v>10</v>
      </c>
      <c r="J45" s="33" t="s">
        <v>10</v>
      </c>
    </row>
    <row r="46" spans="1:10" ht="15.75" customHeight="1" x14ac:dyDescent="0.2">
      <c r="A46" s="1" t="s">
        <v>91</v>
      </c>
      <c r="B46" s="1">
        <v>87.714418260914698</v>
      </c>
      <c r="C46" s="1">
        <v>-3.9458156436182499</v>
      </c>
      <c r="D46" s="1">
        <v>0.52670601583156695</v>
      </c>
      <c r="E46" s="1">
        <v>-7.4914953029130897</v>
      </c>
      <c r="F46" s="6">
        <v>6.8093321495040502E-14</v>
      </c>
      <c r="G46" s="6">
        <v>8.4303314973165398E-11</v>
      </c>
      <c r="H46" s="8" t="s">
        <v>10</v>
      </c>
      <c r="I46" s="17" t="s">
        <v>92</v>
      </c>
      <c r="J46" s="33" t="s">
        <v>10</v>
      </c>
    </row>
    <row r="47" spans="1:10" ht="15.75" customHeight="1" x14ac:dyDescent="0.2">
      <c r="A47" s="1" t="s">
        <v>93</v>
      </c>
      <c r="B47" s="1">
        <v>59.917544023985897</v>
      </c>
      <c r="C47" s="1">
        <v>-3.9175897436849301</v>
      </c>
      <c r="D47" s="1">
        <v>0.62504647514145095</v>
      </c>
      <c r="E47" s="1">
        <v>-6.2676775239766904</v>
      </c>
      <c r="F47" s="6">
        <v>3.6647272219094899E-10</v>
      </c>
      <c r="G47" s="6">
        <v>2.3299791233055501E-7</v>
      </c>
      <c r="H47" s="18" t="s">
        <v>95</v>
      </c>
      <c r="I47" s="12" t="s">
        <v>99</v>
      </c>
      <c r="J47" s="33" t="s">
        <v>10</v>
      </c>
    </row>
    <row r="48" spans="1:10" ht="15.75" customHeight="1" x14ac:dyDescent="0.2">
      <c r="A48" s="1" t="s">
        <v>100</v>
      </c>
      <c r="B48" s="1">
        <v>93.516006480573793</v>
      </c>
      <c r="C48" s="1">
        <v>-3.9038429804772998</v>
      </c>
      <c r="D48" s="1">
        <v>0.544050979482677</v>
      </c>
      <c r="E48" s="1">
        <v>-7.1755095160188098</v>
      </c>
      <c r="F48" s="6">
        <v>7.2038386440245403E-13</v>
      </c>
      <c r="G48" s="6">
        <v>7.7679456862300004E-10</v>
      </c>
      <c r="H48" s="8" t="s">
        <v>10</v>
      </c>
      <c r="I48" s="9" t="s">
        <v>10</v>
      </c>
      <c r="J48" s="33" t="s">
        <v>10</v>
      </c>
    </row>
    <row r="49" spans="1:10" ht="15.75" customHeight="1" x14ac:dyDescent="0.2">
      <c r="A49" s="1" t="s">
        <v>101</v>
      </c>
      <c r="B49" s="1">
        <v>44.965203036698902</v>
      </c>
      <c r="C49" s="1">
        <v>-3.8672419633220199</v>
      </c>
      <c r="D49" s="1">
        <v>0.68352256702379099</v>
      </c>
      <c r="E49" s="1">
        <v>-5.65781168010421</v>
      </c>
      <c r="F49" s="6">
        <v>1.5331522526560101E-8</v>
      </c>
      <c r="G49" s="6">
        <v>5.6943829917398603E-6</v>
      </c>
      <c r="H49" s="1" t="s">
        <v>73</v>
      </c>
      <c r="I49" s="12" t="s">
        <v>74</v>
      </c>
      <c r="J49" s="33" t="s">
        <v>10</v>
      </c>
    </row>
    <row r="50" spans="1:10" ht="15.75" customHeight="1" x14ac:dyDescent="0.2">
      <c r="A50" s="1" t="s">
        <v>102</v>
      </c>
      <c r="B50" s="1">
        <v>108.026437471009</v>
      </c>
      <c r="C50" s="1">
        <v>-3.86222546890049</v>
      </c>
      <c r="D50" s="1">
        <v>0.50050149131732702</v>
      </c>
      <c r="E50" s="1">
        <v>-7.71671121046026</v>
      </c>
      <c r="F50" s="6">
        <v>1.19369695577564E-14</v>
      </c>
      <c r="G50" s="6">
        <v>1.6625960412162601E-11</v>
      </c>
      <c r="H50" s="8" t="s">
        <v>10</v>
      </c>
      <c r="I50" s="9" t="s">
        <v>10</v>
      </c>
      <c r="J50" s="33" t="s">
        <v>10</v>
      </c>
    </row>
    <row r="51" spans="1:10" ht="15.75" customHeight="1" x14ac:dyDescent="0.2">
      <c r="A51" s="1" t="s">
        <v>104</v>
      </c>
      <c r="B51" s="1">
        <v>67.069642001312701</v>
      </c>
      <c r="C51" s="1">
        <v>-3.8556238101594098</v>
      </c>
      <c r="D51" s="1">
        <v>0.645846617803573</v>
      </c>
      <c r="E51" s="1">
        <v>-5.9698753603011898</v>
      </c>
      <c r="F51" s="6">
        <v>2.3743490274861499E-9</v>
      </c>
      <c r="G51" s="6">
        <v>1.0947386498799101E-6</v>
      </c>
      <c r="H51" s="8" t="s">
        <v>10</v>
      </c>
      <c r="I51" s="9" t="s">
        <v>10</v>
      </c>
      <c r="J51" s="33" t="s">
        <v>10</v>
      </c>
    </row>
    <row r="52" spans="1:10" ht="15.75" customHeight="1" x14ac:dyDescent="0.2">
      <c r="A52" s="14" t="s">
        <v>105</v>
      </c>
      <c r="B52" s="1">
        <v>89.263934177251798</v>
      </c>
      <c r="C52" s="1">
        <v>-3.8553194902932901</v>
      </c>
      <c r="D52" s="1">
        <v>0.553871337214766</v>
      </c>
      <c r="E52" s="1">
        <v>-6.9606770223575802</v>
      </c>
      <c r="F52" s="6">
        <v>3.3864133850875498E-12</v>
      </c>
      <c r="G52" s="6">
        <v>3.23426666942897E-9</v>
      </c>
      <c r="H52" s="17" t="s">
        <v>106</v>
      </c>
      <c r="I52" s="16" t="s">
        <v>107</v>
      </c>
      <c r="J52" s="33" t="s">
        <v>10</v>
      </c>
    </row>
    <row r="53" spans="1:10" ht="15.75" customHeight="1" x14ac:dyDescent="0.2">
      <c r="A53" s="1" t="s">
        <v>108</v>
      </c>
      <c r="B53" s="1">
        <v>72.320054241441895</v>
      </c>
      <c r="C53" s="1">
        <v>-3.81048603542237</v>
      </c>
      <c r="D53" s="1">
        <v>0.59658326547019602</v>
      </c>
      <c r="E53" s="1">
        <v>-6.3871822358596502</v>
      </c>
      <c r="F53" s="6">
        <v>1.6897023496157299E-10</v>
      </c>
      <c r="G53" s="6">
        <v>1.16458815034597E-7</v>
      </c>
      <c r="H53" s="18" t="s">
        <v>110</v>
      </c>
      <c r="I53" s="17" t="s">
        <v>111</v>
      </c>
      <c r="J53" s="33" t="s">
        <v>3039</v>
      </c>
    </row>
    <row r="54" spans="1:10" ht="15.75" customHeight="1" x14ac:dyDescent="0.2">
      <c r="A54" s="1" t="s">
        <v>112</v>
      </c>
      <c r="B54" s="1">
        <v>94.277958923874806</v>
      </c>
      <c r="C54" s="1">
        <v>-3.7821441581322301</v>
      </c>
      <c r="D54" s="1">
        <v>0.58032423418149504</v>
      </c>
      <c r="E54" s="1">
        <v>-6.5172948764868801</v>
      </c>
      <c r="F54" s="6">
        <v>7.1586614010132399E-11</v>
      </c>
      <c r="G54" s="6">
        <v>5.3176923107193302E-8</v>
      </c>
      <c r="H54" s="8" t="s">
        <v>10</v>
      </c>
      <c r="I54" s="9" t="s">
        <v>10</v>
      </c>
      <c r="J54" s="33" t="s">
        <v>10</v>
      </c>
    </row>
    <row r="55" spans="1:10" ht="15.75" customHeight="1" x14ac:dyDescent="0.2">
      <c r="A55" s="1" t="s">
        <v>113</v>
      </c>
      <c r="B55" s="1">
        <v>33.970327688166101</v>
      </c>
      <c r="C55" s="1">
        <v>-3.7625278412188301</v>
      </c>
      <c r="D55" s="1">
        <v>0.83156863841887496</v>
      </c>
      <c r="E55" s="1">
        <v>-4.5246148873204302</v>
      </c>
      <c r="F55" s="6">
        <v>6.0505578716167098E-6</v>
      </c>
      <c r="G55" s="1">
        <v>8.4625532742036704E-4</v>
      </c>
      <c r="H55" s="1" t="s">
        <v>114</v>
      </c>
      <c r="I55" s="17" t="s">
        <v>115</v>
      </c>
      <c r="J55" s="33" t="s">
        <v>3054</v>
      </c>
    </row>
    <row r="56" spans="1:10" ht="15.75" customHeight="1" x14ac:dyDescent="0.2">
      <c r="A56" s="1" t="s">
        <v>117</v>
      </c>
      <c r="B56" s="1">
        <v>3495.5288950601698</v>
      </c>
      <c r="C56" s="1">
        <v>-3.7565467003542801</v>
      </c>
      <c r="D56" s="1">
        <v>0.42603098004812401</v>
      </c>
      <c r="E56" s="1">
        <v>-8.8175435033620104</v>
      </c>
      <c r="F56" s="6">
        <v>1.1699814454118E-18</v>
      </c>
      <c r="G56" s="6">
        <v>2.6073036511002E-15</v>
      </c>
      <c r="H56" s="8" t="s">
        <v>10</v>
      </c>
      <c r="I56" s="9" t="s">
        <v>10</v>
      </c>
      <c r="J56" s="33" t="s">
        <v>10</v>
      </c>
    </row>
    <row r="57" spans="1:10" ht="15.75" customHeight="1" x14ac:dyDescent="0.2">
      <c r="A57" s="1" t="s">
        <v>118</v>
      </c>
      <c r="B57" s="1">
        <v>38.628623438967999</v>
      </c>
      <c r="C57" s="1">
        <v>-3.7314739264900498</v>
      </c>
      <c r="D57" s="1">
        <v>0.72798612618733205</v>
      </c>
      <c r="E57" s="1">
        <v>-5.1257486815481297</v>
      </c>
      <c r="F57" s="6">
        <v>2.9635770774733599E-7</v>
      </c>
      <c r="G57" s="6">
        <v>6.8320670867062501E-5</v>
      </c>
      <c r="H57" s="1" t="s">
        <v>16</v>
      </c>
      <c r="I57" s="9" t="s">
        <v>119</v>
      </c>
      <c r="J57" s="33" t="s">
        <v>10</v>
      </c>
    </row>
    <row r="58" spans="1:10" ht="15.75" customHeight="1" x14ac:dyDescent="0.2">
      <c r="A58" s="1" t="s">
        <v>120</v>
      </c>
      <c r="B58" s="1">
        <v>36.344011210307102</v>
      </c>
      <c r="C58" s="1">
        <v>-3.7196733163017499</v>
      </c>
      <c r="D58" s="1">
        <v>0.73851723569073602</v>
      </c>
      <c r="E58" s="1">
        <v>-5.0366777328124801</v>
      </c>
      <c r="F58" s="6">
        <v>4.7368128102670899E-7</v>
      </c>
      <c r="G58" s="1">
        <v>1.0053321283504999E-4</v>
      </c>
      <c r="H58" s="8" t="s">
        <v>10</v>
      </c>
      <c r="I58" s="9" t="s">
        <v>10</v>
      </c>
      <c r="J58" s="33" t="s">
        <v>10</v>
      </c>
    </row>
    <row r="59" spans="1:10" ht="15.75" customHeight="1" x14ac:dyDescent="0.2">
      <c r="A59" s="1" t="s">
        <v>121</v>
      </c>
      <c r="B59" s="1">
        <v>475.891582397489</v>
      </c>
      <c r="C59" s="1">
        <v>-3.70012268835865</v>
      </c>
      <c r="D59" s="1">
        <v>0.37980930759322001</v>
      </c>
      <c r="E59" s="1">
        <v>-9.7420537474598206</v>
      </c>
      <c r="F59" s="6">
        <v>1.9948137397536499E-22</v>
      </c>
      <c r="G59" s="6">
        <v>7.0191196090121097E-19</v>
      </c>
      <c r="H59" s="8" t="s">
        <v>10</v>
      </c>
      <c r="I59" s="17" t="s">
        <v>124</v>
      </c>
      <c r="J59" s="33" t="s">
        <v>10</v>
      </c>
    </row>
    <row r="60" spans="1:10" ht="15.75" customHeight="1" x14ac:dyDescent="0.2">
      <c r="A60" s="1" t="s">
        <v>125</v>
      </c>
      <c r="B60" s="1">
        <v>131.37574100096799</v>
      </c>
      <c r="C60" s="1">
        <v>-3.6918949642216901</v>
      </c>
      <c r="D60" s="1">
        <v>0.51467888083873403</v>
      </c>
      <c r="E60" s="1">
        <v>-7.1732008086387502</v>
      </c>
      <c r="F60" s="6">
        <v>7.3264264871741699E-13</v>
      </c>
      <c r="G60" s="6">
        <v>7.7747340126988701E-10</v>
      </c>
      <c r="H60" s="8" t="s">
        <v>10</v>
      </c>
      <c r="I60" s="9" t="s">
        <v>10</v>
      </c>
      <c r="J60" s="33" t="s">
        <v>10</v>
      </c>
    </row>
    <row r="61" spans="1:10" ht="15.75" customHeight="1" x14ac:dyDescent="0.2">
      <c r="A61" s="1" t="s">
        <v>127</v>
      </c>
      <c r="B61" s="1">
        <v>46.421694089483097</v>
      </c>
      <c r="C61" s="1">
        <v>-3.6818448496122098</v>
      </c>
      <c r="D61" s="1">
        <v>0.71419289732533298</v>
      </c>
      <c r="E61" s="1">
        <v>-5.1552526822946501</v>
      </c>
      <c r="F61" s="6">
        <v>2.5328914197185201E-7</v>
      </c>
      <c r="G61" s="6">
        <v>5.94163003036077E-5</v>
      </c>
      <c r="H61" s="1" t="s">
        <v>128</v>
      </c>
      <c r="I61" s="9" t="s">
        <v>10</v>
      </c>
      <c r="J61" s="33" t="s">
        <v>10</v>
      </c>
    </row>
    <row r="62" spans="1:10" ht="15.75" customHeight="1" x14ac:dyDescent="0.2">
      <c r="A62" s="1" t="s">
        <v>129</v>
      </c>
      <c r="B62" s="1">
        <v>106.121833498245</v>
      </c>
      <c r="C62" s="1">
        <v>-3.6776947330354099</v>
      </c>
      <c r="D62" s="1">
        <v>0.54065616315764198</v>
      </c>
      <c r="E62" s="1">
        <v>-6.8022802358457302</v>
      </c>
      <c r="F62" s="6">
        <v>1.02976034275856E-11</v>
      </c>
      <c r="G62" s="6">
        <v>9.0585036467267901E-9</v>
      </c>
      <c r="H62" s="8" t="s">
        <v>10</v>
      </c>
      <c r="I62" s="9" t="s">
        <v>10</v>
      </c>
      <c r="J62" s="33" t="s">
        <v>10</v>
      </c>
    </row>
    <row r="63" spans="1:10" ht="15.75" customHeight="1" x14ac:dyDescent="0.2">
      <c r="A63" s="1" t="s">
        <v>130</v>
      </c>
      <c r="B63" s="1">
        <v>137.17429285199799</v>
      </c>
      <c r="C63" s="1">
        <v>-3.6378865683943502</v>
      </c>
      <c r="D63" s="1">
        <v>0.57503958145352196</v>
      </c>
      <c r="E63" s="1">
        <v>-6.3263237622685002</v>
      </c>
      <c r="F63" s="6">
        <v>2.5107075060351798E-10</v>
      </c>
      <c r="G63" s="6">
        <v>1.6619143595641801E-7</v>
      </c>
      <c r="H63" s="8" t="s">
        <v>10</v>
      </c>
      <c r="I63" s="17" t="s">
        <v>131</v>
      </c>
      <c r="J63" s="33" t="s">
        <v>10</v>
      </c>
    </row>
    <row r="64" spans="1:10" ht="15.75" customHeight="1" x14ac:dyDescent="0.2">
      <c r="A64" s="1" t="s">
        <v>132</v>
      </c>
      <c r="B64" s="1">
        <v>141.296975479362</v>
      </c>
      <c r="C64" s="1">
        <v>-3.62400556549676</v>
      </c>
      <c r="D64" s="1">
        <v>0.43231550558048198</v>
      </c>
      <c r="E64" s="1">
        <v>-8.3827795180066609</v>
      </c>
      <c r="F64" s="6">
        <v>5.1692250226574999E-17</v>
      </c>
      <c r="G64" s="6">
        <v>9.8739582539933502E-14</v>
      </c>
      <c r="H64" s="1" t="s">
        <v>128</v>
      </c>
      <c r="I64" s="16" t="s">
        <v>134</v>
      </c>
      <c r="J64" s="33" t="s">
        <v>10</v>
      </c>
    </row>
    <row r="65" spans="1:10" ht="15.75" customHeight="1" x14ac:dyDescent="0.2">
      <c r="A65" s="1" t="s">
        <v>135</v>
      </c>
      <c r="B65" s="1">
        <v>27.3301081641461</v>
      </c>
      <c r="C65" s="1">
        <v>-3.6168738464013299</v>
      </c>
      <c r="D65" s="1">
        <v>0.79654904864217502</v>
      </c>
      <c r="E65" s="1">
        <v>-4.5406793876243698</v>
      </c>
      <c r="F65" s="6">
        <v>5.6073245982886004E-6</v>
      </c>
      <c r="G65" s="1">
        <v>8.0398148225100904E-4</v>
      </c>
      <c r="H65" s="1" t="s">
        <v>136</v>
      </c>
      <c r="I65" s="9" t="s">
        <v>137</v>
      </c>
      <c r="J65" s="33" t="s">
        <v>10</v>
      </c>
    </row>
    <row r="66" spans="1:10" ht="15.75" customHeight="1" x14ac:dyDescent="0.2">
      <c r="A66" s="1" t="s">
        <v>138</v>
      </c>
      <c r="B66" s="1">
        <v>48.024775942115099</v>
      </c>
      <c r="C66" s="1">
        <v>-3.59507861363352</v>
      </c>
      <c r="D66" s="1">
        <v>0.67787467646424004</v>
      </c>
      <c r="E66" s="1">
        <v>-5.3034561379180998</v>
      </c>
      <c r="F66" s="6">
        <v>1.1363051616952E-7</v>
      </c>
      <c r="G66" s="6">
        <v>3.0509109070334499E-5</v>
      </c>
      <c r="H66" s="1" t="s">
        <v>139</v>
      </c>
      <c r="I66" s="17" t="s">
        <v>140</v>
      </c>
      <c r="J66" s="33" t="s">
        <v>3068</v>
      </c>
    </row>
    <row r="67" spans="1:10" ht="15.75" customHeight="1" x14ac:dyDescent="0.2">
      <c r="A67" s="1" t="s">
        <v>141</v>
      </c>
      <c r="B67" s="1">
        <v>449.03609152836498</v>
      </c>
      <c r="C67" s="1">
        <v>-3.5817659809578801</v>
      </c>
      <c r="D67" s="1">
        <v>0.38877481258684798</v>
      </c>
      <c r="E67" s="1">
        <v>-9.2129579000382105</v>
      </c>
      <c r="F67" s="6">
        <v>3.1725946599240297E-20</v>
      </c>
      <c r="G67" s="6">
        <v>8.4841526395688395E-17</v>
      </c>
      <c r="H67" s="1" t="s">
        <v>143</v>
      </c>
      <c r="I67" s="17" t="s">
        <v>144</v>
      </c>
      <c r="J67" s="33" t="s">
        <v>3073</v>
      </c>
    </row>
    <row r="68" spans="1:10" ht="15.75" customHeight="1" x14ac:dyDescent="0.2">
      <c r="A68" s="1" t="s">
        <v>146</v>
      </c>
      <c r="B68" s="1">
        <v>53.648586798252403</v>
      </c>
      <c r="C68" s="1">
        <v>-3.56513834902858</v>
      </c>
      <c r="D68" s="1">
        <v>0.66519594047903596</v>
      </c>
      <c r="E68" s="1">
        <v>-5.3595311277173101</v>
      </c>
      <c r="F68" s="6">
        <v>8.3438217313781002E-8</v>
      </c>
      <c r="G68" s="6">
        <v>2.33400084456604E-5</v>
      </c>
      <c r="H68" s="1" t="s">
        <v>147</v>
      </c>
      <c r="I68" s="12" t="s">
        <v>148</v>
      </c>
      <c r="J68" s="33" t="s">
        <v>10</v>
      </c>
    </row>
    <row r="69" spans="1:10" ht="15.75" customHeight="1" x14ac:dyDescent="0.2">
      <c r="A69" s="1" t="s">
        <v>149</v>
      </c>
      <c r="B69" s="1">
        <v>37.532437079396601</v>
      </c>
      <c r="C69" s="1">
        <v>-3.5532590722622301</v>
      </c>
      <c r="D69" s="1">
        <v>0.73174930033176899</v>
      </c>
      <c r="E69" s="1">
        <v>-4.8558421178554001</v>
      </c>
      <c r="F69" s="6">
        <v>1.19876188726933E-6</v>
      </c>
      <c r="G69" s="1">
        <v>2.2200339604817399E-4</v>
      </c>
      <c r="H69" s="8" t="s">
        <v>10</v>
      </c>
      <c r="I69" s="9" t="s">
        <v>10</v>
      </c>
      <c r="J69" s="33" t="s">
        <v>10</v>
      </c>
    </row>
    <row r="70" spans="1:10" ht="15.75" customHeight="1" x14ac:dyDescent="0.2">
      <c r="A70" s="1" t="s">
        <v>150</v>
      </c>
      <c r="B70" s="1">
        <v>40.219661778686103</v>
      </c>
      <c r="C70" s="1">
        <v>-3.54799681993258</v>
      </c>
      <c r="D70" s="1">
        <v>0.71830917910604997</v>
      </c>
      <c r="E70" s="1">
        <v>-4.9393727981426201</v>
      </c>
      <c r="F70" s="6">
        <v>7.83742492595629E-7</v>
      </c>
      <c r="G70" s="1">
        <v>1.5594376292404999E-4</v>
      </c>
      <c r="H70" s="8" t="s">
        <v>10</v>
      </c>
      <c r="I70" s="17" t="s">
        <v>92</v>
      </c>
      <c r="J70" s="33" t="s">
        <v>10</v>
      </c>
    </row>
    <row r="71" spans="1:10" ht="15.75" customHeight="1" x14ac:dyDescent="0.2">
      <c r="A71" s="1" t="s">
        <v>151</v>
      </c>
      <c r="B71" s="1">
        <v>46.819758208712898</v>
      </c>
      <c r="C71" s="1">
        <v>-3.5419738478671201</v>
      </c>
      <c r="D71" s="1">
        <v>0.64498607876201197</v>
      </c>
      <c r="E71" s="1">
        <v>-5.4915508481447999</v>
      </c>
      <c r="F71" s="6">
        <v>3.9841957802607899E-8</v>
      </c>
      <c r="G71" s="6">
        <v>1.28677975308857E-5</v>
      </c>
      <c r="H71" s="1" t="s">
        <v>153</v>
      </c>
      <c r="I71" s="16" t="s">
        <v>154</v>
      </c>
      <c r="J71" s="33" t="s">
        <v>10</v>
      </c>
    </row>
    <row r="72" spans="1:10" ht="15.75" customHeight="1" x14ac:dyDescent="0.2">
      <c r="A72" s="1" t="s">
        <v>155</v>
      </c>
      <c r="B72" s="1">
        <v>49.703807819439</v>
      </c>
      <c r="C72" s="1">
        <v>-3.5264458610237499</v>
      </c>
      <c r="D72" s="1">
        <v>0.68816457755262905</v>
      </c>
      <c r="E72" s="1">
        <v>-5.1244222327820301</v>
      </c>
      <c r="F72" s="6">
        <v>2.98451497821891E-7</v>
      </c>
      <c r="G72" s="6">
        <v>6.8566924009905598E-5</v>
      </c>
      <c r="H72" s="8" t="s">
        <v>10</v>
      </c>
      <c r="I72" s="9" t="s">
        <v>10</v>
      </c>
      <c r="J72" s="33" t="s">
        <v>10</v>
      </c>
    </row>
    <row r="73" spans="1:10" ht="15.75" customHeight="1" x14ac:dyDescent="0.2">
      <c r="A73" s="14" t="s">
        <v>156</v>
      </c>
      <c r="B73" s="1">
        <v>92.723088282395807</v>
      </c>
      <c r="C73" s="1">
        <v>-3.5225305610853002</v>
      </c>
      <c r="D73" s="1">
        <v>0.57786885151256295</v>
      </c>
      <c r="E73" s="1">
        <v>-6.0957266546987796</v>
      </c>
      <c r="F73" s="6">
        <v>1.08941432297847E-9</v>
      </c>
      <c r="G73" s="6">
        <v>5.9296928054941599E-7</v>
      </c>
      <c r="H73" s="1" t="s">
        <v>157</v>
      </c>
      <c r="I73" s="12" t="s">
        <v>158</v>
      </c>
      <c r="J73" s="33" t="s">
        <v>10</v>
      </c>
    </row>
    <row r="74" spans="1:10" ht="15.75" customHeight="1" x14ac:dyDescent="0.2">
      <c r="A74" s="1" t="s">
        <v>159</v>
      </c>
      <c r="B74" s="1">
        <v>45.759419799548297</v>
      </c>
      <c r="C74" s="1">
        <v>-3.4947103178822898</v>
      </c>
      <c r="D74" s="1">
        <v>0.64411626239444197</v>
      </c>
      <c r="E74" s="1">
        <v>-5.4255893258944203</v>
      </c>
      <c r="F74" s="6">
        <v>5.7763632758600499E-8</v>
      </c>
      <c r="G74" s="6">
        <v>1.74741523442364E-5</v>
      </c>
      <c r="H74" s="8" t="s">
        <v>10</v>
      </c>
      <c r="I74" s="9" t="s">
        <v>10</v>
      </c>
      <c r="J74" s="33" t="s">
        <v>10</v>
      </c>
    </row>
    <row r="75" spans="1:10" ht="15.75" customHeight="1" x14ac:dyDescent="0.2">
      <c r="A75" s="14" t="s">
        <v>160</v>
      </c>
      <c r="B75" s="1">
        <v>197.35110285644899</v>
      </c>
      <c r="C75" s="1">
        <v>-3.4873551203500099</v>
      </c>
      <c r="D75" s="1">
        <v>0.39630368082838902</v>
      </c>
      <c r="E75" s="1">
        <v>-8.7997040881892197</v>
      </c>
      <c r="F75" s="6">
        <v>1.37177385202269E-18</v>
      </c>
      <c r="G75" s="6">
        <v>2.9583851895799E-15</v>
      </c>
      <c r="H75" s="1" t="s">
        <v>161</v>
      </c>
      <c r="I75" s="9" t="s">
        <v>10</v>
      </c>
      <c r="J75" s="33" t="s">
        <v>10</v>
      </c>
    </row>
    <row r="76" spans="1:10" ht="15.75" customHeight="1" x14ac:dyDescent="0.2">
      <c r="A76" s="1" t="s">
        <v>162</v>
      </c>
      <c r="B76" s="1">
        <v>273.93371158657902</v>
      </c>
      <c r="C76" s="1">
        <v>-3.4748735686552599</v>
      </c>
      <c r="D76" s="1">
        <v>0.45734462831081302</v>
      </c>
      <c r="E76" s="1">
        <v>-7.5979323983526204</v>
      </c>
      <c r="F76" s="6">
        <v>3.0089943499749699E-14</v>
      </c>
      <c r="G76" s="6">
        <v>3.9444375934819002E-11</v>
      </c>
      <c r="H76" s="1" t="s">
        <v>164</v>
      </c>
      <c r="I76" s="17" t="s">
        <v>165</v>
      </c>
      <c r="J76" s="33" t="s">
        <v>10</v>
      </c>
    </row>
    <row r="77" spans="1:10" ht="15.75" customHeight="1" x14ac:dyDescent="0.2">
      <c r="A77" s="1" t="s">
        <v>166</v>
      </c>
      <c r="B77" s="1">
        <v>126.28581238772099</v>
      </c>
      <c r="C77" s="1">
        <v>-3.46766303501443</v>
      </c>
      <c r="D77" s="1">
        <v>0.55337152165192205</v>
      </c>
      <c r="E77" s="1">
        <v>-6.2664284288840602</v>
      </c>
      <c r="F77" s="6">
        <v>3.69423060459783E-10</v>
      </c>
      <c r="G77" s="6">
        <v>2.3299791233055501E-7</v>
      </c>
      <c r="H77" s="17" t="s">
        <v>167</v>
      </c>
      <c r="I77" s="17" t="s">
        <v>169</v>
      </c>
      <c r="J77" s="33" t="s">
        <v>3063</v>
      </c>
    </row>
    <row r="78" spans="1:10" ht="15.75" customHeight="1" x14ac:dyDescent="0.2">
      <c r="A78" s="1" t="s">
        <v>171</v>
      </c>
      <c r="B78" s="1">
        <v>67.517476451609696</v>
      </c>
      <c r="C78" s="1">
        <v>-3.4503120456573901</v>
      </c>
      <c r="D78" s="1">
        <v>0.59213631826478896</v>
      </c>
      <c r="E78" s="1">
        <v>-5.8268880648433701</v>
      </c>
      <c r="F78" s="6">
        <v>5.6470460656364299E-9</v>
      </c>
      <c r="G78" s="6">
        <v>2.4046704759116101E-6</v>
      </c>
      <c r="H78" s="8" t="s">
        <v>10</v>
      </c>
      <c r="I78" s="9" t="s">
        <v>10</v>
      </c>
      <c r="J78" s="33" t="s">
        <v>10</v>
      </c>
    </row>
    <row r="79" spans="1:10" ht="15.75" customHeight="1" x14ac:dyDescent="0.2">
      <c r="A79" s="1" t="s">
        <v>173</v>
      </c>
      <c r="B79" s="1">
        <v>52.067420537719599</v>
      </c>
      <c r="C79" s="1">
        <v>-3.4181381703701499</v>
      </c>
      <c r="D79" s="1">
        <v>0.61204893402859895</v>
      </c>
      <c r="E79" s="1">
        <v>-5.5847465461159302</v>
      </c>
      <c r="F79" s="6">
        <v>2.34041282034964E-8</v>
      </c>
      <c r="G79" s="6">
        <v>7.9425532540342803E-6</v>
      </c>
      <c r="H79" s="17" t="s">
        <v>174</v>
      </c>
      <c r="I79" s="12" t="s">
        <v>175</v>
      </c>
      <c r="J79" s="33" t="s">
        <v>10</v>
      </c>
    </row>
    <row r="80" spans="1:10" ht="15.75" customHeight="1" x14ac:dyDescent="0.2">
      <c r="A80" s="1" t="s">
        <v>176</v>
      </c>
      <c r="B80" s="1">
        <v>127.34377082497799</v>
      </c>
      <c r="C80" s="1">
        <v>-3.4006425843274002</v>
      </c>
      <c r="D80" s="1">
        <v>0.49854974059999901</v>
      </c>
      <c r="E80" s="1">
        <v>-6.8210698098744604</v>
      </c>
      <c r="F80" s="6">
        <v>9.0365012898469994E-12</v>
      </c>
      <c r="G80" s="6">
        <v>8.0551372497696202E-9</v>
      </c>
      <c r="H80" s="8" t="s">
        <v>10</v>
      </c>
      <c r="I80" s="9" t="s">
        <v>10</v>
      </c>
      <c r="J80" s="33" t="s">
        <v>10</v>
      </c>
    </row>
    <row r="81" spans="1:10" ht="15.75" customHeight="1" x14ac:dyDescent="0.2">
      <c r="A81" s="1" t="s">
        <v>177</v>
      </c>
      <c r="B81" s="1">
        <v>103.641232967978</v>
      </c>
      <c r="C81" s="1">
        <v>-3.38929503042444</v>
      </c>
      <c r="D81" s="1">
        <v>0.53275076128644705</v>
      </c>
      <c r="E81" s="1">
        <v>-6.3618774044362096</v>
      </c>
      <c r="F81" s="6">
        <v>1.99302494919812E-10</v>
      </c>
      <c r="G81" s="6">
        <v>1.3324368297864099E-7</v>
      </c>
      <c r="H81" s="8" t="s">
        <v>10</v>
      </c>
      <c r="I81" s="9" t="s">
        <v>10</v>
      </c>
      <c r="J81" s="33" t="s">
        <v>10</v>
      </c>
    </row>
    <row r="82" spans="1:10" ht="15.75" customHeight="1" x14ac:dyDescent="0.2">
      <c r="A82" s="1" t="s">
        <v>179</v>
      </c>
      <c r="B82" s="1">
        <v>47.024999352280197</v>
      </c>
      <c r="C82" s="1">
        <v>-3.3626673382854801</v>
      </c>
      <c r="D82" s="1">
        <v>0.65274843990344</v>
      </c>
      <c r="E82" s="1">
        <v>-5.1515517046397097</v>
      </c>
      <c r="F82" s="6">
        <v>2.5833997771569497E-7</v>
      </c>
      <c r="G82" s="6">
        <v>6.0389228007632103E-5</v>
      </c>
      <c r="H82" s="8" t="s">
        <v>10</v>
      </c>
      <c r="I82" s="9" t="s">
        <v>10</v>
      </c>
      <c r="J82" s="33" t="s">
        <v>10</v>
      </c>
    </row>
    <row r="83" spans="1:10" ht="15.75" customHeight="1" x14ac:dyDescent="0.2">
      <c r="A83" s="1" t="s">
        <v>182</v>
      </c>
      <c r="B83" s="1">
        <v>59.773701309579401</v>
      </c>
      <c r="C83" s="1">
        <v>-3.35585497826977</v>
      </c>
      <c r="D83" s="1">
        <v>0.61032299106120103</v>
      </c>
      <c r="E83" s="1">
        <v>-5.4984901886700399</v>
      </c>
      <c r="F83" s="6">
        <v>3.83056849170211E-8</v>
      </c>
      <c r="G83" s="6">
        <v>1.2431682354987601E-5</v>
      </c>
      <c r="H83" s="8" t="s">
        <v>10</v>
      </c>
      <c r="I83" s="9" t="s">
        <v>10</v>
      </c>
      <c r="J83" s="33" t="s">
        <v>10</v>
      </c>
    </row>
    <row r="84" spans="1:10" ht="15.75" customHeight="1" x14ac:dyDescent="0.2">
      <c r="A84" s="1" t="s">
        <v>185</v>
      </c>
      <c r="B84" s="1">
        <v>153.22469724092201</v>
      </c>
      <c r="C84" s="1">
        <v>-3.3548704281150199</v>
      </c>
      <c r="D84" s="1">
        <v>0.44533588242192901</v>
      </c>
      <c r="E84" s="1">
        <v>-7.5333485590017597</v>
      </c>
      <c r="F84" s="6">
        <v>4.9455363390236698E-14</v>
      </c>
      <c r="G84" s="6">
        <v>6.2383741876495805E-11</v>
      </c>
      <c r="H84" s="8" t="s">
        <v>10</v>
      </c>
      <c r="I84" s="9" t="s">
        <v>10</v>
      </c>
      <c r="J84" s="33" t="s">
        <v>10</v>
      </c>
    </row>
    <row r="85" spans="1:10" ht="15.75" customHeight="1" x14ac:dyDescent="0.2">
      <c r="A85" s="1" t="s">
        <v>189</v>
      </c>
      <c r="B85" s="1">
        <v>146.311129019156</v>
      </c>
      <c r="C85" s="1">
        <v>-3.3501178833566998</v>
      </c>
      <c r="D85" s="1">
        <v>0.49889888350024297</v>
      </c>
      <c r="E85" s="1">
        <v>-6.7150238137485498</v>
      </c>
      <c r="F85" s="6">
        <v>1.8803550882718701E-11</v>
      </c>
      <c r="G85" s="6">
        <v>1.55198937563476E-8</v>
      </c>
      <c r="H85" s="8" t="s">
        <v>10</v>
      </c>
      <c r="I85" s="9" t="s">
        <v>10</v>
      </c>
      <c r="J85" s="33" t="s">
        <v>10</v>
      </c>
    </row>
    <row r="86" spans="1:10" ht="15.75" customHeight="1" x14ac:dyDescent="0.2">
      <c r="A86" s="14" t="s">
        <v>193</v>
      </c>
      <c r="B86" s="1">
        <v>72.055498041325706</v>
      </c>
      <c r="C86" s="1">
        <v>-3.31715435290613</v>
      </c>
      <c r="D86" s="1">
        <v>0.57976895012799101</v>
      </c>
      <c r="E86" s="1">
        <v>-5.7215108745886196</v>
      </c>
      <c r="F86" s="6">
        <v>1.05580898895456E-8</v>
      </c>
      <c r="G86" s="6">
        <v>4.1521241150915998E-6</v>
      </c>
      <c r="H86" s="18" t="s">
        <v>195</v>
      </c>
      <c r="I86" s="12" t="s">
        <v>197</v>
      </c>
      <c r="J86" s="33" t="s">
        <v>10</v>
      </c>
    </row>
    <row r="87" spans="1:10" ht="15.75" customHeight="1" x14ac:dyDescent="0.2">
      <c r="A87" s="1" t="s">
        <v>198</v>
      </c>
      <c r="B87" s="1">
        <v>268.76182484934401</v>
      </c>
      <c r="C87" s="1">
        <v>-3.31603067848808</v>
      </c>
      <c r="D87" s="1">
        <v>0.40089553625517199</v>
      </c>
      <c r="E87" s="1">
        <v>-8.2715579960396699</v>
      </c>
      <c r="F87" s="6">
        <v>1.3221968442748899E-16</v>
      </c>
      <c r="G87" s="6">
        <v>2.3890667574053399E-13</v>
      </c>
      <c r="H87" s="1" t="s">
        <v>143</v>
      </c>
      <c r="I87" s="9" t="s">
        <v>10</v>
      </c>
      <c r="J87" s="33" t="s">
        <v>10</v>
      </c>
    </row>
    <row r="88" spans="1:10" ht="15.75" customHeight="1" x14ac:dyDescent="0.2">
      <c r="A88" s="1" t="s">
        <v>203</v>
      </c>
      <c r="B88" s="1">
        <v>39.2462099795789</v>
      </c>
      <c r="C88" s="1">
        <v>-3.2900676295839602</v>
      </c>
      <c r="D88" s="1">
        <v>0.71766126221818205</v>
      </c>
      <c r="E88" s="1">
        <v>-4.5844297341824802</v>
      </c>
      <c r="F88" s="6">
        <v>4.5522713685620901E-6</v>
      </c>
      <c r="G88" s="1">
        <v>6.7183687051924597E-4</v>
      </c>
      <c r="H88" s="8" t="s">
        <v>10</v>
      </c>
      <c r="I88" s="9" t="s">
        <v>10</v>
      </c>
      <c r="J88" s="33" t="s">
        <v>10</v>
      </c>
    </row>
    <row r="89" spans="1:10" ht="15.75" customHeight="1" x14ac:dyDescent="0.2">
      <c r="A89" s="1" t="s">
        <v>206</v>
      </c>
      <c r="B89" s="1">
        <v>1505.82054874048</v>
      </c>
      <c r="C89" s="1">
        <v>-3.2834862677677799</v>
      </c>
      <c r="D89" s="1">
        <v>0.32416391015726698</v>
      </c>
      <c r="E89" s="1">
        <v>-10.1290926129772</v>
      </c>
      <c r="F89" s="6">
        <v>4.1044043843882499E-24</v>
      </c>
      <c r="G89" s="6">
        <v>1.9599996794162599E-20</v>
      </c>
      <c r="H89" s="18" t="s">
        <v>207</v>
      </c>
      <c r="I89" s="12" t="s">
        <v>208</v>
      </c>
      <c r="J89" s="33" t="s">
        <v>10</v>
      </c>
    </row>
    <row r="90" spans="1:10" ht="15.75" customHeight="1" x14ac:dyDescent="0.2">
      <c r="A90" s="1" t="s">
        <v>209</v>
      </c>
      <c r="B90" s="1">
        <v>42.5544870992276</v>
      </c>
      <c r="C90" s="1">
        <v>-3.28110371643622</v>
      </c>
      <c r="D90" s="1">
        <v>0.64725470166656096</v>
      </c>
      <c r="E90" s="1">
        <v>-5.0692620818172198</v>
      </c>
      <c r="F90" s="6">
        <v>3.99361002099331E-7</v>
      </c>
      <c r="G90" s="6">
        <v>8.8408211242883305E-5</v>
      </c>
      <c r="H90" s="18" t="s">
        <v>214</v>
      </c>
      <c r="I90" s="12" t="s">
        <v>216</v>
      </c>
      <c r="J90" s="33" t="s">
        <v>3052</v>
      </c>
    </row>
    <row r="91" spans="1:10" ht="15.75" customHeight="1" x14ac:dyDescent="0.2">
      <c r="A91" s="1" t="s">
        <v>217</v>
      </c>
      <c r="B91" s="1">
        <v>57.038263573455701</v>
      </c>
      <c r="C91" s="1">
        <v>-3.2808062165941099</v>
      </c>
      <c r="D91" s="1">
        <v>0.59033338869296204</v>
      </c>
      <c r="E91" s="1">
        <v>-5.5575481235408901</v>
      </c>
      <c r="F91" s="6">
        <v>2.7359056685992901E-8</v>
      </c>
      <c r="G91" s="6">
        <v>9.1454486737102892E-6</v>
      </c>
      <c r="H91" s="8" t="s">
        <v>10</v>
      </c>
      <c r="I91" s="9" t="s">
        <v>10</v>
      </c>
      <c r="J91" s="33" t="s">
        <v>10</v>
      </c>
    </row>
    <row r="92" spans="1:10" ht="15.75" customHeight="1" x14ac:dyDescent="0.2">
      <c r="A92" s="1" t="s">
        <v>220</v>
      </c>
      <c r="B92" s="1">
        <v>1304.0900843742299</v>
      </c>
      <c r="C92" s="1">
        <v>-3.2673689228213201</v>
      </c>
      <c r="D92" s="1">
        <v>0.340842858096852</v>
      </c>
      <c r="E92" s="1">
        <v>-9.5861445977339006</v>
      </c>
      <c r="F92" s="6">
        <v>9.1438084944473405E-22</v>
      </c>
      <c r="G92" s="6">
        <v>2.9109967471251299E-18</v>
      </c>
      <c r="H92" s="12" t="s">
        <v>222</v>
      </c>
      <c r="I92" s="17" t="s">
        <v>223</v>
      </c>
      <c r="J92" s="33" t="s">
        <v>10</v>
      </c>
    </row>
    <row r="93" spans="1:10" ht="15.75" customHeight="1" x14ac:dyDescent="0.2">
      <c r="A93" s="1" t="s">
        <v>224</v>
      </c>
      <c r="B93" s="1">
        <v>173.78747380177299</v>
      </c>
      <c r="C93" s="1">
        <v>-3.2550181031504901</v>
      </c>
      <c r="D93" s="1">
        <v>0.51969560950912597</v>
      </c>
      <c r="E93" s="1">
        <v>-6.2633165329701201</v>
      </c>
      <c r="F93" s="6">
        <v>3.7687450920062702E-10</v>
      </c>
      <c r="G93" s="6">
        <v>2.35476124416897E-7</v>
      </c>
      <c r="H93" s="1" t="s">
        <v>45</v>
      </c>
      <c r="I93" s="17" t="s">
        <v>227</v>
      </c>
      <c r="J93" s="33" t="s">
        <v>10</v>
      </c>
    </row>
    <row r="94" spans="1:10" ht="15.75" customHeight="1" x14ac:dyDescent="0.2">
      <c r="A94" s="1" t="s">
        <v>229</v>
      </c>
      <c r="B94" s="1">
        <v>48.217196370699497</v>
      </c>
      <c r="C94" s="1">
        <v>-3.2289497933262301</v>
      </c>
      <c r="D94" s="1">
        <v>0.71939592834232702</v>
      </c>
      <c r="E94" s="1">
        <v>-4.4884182216134603</v>
      </c>
      <c r="F94" s="6">
        <v>7.1753958489561902E-6</v>
      </c>
      <c r="G94" s="1">
        <v>9.6763590532235203E-4</v>
      </c>
      <c r="H94" s="8" t="s">
        <v>10</v>
      </c>
      <c r="I94" s="9" t="s">
        <v>10</v>
      </c>
      <c r="J94" s="33" t="s">
        <v>10</v>
      </c>
    </row>
    <row r="95" spans="1:10" ht="15.75" customHeight="1" x14ac:dyDescent="0.2">
      <c r="A95" s="1" t="s">
        <v>231</v>
      </c>
      <c r="B95" s="1">
        <v>53.349241209576597</v>
      </c>
      <c r="C95" s="1">
        <v>-3.2201865574683199</v>
      </c>
      <c r="D95" s="1">
        <v>0.60443987610720995</v>
      </c>
      <c r="E95" s="1">
        <v>-5.32755479040756</v>
      </c>
      <c r="F95" s="6">
        <v>9.9543756106802195E-8</v>
      </c>
      <c r="G95" s="6">
        <v>2.7274581207050298E-5</v>
      </c>
      <c r="H95" s="1" t="s">
        <v>235</v>
      </c>
      <c r="I95" s="17" t="s">
        <v>237</v>
      </c>
      <c r="J95" s="33" t="s">
        <v>10</v>
      </c>
    </row>
    <row r="96" spans="1:10" ht="15.75" customHeight="1" x14ac:dyDescent="0.2">
      <c r="A96" s="1" t="s">
        <v>239</v>
      </c>
      <c r="B96" s="1">
        <v>491.32331371306202</v>
      </c>
      <c r="C96" s="1">
        <v>-3.2142773709674799</v>
      </c>
      <c r="D96" s="1">
        <v>0.38968572904082699</v>
      </c>
      <c r="E96" s="1">
        <v>-8.2483835856117</v>
      </c>
      <c r="F96" s="6">
        <v>1.6055131429742899E-16</v>
      </c>
      <c r="G96" s="6">
        <v>2.7934555616760301E-13</v>
      </c>
      <c r="H96" s="1" t="s">
        <v>242</v>
      </c>
      <c r="I96" s="17" t="s">
        <v>243</v>
      </c>
      <c r="J96" s="33" t="s">
        <v>3053</v>
      </c>
    </row>
    <row r="97" spans="1:10" ht="15.75" customHeight="1" x14ac:dyDescent="0.2">
      <c r="A97" s="1" t="s">
        <v>244</v>
      </c>
      <c r="B97" s="1">
        <v>4406.0111225622304</v>
      </c>
      <c r="C97" s="1">
        <v>-3.2003986526246999</v>
      </c>
      <c r="D97" s="1">
        <v>0.41578399183805398</v>
      </c>
      <c r="E97" s="1">
        <v>-7.6972627985909599</v>
      </c>
      <c r="F97" s="6">
        <v>1.39011812608033E-14</v>
      </c>
      <c r="G97" s="6">
        <v>1.8966601493693901E-11</v>
      </c>
      <c r="H97" s="1" t="s">
        <v>246</v>
      </c>
      <c r="I97" s="9" t="s">
        <v>10</v>
      </c>
      <c r="J97" s="33" t="s">
        <v>10</v>
      </c>
    </row>
    <row r="98" spans="1:10" ht="15.75" customHeight="1" x14ac:dyDescent="0.2">
      <c r="A98" s="1" t="s">
        <v>247</v>
      </c>
      <c r="B98" s="1">
        <v>444.14220040125502</v>
      </c>
      <c r="C98" s="1">
        <v>-3.1865642402626499</v>
      </c>
      <c r="D98" s="1">
        <v>0.405097420236401</v>
      </c>
      <c r="E98" s="1">
        <v>-7.8661676946821304</v>
      </c>
      <c r="F98" s="6">
        <v>3.6567029445165702E-15</v>
      </c>
      <c r="G98" s="6">
        <v>5.4326416745701196E-12</v>
      </c>
      <c r="H98" s="8" t="s">
        <v>10</v>
      </c>
      <c r="I98" s="9" t="s">
        <v>10</v>
      </c>
      <c r="J98" s="33" t="s">
        <v>10</v>
      </c>
    </row>
    <row r="99" spans="1:10" ht="15.75" customHeight="1" x14ac:dyDescent="0.2">
      <c r="A99" s="1" t="s">
        <v>249</v>
      </c>
      <c r="B99" s="1">
        <v>165.74370520826301</v>
      </c>
      <c r="C99" s="1">
        <v>-3.17994703818048</v>
      </c>
      <c r="D99" s="1">
        <v>0.44148508383161</v>
      </c>
      <c r="E99" s="1">
        <v>-7.2028413974533398</v>
      </c>
      <c r="F99" s="6">
        <v>5.8970553725063803E-13</v>
      </c>
      <c r="G99" s="6">
        <v>6.5707939488152299E-10</v>
      </c>
      <c r="H99" s="1" t="s">
        <v>252</v>
      </c>
      <c r="I99" s="12" t="s">
        <v>254</v>
      </c>
      <c r="J99" s="33" t="s">
        <v>10</v>
      </c>
    </row>
    <row r="100" spans="1:10" ht="15.75" customHeight="1" x14ac:dyDescent="0.2">
      <c r="A100" s="1" t="s">
        <v>257</v>
      </c>
      <c r="B100" s="1">
        <v>112.399060715787</v>
      </c>
      <c r="C100" s="1">
        <v>-3.1574273762109302</v>
      </c>
      <c r="D100" s="1">
        <v>0.51353966851591104</v>
      </c>
      <c r="E100" s="1">
        <v>-6.1483612071013898</v>
      </c>
      <c r="F100" s="6">
        <v>7.8287589108529496E-10</v>
      </c>
      <c r="G100" s="6">
        <v>4.4734331366245699E-7</v>
      </c>
      <c r="H100" s="8" t="s">
        <v>10</v>
      </c>
      <c r="I100" s="9" t="s">
        <v>10</v>
      </c>
      <c r="J100" s="33" t="s">
        <v>10</v>
      </c>
    </row>
    <row r="101" spans="1:10" ht="15.75" customHeight="1" x14ac:dyDescent="0.2">
      <c r="A101" s="1" t="s">
        <v>258</v>
      </c>
      <c r="B101" s="1">
        <v>139.06324119177799</v>
      </c>
      <c r="C101" s="1">
        <v>-3.1534849433177898</v>
      </c>
      <c r="D101" s="1">
        <v>0.546752127555027</v>
      </c>
      <c r="E101" s="1">
        <v>-5.7676683535180402</v>
      </c>
      <c r="F101" s="6">
        <v>8.0375778139302195E-9</v>
      </c>
      <c r="G101" s="6">
        <v>3.29663966104482E-6</v>
      </c>
      <c r="H101" s="8" t="s">
        <v>10</v>
      </c>
      <c r="I101" s="17" t="s">
        <v>260</v>
      </c>
      <c r="J101" s="33" t="s">
        <v>10</v>
      </c>
    </row>
    <row r="102" spans="1:10" ht="15.75" customHeight="1" x14ac:dyDescent="0.2">
      <c r="A102" s="1" t="s">
        <v>261</v>
      </c>
      <c r="B102" s="1">
        <v>256.588363949648</v>
      </c>
      <c r="C102" s="1">
        <v>-3.15066038215019</v>
      </c>
      <c r="D102" s="1">
        <v>0.40197640846525601</v>
      </c>
      <c r="E102" s="1">
        <v>-7.8379236089486097</v>
      </c>
      <c r="F102" s="6">
        <v>4.5805752371830401E-15</v>
      </c>
      <c r="G102" s="6">
        <v>6.6572686409102597E-12</v>
      </c>
      <c r="H102" s="1" t="s">
        <v>263</v>
      </c>
      <c r="I102" s="12" t="s">
        <v>265</v>
      </c>
      <c r="J102" s="33" t="s">
        <v>10</v>
      </c>
    </row>
    <row r="103" spans="1:10" ht="15.75" customHeight="1" x14ac:dyDescent="0.2">
      <c r="A103" s="1" t="s">
        <v>267</v>
      </c>
      <c r="B103" s="1">
        <v>539.30317523806002</v>
      </c>
      <c r="C103" s="1">
        <v>-3.1384916966946101</v>
      </c>
      <c r="D103" s="1">
        <v>0.381293600812742</v>
      </c>
      <c r="E103" s="1">
        <v>-8.2311680290589493</v>
      </c>
      <c r="F103" s="6">
        <v>1.85396691641086E-16</v>
      </c>
      <c r="G103" s="6">
        <v>3.0986739549161998E-13</v>
      </c>
      <c r="H103" s="8" t="s">
        <v>10</v>
      </c>
      <c r="I103" s="9" t="s">
        <v>10</v>
      </c>
      <c r="J103" s="33" t="s">
        <v>10</v>
      </c>
    </row>
    <row r="104" spans="1:10" ht="15.75" customHeight="1" x14ac:dyDescent="0.2">
      <c r="A104" s="1" t="s">
        <v>269</v>
      </c>
      <c r="B104" s="1">
        <v>98.580014215095204</v>
      </c>
      <c r="C104" s="1">
        <v>-3.1279762292570701</v>
      </c>
      <c r="D104" s="1">
        <v>0.60251195104774902</v>
      </c>
      <c r="E104" s="1">
        <v>-5.1915588127631596</v>
      </c>
      <c r="F104" s="6">
        <v>2.08540690897252E-7</v>
      </c>
      <c r="G104" s="6">
        <v>5.0332086245255599E-5</v>
      </c>
      <c r="H104" s="1" t="s">
        <v>270</v>
      </c>
      <c r="I104" s="17" t="s">
        <v>227</v>
      </c>
      <c r="J104" s="33" t="s">
        <v>10</v>
      </c>
    </row>
    <row r="105" spans="1:10" ht="15.75" customHeight="1" x14ac:dyDescent="0.2">
      <c r="A105" s="1" t="s">
        <v>272</v>
      </c>
      <c r="B105" s="1">
        <v>52.257651567105</v>
      </c>
      <c r="C105" s="1">
        <v>-3.0994258252947402</v>
      </c>
      <c r="D105" s="1">
        <v>0.58673258436834996</v>
      </c>
      <c r="E105" s="1">
        <v>-5.28251865989587</v>
      </c>
      <c r="F105" s="6">
        <v>1.2741985252115E-7</v>
      </c>
      <c r="G105" s="6">
        <v>3.3113628666542902E-5</v>
      </c>
      <c r="H105" s="8" t="s">
        <v>10</v>
      </c>
      <c r="I105" s="17" t="s">
        <v>86</v>
      </c>
      <c r="J105" s="33" t="s">
        <v>10</v>
      </c>
    </row>
    <row r="106" spans="1:10" ht="15.75" customHeight="1" x14ac:dyDescent="0.2">
      <c r="A106" s="1" t="s">
        <v>277</v>
      </c>
      <c r="B106" s="1">
        <v>77.359495411776706</v>
      </c>
      <c r="C106" s="1">
        <v>-3.0755783230134801</v>
      </c>
      <c r="D106" s="1">
        <v>0.54448545042038499</v>
      </c>
      <c r="E106" s="1">
        <v>-5.6485959737562998</v>
      </c>
      <c r="F106" s="6">
        <v>1.6176353453897099E-8</v>
      </c>
      <c r="G106" s="6">
        <v>5.9749729843109896E-6</v>
      </c>
      <c r="H106" s="17" t="s">
        <v>174</v>
      </c>
      <c r="I106" s="17" t="s">
        <v>284</v>
      </c>
      <c r="J106" s="33" t="s">
        <v>3069</v>
      </c>
    </row>
    <row r="107" spans="1:10" ht="15.75" customHeight="1" x14ac:dyDescent="0.2">
      <c r="A107" s="1" t="s">
        <v>285</v>
      </c>
      <c r="B107" s="1">
        <v>59.105393649516998</v>
      </c>
      <c r="C107" s="1">
        <v>-3.0204645395860501</v>
      </c>
      <c r="D107" s="1">
        <v>0.60777675034094103</v>
      </c>
      <c r="E107" s="1">
        <v>-4.9696941153008503</v>
      </c>
      <c r="F107" s="6">
        <v>6.7058606691913096E-7</v>
      </c>
      <c r="G107" s="1">
        <v>1.3879885914513501E-4</v>
      </c>
      <c r="H107" s="1" t="s">
        <v>287</v>
      </c>
      <c r="I107" s="17" t="s">
        <v>289</v>
      </c>
      <c r="J107" s="33" t="s">
        <v>10</v>
      </c>
    </row>
    <row r="108" spans="1:10" ht="15.75" customHeight="1" x14ac:dyDescent="0.2">
      <c r="A108" s="1" t="s">
        <v>290</v>
      </c>
      <c r="B108" s="1">
        <v>51.577281200101801</v>
      </c>
      <c r="C108" s="1">
        <v>-3.0189461249672598</v>
      </c>
      <c r="D108" s="1">
        <v>0.64216151120728604</v>
      </c>
      <c r="E108" s="1">
        <v>-4.7012255830959697</v>
      </c>
      <c r="F108" s="6">
        <v>2.5860462941383399E-6</v>
      </c>
      <c r="G108" s="1">
        <v>4.2688919751757701E-4</v>
      </c>
      <c r="H108" s="1" t="s">
        <v>246</v>
      </c>
      <c r="I108" s="12" t="s">
        <v>292</v>
      </c>
      <c r="J108" s="33" t="s">
        <v>10</v>
      </c>
    </row>
    <row r="109" spans="1:10" ht="15.75" customHeight="1" x14ac:dyDescent="0.2">
      <c r="A109" s="1" t="s">
        <v>294</v>
      </c>
      <c r="B109" s="1">
        <v>37.612233965112203</v>
      </c>
      <c r="C109" s="1">
        <v>-3.0156505599274901</v>
      </c>
      <c r="D109" s="1">
        <v>0.66625775707018997</v>
      </c>
      <c r="E109" s="1">
        <v>-4.5262520817596803</v>
      </c>
      <c r="F109" s="6">
        <v>6.00389581517642E-6</v>
      </c>
      <c r="G109" s="1">
        <v>8.4166972293225103E-4</v>
      </c>
      <c r="H109" s="1" t="s">
        <v>296</v>
      </c>
      <c r="I109" s="9" t="s">
        <v>10</v>
      </c>
      <c r="J109" s="33" t="s">
        <v>10</v>
      </c>
    </row>
    <row r="110" spans="1:10" ht="15.75" customHeight="1" x14ac:dyDescent="0.2">
      <c r="A110" s="1" t="s">
        <v>297</v>
      </c>
      <c r="B110" s="1">
        <v>77.518113420606596</v>
      </c>
      <c r="C110" s="1">
        <v>-3.00004942804483</v>
      </c>
      <c r="D110" s="1">
        <v>0.55120061646052898</v>
      </c>
      <c r="E110" s="1">
        <v>-5.4427541233703502</v>
      </c>
      <c r="F110" s="6">
        <v>5.24630388008206E-8</v>
      </c>
      <c r="G110" s="6">
        <v>1.6238039162170701E-5</v>
      </c>
      <c r="H110" s="1" t="s">
        <v>299</v>
      </c>
      <c r="I110" s="17" t="s">
        <v>300</v>
      </c>
      <c r="J110" s="33" t="s">
        <v>3154</v>
      </c>
    </row>
    <row r="111" spans="1:10" ht="15.75" customHeight="1" x14ac:dyDescent="0.2">
      <c r="A111" s="1" t="s">
        <v>301</v>
      </c>
      <c r="B111" s="1">
        <v>144.22024865149299</v>
      </c>
      <c r="C111" s="1">
        <v>-2.98485772373953</v>
      </c>
      <c r="D111" s="1">
        <v>0.49531507716481599</v>
      </c>
      <c r="E111" s="1">
        <v>-6.0261798223968102</v>
      </c>
      <c r="F111" s="6">
        <v>1.6788039322669201E-9</v>
      </c>
      <c r="G111" s="6">
        <v>7.9600309852272997E-7</v>
      </c>
      <c r="H111" s="8" t="s">
        <v>10</v>
      </c>
      <c r="I111" s="9" t="s">
        <v>10</v>
      </c>
      <c r="J111" s="33" t="s">
        <v>10</v>
      </c>
    </row>
    <row r="112" spans="1:10" ht="15.75" customHeight="1" x14ac:dyDescent="0.2">
      <c r="A112" s="1" t="s">
        <v>303</v>
      </c>
      <c r="B112" s="1">
        <v>48.805890630203301</v>
      </c>
      <c r="C112" s="1">
        <v>-2.9505043211763402</v>
      </c>
      <c r="D112" s="1">
        <v>0.63021757602741202</v>
      </c>
      <c r="E112" s="1">
        <v>-4.6817233181195901</v>
      </c>
      <c r="F112" s="6">
        <v>2.8447326848159901E-6</v>
      </c>
      <c r="G112" s="1">
        <v>4.5498709005591603E-4</v>
      </c>
      <c r="H112" s="1" t="s">
        <v>246</v>
      </c>
      <c r="I112" s="12" t="s">
        <v>292</v>
      </c>
      <c r="J112" s="33" t="s">
        <v>10</v>
      </c>
    </row>
    <row r="113" spans="1:10" ht="15.75" customHeight="1" x14ac:dyDescent="0.2">
      <c r="A113" s="1" t="s">
        <v>305</v>
      </c>
      <c r="B113" s="1">
        <v>64.279022145218406</v>
      </c>
      <c r="C113" s="1">
        <v>-2.9312503989571499</v>
      </c>
      <c r="D113" s="1">
        <v>0.59131611357818903</v>
      </c>
      <c r="E113" s="1">
        <v>-4.9571630666708604</v>
      </c>
      <c r="F113" s="6">
        <v>7.1529939428202701E-7</v>
      </c>
      <c r="G113" s="1">
        <v>1.45796771355869E-4</v>
      </c>
      <c r="H113" s="8" t="s">
        <v>10</v>
      </c>
      <c r="I113" s="9" t="s">
        <v>10</v>
      </c>
      <c r="J113" s="33" t="s">
        <v>10</v>
      </c>
    </row>
    <row r="114" spans="1:10" ht="15.75" customHeight="1" x14ac:dyDescent="0.2">
      <c r="A114" s="1" t="s">
        <v>308</v>
      </c>
      <c r="B114" s="1">
        <v>125.412282613976</v>
      </c>
      <c r="C114" s="1">
        <v>-2.8279756517164301</v>
      </c>
      <c r="D114" s="1">
        <v>0.48518579178051902</v>
      </c>
      <c r="E114" s="1">
        <v>-5.8286448194173497</v>
      </c>
      <c r="F114" s="6">
        <v>5.5879292161089304E-9</v>
      </c>
      <c r="G114" s="6">
        <v>2.3947500496343801E-6</v>
      </c>
      <c r="H114" s="8" t="s">
        <v>10</v>
      </c>
      <c r="I114" s="9" t="s">
        <v>10</v>
      </c>
      <c r="J114" s="33" t="s">
        <v>10</v>
      </c>
    </row>
    <row r="115" spans="1:10" ht="15.75" customHeight="1" x14ac:dyDescent="0.2">
      <c r="A115" s="1" t="s">
        <v>312</v>
      </c>
      <c r="B115" s="1">
        <v>69.356976033835906</v>
      </c>
      <c r="C115" s="1">
        <v>-2.8244466831384401</v>
      </c>
      <c r="D115" s="1">
        <v>0.55214382413664898</v>
      </c>
      <c r="E115" s="1">
        <v>-5.1154184103296698</v>
      </c>
      <c r="F115" s="6">
        <v>3.1304624273145301E-7</v>
      </c>
      <c r="G115" s="6">
        <v>7.1186076727249397E-5</v>
      </c>
      <c r="H115" s="1" t="s">
        <v>314</v>
      </c>
      <c r="I115" s="12" t="s">
        <v>316</v>
      </c>
      <c r="J115" s="33" t="s">
        <v>10</v>
      </c>
    </row>
    <row r="116" spans="1:10" ht="15.75" customHeight="1" x14ac:dyDescent="0.2">
      <c r="A116" s="1" t="s">
        <v>318</v>
      </c>
      <c r="B116" s="1">
        <v>190.723847455201</v>
      </c>
      <c r="C116" s="1">
        <v>-2.8058766982797199</v>
      </c>
      <c r="D116" s="1">
        <v>0.44656963525158599</v>
      </c>
      <c r="E116" s="1">
        <v>-6.2831784268067397</v>
      </c>
      <c r="F116" s="6">
        <v>3.3171996763072801E-10</v>
      </c>
      <c r="G116" s="6">
        <v>2.1742292584267001E-7</v>
      </c>
      <c r="H116" s="8" t="s">
        <v>10</v>
      </c>
      <c r="I116" s="9" t="s">
        <v>10</v>
      </c>
      <c r="J116" s="33" t="s">
        <v>10</v>
      </c>
    </row>
    <row r="117" spans="1:10" ht="15.75" customHeight="1" x14ac:dyDescent="0.2">
      <c r="A117" s="1" t="s">
        <v>322</v>
      </c>
      <c r="B117" s="1">
        <v>54.857405917072398</v>
      </c>
      <c r="C117" s="1">
        <v>-2.7879571744588501</v>
      </c>
      <c r="D117" s="1">
        <v>0.56968505430709204</v>
      </c>
      <c r="E117" s="1">
        <v>-4.8938569712871303</v>
      </c>
      <c r="F117" s="6">
        <v>9.8878712053407104E-7</v>
      </c>
      <c r="G117" s="1">
        <v>1.8887246555230101E-4</v>
      </c>
      <c r="H117" s="17" t="s">
        <v>325</v>
      </c>
      <c r="I117" s="17" t="s">
        <v>326</v>
      </c>
      <c r="J117" s="33" t="s">
        <v>10</v>
      </c>
    </row>
    <row r="118" spans="1:10" ht="15.75" customHeight="1" x14ac:dyDescent="0.2">
      <c r="A118" s="1" t="s">
        <v>327</v>
      </c>
      <c r="B118" s="1">
        <v>81.202941068369498</v>
      </c>
      <c r="C118" s="1">
        <v>-2.7801227669827</v>
      </c>
      <c r="D118" s="1">
        <v>0.57068967815162097</v>
      </c>
      <c r="E118" s="1">
        <v>-4.8715140178934</v>
      </c>
      <c r="F118" s="6">
        <v>1.10746303944885E-6</v>
      </c>
      <c r="G118" s="1">
        <v>2.0915096469591201E-4</v>
      </c>
      <c r="H118" s="8" t="s">
        <v>10</v>
      </c>
      <c r="I118" s="9" t="s">
        <v>10</v>
      </c>
      <c r="J118" s="33" t="s">
        <v>10</v>
      </c>
    </row>
    <row r="119" spans="1:10" ht="15.75" customHeight="1" x14ac:dyDescent="0.2">
      <c r="A119" s="1" t="s">
        <v>331</v>
      </c>
      <c r="B119" s="1">
        <v>57.879948232839403</v>
      </c>
      <c r="C119" s="1">
        <v>-2.77346627575717</v>
      </c>
      <c r="D119" s="1">
        <v>0.58611461793128505</v>
      </c>
      <c r="E119" s="1">
        <v>-4.7319520634824501</v>
      </c>
      <c r="F119" s="6">
        <v>2.2237093423633401E-6</v>
      </c>
      <c r="G119" s="1">
        <v>3.7259671198922701E-4</v>
      </c>
      <c r="H119" s="8" t="s">
        <v>10</v>
      </c>
      <c r="I119" s="9" t="s">
        <v>10</v>
      </c>
      <c r="J119" s="33" t="s">
        <v>10</v>
      </c>
    </row>
    <row r="120" spans="1:10" ht="15.75" customHeight="1" x14ac:dyDescent="0.2">
      <c r="A120" s="1" t="s">
        <v>334</v>
      </c>
      <c r="B120" s="1">
        <v>80.160971944085702</v>
      </c>
      <c r="C120" s="1">
        <v>-2.7618423322791501</v>
      </c>
      <c r="D120" s="1">
        <v>0.49043009151305</v>
      </c>
      <c r="E120" s="1">
        <v>-5.63146996906013</v>
      </c>
      <c r="F120" s="6">
        <v>1.7868009209704401E-8</v>
      </c>
      <c r="G120" s="6">
        <v>6.4340987543865302E-6</v>
      </c>
      <c r="H120" s="1" t="s">
        <v>335</v>
      </c>
      <c r="I120" s="17" t="s">
        <v>336</v>
      </c>
      <c r="J120" s="33" t="s">
        <v>3048</v>
      </c>
    </row>
    <row r="121" spans="1:10" ht="15.75" customHeight="1" x14ac:dyDescent="0.2">
      <c r="A121" s="1" t="s">
        <v>337</v>
      </c>
      <c r="B121" s="1">
        <v>265.000979292772</v>
      </c>
      <c r="C121" s="1">
        <v>-2.7008225291239598</v>
      </c>
      <c r="D121" s="1">
        <v>0.47584706133620602</v>
      </c>
      <c r="E121" s="1">
        <v>-5.6758205494427001</v>
      </c>
      <c r="F121" s="6">
        <v>1.38025414688715E-8</v>
      </c>
      <c r="G121" s="6">
        <v>5.2729651994366097E-6</v>
      </c>
      <c r="H121" s="1" t="s">
        <v>339</v>
      </c>
      <c r="I121" s="9" t="s">
        <v>10</v>
      </c>
      <c r="J121" s="33" t="s">
        <v>10</v>
      </c>
    </row>
    <row r="122" spans="1:10" ht="15.75" customHeight="1" x14ac:dyDescent="0.2">
      <c r="A122" s="1" t="s">
        <v>340</v>
      </c>
      <c r="B122" s="1">
        <v>165.25168280544199</v>
      </c>
      <c r="C122" s="1">
        <v>-2.6930044006146598</v>
      </c>
      <c r="D122" s="1">
        <v>0.441719976149339</v>
      </c>
      <c r="E122" s="1">
        <v>-6.0966325863066597</v>
      </c>
      <c r="F122" s="6">
        <v>1.08326106758244E-9</v>
      </c>
      <c r="G122" s="6">
        <v>5.9296928054941599E-7</v>
      </c>
      <c r="H122" s="18" t="s">
        <v>342</v>
      </c>
      <c r="I122" s="17" t="s">
        <v>343</v>
      </c>
      <c r="J122" s="33" t="s">
        <v>10</v>
      </c>
    </row>
    <row r="123" spans="1:10" ht="15.75" customHeight="1" x14ac:dyDescent="0.2">
      <c r="A123" s="1" t="s">
        <v>345</v>
      </c>
      <c r="B123" s="1">
        <v>67.198539789489701</v>
      </c>
      <c r="C123" s="1">
        <v>-2.6900182420416101</v>
      </c>
      <c r="D123" s="1">
        <v>0.52156913782115</v>
      </c>
      <c r="E123" s="1">
        <v>-5.1575487255230099</v>
      </c>
      <c r="F123" s="6">
        <v>2.5020375211115201E-7</v>
      </c>
      <c r="G123" s="6">
        <v>5.8899196645743098E-5</v>
      </c>
      <c r="H123" s="8" t="s">
        <v>10</v>
      </c>
      <c r="I123" s="9" t="s">
        <v>10</v>
      </c>
      <c r="J123" s="33" t="s">
        <v>10</v>
      </c>
    </row>
    <row r="124" spans="1:10" ht="15.75" customHeight="1" x14ac:dyDescent="0.2">
      <c r="A124" s="1" t="s">
        <v>347</v>
      </c>
      <c r="B124" s="1">
        <v>63.211251418490399</v>
      </c>
      <c r="C124" s="1">
        <v>-2.66991734686904</v>
      </c>
      <c r="D124" s="1">
        <v>0.56309220969842999</v>
      </c>
      <c r="E124" s="1">
        <v>-4.7415277655838004</v>
      </c>
      <c r="F124" s="6">
        <v>2.1211258061299701E-6</v>
      </c>
      <c r="G124" s="1">
        <v>3.5991844103761201E-4</v>
      </c>
      <c r="H124" s="8" t="s">
        <v>10</v>
      </c>
      <c r="I124" s="9" t="s">
        <v>10</v>
      </c>
      <c r="J124" s="33" t="s">
        <v>10</v>
      </c>
    </row>
    <row r="125" spans="1:10" ht="15.75" customHeight="1" x14ac:dyDescent="0.2">
      <c r="A125" s="1" t="s">
        <v>349</v>
      </c>
      <c r="B125" s="1">
        <v>1686.7818177511899</v>
      </c>
      <c r="C125" s="1">
        <v>-2.6292600719491999</v>
      </c>
      <c r="D125" s="1">
        <v>0.40667433918599599</v>
      </c>
      <c r="E125" s="1">
        <v>-6.4652716402317401</v>
      </c>
      <c r="F125" s="6">
        <v>1.0111699916676701E-10</v>
      </c>
      <c r="G125" s="6">
        <v>7.4287659113123093E-8</v>
      </c>
      <c r="H125" s="8" t="s">
        <v>10</v>
      </c>
      <c r="I125" s="9" t="s">
        <v>10</v>
      </c>
      <c r="J125" s="33" t="s">
        <v>10</v>
      </c>
    </row>
    <row r="126" spans="1:10" ht="15.75" customHeight="1" x14ac:dyDescent="0.2">
      <c r="A126" s="1" t="s">
        <v>352</v>
      </c>
      <c r="B126" s="1">
        <v>1354.76265889872</v>
      </c>
      <c r="C126" s="1">
        <v>-2.5999346305572</v>
      </c>
      <c r="D126" s="1">
        <v>0.42853532656302001</v>
      </c>
      <c r="E126" s="1">
        <v>-6.0670252121556603</v>
      </c>
      <c r="F126" s="6">
        <v>1.3030110898471901E-9</v>
      </c>
      <c r="G126" s="6">
        <v>6.6498325505140401E-7</v>
      </c>
      <c r="H126" s="1" t="s">
        <v>263</v>
      </c>
      <c r="I126" s="17" t="s">
        <v>355</v>
      </c>
      <c r="J126" s="33" t="s">
        <v>3055</v>
      </c>
    </row>
    <row r="127" spans="1:10" ht="15.75" customHeight="1" x14ac:dyDescent="0.2">
      <c r="A127" s="1" t="s">
        <v>356</v>
      </c>
      <c r="B127" s="1">
        <v>82.946459163421906</v>
      </c>
      <c r="C127" s="1">
        <v>-2.5978525853151302</v>
      </c>
      <c r="D127" s="1">
        <v>0.57450051466683205</v>
      </c>
      <c r="E127" s="1">
        <v>-4.5219325640146497</v>
      </c>
      <c r="F127" s="6">
        <v>6.1277583585630897E-6</v>
      </c>
      <c r="G127" s="1">
        <v>8.53481843878615E-4</v>
      </c>
      <c r="H127" s="1" t="s">
        <v>360</v>
      </c>
      <c r="I127" s="9" t="s">
        <v>10</v>
      </c>
      <c r="J127" s="33" t="s">
        <v>10</v>
      </c>
    </row>
    <row r="128" spans="1:10" ht="15.75" customHeight="1" x14ac:dyDescent="0.2">
      <c r="A128" s="1" t="s">
        <v>361</v>
      </c>
      <c r="B128" s="1">
        <v>235.73904269617799</v>
      </c>
      <c r="C128" s="1">
        <v>-2.5946598603913</v>
      </c>
      <c r="D128" s="1">
        <v>0.43882155263195599</v>
      </c>
      <c r="E128" s="1">
        <v>-5.9127903924250997</v>
      </c>
      <c r="F128" s="6">
        <v>3.3636010993513901E-9</v>
      </c>
      <c r="G128" s="6">
        <v>1.50921846642374E-6</v>
      </c>
      <c r="H128" s="8" t="s">
        <v>10</v>
      </c>
      <c r="I128" s="17" t="s">
        <v>131</v>
      </c>
      <c r="J128" s="33" t="s">
        <v>10</v>
      </c>
    </row>
    <row r="129" spans="1:10" ht="15.75" customHeight="1" x14ac:dyDescent="0.2">
      <c r="A129" s="1" t="s">
        <v>365</v>
      </c>
      <c r="B129" s="1">
        <v>84.147193601271795</v>
      </c>
      <c r="C129" s="1">
        <v>-2.56654232151539</v>
      </c>
      <c r="D129" s="1">
        <v>0.55587055203531099</v>
      </c>
      <c r="E129" s="1">
        <v>-4.6171582792397299</v>
      </c>
      <c r="F129" s="6">
        <v>3.8903055102855498E-6</v>
      </c>
      <c r="G129" s="1">
        <v>5.85780123626443E-4</v>
      </c>
      <c r="H129" s="8" t="s">
        <v>10</v>
      </c>
      <c r="I129" s="9" t="s">
        <v>10</v>
      </c>
      <c r="J129" s="33" t="s">
        <v>10</v>
      </c>
    </row>
    <row r="130" spans="1:10" ht="15.75" customHeight="1" x14ac:dyDescent="0.2">
      <c r="A130" s="1" t="s">
        <v>367</v>
      </c>
      <c r="B130" s="1">
        <v>625.58435098748805</v>
      </c>
      <c r="C130" s="1">
        <v>-2.5494024454198398</v>
      </c>
      <c r="D130" s="1">
        <v>0.43219933188496301</v>
      </c>
      <c r="E130" s="1">
        <v>-5.8986728052101798</v>
      </c>
      <c r="F130" s="6">
        <v>3.6643706268115301E-9</v>
      </c>
      <c r="G130" s="6">
        <v>1.6332099883699E-6</v>
      </c>
      <c r="H130" s="1" t="s">
        <v>360</v>
      </c>
      <c r="I130" s="9" t="s">
        <v>10</v>
      </c>
      <c r="J130" s="33" t="s">
        <v>10</v>
      </c>
    </row>
    <row r="131" spans="1:10" ht="15.75" customHeight="1" x14ac:dyDescent="0.2">
      <c r="A131" s="1" t="s">
        <v>371</v>
      </c>
      <c r="B131" s="1">
        <v>521.91300874442095</v>
      </c>
      <c r="C131" s="1">
        <v>-2.5404032840507802</v>
      </c>
      <c r="D131" s="1">
        <v>0.42260342985552601</v>
      </c>
      <c r="E131" s="1">
        <v>-6.0113172411290297</v>
      </c>
      <c r="F131" s="6">
        <v>1.84021889537608E-9</v>
      </c>
      <c r="G131" s="6">
        <v>8.6033450524732701E-7</v>
      </c>
      <c r="H131" s="1" t="s">
        <v>373</v>
      </c>
      <c r="I131" s="17" t="s">
        <v>374</v>
      </c>
      <c r="J131" s="33" t="s">
        <v>3066</v>
      </c>
    </row>
    <row r="132" spans="1:10" ht="15.75" customHeight="1" x14ac:dyDescent="0.2">
      <c r="A132" s="1" t="s">
        <v>376</v>
      </c>
      <c r="B132" s="1">
        <v>415.33043858901198</v>
      </c>
      <c r="C132" s="1">
        <v>-2.4888041013678999</v>
      </c>
      <c r="D132" s="1">
        <v>0.43532769830489898</v>
      </c>
      <c r="E132" s="1">
        <v>-5.7170818926958598</v>
      </c>
      <c r="F132" s="6">
        <v>1.0836889861010701E-8</v>
      </c>
      <c r="G132" s="6">
        <v>4.2368436939056898E-6</v>
      </c>
      <c r="H132" s="8" t="s">
        <v>10</v>
      </c>
      <c r="I132" s="9" t="s">
        <v>10</v>
      </c>
      <c r="J132" s="33" t="s">
        <v>10</v>
      </c>
    </row>
    <row r="133" spans="1:10" ht="15.75" customHeight="1" x14ac:dyDescent="0.2">
      <c r="A133" s="1" t="s">
        <v>378</v>
      </c>
      <c r="B133" s="1">
        <v>235.02649353482499</v>
      </c>
      <c r="C133" s="1">
        <v>-2.4839275038759498</v>
      </c>
      <c r="D133" s="1">
        <v>0.400145384294192</v>
      </c>
      <c r="E133" s="1">
        <v>-6.2075625544383</v>
      </c>
      <c r="F133" s="6">
        <v>5.3812691556327504E-10</v>
      </c>
      <c r="G133" s="6">
        <v>3.2411238684669099E-7</v>
      </c>
      <c r="H133" s="1" t="s">
        <v>382</v>
      </c>
      <c r="I133" s="17" t="s">
        <v>86</v>
      </c>
      <c r="J133" s="33" t="s">
        <v>3084</v>
      </c>
    </row>
    <row r="134" spans="1:10" ht="15.75" customHeight="1" x14ac:dyDescent="0.2">
      <c r="A134" s="1" t="s">
        <v>383</v>
      </c>
      <c r="B134" s="1">
        <v>626.57381674286398</v>
      </c>
      <c r="C134" s="1">
        <v>-2.4514731837925701</v>
      </c>
      <c r="D134" s="1">
        <v>0.45231633381322101</v>
      </c>
      <c r="E134" s="1">
        <v>-5.4198201579978198</v>
      </c>
      <c r="F134" s="6">
        <v>5.9659019868022604E-8</v>
      </c>
      <c r="G134" s="6">
        <v>1.78856671447383E-5</v>
      </c>
      <c r="H134" s="8" t="s">
        <v>10</v>
      </c>
      <c r="I134" s="9" t="s">
        <v>10</v>
      </c>
      <c r="J134" s="33" t="s">
        <v>10</v>
      </c>
    </row>
    <row r="135" spans="1:10" ht="15.75" customHeight="1" x14ac:dyDescent="0.2">
      <c r="A135" s="1" t="s">
        <v>385</v>
      </c>
      <c r="B135" s="1">
        <v>183.244536418856</v>
      </c>
      <c r="C135" s="1">
        <v>-2.36948875634421</v>
      </c>
      <c r="D135" s="1">
        <v>0.464762428108346</v>
      </c>
      <c r="E135" s="1">
        <v>-5.0982794930054798</v>
      </c>
      <c r="F135" s="6">
        <v>3.4275449254135301E-7</v>
      </c>
      <c r="G135" s="6">
        <v>7.6638299661712904E-5</v>
      </c>
      <c r="H135" s="8" t="s">
        <v>10</v>
      </c>
      <c r="I135" s="9" t="s">
        <v>10</v>
      </c>
      <c r="J135" s="33" t="s">
        <v>10</v>
      </c>
    </row>
    <row r="136" spans="1:10" ht="15.75" customHeight="1" x14ac:dyDescent="0.2">
      <c r="A136" s="1" t="s">
        <v>389</v>
      </c>
      <c r="B136" s="1">
        <v>451.770515668472</v>
      </c>
      <c r="C136" s="1">
        <v>-2.3579231035298198</v>
      </c>
      <c r="D136" s="1">
        <v>0.398365750674812</v>
      </c>
      <c r="E136" s="1">
        <v>-5.9189905245007104</v>
      </c>
      <c r="F136" s="6">
        <v>3.2392362504746401E-9</v>
      </c>
      <c r="G136" s="6">
        <v>1.46323742922623E-6</v>
      </c>
      <c r="H136" s="8" t="s">
        <v>10</v>
      </c>
      <c r="I136" s="17" t="s">
        <v>391</v>
      </c>
      <c r="J136" s="33" t="s">
        <v>10</v>
      </c>
    </row>
    <row r="137" spans="1:10" ht="15.75" customHeight="1" x14ac:dyDescent="0.2">
      <c r="A137" s="1" t="s">
        <v>392</v>
      </c>
      <c r="B137" s="1">
        <v>139.860780320006</v>
      </c>
      <c r="C137" s="1">
        <v>-2.35711695798439</v>
      </c>
      <c r="D137" s="1">
        <v>0.46027969778136302</v>
      </c>
      <c r="E137" s="1">
        <v>-5.1210535014821401</v>
      </c>
      <c r="F137" s="6">
        <v>3.0383342067550201E-7</v>
      </c>
      <c r="G137" s="6">
        <v>6.9326905594746294E-5</v>
      </c>
      <c r="H137" s="8" t="s">
        <v>10</v>
      </c>
      <c r="I137" s="9" t="s">
        <v>10</v>
      </c>
      <c r="J137" s="33" t="s">
        <v>10</v>
      </c>
    </row>
    <row r="138" spans="1:10" ht="15.75" customHeight="1" x14ac:dyDescent="0.2">
      <c r="A138" s="1" t="s">
        <v>394</v>
      </c>
      <c r="B138" s="1">
        <v>187.08789349601199</v>
      </c>
      <c r="C138" s="1">
        <v>-2.3466790473060399</v>
      </c>
      <c r="D138" s="1">
        <v>0.46383260236893797</v>
      </c>
      <c r="E138" s="1">
        <v>-5.0593232026399599</v>
      </c>
      <c r="F138" s="6">
        <v>4.2074718211417999E-7</v>
      </c>
      <c r="G138" s="6">
        <v>9.1625579349327401E-5</v>
      </c>
      <c r="H138" s="8" t="s">
        <v>10</v>
      </c>
      <c r="I138" s="9" t="s">
        <v>10</v>
      </c>
      <c r="J138" s="33" t="s">
        <v>10</v>
      </c>
    </row>
    <row r="139" spans="1:10" ht="15.75" customHeight="1" x14ac:dyDescent="0.2">
      <c r="A139" s="1" t="s">
        <v>396</v>
      </c>
      <c r="B139" s="1">
        <v>89.397595863753807</v>
      </c>
      <c r="C139" s="1">
        <v>-2.3455444088070601</v>
      </c>
      <c r="D139" s="1">
        <v>0.50108343964356805</v>
      </c>
      <c r="E139" s="1">
        <v>-4.68094577317403</v>
      </c>
      <c r="F139" s="6">
        <v>2.8555447141255398E-6</v>
      </c>
      <c r="G139" s="1">
        <v>4.5562635289466102E-4</v>
      </c>
      <c r="H139" s="1" t="s">
        <v>399</v>
      </c>
      <c r="I139" s="17" t="s">
        <v>401</v>
      </c>
      <c r="J139" s="33" t="s">
        <v>10</v>
      </c>
    </row>
    <row r="140" spans="1:10" ht="15.75" customHeight="1" x14ac:dyDescent="0.2">
      <c r="A140" s="1" t="s">
        <v>402</v>
      </c>
      <c r="B140" s="1">
        <v>79.878338860927997</v>
      </c>
      <c r="C140" s="1">
        <v>-2.3453783403403898</v>
      </c>
      <c r="D140" s="1">
        <v>0.52258755633958298</v>
      </c>
      <c r="E140" s="1">
        <v>-4.4880103092549302</v>
      </c>
      <c r="F140" s="6">
        <v>7.1891450780502703E-6</v>
      </c>
      <c r="G140" s="1">
        <v>9.6763590532235203E-4</v>
      </c>
      <c r="H140" s="1" t="s">
        <v>404</v>
      </c>
      <c r="I140" s="12" t="s">
        <v>405</v>
      </c>
      <c r="J140" s="33" t="s">
        <v>10</v>
      </c>
    </row>
    <row r="141" spans="1:10" ht="15.75" customHeight="1" x14ac:dyDescent="0.2">
      <c r="A141" s="1" t="s">
        <v>406</v>
      </c>
      <c r="B141" s="1">
        <v>184.266873358325</v>
      </c>
      <c r="C141" s="1">
        <v>-2.3367880696676702</v>
      </c>
      <c r="D141" s="1">
        <v>0.42652235993322102</v>
      </c>
      <c r="E141" s="1">
        <v>-5.4787000382196496</v>
      </c>
      <c r="F141" s="6">
        <v>4.2846200777835401E-8</v>
      </c>
      <c r="G141" s="6">
        <v>1.3705659105273599E-5</v>
      </c>
      <c r="H141" s="1" t="s">
        <v>263</v>
      </c>
      <c r="I141" s="12" t="s">
        <v>265</v>
      </c>
      <c r="J141" s="33" t="s">
        <v>10</v>
      </c>
    </row>
    <row r="142" spans="1:10" ht="15.75" customHeight="1" x14ac:dyDescent="0.2">
      <c r="A142" s="1" t="s">
        <v>410</v>
      </c>
      <c r="B142" s="1">
        <v>165.16078152823599</v>
      </c>
      <c r="C142" s="1">
        <v>-2.32982503437891</v>
      </c>
      <c r="D142" s="1">
        <v>0.44692037088616798</v>
      </c>
      <c r="E142" s="1">
        <v>-5.2130652038958596</v>
      </c>
      <c r="F142" s="6">
        <v>1.85745570783853E-7</v>
      </c>
      <c r="G142" s="6">
        <v>4.5321241367717102E-5</v>
      </c>
      <c r="H142" s="8" t="s">
        <v>10</v>
      </c>
      <c r="I142" s="9" t="s">
        <v>10</v>
      </c>
      <c r="J142" s="33" t="s">
        <v>10</v>
      </c>
    </row>
    <row r="143" spans="1:10" ht="15.75" customHeight="1" x14ac:dyDescent="0.2">
      <c r="A143" s="1" t="s">
        <v>413</v>
      </c>
      <c r="B143" s="1">
        <v>157.98583440240401</v>
      </c>
      <c r="C143" s="1">
        <v>-2.3263886704316699</v>
      </c>
      <c r="D143" s="1">
        <v>0.43150137244053399</v>
      </c>
      <c r="E143" s="1">
        <v>-5.3913818565021501</v>
      </c>
      <c r="F143" s="6">
        <v>6.9917920661924794E-8</v>
      </c>
      <c r="G143" s="6">
        <v>2.0412063693681199E-5</v>
      </c>
      <c r="H143" s="8" t="s">
        <v>10</v>
      </c>
      <c r="I143" s="9" t="s">
        <v>10</v>
      </c>
      <c r="J143" s="33" t="s">
        <v>10</v>
      </c>
    </row>
    <row r="144" spans="1:10" ht="15.75" customHeight="1" x14ac:dyDescent="0.2">
      <c r="A144" s="1" t="s">
        <v>418</v>
      </c>
      <c r="B144" s="1">
        <v>473.17062110247701</v>
      </c>
      <c r="C144" s="1">
        <v>-2.3171881924726998</v>
      </c>
      <c r="D144" s="1">
        <v>0.34925123671311697</v>
      </c>
      <c r="E144" s="1">
        <v>-6.6347315310327302</v>
      </c>
      <c r="F144" s="6">
        <v>3.2509368717035998E-11</v>
      </c>
      <c r="G144" s="6">
        <v>2.5569574653852201E-8</v>
      </c>
      <c r="H144" s="1" t="s">
        <v>421</v>
      </c>
      <c r="I144" s="9" t="s">
        <v>422</v>
      </c>
      <c r="J144" s="33" t="s">
        <v>10</v>
      </c>
    </row>
    <row r="145" spans="1:10" ht="15.75" customHeight="1" x14ac:dyDescent="0.2">
      <c r="A145" s="1" t="s">
        <v>424</v>
      </c>
      <c r="B145" s="1">
        <v>123.147534587766</v>
      </c>
      <c r="C145" s="1">
        <v>-2.3075854767006501</v>
      </c>
      <c r="D145" s="1">
        <v>0.491421594035444</v>
      </c>
      <c r="E145" s="1">
        <v>-4.6957347920983299</v>
      </c>
      <c r="F145" s="6">
        <v>2.65650029090364E-6</v>
      </c>
      <c r="G145" s="1">
        <v>4.35294918991086E-4</v>
      </c>
      <c r="H145" s="8" t="s">
        <v>10</v>
      </c>
      <c r="I145" s="9" t="s">
        <v>10</v>
      </c>
      <c r="J145" s="33" t="s">
        <v>10</v>
      </c>
    </row>
    <row r="146" spans="1:10" ht="15.75" customHeight="1" x14ac:dyDescent="0.2">
      <c r="A146" s="1" t="s">
        <v>428</v>
      </c>
      <c r="B146" s="1">
        <v>113.751976483993</v>
      </c>
      <c r="C146" s="1">
        <v>-2.3025264150220401</v>
      </c>
      <c r="D146" s="1">
        <v>0.45539117983739302</v>
      </c>
      <c r="E146" s="1">
        <v>-5.0561506611616904</v>
      </c>
      <c r="F146" s="6">
        <v>4.2780341322893299E-7</v>
      </c>
      <c r="G146" s="6">
        <v>9.2528575724997101E-5</v>
      </c>
      <c r="H146" s="8" t="s">
        <v>10</v>
      </c>
      <c r="I146" s="9" t="s">
        <v>10</v>
      </c>
      <c r="J146" s="33" t="s">
        <v>10</v>
      </c>
    </row>
    <row r="147" spans="1:10" ht="15.75" customHeight="1" x14ac:dyDescent="0.2">
      <c r="A147" s="1" t="s">
        <v>432</v>
      </c>
      <c r="B147" s="1">
        <v>100.686746325694</v>
      </c>
      <c r="C147" s="1">
        <v>-2.2903498891583398</v>
      </c>
      <c r="D147" s="1">
        <v>0.45453103588578198</v>
      </c>
      <c r="E147" s="1">
        <v>-5.0389295962924701</v>
      </c>
      <c r="F147" s="6">
        <v>4.6814263782206903E-7</v>
      </c>
      <c r="G147" s="6">
        <v>9.9674127552848405E-5</v>
      </c>
      <c r="H147" s="1" t="s">
        <v>434</v>
      </c>
      <c r="I147" s="16" t="s">
        <v>435</v>
      </c>
      <c r="J147" s="33" t="s">
        <v>10</v>
      </c>
    </row>
    <row r="148" spans="1:10" ht="15.75" customHeight="1" x14ac:dyDescent="0.2">
      <c r="A148" s="1" t="s">
        <v>437</v>
      </c>
      <c r="B148" s="1">
        <v>239.30563318222599</v>
      </c>
      <c r="C148" s="1">
        <v>-2.2848959373986601</v>
      </c>
      <c r="D148" s="1">
        <v>0.380647666691738</v>
      </c>
      <c r="E148" s="1">
        <v>-6.0026532075108001</v>
      </c>
      <c r="F148" s="6">
        <v>1.9411894424924399E-9</v>
      </c>
      <c r="G148" s="6">
        <v>9.0123764012383495E-7</v>
      </c>
      <c r="H148" s="1" t="s">
        <v>440</v>
      </c>
      <c r="I148" s="9" t="s">
        <v>441</v>
      </c>
      <c r="J148" s="33" t="s">
        <v>3075</v>
      </c>
    </row>
    <row r="149" spans="1:10" ht="15.75" customHeight="1" x14ac:dyDescent="0.2">
      <c r="A149" s="14" t="s">
        <v>444</v>
      </c>
      <c r="B149" s="1">
        <v>143.68195492353601</v>
      </c>
      <c r="C149" s="1">
        <v>-2.28306815082159</v>
      </c>
      <c r="D149" s="1">
        <v>0.44362569339159202</v>
      </c>
      <c r="E149" s="1">
        <v>-5.1463839557333904</v>
      </c>
      <c r="F149" s="6">
        <v>2.6555561065584799E-7</v>
      </c>
      <c r="G149" s="6">
        <v>6.1644862327766303E-5</v>
      </c>
      <c r="H149" s="1" t="s">
        <v>446</v>
      </c>
      <c r="I149" s="16" t="s">
        <v>447</v>
      </c>
      <c r="J149" s="33" t="s">
        <v>10</v>
      </c>
    </row>
    <row r="150" spans="1:10" ht="15.75" customHeight="1" x14ac:dyDescent="0.2">
      <c r="A150" s="1" t="s">
        <v>449</v>
      </c>
      <c r="B150" s="1">
        <v>107.468214792162</v>
      </c>
      <c r="C150" s="1">
        <v>-2.2738623103782101</v>
      </c>
      <c r="D150" s="1">
        <v>0.46081975980726902</v>
      </c>
      <c r="E150" s="1">
        <v>-4.9343854337522597</v>
      </c>
      <c r="F150" s="6">
        <v>8.0403523526423496E-7</v>
      </c>
      <c r="G150" s="1">
        <v>1.5908596973855999E-4</v>
      </c>
      <c r="H150" s="1" t="s">
        <v>451</v>
      </c>
      <c r="I150" s="9" t="s">
        <v>452</v>
      </c>
      <c r="J150" s="33" t="s">
        <v>10</v>
      </c>
    </row>
    <row r="151" spans="1:10" ht="15.75" customHeight="1" x14ac:dyDescent="0.2">
      <c r="A151" s="1" t="s">
        <v>455</v>
      </c>
      <c r="B151" s="1">
        <v>114.744781100597</v>
      </c>
      <c r="C151" s="1">
        <v>-2.2714448064786499</v>
      </c>
      <c r="D151" s="1">
        <v>0.43801505120224699</v>
      </c>
      <c r="E151" s="1">
        <v>-5.1857688457144802</v>
      </c>
      <c r="F151" s="6">
        <v>2.1512550331041199E-7</v>
      </c>
      <c r="G151" s="6">
        <v>5.1000764268856697E-5</v>
      </c>
      <c r="H151" s="1" t="s">
        <v>457</v>
      </c>
      <c r="I151" s="12" t="s">
        <v>458</v>
      </c>
      <c r="J151" s="33" t="s">
        <v>10</v>
      </c>
    </row>
    <row r="152" spans="1:10" ht="15.75" customHeight="1" x14ac:dyDescent="0.2">
      <c r="A152" s="1" t="s">
        <v>460</v>
      </c>
      <c r="B152" s="1">
        <v>264.21407502774701</v>
      </c>
      <c r="C152" s="1">
        <v>-2.2498016299666301</v>
      </c>
      <c r="D152" s="1">
        <v>0.37070063320715702</v>
      </c>
      <c r="E152" s="1">
        <v>-6.06905256811197</v>
      </c>
      <c r="F152" s="6">
        <v>1.2866702891201701E-9</v>
      </c>
      <c r="G152" s="6">
        <v>6.6169493983945202E-7</v>
      </c>
      <c r="H152" s="8" t="s">
        <v>10</v>
      </c>
      <c r="I152" s="9" t="s">
        <v>10</v>
      </c>
      <c r="J152" s="33" t="s">
        <v>10</v>
      </c>
    </row>
    <row r="153" spans="1:10" ht="15.75" customHeight="1" x14ac:dyDescent="0.2">
      <c r="A153" s="1" t="s">
        <v>461</v>
      </c>
      <c r="B153" s="1">
        <v>5334.9069204419302</v>
      </c>
      <c r="C153" s="1">
        <v>-2.2446610577612098</v>
      </c>
      <c r="D153" s="1">
        <v>0.33773479779983201</v>
      </c>
      <c r="E153" s="1">
        <v>-6.6462238193518202</v>
      </c>
      <c r="F153" s="6">
        <v>3.0070788524089502E-11</v>
      </c>
      <c r="G153" s="6">
        <v>2.42214767081687E-8</v>
      </c>
      <c r="H153" s="8" t="s">
        <v>10</v>
      </c>
      <c r="I153" s="9" t="s">
        <v>10</v>
      </c>
      <c r="J153" s="33" t="s">
        <v>10</v>
      </c>
    </row>
    <row r="154" spans="1:10" ht="15.75" customHeight="1" x14ac:dyDescent="0.2">
      <c r="A154" s="1" t="s">
        <v>464</v>
      </c>
      <c r="B154" s="1">
        <v>228.66775826336601</v>
      </c>
      <c r="C154" s="1">
        <v>-2.2427429353561998</v>
      </c>
      <c r="D154" s="1">
        <v>0.42636540931626199</v>
      </c>
      <c r="E154" s="1">
        <v>-5.2601427938367804</v>
      </c>
      <c r="F154" s="6">
        <v>1.4394357545437799E-7</v>
      </c>
      <c r="G154" s="6">
        <v>3.6452074761372998E-5</v>
      </c>
      <c r="H154" s="8" t="s">
        <v>10</v>
      </c>
      <c r="I154" s="9" t="s">
        <v>10</v>
      </c>
      <c r="J154" s="33" t="s">
        <v>10</v>
      </c>
    </row>
    <row r="155" spans="1:10" ht="15.75" customHeight="1" x14ac:dyDescent="0.2">
      <c r="A155" s="1" t="s">
        <v>466</v>
      </c>
      <c r="B155" s="1">
        <v>86.665152074890898</v>
      </c>
      <c r="C155" s="1">
        <v>-2.2396973826582198</v>
      </c>
      <c r="D155" s="1">
        <v>0.49834940113176501</v>
      </c>
      <c r="E155" s="1">
        <v>-4.4942311108868802</v>
      </c>
      <c r="F155" s="6">
        <v>6.9821766463800298E-6</v>
      </c>
      <c r="G155" s="1">
        <v>9.4684263629561205E-4</v>
      </c>
      <c r="H155" s="8" t="s">
        <v>10</v>
      </c>
      <c r="I155" s="9" t="s">
        <v>10</v>
      </c>
      <c r="J155" s="33" t="s">
        <v>10</v>
      </c>
    </row>
    <row r="156" spans="1:10" ht="15.75" customHeight="1" x14ac:dyDescent="0.2">
      <c r="A156" s="1" t="s">
        <v>468</v>
      </c>
      <c r="B156" s="1">
        <v>142.59338024803299</v>
      </c>
      <c r="C156" s="1">
        <v>-2.238768225022</v>
      </c>
      <c r="D156" s="1">
        <v>0.42504487226626397</v>
      </c>
      <c r="E156" s="1">
        <v>-5.2671338277421897</v>
      </c>
      <c r="F156" s="6">
        <v>1.38570191261697E-7</v>
      </c>
      <c r="G156" s="6">
        <v>3.5494674853642799E-5</v>
      </c>
      <c r="H156" s="8" t="s">
        <v>10</v>
      </c>
      <c r="I156" s="9" t="s">
        <v>10</v>
      </c>
      <c r="J156" s="33" t="s">
        <v>10</v>
      </c>
    </row>
    <row r="157" spans="1:10" ht="15.75" customHeight="1" x14ac:dyDescent="0.2">
      <c r="A157" s="1" t="s">
        <v>470</v>
      </c>
      <c r="B157" s="1">
        <v>208.86957917357</v>
      </c>
      <c r="C157" s="1">
        <v>-2.21395658296849</v>
      </c>
      <c r="D157" s="1">
        <v>0.43783952879351701</v>
      </c>
      <c r="E157" s="1">
        <v>-5.05654797562278</v>
      </c>
      <c r="F157" s="6">
        <v>4.2691350956626702E-7</v>
      </c>
      <c r="G157" s="6">
        <v>9.2528575724997101E-5</v>
      </c>
      <c r="H157" s="8" t="s">
        <v>10</v>
      </c>
      <c r="I157" s="9" t="s">
        <v>10</v>
      </c>
      <c r="J157" s="33" t="s">
        <v>10</v>
      </c>
    </row>
    <row r="158" spans="1:10" ht="15.75" customHeight="1" x14ac:dyDescent="0.2">
      <c r="A158" s="1" t="s">
        <v>473</v>
      </c>
      <c r="B158" s="1">
        <v>117.15235905811799</v>
      </c>
      <c r="C158" s="1">
        <v>-2.2121696478992301</v>
      </c>
      <c r="D158" s="1">
        <v>0.42649202426062799</v>
      </c>
      <c r="E158" s="1">
        <v>-5.1868957027608404</v>
      </c>
      <c r="F158" s="6">
        <v>2.13828402369501E-7</v>
      </c>
      <c r="G158" s="6">
        <v>5.0873657795063901E-5</v>
      </c>
      <c r="H158" s="8" t="s">
        <v>10</v>
      </c>
      <c r="I158" s="9" t="s">
        <v>10</v>
      </c>
      <c r="J158" s="33" t="s">
        <v>10</v>
      </c>
    </row>
    <row r="159" spans="1:10" ht="15.75" customHeight="1" x14ac:dyDescent="0.2">
      <c r="A159" s="1" t="s">
        <v>476</v>
      </c>
      <c r="B159" s="1">
        <v>112.160522729455</v>
      </c>
      <c r="C159" s="1">
        <v>-2.21104308323851</v>
      </c>
      <c r="D159" s="1">
        <v>0.45321324895375298</v>
      </c>
      <c r="E159" s="1">
        <v>-4.8785932192907397</v>
      </c>
      <c r="F159" s="6">
        <v>1.0684516377100599E-6</v>
      </c>
      <c r="G159" s="1">
        <v>2.02929926815642E-4</v>
      </c>
      <c r="H159" s="8" t="s">
        <v>10</v>
      </c>
      <c r="I159" s="17" t="s">
        <v>391</v>
      </c>
      <c r="J159" s="33" t="s">
        <v>10</v>
      </c>
    </row>
    <row r="160" spans="1:10" ht="15.75" customHeight="1" x14ac:dyDescent="0.2">
      <c r="A160" s="1" t="s">
        <v>478</v>
      </c>
      <c r="B160" s="1">
        <v>1189.57809125728</v>
      </c>
      <c r="C160" s="1">
        <v>-2.2099254413001899</v>
      </c>
      <c r="D160" s="1">
        <v>0.41466386550492901</v>
      </c>
      <c r="E160" s="1">
        <v>-5.3294381911218798</v>
      </c>
      <c r="F160" s="6">
        <v>9.8517040617911006E-8</v>
      </c>
      <c r="G160" s="6">
        <v>2.71043487675327E-5</v>
      </c>
      <c r="H160" s="8" t="s">
        <v>10</v>
      </c>
      <c r="I160" s="9" t="s">
        <v>10</v>
      </c>
      <c r="J160" s="33" t="s">
        <v>10</v>
      </c>
    </row>
    <row r="161" spans="1:10" ht="15.75" customHeight="1" x14ac:dyDescent="0.2">
      <c r="A161" s="1" t="s">
        <v>481</v>
      </c>
      <c r="B161" s="1">
        <v>488.685861806601</v>
      </c>
      <c r="C161" s="1">
        <v>-2.1986883148663399</v>
      </c>
      <c r="D161" s="1">
        <v>0.37644285814162898</v>
      </c>
      <c r="E161" s="1">
        <v>-5.8406960507114496</v>
      </c>
      <c r="F161" s="6">
        <v>5.19831707843881E-9</v>
      </c>
      <c r="G161" s="6">
        <v>2.2567109628508201E-6</v>
      </c>
      <c r="H161" s="8" t="s">
        <v>10</v>
      </c>
      <c r="I161" s="9" t="s">
        <v>10</v>
      </c>
      <c r="J161" s="33" t="s">
        <v>10</v>
      </c>
    </row>
    <row r="162" spans="1:10" ht="15.75" customHeight="1" x14ac:dyDescent="0.2">
      <c r="A162" s="1" t="s">
        <v>485</v>
      </c>
      <c r="B162" s="1">
        <v>241.98322891042201</v>
      </c>
      <c r="C162" s="1">
        <v>-2.1937017828265102</v>
      </c>
      <c r="D162" s="1">
        <v>0.41195395542023</v>
      </c>
      <c r="E162" s="1">
        <v>-5.3251140181157703</v>
      </c>
      <c r="F162" s="6">
        <v>1.0088973480944399E-7</v>
      </c>
      <c r="G162" s="6">
        <v>2.7418630978395801E-5</v>
      </c>
      <c r="H162" s="8" t="s">
        <v>10</v>
      </c>
      <c r="I162" s="9" t="s">
        <v>10</v>
      </c>
      <c r="J162" s="33" t="s">
        <v>10</v>
      </c>
    </row>
    <row r="163" spans="1:10" ht="15.75" customHeight="1" x14ac:dyDescent="0.2">
      <c r="A163" s="1" t="s">
        <v>489</v>
      </c>
      <c r="B163" s="1">
        <v>484.81241362091203</v>
      </c>
      <c r="C163" s="1">
        <v>-2.1730474756050202</v>
      </c>
      <c r="D163" s="1">
        <v>0.38839660031178702</v>
      </c>
      <c r="E163" s="1">
        <v>-5.5949188892503097</v>
      </c>
      <c r="F163" s="6">
        <v>2.2072493506577801E-8</v>
      </c>
      <c r="G163" s="6">
        <v>7.5674695045243899E-6</v>
      </c>
      <c r="H163" s="1" t="s">
        <v>335</v>
      </c>
      <c r="I163" s="17" t="s">
        <v>490</v>
      </c>
      <c r="J163" s="33" t="s">
        <v>3048</v>
      </c>
    </row>
    <row r="164" spans="1:10" ht="15.75" customHeight="1" x14ac:dyDescent="0.2">
      <c r="A164" s="1" t="s">
        <v>491</v>
      </c>
      <c r="B164" s="1">
        <v>147.36604086718799</v>
      </c>
      <c r="C164" s="1">
        <v>-2.16878162023762</v>
      </c>
      <c r="D164" s="1">
        <v>0.480683897459041</v>
      </c>
      <c r="E164" s="1">
        <v>-4.5118665961187601</v>
      </c>
      <c r="F164" s="6">
        <v>6.4259601553407499E-6</v>
      </c>
      <c r="G164" s="1">
        <v>8.8215105992875897E-4</v>
      </c>
      <c r="H164" s="8" t="s">
        <v>10</v>
      </c>
      <c r="I164" s="9" t="s">
        <v>10</v>
      </c>
      <c r="J164" s="33" t="s">
        <v>10</v>
      </c>
    </row>
    <row r="165" spans="1:10" ht="15.75" customHeight="1" x14ac:dyDescent="0.2">
      <c r="A165" s="1" t="s">
        <v>493</v>
      </c>
      <c r="B165" s="1">
        <v>706.06265898247</v>
      </c>
      <c r="C165" s="1">
        <v>-2.1653747947767799</v>
      </c>
      <c r="D165" s="1">
        <v>0.40371691952588101</v>
      </c>
      <c r="E165" s="1">
        <v>-5.3635968423611402</v>
      </c>
      <c r="F165" s="6">
        <v>8.1580880456736996E-8</v>
      </c>
      <c r="G165" s="6">
        <v>2.3013036974409901E-5</v>
      </c>
      <c r="H165" s="8" t="s">
        <v>10</v>
      </c>
      <c r="I165" s="17" t="s">
        <v>391</v>
      </c>
      <c r="J165" s="33" t="s">
        <v>10</v>
      </c>
    </row>
    <row r="166" spans="1:10" ht="15.75" customHeight="1" x14ac:dyDescent="0.2">
      <c r="A166" s="1" t="s">
        <v>495</v>
      </c>
      <c r="B166" s="1">
        <v>1707.3806780221901</v>
      </c>
      <c r="C166" s="1">
        <v>-2.1615018016869798</v>
      </c>
      <c r="D166" s="1">
        <v>0.35661706923046199</v>
      </c>
      <c r="E166" s="1">
        <v>-6.0611282750745596</v>
      </c>
      <c r="F166" s="6">
        <v>1.3516997434170199E-9</v>
      </c>
      <c r="G166" s="6">
        <v>6.7945779207627903E-7</v>
      </c>
      <c r="H166" s="8" t="s">
        <v>10</v>
      </c>
      <c r="I166" s="9" t="s">
        <v>10</v>
      </c>
      <c r="J166" s="33" t="s">
        <v>10</v>
      </c>
    </row>
    <row r="167" spans="1:10" ht="15.75" customHeight="1" x14ac:dyDescent="0.2">
      <c r="A167" s="1" t="s">
        <v>497</v>
      </c>
      <c r="B167" s="1">
        <v>151.225820255657</v>
      </c>
      <c r="C167" s="1">
        <v>-2.1541810763059801</v>
      </c>
      <c r="D167" s="1">
        <v>0.39802067735587299</v>
      </c>
      <c r="E167" s="1">
        <v>-5.4122340844616597</v>
      </c>
      <c r="F167" s="6">
        <v>6.2243246767318203E-8</v>
      </c>
      <c r="G167" s="6">
        <v>1.8494543389462501E-5</v>
      </c>
      <c r="H167" s="1" t="s">
        <v>174</v>
      </c>
      <c r="I167" s="12" t="s">
        <v>175</v>
      </c>
      <c r="J167" s="33" t="s">
        <v>10</v>
      </c>
    </row>
    <row r="168" spans="1:10" ht="15.75" customHeight="1" x14ac:dyDescent="0.2">
      <c r="A168" s="1" t="s">
        <v>500</v>
      </c>
      <c r="B168" s="1">
        <v>194.664092317918</v>
      </c>
      <c r="C168" s="1">
        <v>-2.1244469350288302</v>
      </c>
      <c r="D168" s="1">
        <v>0.38925945892436697</v>
      </c>
      <c r="E168" s="1">
        <v>-5.4576629708607998</v>
      </c>
      <c r="F168" s="6">
        <v>4.8244228119595902E-8</v>
      </c>
      <c r="G168" s="6">
        <v>1.52139993912056E-5</v>
      </c>
      <c r="H168" s="1" t="s">
        <v>504</v>
      </c>
      <c r="I168" s="9" t="s">
        <v>10</v>
      </c>
      <c r="J168" s="33" t="s">
        <v>10</v>
      </c>
    </row>
    <row r="169" spans="1:10" ht="15.75" customHeight="1" x14ac:dyDescent="0.2">
      <c r="A169" s="1" t="s">
        <v>505</v>
      </c>
      <c r="B169" s="1">
        <v>252.54529202931499</v>
      </c>
      <c r="C169" s="1">
        <v>-2.1232488106437799</v>
      </c>
      <c r="D169" s="1">
        <v>0.37917335693147602</v>
      </c>
      <c r="E169" s="1">
        <v>-5.5996782786283301</v>
      </c>
      <c r="F169" s="6">
        <v>2.1474997996497001E-8</v>
      </c>
      <c r="G169" s="6">
        <v>7.4440865224458498E-6</v>
      </c>
      <c r="H169" s="17" t="s">
        <v>508</v>
      </c>
      <c r="I169" s="17" t="s">
        <v>509</v>
      </c>
      <c r="J169" s="33" t="s">
        <v>3083</v>
      </c>
    </row>
    <row r="170" spans="1:10" ht="15.75" customHeight="1" x14ac:dyDescent="0.2">
      <c r="A170" s="1" t="s">
        <v>510</v>
      </c>
      <c r="B170" s="1">
        <v>994.85274866807595</v>
      </c>
      <c r="C170" s="1">
        <v>-2.114978896032</v>
      </c>
      <c r="D170" s="1">
        <v>0.424834416238702</v>
      </c>
      <c r="E170" s="1">
        <v>-4.9783605451674404</v>
      </c>
      <c r="F170" s="6">
        <v>6.4125120940466898E-7</v>
      </c>
      <c r="G170" s="1">
        <v>1.33139284486799E-4</v>
      </c>
      <c r="H170" s="1" t="s">
        <v>512</v>
      </c>
      <c r="I170" s="17" t="s">
        <v>513</v>
      </c>
      <c r="J170" s="33" t="s">
        <v>3067</v>
      </c>
    </row>
    <row r="171" spans="1:10" ht="15.75" customHeight="1" x14ac:dyDescent="0.2">
      <c r="A171" s="1" t="s">
        <v>514</v>
      </c>
      <c r="B171" s="1">
        <v>507.04358637906603</v>
      </c>
      <c r="C171" s="1">
        <v>-2.1142420128961099</v>
      </c>
      <c r="D171" s="1">
        <v>0.34769832539594298</v>
      </c>
      <c r="E171" s="1">
        <v>-6.08067930867516</v>
      </c>
      <c r="F171" s="6">
        <v>1.19674436311651E-9</v>
      </c>
      <c r="G171" s="6">
        <v>6.2918962203011095E-7</v>
      </c>
      <c r="H171" s="8" t="s">
        <v>10</v>
      </c>
      <c r="I171" s="9" t="s">
        <v>10</v>
      </c>
      <c r="J171" s="33" t="s">
        <v>10</v>
      </c>
    </row>
    <row r="172" spans="1:10" ht="15.75" customHeight="1" x14ac:dyDescent="0.2">
      <c r="A172" s="1" t="s">
        <v>517</v>
      </c>
      <c r="B172" s="1">
        <v>498.667046970672</v>
      </c>
      <c r="C172" s="1">
        <v>-2.1005360296228699</v>
      </c>
      <c r="D172" s="1">
        <v>0.370405653022366</v>
      </c>
      <c r="E172" s="1">
        <v>-5.6709070514537601</v>
      </c>
      <c r="F172" s="6">
        <v>1.42043451281919E-8</v>
      </c>
      <c r="G172" s="6">
        <v>5.3651496810467103E-6</v>
      </c>
      <c r="H172" s="1" t="s">
        <v>518</v>
      </c>
      <c r="I172" s="17" t="s">
        <v>86</v>
      </c>
      <c r="J172" s="33" t="s">
        <v>10</v>
      </c>
    </row>
    <row r="173" spans="1:10" ht="15.75" customHeight="1" x14ac:dyDescent="0.2">
      <c r="A173" s="1" t="s">
        <v>520</v>
      </c>
      <c r="B173" s="1">
        <v>131.53565983966499</v>
      </c>
      <c r="C173" s="1">
        <v>-2.08617374835308</v>
      </c>
      <c r="D173" s="1">
        <v>0.42515128144332498</v>
      </c>
      <c r="E173" s="1">
        <v>-4.9068974725204404</v>
      </c>
      <c r="F173" s="6">
        <v>9.2528369815893197E-7</v>
      </c>
      <c r="G173" s="1">
        <v>1.77758165633377E-4</v>
      </c>
      <c r="H173" s="1" t="s">
        <v>446</v>
      </c>
      <c r="I173" s="17" t="s">
        <v>521</v>
      </c>
      <c r="J173" s="33" t="s">
        <v>3047</v>
      </c>
    </row>
    <row r="174" spans="1:10" ht="15.75" customHeight="1" x14ac:dyDescent="0.2">
      <c r="A174" s="1" t="s">
        <v>523</v>
      </c>
      <c r="B174" s="1">
        <v>666.59132294030996</v>
      </c>
      <c r="C174" s="1">
        <v>-2.0789343884452101</v>
      </c>
      <c r="D174" s="1">
        <v>0.35928993894491701</v>
      </c>
      <c r="E174" s="1">
        <v>-5.78623045930585</v>
      </c>
      <c r="F174" s="6">
        <v>7.1983441676815802E-9</v>
      </c>
      <c r="G174" s="6">
        <v>2.9952164398641601E-6</v>
      </c>
      <c r="H174" s="44" t="s">
        <v>5229</v>
      </c>
      <c r="I174" s="17" t="s">
        <v>525</v>
      </c>
      <c r="J174" s="33" t="s">
        <v>10</v>
      </c>
    </row>
    <row r="175" spans="1:10" ht="15.75" customHeight="1" x14ac:dyDescent="0.2">
      <c r="A175" s="14" t="s">
        <v>527</v>
      </c>
      <c r="B175" s="1">
        <v>127.33825224822</v>
      </c>
      <c r="C175" s="1">
        <v>-2.0672755486369998</v>
      </c>
      <c r="D175" s="1">
        <v>0.43336001620244602</v>
      </c>
      <c r="E175" s="1">
        <v>-4.7703421435891302</v>
      </c>
      <c r="F175" s="6">
        <v>1.83913264750765E-6</v>
      </c>
      <c r="G175" s="1">
        <v>3.1936418999772501E-4</v>
      </c>
      <c r="H175" s="1" t="s">
        <v>529</v>
      </c>
      <c r="I175" s="17" t="s">
        <v>531</v>
      </c>
      <c r="J175" s="33" t="s">
        <v>10</v>
      </c>
    </row>
    <row r="176" spans="1:10" ht="15.75" customHeight="1" x14ac:dyDescent="0.2">
      <c r="A176" s="1" t="s">
        <v>532</v>
      </c>
      <c r="B176" s="1">
        <v>317.58719287151501</v>
      </c>
      <c r="C176" s="1">
        <v>-2.06639273993131</v>
      </c>
      <c r="D176" s="1">
        <v>0.375486154076691</v>
      </c>
      <c r="E176" s="1">
        <v>-5.5032461716531396</v>
      </c>
      <c r="F176" s="6">
        <v>3.7286121192663E-8</v>
      </c>
      <c r="G176" s="6">
        <v>1.21598225967585E-5</v>
      </c>
      <c r="H176" s="8" t="s">
        <v>10</v>
      </c>
      <c r="I176" s="17" t="s">
        <v>391</v>
      </c>
      <c r="J176" s="33" t="s">
        <v>10</v>
      </c>
    </row>
    <row r="177" spans="1:10" ht="15.75" customHeight="1" x14ac:dyDescent="0.2">
      <c r="A177" s="1" t="s">
        <v>536</v>
      </c>
      <c r="B177" s="1">
        <v>481.56361132056298</v>
      </c>
      <c r="C177" s="1">
        <v>-2.0381191316021701</v>
      </c>
      <c r="D177" s="1">
        <v>0.32625518940059201</v>
      </c>
      <c r="E177" s="1">
        <v>-6.2470090831250404</v>
      </c>
      <c r="F177" s="6">
        <v>4.1838673920868102E-10</v>
      </c>
      <c r="G177" s="6">
        <v>2.5899301342404099E-7</v>
      </c>
      <c r="H177" s="8" t="s">
        <v>10</v>
      </c>
      <c r="I177" s="9" t="s">
        <v>10</v>
      </c>
      <c r="J177" s="33" t="s">
        <v>10</v>
      </c>
    </row>
    <row r="178" spans="1:10" ht="15.75" customHeight="1" x14ac:dyDescent="0.2">
      <c r="A178" s="1" t="s">
        <v>538</v>
      </c>
      <c r="B178" s="1">
        <v>135.628461009483</v>
      </c>
      <c r="C178" s="1">
        <v>-2.0268572394184901</v>
      </c>
      <c r="D178" s="1">
        <v>0.41661303437963099</v>
      </c>
      <c r="E178" s="1">
        <v>-4.8650835959480601</v>
      </c>
      <c r="F178" s="6">
        <v>1.1440844053087499E-6</v>
      </c>
      <c r="G178" s="1">
        <v>2.13057835423165E-4</v>
      </c>
      <c r="H178" s="1" t="s">
        <v>540</v>
      </c>
      <c r="I178" s="17" t="s">
        <v>542</v>
      </c>
      <c r="J178" s="33" t="s">
        <v>10</v>
      </c>
    </row>
    <row r="179" spans="1:10" ht="15.75" customHeight="1" x14ac:dyDescent="0.2">
      <c r="A179" s="1" t="s">
        <v>543</v>
      </c>
      <c r="B179" s="1">
        <v>787.07987806592098</v>
      </c>
      <c r="C179" s="1">
        <v>-2.0054932639128</v>
      </c>
      <c r="D179" s="1">
        <v>0.406761322339942</v>
      </c>
      <c r="E179" s="1">
        <v>-4.9303932153036598</v>
      </c>
      <c r="F179" s="6">
        <v>8.2064265473043903E-7</v>
      </c>
      <c r="G179" s="1">
        <v>1.6089168528446801E-4</v>
      </c>
      <c r="H179" s="8" t="s">
        <v>10</v>
      </c>
      <c r="I179" s="17" t="s">
        <v>355</v>
      </c>
      <c r="J179" s="33" t="s">
        <v>3055</v>
      </c>
    </row>
    <row r="180" spans="1:10" ht="15.75" customHeight="1" x14ac:dyDescent="0.2">
      <c r="A180" s="1" t="s">
        <v>546</v>
      </c>
      <c r="B180" s="1">
        <v>11317.045013156099</v>
      </c>
      <c r="C180" s="1">
        <v>3.8575863226558198</v>
      </c>
      <c r="D180" s="1">
        <v>0.37277091696628301</v>
      </c>
      <c r="E180" s="1">
        <v>10.348410101437</v>
      </c>
      <c r="F180" s="6">
        <v>4.2549280773811497E-25</v>
      </c>
      <c r="G180" s="6">
        <v>2.37052680511097E-21</v>
      </c>
      <c r="H180" s="8" t="s">
        <v>10</v>
      </c>
      <c r="I180" s="9" t="s">
        <v>10</v>
      </c>
      <c r="J180" s="33" t="s">
        <v>10</v>
      </c>
    </row>
    <row r="181" spans="1:10" ht="15.75" customHeight="1" x14ac:dyDescent="0.2">
      <c r="A181" s="1" t="s">
        <v>551</v>
      </c>
      <c r="B181" s="1">
        <v>318.29887256627097</v>
      </c>
      <c r="C181" s="1">
        <v>5.4138194289386803</v>
      </c>
      <c r="D181" s="1">
        <v>0.55266088380072698</v>
      </c>
      <c r="E181" s="1">
        <v>9.79591570097576</v>
      </c>
      <c r="F181" s="6">
        <v>1.1723032737817299E-22</v>
      </c>
      <c r="G181" s="6">
        <v>4.6102550216869001E-19</v>
      </c>
      <c r="H181" s="1" t="s">
        <v>552</v>
      </c>
      <c r="I181" s="17" t="s">
        <v>554</v>
      </c>
      <c r="J181" s="33" t="s">
        <v>3076</v>
      </c>
    </row>
    <row r="182" spans="1:10" ht="15.75" customHeight="1" x14ac:dyDescent="0.2">
      <c r="A182" s="1" t="s">
        <v>555</v>
      </c>
      <c r="B182" s="1">
        <v>4656.3809562817996</v>
      </c>
      <c r="C182" s="1">
        <v>2.8289951798005299</v>
      </c>
      <c r="D182" s="1">
        <v>0.29071118286100001</v>
      </c>
      <c r="E182" s="1">
        <v>9.7312912147352009</v>
      </c>
      <c r="F182" s="6">
        <v>2.2175990964385102E-22</v>
      </c>
      <c r="G182" s="6">
        <v>7.4128793796198203E-19</v>
      </c>
      <c r="H182" s="8" t="s">
        <v>10</v>
      </c>
      <c r="I182" s="17" t="s">
        <v>557</v>
      </c>
      <c r="J182" s="33" t="s">
        <v>3077</v>
      </c>
    </row>
    <row r="183" spans="1:10" ht="15.75" customHeight="1" x14ac:dyDescent="0.2">
      <c r="A183" s="1" t="s">
        <v>558</v>
      </c>
      <c r="B183" s="1">
        <v>899.61701124079002</v>
      </c>
      <c r="C183" s="1">
        <v>3.4769270353808599</v>
      </c>
      <c r="D183" s="1">
        <v>0.36390397123828999</v>
      </c>
      <c r="E183" s="1">
        <v>9.5545179777774791</v>
      </c>
      <c r="F183" s="6">
        <v>1.2416054567122799E-21</v>
      </c>
      <c r="G183" s="6">
        <v>3.7730696731136103E-18</v>
      </c>
      <c r="H183" s="8" t="s">
        <v>10</v>
      </c>
      <c r="I183" s="9" t="s">
        <v>10</v>
      </c>
      <c r="J183" s="33" t="s">
        <v>10</v>
      </c>
    </row>
    <row r="184" spans="1:10" ht="15.75" customHeight="1" x14ac:dyDescent="0.2">
      <c r="A184" s="1" t="s">
        <v>561</v>
      </c>
      <c r="B184" s="1">
        <v>193.36266627143101</v>
      </c>
      <c r="C184" s="1">
        <v>4.1831111870036697</v>
      </c>
      <c r="D184" s="1">
        <v>0.455212853232214</v>
      </c>
      <c r="E184" s="1">
        <v>9.1893520960616897</v>
      </c>
      <c r="F184" s="6">
        <v>3.9521456628033999E-20</v>
      </c>
      <c r="G184" s="6">
        <v>1.01623345494893E-16</v>
      </c>
      <c r="H184" s="8" t="s">
        <v>10</v>
      </c>
      <c r="I184" s="9" t="s">
        <v>10</v>
      </c>
      <c r="J184" s="33" t="s">
        <v>10</v>
      </c>
    </row>
    <row r="185" spans="1:10" ht="15.75" customHeight="1" x14ac:dyDescent="0.2">
      <c r="A185" s="1" t="s">
        <v>563</v>
      </c>
      <c r="B185" s="1">
        <v>732.47535061630401</v>
      </c>
      <c r="C185" s="1">
        <v>3.3091700381140199</v>
      </c>
      <c r="D185" s="1">
        <v>0.36592410932462399</v>
      </c>
      <c r="E185" s="1">
        <v>9.0433233388793699</v>
      </c>
      <c r="F185" s="6">
        <v>1.51979509360064E-19</v>
      </c>
      <c r="G185" s="6">
        <v>3.6287821779525399E-16</v>
      </c>
      <c r="H185" s="8" t="s">
        <v>10</v>
      </c>
      <c r="I185" s="9" t="s">
        <v>10</v>
      </c>
      <c r="J185" s="33" t="s">
        <v>10</v>
      </c>
    </row>
    <row r="186" spans="1:10" ht="15.75" customHeight="1" x14ac:dyDescent="0.2">
      <c r="A186" s="1" t="s">
        <v>567</v>
      </c>
      <c r="B186" s="1">
        <v>300.05506296240901</v>
      </c>
      <c r="C186" s="1">
        <v>3.2339520701532201</v>
      </c>
      <c r="D186" s="1">
        <v>0.37299652952944001</v>
      </c>
      <c r="E186" s="1">
        <v>8.67019345792054</v>
      </c>
      <c r="F186" s="6">
        <v>4.3138681354734799E-18</v>
      </c>
      <c r="G186" s="6">
        <v>9.0126141936587294E-15</v>
      </c>
      <c r="H186" s="8" t="s">
        <v>10</v>
      </c>
      <c r="I186" s="9" t="s">
        <v>10</v>
      </c>
      <c r="J186" s="33" t="s">
        <v>10</v>
      </c>
    </row>
    <row r="187" spans="1:10" ht="15.75" customHeight="1" x14ac:dyDescent="0.2">
      <c r="A187" s="1" t="s">
        <v>569</v>
      </c>
      <c r="B187" s="1">
        <v>627.774819505241</v>
      </c>
      <c r="C187" s="1">
        <v>11.114261018932099</v>
      </c>
      <c r="D187" s="1">
        <v>1.2863766791362701</v>
      </c>
      <c r="E187" s="1">
        <v>8.6399739665636996</v>
      </c>
      <c r="F187" s="6">
        <v>5.6225831794154299E-18</v>
      </c>
      <c r="G187" s="6">
        <v>1.13908423775703E-14</v>
      </c>
      <c r="H187" s="8" t="s">
        <v>10</v>
      </c>
      <c r="I187" s="9" t="s">
        <v>10</v>
      </c>
      <c r="J187" s="33" t="s">
        <v>10</v>
      </c>
    </row>
    <row r="188" spans="1:10" ht="15.75" customHeight="1" x14ac:dyDescent="0.2">
      <c r="A188" s="1" t="s">
        <v>571</v>
      </c>
      <c r="B188" s="1">
        <v>480.90406496818599</v>
      </c>
      <c r="C188" s="1">
        <v>2.8180378080917801</v>
      </c>
      <c r="D188" s="1">
        <v>0.33380937806591199</v>
      </c>
      <c r="E188" s="1">
        <v>8.4420570339259609</v>
      </c>
      <c r="F188" s="6">
        <v>3.11801142606656E-17</v>
      </c>
      <c r="G188" s="6">
        <v>6.1310192320494101E-14</v>
      </c>
      <c r="H188" s="8" t="s">
        <v>10</v>
      </c>
      <c r="I188" s="9" t="s">
        <v>10</v>
      </c>
      <c r="J188" s="33" t="s">
        <v>10</v>
      </c>
    </row>
    <row r="189" spans="1:10" ht="15.75" customHeight="1" x14ac:dyDescent="0.2">
      <c r="A189" s="1" t="s">
        <v>575</v>
      </c>
      <c r="B189" s="1">
        <v>185.35253346254601</v>
      </c>
      <c r="C189" s="1">
        <v>4.1845261495124504</v>
      </c>
      <c r="D189" s="1">
        <v>0.50018095127615703</v>
      </c>
      <c r="E189" s="1">
        <v>8.3660246133645995</v>
      </c>
      <c r="F189" s="6">
        <v>5.9594753414077504E-17</v>
      </c>
      <c r="G189" s="6">
        <v>1.10672423319393E-13</v>
      </c>
      <c r="H189" s="8" t="s">
        <v>10</v>
      </c>
      <c r="I189" s="9" t="s">
        <v>10</v>
      </c>
      <c r="J189" s="33" t="s">
        <v>10</v>
      </c>
    </row>
    <row r="190" spans="1:10" ht="15.75" customHeight="1" x14ac:dyDescent="0.2">
      <c r="A190" s="1" t="s">
        <v>578</v>
      </c>
      <c r="B190" s="1">
        <v>287.72951838201197</v>
      </c>
      <c r="C190" s="1">
        <v>4.1458635490004099</v>
      </c>
      <c r="D190" s="1">
        <v>0.51401211213611397</v>
      </c>
      <c r="E190" s="1">
        <v>8.0656923273095096</v>
      </c>
      <c r="F190" s="6">
        <v>7.2821995319763697E-16</v>
      </c>
      <c r="G190" s="6">
        <v>1.1874425602689801E-12</v>
      </c>
      <c r="H190" s="1" t="s">
        <v>580</v>
      </c>
      <c r="I190" s="17" t="s">
        <v>581</v>
      </c>
      <c r="J190" s="33" t="s">
        <v>3062</v>
      </c>
    </row>
    <row r="191" spans="1:10" ht="15.75" customHeight="1" x14ac:dyDescent="0.2">
      <c r="A191" s="1" t="s">
        <v>583</v>
      </c>
      <c r="B191" s="1">
        <v>150.08723539354</v>
      </c>
      <c r="C191" s="1">
        <v>4.9074490410269203</v>
      </c>
      <c r="D191" s="1">
        <v>0.61078607917249605</v>
      </c>
      <c r="E191" s="1">
        <v>8.0346445480152795</v>
      </c>
      <c r="F191" s="6">
        <v>9.3850578359825009E-16</v>
      </c>
      <c r="G191" s="6">
        <v>1.49390009910622E-12</v>
      </c>
      <c r="H191" s="8" t="s">
        <v>10</v>
      </c>
      <c r="I191" s="9" t="s">
        <v>10</v>
      </c>
      <c r="J191" s="33" t="s">
        <v>10</v>
      </c>
    </row>
    <row r="192" spans="1:10" ht="15.75" customHeight="1" x14ac:dyDescent="0.2">
      <c r="A192" s="1" t="s">
        <v>585</v>
      </c>
      <c r="B192" s="1">
        <v>1073.8980291646001</v>
      </c>
      <c r="C192" s="1">
        <v>2.84929737839109</v>
      </c>
      <c r="D192" s="1">
        <v>0.36000940966497003</v>
      </c>
      <c r="E192" s="1">
        <v>7.9145080708937297</v>
      </c>
      <c r="F192" s="6">
        <v>2.4823261943430699E-15</v>
      </c>
      <c r="G192" s="6">
        <v>3.8594399470419899E-12</v>
      </c>
      <c r="H192" s="8" t="s">
        <v>10</v>
      </c>
      <c r="I192" s="9" t="s">
        <v>10</v>
      </c>
      <c r="J192" s="33" t="s">
        <v>10</v>
      </c>
    </row>
    <row r="193" spans="1:10" ht="15.75" customHeight="1" x14ac:dyDescent="0.2">
      <c r="A193" s="1" t="s">
        <v>590</v>
      </c>
      <c r="B193" s="1">
        <v>361.94787584985301</v>
      </c>
      <c r="C193" s="1">
        <v>2.9057009244767098</v>
      </c>
      <c r="D193" s="1">
        <v>0.36864251870880199</v>
      </c>
      <c r="E193" s="1">
        <v>7.8821643652342201</v>
      </c>
      <c r="F193" s="6">
        <v>3.21758385616284E-15</v>
      </c>
      <c r="G193" s="6">
        <v>4.8888992887219698E-12</v>
      </c>
      <c r="H193" s="8" t="s">
        <v>10</v>
      </c>
      <c r="I193" s="17" t="s">
        <v>593</v>
      </c>
      <c r="J193" s="33" t="s">
        <v>10</v>
      </c>
    </row>
    <row r="194" spans="1:10" ht="15.75" customHeight="1" x14ac:dyDescent="0.2">
      <c r="A194" s="1" t="s">
        <v>594</v>
      </c>
      <c r="B194" s="1">
        <v>2296.56901501738</v>
      </c>
      <c r="C194" s="1">
        <v>2.9467811259043999</v>
      </c>
      <c r="D194" s="1">
        <v>0.378280058104011</v>
      </c>
      <c r="E194" s="1">
        <v>7.7899457366958602</v>
      </c>
      <c r="F194" s="6">
        <v>6.7037979087449603E-15</v>
      </c>
      <c r="G194" s="6">
        <v>9.5357959401945492E-12</v>
      </c>
      <c r="H194" s="8" t="s">
        <v>10</v>
      </c>
      <c r="I194" s="9" t="s">
        <v>10</v>
      </c>
      <c r="J194" s="33" t="s">
        <v>10</v>
      </c>
    </row>
    <row r="195" spans="1:10" ht="15.75" customHeight="1" x14ac:dyDescent="0.2">
      <c r="A195" s="1" t="s">
        <v>596</v>
      </c>
      <c r="B195" s="1">
        <v>291.72555379663203</v>
      </c>
      <c r="C195" s="1">
        <v>11.293363480304301</v>
      </c>
      <c r="D195" s="1">
        <v>1.4920933307047499</v>
      </c>
      <c r="E195" s="1">
        <v>7.56880501233133</v>
      </c>
      <c r="F195" s="6">
        <v>3.7667303107105398E-14</v>
      </c>
      <c r="G195" s="6">
        <v>4.8427837485106403E-11</v>
      </c>
      <c r="H195" s="8" t="s">
        <v>10</v>
      </c>
      <c r="I195" s="9" t="s">
        <v>10</v>
      </c>
      <c r="J195" s="33" t="s">
        <v>10</v>
      </c>
    </row>
    <row r="196" spans="1:10" ht="15.75" customHeight="1" x14ac:dyDescent="0.2">
      <c r="A196" s="1" t="s">
        <v>598</v>
      </c>
      <c r="B196" s="1">
        <v>148.22648332153599</v>
      </c>
      <c r="C196" s="1">
        <v>3.93603138142119</v>
      </c>
      <c r="D196" s="1">
        <v>0.52593833171417703</v>
      </c>
      <c r="E196" s="1">
        <v>7.4838267988427196</v>
      </c>
      <c r="F196" s="6">
        <v>7.2189081263770198E-14</v>
      </c>
      <c r="G196" s="6">
        <v>8.7749109597988294E-11</v>
      </c>
      <c r="H196" s="8" t="s">
        <v>10</v>
      </c>
      <c r="I196" s="9" t="s">
        <v>10</v>
      </c>
      <c r="J196" s="33" t="s">
        <v>10</v>
      </c>
    </row>
    <row r="197" spans="1:10" ht="15.75" customHeight="1" x14ac:dyDescent="0.2">
      <c r="A197" s="1" t="s">
        <v>602</v>
      </c>
      <c r="B197" s="1">
        <v>599.60941732431297</v>
      </c>
      <c r="C197" s="1">
        <v>2.8351059421022802</v>
      </c>
      <c r="D197" s="1">
        <v>0.38055186934006502</v>
      </c>
      <c r="E197" s="1">
        <v>7.4499855880849797</v>
      </c>
      <c r="F197" s="6">
        <v>9.3350428725285103E-14</v>
      </c>
      <c r="G197" s="6">
        <v>1.0949022653384101E-10</v>
      </c>
      <c r="H197" s="8" t="s">
        <v>10</v>
      </c>
      <c r="I197" s="9" t="s">
        <v>10</v>
      </c>
      <c r="J197" s="33" t="s">
        <v>10</v>
      </c>
    </row>
    <row r="198" spans="1:10" ht="15.75" customHeight="1" x14ac:dyDescent="0.2">
      <c r="A198" s="1" t="s">
        <v>604</v>
      </c>
      <c r="B198" s="1">
        <v>248.207121518523</v>
      </c>
      <c r="C198" s="1">
        <v>3.0670066081953702</v>
      </c>
      <c r="D198" s="1">
        <v>0.41589607588608202</v>
      </c>
      <c r="E198" s="1">
        <v>7.3744543072713302</v>
      </c>
      <c r="F198" s="6">
        <v>1.6501956193475101E-13</v>
      </c>
      <c r="G198" s="6">
        <v>1.9021349677841E-10</v>
      </c>
      <c r="H198" s="1" t="s">
        <v>186</v>
      </c>
      <c r="I198" s="17" t="s">
        <v>606</v>
      </c>
      <c r="J198" s="33" t="s">
        <v>10</v>
      </c>
    </row>
    <row r="199" spans="1:10" ht="15.75" customHeight="1" x14ac:dyDescent="0.2">
      <c r="A199" s="1" t="s">
        <v>607</v>
      </c>
      <c r="B199" s="1">
        <v>158.66008811324301</v>
      </c>
      <c r="C199" s="1">
        <v>3.4372355183391599</v>
      </c>
      <c r="D199" s="1">
        <v>0.47570265288213898</v>
      </c>
      <c r="E199" s="1">
        <v>7.2255966989336304</v>
      </c>
      <c r="F199" s="6">
        <v>4.9890631612749499E-13</v>
      </c>
      <c r="G199" s="6">
        <v>5.6532850448650397E-10</v>
      </c>
      <c r="H199" s="1" t="s">
        <v>609</v>
      </c>
      <c r="I199" s="17" t="s">
        <v>610</v>
      </c>
      <c r="J199" s="33" t="s">
        <v>3061</v>
      </c>
    </row>
    <row r="200" spans="1:10" ht="15.75" customHeight="1" x14ac:dyDescent="0.2">
      <c r="A200" s="1" t="s">
        <v>611</v>
      </c>
      <c r="B200" s="1">
        <v>381.61045325173399</v>
      </c>
      <c r="C200" s="1">
        <v>3.2550530998760698</v>
      </c>
      <c r="D200" s="1">
        <v>0.45238723544737097</v>
      </c>
      <c r="E200" s="1">
        <v>7.1952806021529696</v>
      </c>
      <c r="F200" s="6">
        <v>6.2332440896035495E-13</v>
      </c>
      <c r="G200" s="6">
        <v>6.8315333378761599E-10</v>
      </c>
      <c r="H200" s="8" t="s">
        <v>10</v>
      </c>
      <c r="I200" s="9" t="s">
        <v>10</v>
      </c>
      <c r="J200" s="33" t="s">
        <v>10</v>
      </c>
    </row>
    <row r="201" spans="1:10" ht="15.75" customHeight="1" x14ac:dyDescent="0.2">
      <c r="A201" s="14" t="s">
        <v>613</v>
      </c>
      <c r="B201" s="1">
        <v>197.88210480662701</v>
      </c>
      <c r="C201" s="1">
        <v>3.5042238513200199</v>
      </c>
      <c r="D201" s="1">
        <v>0.49256464104528802</v>
      </c>
      <c r="E201" s="1">
        <v>7.1142415823506804</v>
      </c>
      <c r="F201" s="6">
        <v>1.1252989567708599E-12</v>
      </c>
      <c r="G201" s="6">
        <v>1.1574132577679401E-9</v>
      </c>
      <c r="H201" s="1" t="s">
        <v>615</v>
      </c>
      <c r="I201" s="17" t="s">
        <v>616</v>
      </c>
      <c r="J201" s="33" t="s">
        <v>10</v>
      </c>
    </row>
    <row r="202" spans="1:10" ht="15.75" customHeight="1" x14ac:dyDescent="0.2">
      <c r="A202" s="1" t="s">
        <v>617</v>
      </c>
      <c r="B202" s="1">
        <v>281.484666861074</v>
      </c>
      <c r="C202" s="1">
        <v>2.7216146558309999</v>
      </c>
      <c r="D202" s="1">
        <v>0.38406472828969201</v>
      </c>
      <c r="E202" s="1">
        <v>7.0863436690758803</v>
      </c>
      <c r="F202" s="6">
        <v>1.3770160576541501E-12</v>
      </c>
      <c r="G202" s="6">
        <v>1.39485467476467E-9</v>
      </c>
      <c r="H202" s="8" t="s">
        <v>10</v>
      </c>
      <c r="I202" s="9" t="s">
        <v>10</v>
      </c>
      <c r="J202" s="33" t="s">
        <v>10</v>
      </c>
    </row>
    <row r="203" spans="1:10" ht="15.75" customHeight="1" x14ac:dyDescent="0.2">
      <c r="A203" s="1" t="s">
        <v>619</v>
      </c>
      <c r="B203" s="1">
        <v>302.69687063649297</v>
      </c>
      <c r="C203" s="1">
        <v>2.5592695554087399</v>
      </c>
      <c r="D203" s="1">
        <v>0.36159762116045002</v>
      </c>
      <c r="E203" s="1">
        <v>7.0776725444029696</v>
      </c>
      <c r="F203" s="6">
        <v>1.46595613397309E-12</v>
      </c>
      <c r="G203" s="6">
        <v>1.46278354233987E-9</v>
      </c>
      <c r="H203" s="8" t="s">
        <v>10</v>
      </c>
      <c r="I203" s="9" t="s">
        <v>10</v>
      </c>
      <c r="J203" s="33" t="s">
        <v>10</v>
      </c>
    </row>
    <row r="204" spans="1:10" ht="15.75" customHeight="1" x14ac:dyDescent="0.2">
      <c r="A204" s="1" t="s">
        <v>621</v>
      </c>
      <c r="B204" s="1">
        <v>217.86015576259101</v>
      </c>
      <c r="C204" s="1">
        <v>3.67845503699502</v>
      </c>
      <c r="D204" s="1">
        <v>0.52059444176409997</v>
      </c>
      <c r="E204" s="1">
        <v>7.0658745885378904</v>
      </c>
      <c r="F204" s="6">
        <v>1.5960751556788801E-12</v>
      </c>
      <c r="G204" s="6">
        <v>1.5692000666604599E-9</v>
      </c>
      <c r="H204" s="8" t="s">
        <v>10</v>
      </c>
      <c r="I204" s="9" t="s">
        <v>10</v>
      </c>
      <c r="J204" s="33" t="s">
        <v>10</v>
      </c>
    </row>
    <row r="205" spans="1:10" ht="15.75" customHeight="1" x14ac:dyDescent="0.2">
      <c r="A205" s="1" t="s">
        <v>624</v>
      </c>
      <c r="B205" s="1">
        <v>115.216084181312</v>
      </c>
      <c r="C205" s="1">
        <v>3.7305507227689998</v>
      </c>
      <c r="D205" s="1">
        <v>0.53645058085650399</v>
      </c>
      <c r="E205" s="1">
        <v>6.9541367945072503</v>
      </c>
      <c r="F205" s="6">
        <v>3.5472728042917302E-12</v>
      </c>
      <c r="G205" s="6">
        <v>3.3401820187454001E-9</v>
      </c>
      <c r="H205" s="8" t="s">
        <v>10</v>
      </c>
      <c r="I205" s="9" t="s">
        <v>10</v>
      </c>
      <c r="J205" s="33" t="s">
        <v>10</v>
      </c>
    </row>
    <row r="206" spans="1:10" ht="15.75" customHeight="1" x14ac:dyDescent="0.2">
      <c r="A206" s="1" t="s">
        <v>627</v>
      </c>
      <c r="B206" s="1">
        <v>547.20475101868499</v>
      </c>
      <c r="C206" s="1">
        <v>2.2136473052740002</v>
      </c>
      <c r="D206" s="1">
        <v>0.320205596302789</v>
      </c>
      <c r="E206" s="1">
        <v>6.9132061738881996</v>
      </c>
      <c r="F206" s="6">
        <v>4.7382051633837604E-12</v>
      </c>
      <c r="G206" s="6">
        <v>4.3996209194169602E-9</v>
      </c>
      <c r="H206" s="8" t="s">
        <v>10</v>
      </c>
      <c r="I206" s="9" t="s">
        <v>10</v>
      </c>
      <c r="J206" s="33" t="s">
        <v>10</v>
      </c>
    </row>
    <row r="207" spans="1:10" ht="15.75" customHeight="1" x14ac:dyDescent="0.2">
      <c r="A207" s="1" t="s">
        <v>629</v>
      </c>
      <c r="B207" s="1">
        <v>1030.3717534130701</v>
      </c>
      <c r="C207" s="1">
        <v>2.8752699369672401</v>
      </c>
      <c r="D207" s="1">
        <v>0.41685429173793598</v>
      </c>
      <c r="E207" s="1">
        <v>6.8975418844310203</v>
      </c>
      <c r="F207" s="6">
        <v>5.2910046383574501E-12</v>
      </c>
      <c r="G207" s="6">
        <v>4.8456180150326997E-9</v>
      </c>
      <c r="H207" s="1" t="s">
        <v>631</v>
      </c>
      <c r="I207" s="17" t="s">
        <v>632</v>
      </c>
      <c r="J207" s="33" t="s">
        <v>3070</v>
      </c>
    </row>
    <row r="208" spans="1:10" ht="15.75" customHeight="1" x14ac:dyDescent="0.2">
      <c r="A208" s="1" t="s">
        <v>633</v>
      </c>
      <c r="B208" s="1">
        <v>190.58465955059799</v>
      </c>
      <c r="C208" s="1">
        <v>3.8993547412762299</v>
      </c>
      <c r="D208" s="1">
        <v>0.56609858567828397</v>
      </c>
      <c r="E208" s="1">
        <v>6.8881195606665004</v>
      </c>
      <c r="F208" s="6">
        <v>5.6534688948883998E-12</v>
      </c>
      <c r="G208" s="6">
        <v>5.10760355361843E-9</v>
      </c>
      <c r="H208" s="8" t="s">
        <v>10</v>
      </c>
      <c r="I208" s="9" t="s">
        <v>10</v>
      </c>
      <c r="J208" s="33" t="s">
        <v>10</v>
      </c>
    </row>
    <row r="209" spans="1:10" ht="15.75" customHeight="1" x14ac:dyDescent="0.2">
      <c r="A209" s="1" t="s">
        <v>638</v>
      </c>
      <c r="B209" s="1">
        <v>456.19597845593</v>
      </c>
      <c r="C209" s="1">
        <v>2.5624608189655098</v>
      </c>
      <c r="D209" s="1">
        <v>0.37887089491620501</v>
      </c>
      <c r="E209" s="1">
        <v>6.76341427475512</v>
      </c>
      <c r="F209" s="6">
        <v>1.34777134653691E-11</v>
      </c>
      <c r="G209" s="6">
        <v>1.17019809574968E-8</v>
      </c>
      <c r="H209" s="1" t="s">
        <v>640</v>
      </c>
      <c r="I209" s="17" t="s">
        <v>111</v>
      </c>
      <c r="J209" s="33" t="s">
        <v>3039</v>
      </c>
    </row>
    <row r="210" spans="1:10" ht="15.75" customHeight="1" x14ac:dyDescent="0.2">
      <c r="A210" s="1" t="s">
        <v>642</v>
      </c>
      <c r="B210" s="1">
        <v>500.72111476815297</v>
      </c>
      <c r="C210" s="1">
        <v>2.5896225473400598</v>
      </c>
      <c r="D210" s="1">
        <v>0.38372833250452099</v>
      </c>
      <c r="E210" s="1">
        <v>6.7485831198288002</v>
      </c>
      <c r="F210" s="6">
        <v>1.49295864579559E-11</v>
      </c>
      <c r="G210" s="6">
        <v>1.2796378239059501E-8</v>
      </c>
      <c r="H210" s="1" t="s">
        <v>278</v>
      </c>
      <c r="I210" s="9" t="s">
        <v>10</v>
      </c>
      <c r="J210" s="33" t="s">
        <v>10</v>
      </c>
    </row>
    <row r="211" spans="1:10" ht="15.75" customHeight="1" x14ac:dyDescent="0.2">
      <c r="A211" s="1" t="s">
        <v>646</v>
      </c>
      <c r="B211" s="1">
        <v>3617.82558713462</v>
      </c>
      <c r="C211" s="1">
        <v>2.7095431435144199</v>
      </c>
      <c r="D211" s="1">
        <v>0.40251515273537097</v>
      </c>
      <c r="E211" s="1">
        <v>6.7315307885956202</v>
      </c>
      <c r="F211" s="6">
        <v>1.6788729700730301E-11</v>
      </c>
      <c r="G211" s="6">
        <v>1.4207728153700301E-8</v>
      </c>
      <c r="H211" s="8" t="s">
        <v>10</v>
      </c>
      <c r="I211" s="9" t="s">
        <v>10</v>
      </c>
      <c r="J211" s="33" t="s">
        <v>10</v>
      </c>
    </row>
    <row r="212" spans="1:10" ht="15.75" customHeight="1" x14ac:dyDescent="0.2">
      <c r="A212" s="1" t="s">
        <v>649</v>
      </c>
      <c r="B212" s="1">
        <v>137.197071230669</v>
      </c>
      <c r="C212" s="1">
        <v>3.2457188242871502</v>
      </c>
      <c r="D212" s="1">
        <v>0.48357050003916802</v>
      </c>
      <c r="E212" s="1">
        <v>6.7119868230676802</v>
      </c>
      <c r="F212" s="6">
        <v>1.91992036543733E-11</v>
      </c>
      <c r="G212" s="6">
        <v>1.56532043940626E-8</v>
      </c>
      <c r="H212" s="18" t="s">
        <v>651</v>
      </c>
      <c r="I212" s="12" t="s">
        <v>654</v>
      </c>
      <c r="J212" s="33" t="s">
        <v>10</v>
      </c>
    </row>
    <row r="213" spans="1:10" ht="15.75" customHeight="1" x14ac:dyDescent="0.2">
      <c r="A213" s="1" t="s">
        <v>656</v>
      </c>
      <c r="B213" s="1">
        <v>892.612787601896</v>
      </c>
      <c r="C213" s="1">
        <v>2.21003068059423</v>
      </c>
      <c r="D213" s="1">
        <v>0.332681402401382</v>
      </c>
      <c r="E213" s="1">
        <v>6.6430845386656703</v>
      </c>
      <c r="F213" s="6">
        <v>3.0718552629970799E-11</v>
      </c>
      <c r="G213" s="6">
        <v>2.4448676619960701E-8</v>
      </c>
      <c r="H213" s="1" t="s">
        <v>174</v>
      </c>
      <c r="I213" s="9" t="s">
        <v>10</v>
      </c>
      <c r="J213" s="33" t="s">
        <v>10</v>
      </c>
    </row>
    <row r="214" spans="1:10" ht="15.75" customHeight="1" x14ac:dyDescent="0.2">
      <c r="A214" s="1" t="s">
        <v>661</v>
      </c>
      <c r="B214" s="1">
        <v>305.51440734132399</v>
      </c>
      <c r="C214" s="1">
        <v>2.37437733244797</v>
      </c>
      <c r="D214" s="1">
        <v>0.361336527474307</v>
      </c>
      <c r="E214" s="1">
        <v>6.5710968914339798</v>
      </c>
      <c r="F214" s="6">
        <v>4.9945943761343999E-11</v>
      </c>
      <c r="G214" s="6">
        <v>3.79447280700528E-8</v>
      </c>
      <c r="H214" s="8" t="s">
        <v>10</v>
      </c>
      <c r="I214" s="9" t="s">
        <v>10</v>
      </c>
      <c r="J214" s="33" t="s">
        <v>10</v>
      </c>
    </row>
    <row r="215" spans="1:10" ht="15.75" customHeight="1" x14ac:dyDescent="0.2">
      <c r="A215" s="1" t="s">
        <v>664</v>
      </c>
      <c r="B215" s="1">
        <v>1253.8471594657101</v>
      </c>
      <c r="C215" s="1">
        <v>2.1129460160098201</v>
      </c>
      <c r="D215" s="1">
        <v>0.32383374856517</v>
      </c>
      <c r="E215" s="1">
        <v>6.5247863305531997</v>
      </c>
      <c r="F215" s="6">
        <v>6.8098541762779297E-11</v>
      </c>
      <c r="G215" s="6">
        <v>5.1154247298321403E-8</v>
      </c>
      <c r="H215" s="1" t="s">
        <v>667</v>
      </c>
      <c r="I215" s="12" t="s">
        <v>668</v>
      </c>
      <c r="J215" s="33" t="s">
        <v>10</v>
      </c>
    </row>
    <row r="216" spans="1:10" ht="15.75" customHeight="1" x14ac:dyDescent="0.2">
      <c r="A216" s="1" t="s">
        <v>670</v>
      </c>
      <c r="B216" s="1">
        <v>141.715776565261</v>
      </c>
      <c r="C216" s="1">
        <v>3.1889183172322699</v>
      </c>
      <c r="D216" s="1">
        <v>0.494352056893411</v>
      </c>
      <c r="E216" s="1">
        <v>6.4507030420222096</v>
      </c>
      <c r="F216" s="6">
        <v>1.1133246255095E-10</v>
      </c>
      <c r="G216" s="6">
        <v>8.0903606346127501E-8</v>
      </c>
      <c r="H216" s="1" t="s">
        <v>545</v>
      </c>
      <c r="I216" s="17" t="s">
        <v>673</v>
      </c>
      <c r="J216" s="33" t="s">
        <v>10</v>
      </c>
    </row>
    <row r="217" spans="1:10" ht="15.75" customHeight="1" x14ac:dyDescent="0.2">
      <c r="A217" s="1" t="s">
        <v>674</v>
      </c>
      <c r="B217" s="1">
        <v>164.876952451303</v>
      </c>
      <c r="C217" s="1">
        <v>2.7701625942427599</v>
      </c>
      <c r="D217" s="1">
        <v>0.43130106917503602</v>
      </c>
      <c r="E217" s="1">
        <v>6.4228048391842298</v>
      </c>
      <c r="F217" s="6">
        <v>1.3378597147356999E-10</v>
      </c>
      <c r="G217" s="6">
        <v>9.6174850783500405E-8</v>
      </c>
      <c r="H217" s="8" t="s">
        <v>10</v>
      </c>
      <c r="I217" s="9" t="s">
        <v>10</v>
      </c>
      <c r="J217" s="33" t="s">
        <v>10</v>
      </c>
    </row>
    <row r="218" spans="1:10" ht="15.75" customHeight="1" x14ac:dyDescent="0.2">
      <c r="A218" s="1" t="s">
        <v>677</v>
      </c>
      <c r="B218" s="1">
        <v>59.553624116614998</v>
      </c>
      <c r="C218" s="1">
        <v>5.9447237457205304</v>
      </c>
      <c r="D218" s="1">
        <v>0.92581840045924602</v>
      </c>
      <c r="E218" s="1">
        <v>6.4210473055749304</v>
      </c>
      <c r="F218" s="6">
        <v>1.35339958482055E-10</v>
      </c>
      <c r="G218" s="6">
        <v>9.6256946003381E-8</v>
      </c>
      <c r="H218" s="1" t="s">
        <v>640</v>
      </c>
      <c r="I218" s="17" t="s">
        <v>111</v>
      </c>
      <c r="J218" s="33" t="s">
        <v>3039</v>
      </c>
    </row>
    <row r="219" spans="1:10" ht="15.75" customHeight="1" x14ac:dyDescent="0.2">
      <c r="A219" s="1" t="s">
        <v>681</v>
      </c>
      <c r="B219" s="1">
        <v>274.83065848332399</v>
      </c>
      <c r="C219" s="1">
        <v>3.0812941361675898</v>
      </c>
      <c r="D219" s="1">
        <v>0.481248845728731</v>
      </c>
      <c r="E219" s="1">
        <v>6.4027044709099297</v>
      </c>
      <c r="F219" s="6">
        <v>1.5264849055624999E-10</v>
      </c>
      <c r="G219" s="6">
        <v>1.07424366696191E-7</v>
      </c>
      <c r="H219" s="8" t="s">
        <v>10</v>
      </c>
      <c r="I219" s="9" t="s">
        <v>10</v>
      </c>
      <c r="J219" s="33" t="s">
        <v>10</v>
      </c>
    </row>
    <row r="220" spans="1:10" ht="15.75" customHeight="1" x14ac:dyDescent="0.2">
      <c r="A220" s="1" t="s">
        <v>683</v>
      </c>
      <c r="B220" s="1">
        <v>370.76928728675</v>
      </c>
      <c r="C220" s="1">
        <v>2.5462334298532898</v>
      </c>
      <c r="D220" s="1">
        <v>0.39796350242170397</v>
      </c>
      <c r="E220" s="1">
        <v>6.3981581586221798</v>
      </c>
      <c r="F220" s="6">
        <v>1.5726235053942201E-10</v>
      </c>
      <c r="G220" s="6">
        <v>1.09518483805344E-7</v>
      </c>
      <c r="H220" s="8" t="s">
        <v>10</v>
      </c>
      <c r="I220" s="17" t="s">
        <v>686</v>
      </c>
      <c r="J220" s="33" t="s">
        <v>10</v>
      </c>
    </row>
    <row r="221" spans="1:10" ht="15.75" customHeight="1" x14ac:dyDescent="0.2">
      <c r="A221" s="1" t="s">
        <v>687</v>
      </c>
      <c r="B221" s="1">
        <v>93.221806689482193</v>
      </c>
      <c r="C221" s="1">
        <v>3.2199267400109601</v>
      </c>
      <c r="D221" s="1">
        <v>0.50477131695975996</v>
      </c>
      <c r="E221" s="1">
        <v>6.3789811976730197</v>
      </c>
      <c r="F221" s="6">
        <v>1.78269919800066E-10</v>
      </c>
      <c r="G221" s="6">
        <v>1.2161464783911701E-7</v>
      </c>
      <c r="H221" s="8" t="s">
        <v>10</v>
      </c>
      <c r="I221" s="9" t="s">
        <v>10</v>
      </c>
      <c r="J221" s="33" t="s">
        <v>10</v>
      </c>
    </row>
    <row r="222" spans="1:10" ht="15.75" customHeight="1" x14ac:dyDescent="0.2">
      <c r="A222" s="1" t="s">
        <v>689</v>
      </c>
      <c r="B222" s="1">
        <v>90.686727686222994</v>
      </c>
      <c r="C222" s="1">
        <v>3.6768830403489301</v>
      </c>
      <c r="D222" s="1">
        <v>0.57713153656284299</v>
      </c>
      <c r="E222" s="1">
        <v>6.3709619166662197</v>
      </c>
      <c r="F222" s="6">
        <v>1.8784628677316101E-10</v>
      </c>
      <c r="G222" s="6">
        <v>1.2685316668908801E-7</v>
      </c>
      <c r="H222" s="8" t="s">
        <v>10</v>
      </c>
      <c r="I222" s="9" t="s">
        <v>10</v>
      </c>
      <c r="J222" s="33" t="s">
        <v>10</v>
      </c>
    </row>
    <row r="223" spans="1:10" ht="15.75" customHeight="1" x14ac:dyDescent="0.2">
      <c r="A223" s="14" t="s">
        <v>692</v>
      </c>
      <c r="B223" s="1">
        <v>142.24057000520401</v>
      </c>
      <c r="C223" s="1">
        <v>2.6584245752568498</v>
      </c>
      <c r="D223" s="1">
        <v>0.42590607676854803</v>
      </c>
      <c r="E223" s="1">
        <v>6.2418094511047197</v>
      </c>
      <c r="F223" s="6">
        <v>4.3253768685066598E-10</v>
      </c>
      <c r="G223" s="6">
        <v>2.6529639499450702E-7</v>
      </c>
      <c r="H223" s="8" t="s">
        <v>10</v>
      </c>
      <c r="I223" s="9" t="s">
        <v>10</v>
      </c>
      <c r="J223" s="33" t="s">
        <v>10</v>
      </c>
    </row>
    <row r="224" spans="1:10" ht="15.75" customHeight="1" x14ac:dyDescent="0.2">
      <c r="A224" s="1" t="s">
        <v>694</v>
      </c>
      <c r="B224" s="1">
        <v>364.838580558091</v>
      </c>
      <c r="C224" s="1">
        <v>2.8006015717474102</v>
      </c>
      <c r="D224" s="1">
        <v>0.45023135977534401</v>
      </c>
      <c r="E224" s="1">
        <v>6.2203609565199001</v>
      </c>
      <c r="F224" s="6">
        <v>4.9601245533927403E-10</v>
      </c>
      <c r="G224" s="6">
        <v>3.0146284274279198E-7</v>
      </c>
      <c r="H224" s="1" t="s">
        <v>186</v>
      </c>
      <c r="I224" s="9" t="s">
        <v>696</v>
      </c>
      <c r="J224" s="33" t="s">
        <v>10</v>
      </c>
    </row>
    <row r="225" spans="1:10" ht="15.75" customHeight="1" x14ac:dyDescent="0.2">
      <c r="A225" s="1" t="s">
        <v>697</v>
      </c>
      <c r="B225" s="1">
        <v>266.68236699273598</v>
      </c>
      <c r="C225" s="1">
        <v>3.0667185341610002</v>
      </c>
      <c r="D225" s="1">
        <v>0.49424244279451002</v>
      </c>
      <c r="E225" s="1">
        <v>6.2048870526403697</v>
      </c>
      <c r="F225" s="6">
        <v>5.4736199734280902E-10</v>
      </c>
      <c r="G225" s="6">
        <v>3.2673112796744199E-7</v>
      </c>
      <c r="H225" s="8" t="s">
        <v>10</v>
      </c>
      <c r="I225" s="9" t="s">
        <v>10</v>
      </c>
      <c r="J225" s="33" t="s">
        <v>10</v>
      </c>
    </row>
    <row r="226" spans="1:10" ht="15.75" customHeight="1" x14ac:dyDescent="0.2">
      <c r="A226" s="1" t="s">
        <v>699</v>
      </c>
      <c r="B226" s="1">
        <v>240.57225510293699</v>
      </c>
      <c r="C226" s="1">
        <v>3.26858400771492</v>
      </c>
      <c r="D226" s="1">
        <v>0.52940967905605196</v>
      </c>
      <c r="E226" s="1">
        <v>6.1740163374853099</v>
      </c>
      <c r="F226" s="6">
        <v>6.6576656838889504E-10</v>
      </c>
      <c r="G226" s="6">
        <v>3.9389224716495198E-7</v>
      </c>
      <c r="H226" s="8" t="s">
        <v>10</v>
      </c>
      <c r="I226" s="17" t="s">
        <v>700</v>
      </c>
      <c r="J226" s="33" t="s">
        <v>3086</v>
      </c>
    </row>
    <row r="227" spans="1:10" ht="15.75" customHeight="1" x14ac:dyDescent="0.2">
      <c r="A227" s="1" t="s">
        <v>701</v>
      </c>
      <c r="B227" s="1">
        <v>1073.43537889514</v>
      </c>
      <c r="C227" s="1">
        <v>2.7054006500496399</v>
      </c>
      <c r="D227" s="1">
        <v>0.43890494903284899</v>
      </c>
      <c r="E227" s="1">
        <v>6.1639784559530302</v>
      </c>
      <c r="F227" s="6">
        <v>7.0939598875177099E-10</v>
      </c>
      <c r="G227" s="6">
        <v>4.1491162550699101E-7</v>
      </c>
      <c r="H227" s="8" t="s">
        <v>10</v>
      </c>
      <c r="I227" s="9" t="s">
        <v>10</v>
      </c>
      <c r="J227" s="33" t="s">
        <v>10</v>
      </c>
    </row>
    <row r="228" spans="1:10" ht="15.75" customHeight="1" x14ac:dyDescent="0.2">
      <c r="A228" s="1" t="s">
        <v>703</v>
      </c>
      <c r="B228" s="1">
        <v>62.278643739880401</v>
      </c>
      <c r="C228" s="1">
        <v>4.2407687623430999</v>
      </c>
      <c r="D228" s="1">
        <v>0.68809917584226798</v>
      </c>
      <c r="E228" s="1">
        <v>6.1630196797608203</v>
      </c>
      <c r="F228" s="6">
        <v>7.1370633360712E-10</v>
      </c>
      <c r="G228" s="6">
        <v>4.1491162550699101E-7</v>
      </c>
      <c r="H228" s="8" t="s">
        <v>10</v>
      </c>
      <c r="I228" s="9" t="s">
        <v>10</v>
      </c>
      <c r="J228" s="33" t="s">
        <v>10</v>
      </c>
    </row>
    <row r="229" spans="1:10" ht="15.75" customHeight="1" x14ac:dyDescent="0.2">
      <c r="A229" s="1" t="s">
        <v>707</v>
      </c>
      <c r="B229" s="1">
        <v>206.18278879290401</v>
      </c>
      <c r="C229" s="1">
        <v>2.5611198547701801</v>
      </c>
      <c r="D229" s="1">
        <v>0.41646881442417</v>
      </c>
      <c r="E229" s="1">
        <v>6.1496077642963698</v>
      </c>
      <c r="F229" s="6">
        <v>7.7674795947421603E-10</v>
      </c>
      <c r="G229" s="6">
        <v>4.4734331366245699E-7</v>
      </c>
      <c r="H229" s="8" t="s">
        <v>10</v>
      </c>
      <c r="I229" s="9" t="s">
        <v>10</v>
      </c>
      <c r="J229" s="33" t="s">
        <v>10</v>
      </c>
    </row>
    <row r="230" spans="1:10" ht="15.75" customHeight="1" x14ac:dyDescent="0.2">
      <c r="A230" s="1" t="s">
        <v>711</v>
      </c>
      <c r="B230" s="1">
        <v>260.97764586068303</v>
      </c>
      <c r="C230" s="1">
        <v>2.9296428164219099</v>
      </c>
      <c r="D230" s="1">
        <v>0.47740139646716101</v>
      </c>
      <c r="E230" s="1">
        <v>6.1366448403831404</v>
      </c>
      <c r="F230" s="6">
        <v>8.4282521428615105E-10</v>
      </c>
      <c r="G230" s="6">
        <v>4.7751762458559905E-7</v>
      </c>
      <c r="H230" s="8" t="s">
        <v>10</v>
      </c>
      <c r="I230" s="17" t="s">
        <v>714</v>
      </c>
      <c r="J230" s="33" t="s">
        <v>10</v>
      </c>
    </row>
    <row r="231" spans="1:10" ht="15.75" customHeight="1" x14ac:dyDescent="0.2">
      <c r="A231" s="1" t="s">
        <v>716</v>
      </c>
      <c r="B231" s="1">
        <v>186.71199421961501</v>
      </c>
      <c r="C231" s="1">
        <v>2.4612948928783398</v>
      </c>
      <c r="D231" s="1">
        <v>0.40148701506222001</v>
      </c>
      <c r="E231" s="1">
        <v>6.1304470643886404</v>
      </c>
      <c r="F231" s="6">
        <v>8.76324718435183E-10</v>
      </c>
      <c r="G231" s="6">
        <v>4.9232511807549699E-7</v>
      </c>
      <c r="H231" s="1" t="s">
        <v>186</v>
      </c>
      <c r="I231" s="17" t="s">
        <v>606</v>
      </c>
      <c r="J231" s="33" t="s">
        <v>10</v>
      </c>
    </row>
    <row r="232" spans="1:10" ht="15.75" customHeight="1" x14ac:dyDescent="0.2">
      <c r="A232" s="1" t="s">
        <v>721</v>
      </c>
      <c r="B232" s="1">
        <v>227.472142648996</v>
      </c>
      <c r="C232" s="1">
        <v>2.35548564175263</v>
      </c>
      <c r="D232" s="1">
        <v>0.38451910479671098</v>
      </c>
      <c r="E232" s="1">
        <v>6.12579612396096</v>
      </c>
      <c r="F232" s="6">
        <v>9.0231284427652604E-10</v>
      </c>
      <c r="G232" s="6">
        <v>5.0270104336756004E-7</v>
      </c>
      <c r="H232" s="1" t="s">
        <v>724</v>
      </c>
      <c r="I232" s="9" t="s">
        <v>10</v>
      </c>
      <c r="J232" s="33" t="s">
        <v>10</v>
      </c>
    </row>
    <row r="233" spans="1:10" ht="15.75" customHeight="1" x14ac:dyDescent="0.2">
      <c r="A233" s="1" t="s">
        <v>725</v>
      </c>
      <c r="B233" s="1">
        <v>659.58100607966799</v>
      </c>
      <c r="C233" s="1">
        <v>2.1221468575576199</v>
      </c>
      <c r="D233" s="1">
        <v>0.34817871244458198</v>
      </c>
      <c r="E233" s="1">
        <v>6.0949931219456497</v>
      </c>
      <c r="F233" s="6">
        <v>1.0944215695704099E-9</v>
      </c>
      <c r="G233" s="6">
        <v>5.9296928054941599E-7</v>
      </c>
      <c r="H233" s="8" t="s">
        <v>10</v>
      </c>
      <c r="I233" s="9" t="s">
        <v>10</v>
      </c>
      <c r="J233" s="33" t="s">
        <v>10</v>
      </c>
    </row>
    <row r="234" spans="1:10" ht="15.75" customHeight="1" x14ac:dyDescent="0.2">
      <c r="A234" s="1" t="s">
        <v>729</v>
      </c>
      <c r="B234" s="1">
        <v>505.02031041635303</v>
      </c>
      <c r="C234" s="1">
        <v>2.8153566938974399</v>
      </c>
      <c r="D234" s="1">
        <v>0.462096359440541</v>
      </c>
      <c r="E234" s="1">
        <v>6.0925749281080197</v>
      </c>
      <c r="F234" s="6">
        <v>1.1110880964593801E-9</v>
      </c>
      <c r="G234" s="6">
        <v>5.9425435751033597E-7</v>
      </c>
      <c r="H234" s="1" t="s">
        <v>731</v>
      </c>
      <c r="I234" s="9" t="s">
        <v>732</v>
      </c>
      <c r="J234" s="33" t="s">
        <v>10</v>
      </c>
    </row>
    <row r="235" spans="1:10" ht="15.75" customHeight="1" x14ac:dyDescent="0.2">
      <c r="A235" s="1" t="s">
        <v>734</v>
      </c>
      <c r="B235" s="1">
        <v>399.26823650221098</v>
      </c>
      <c r="C235" s="1">
        <v>2.52442894939478</v>
      </c>
      <c r="D235" s="1">
        <v>0.41505470954000701</v>
      </c>
      <c r="E235" s="1">
        <v>6.0821595114353197</v>
      </c>
      <c r="F235" s="6">
        <v>1.1857451269903699E-9</v>
      </c>
      <c r="G235" s="6">
        <v>6.2915071797572203E-7</v>
      </c>
      <c r="H235" s="1" t="s">
        <v>737</v>
      </c>
      <c r="I235" s="17" t="s">
        <v>738</v>
      </c>
      <c r="J235" s="33" t="s">
        <v>10</v>
      </c>
    </row>
    <row r="236" spans="1:10" ht="15.75" customHeight="1" x14ac:dyDescent="0.2">
      <c r="A236" s="1" t="s">
        <v>739</v>
      </c>
      <c r="B236" s="1">
        <v>184.65387749837399</v>
      </c>
      <c r="C236" s="1">
        <v>2.5067574062154701</v>
      </c>
      <c r="D236" s="1">
        <v>0.41326481363698098</v>
      </c>
      <c r="E236" s="1">
        <v>6.0657411990981904</v>
      </c>
      <c r="F236" s="6">
        <v>1.3134648811791E-9</v>
      </c>
      <c r="G236" s="6">
        <v>6.65240110842641E-7</v>
      </c>
      <c r="H236" s="8" t="s">
        <v>10</v>
      </c>
      <c r="I236" s="9" t="s">
        <v>10</v>
      </c>
      <c r="J236" s="33" t="s">
        <v>10</v>
      </c>
    </row>
    <row r="237" spans="1:10" ht="15.75" customHeight="1" x14ac:dyDescent="0.2">
      <c r="A237" s="1" t="s">
        <v>528</v>
      </c>
      <c r="B237" s="1">
        <v>221.432906829204</v>
      </c>
      <c r="C237" s="1">
        <v>3.2086458321237599</v>
      </c>
      <c r="D237" s="1">
        <v>0.52987388037875205</v>
      </c>
      <c r="E237" s="1">
        <v>6.05548971357151</v>
      </c>
      <c r="F237" s="6">
        <v>1.3999112069552499E-9</v>
      </c>
      <c r="G237" s="6">
        <v>6.9167388093338996E-7</v>
      </c>
      <c r="H237" s="8" t="s">
        <v>10</v>
      </c>
      <c r="I237" s="17" t="s">
        <v>745</v>
      </c>
      <c r="J237" s="33" t="s">
        <v>10</v>
      </c>
    </row>
    <row r="238" spans="1:10" ht="15.75" customHeight="1" x14ac:dyDescent="0.2">
      <c r="A238" s="1" t="s">
        <v>746</v>
      </c>
      <c r="B238" s="1">
        <v>66.654949339378604</v>
      </c>
      <c r="C238" s="1">
        <v>4.8065917172543502</v>
      </c>
      <c r="D238" s="1">
        <v>0.79393729918781297</v>
      </c>
      <c r="E238" s="1">
        <v>6.0541200447080996</v>
      </c>
      <c r="F238" s="6">
        <v>1.41187297077984E-9</v>
      </c>
      <c r="G238" s="6">
        <v>6.9167388093338996E-7</v>
      </c>
      <c r="H238" s="8" t="s">
        <v>10</v>
      </c>
      <c r="I238" s="9" t="s">
        <v>10</v>
      </c>
      <c r="J238" s="33" t="s">
        <v>10</v>
      </c>
    </row>
    <row r="239" spans="1:10" ht="15.75" customHeight="1" x14ac:dyDescent="0.2">
      <c r="A239" s="1" t="s">
        <v>748</v>
      </c>
      <c r="B239" s="1">
        <v>383.58165427622703</v>
      </c>
      <c r="C239" s="1">
        <v>2.1893991984304599</v>
      </c>
      <c r="D239" s="1">
        <v>0.36180857560042501</v>
      </c>
      <c r="E239" s="1">
        <v>6.0512639723840902</v>
      </c>
      <c r="F239" s="6">
        <v>1.4371373050495499E-9</v>
      </c>
      <c r="G239" s="6">
        <v>6.9623054006585102E-7</v>
      </c>
      <c r="H239" s="1" t="s">
        <v>750</v>
      </c>
      <c r="I239" s="17" t="s">
        <v>751</v>
      </c>
      <c r="J239" s="33" t="s">
        <v>3079</v>
      </c>
    </row>
    <row r="240" spans="1:10" ht="15.75" customHeight="1" x14ac:dyDescent="0.2">
      <c r="A240" s="1" t="s">
        <v>753</v>
      </c>
      <c r="B240" s="1">
        <v>108.90528137858701</v>
      </c>
      <c r="C240" s="1">
        <v>4.0531975113776602</v>
      </c>
      <c r="D240" s="1">
        <v>0.67018436442553397</v>
      </c>
      <c r="E240" s="1">
        <v>6.0478843233711697</v>
      </c>
      <c r="F240" s="6">
        <v>1.4676026437729599E-9</v>
      </c>
      <c r="G240" s="6">
        <v>7.0587463848518799E-7</v>
      </c>
      <c r="H240" s="1" t="s">
        <v>429</v>
      </c>
      <c r="I240" s="12" t="s">
        <v>755</v>
      </c>
      <c r="J240" s="33" t="s">
        <v>10</v>
      </c>
    </row>
    <row r="241" spans="1:10" ht="15.75" customHeight="1" x14ac:dyDescent="0.2">
      <c r="A241" s="1" t="s">
        <v>756</v>
      </c>
      <c r="B241" s="1">
        <v>97.253399408360195</v>
      </c>
      <c r="C241" s="1">
        <v>3.72352061758308</v>
      </c>
      <c r="D241" s="1">
        <v>0.61753842333244802</v>
      </c>
      <c r="E241" s="1">
        <v>6.0296177159142497</v>
      </c>
      <c r="F241" s="6">
        <v>1.64347970567229E-9</v>
      </c>
      <c r="G241" s="6">
        <v>7.8482025516229404E-7</v>
      </c>
      <c r="H241" s="8" t="s">
        <v>10</v>
      </c>
      <c r="I241" s="9" t="s">
        <v>10</v>
      </c>
      <c r="J241" s="33" t="s">
        <v>10</v>
      </c>
    </row>
    <row r="242" spans="1:10" ht="15.75" customHeight="1" x14ac:dyDescent="0.2">
      <c r="A242" s="1" t="s">
        <v>758</v>
      </c>
      <c r="B242" s="1">
        <v>110.974468242535</v>
      </c>
      <c r="C242" s="1">
        <v>3.5013268848886701</v>
      </c>
      <c r="D242" s="1">
        <v>0.58199454049858501</v>
      </c>
      <c r="E242" s="1">
        <v>6.0160820097885201</v>
      </c>
      <c r="F242" s="6">
        <v>1.7868907023233299E-9</v>
      </c>
      <c r="G242" s="6">
        <v>8.4128575988609896E-7</v>
      </c>
      <c r="H242" s="8" t="s">
        <v>10</v>
      </c>
      <c r="I242" s="9" t="s">
        <v>10</v>
      </c>
      <c r="J242" s="33" t="s">
        <v>10</v>
      </c>
    </row>
    <row r="243" spans="1:10" ht="15.75" customHeight="1" x14ac:dyDescent="0.2">
      <c r="A243" s="14" t="s">
        <v>761</v>
      </c>
      <c r="B243" s="1">
        <v>774.18864529248003</v>
      </c>
      <c r="C243" s="1">
        <v>2.04617984515516</v>
      </c>
      <c r="D243" s="1">
        <v>0.34296581515589902</v>
      </c>
      <c r="E243" s="1">
        <v>5.9661335174907997</v>
      </c>
      <c r="F243" s="6">
        <v>2.4294151344508298E-9</v>
      </c>
      <c r="G243" s="6">
        <v>1.1048880871680999E-6</v>
      </c>
      <c r="H243" s="8" t="s">
        <v>10</v>
      </c>
      <c r="I243" s="17" t="s">
        <v>762</v>
      </c>
      <c r="J243" s="33" t="s">
        <v>10</v>
      </c>
    </row>
    <row r="244" spans="1:10" ht="15.75" customHeight="1" x14ac:dyDescent="0.2">
      <c r="A244" s="1" t="s">
        <v>764</v>
      </c>
      <c r="B244" s="1">
        <v>141.49709516634101</v>
      </c>
      <c r="C244" s="1">
        <v>2.5866756747666</v>
      </c>
      <c r="D244" s="1">
        <v>0.43931608902822999</v>
      </c>
      <c r="E244" s="1">
        <v>5.8879602622529603</v>
      </c>
      <c r="F244" s="6">
        <v>3.9099109487667702E-9</v>
      </c>
      <c r="G244" s="6">
        <v>1.73110659920399E-6</v>
      </c>
      <c r="H244" s="8" t="s">
        <v>10</v>
      </c>
      <c r="I244" s="9" t="s">
        <v>10</v>
      </c>
      <c r="J244" s="33" t="s">
        <v>10</v>
      </c>
    </row>
    <row r="245" spans="1:10" ht="15.75" customHeight="1" x14ac:dyDescent="0.2">
      <c r="A245" s="1" t="s">
        <v>766</v>
      </c>
      <c r="B245" s="1">
        <v>348.38845015451</v>
      </c>
      <c r="C245" s="1">
        <v>2.0468575118792498</v>
      </c>
      <c r="D245" s="1">
        <v>0.34865781951377001</v>
      </c>
      <c r="E245" s="1">
        <v>5.8706772007401202</v>
      </c>
      <c r="F245" s="6">
        <v>4.3401860420467801E-9</v>
      </c>
      <c r="G245" s="6">
        <v>1.9089680121120898E-6</v>
      </c>
      <c r="H245" s="8" t="s">
        <v>10</v>
      </c>
      <c r="I245" s="9" t="s">
        <v>10</v>
      </c>
      <c r="J245" s="33" t="s">
        <v>10</v>
      </c>
    </row>
    <row r="246" spans="1:10" ht="15.75" customHeight="1" x14ac:dyDescent="0.2">
      <c r="A246" s="1" t="s">
        <v>770</v>
      </c>
      <c r="B246" s="1">
        <v>326.21254469817399</v>
      </c>
      <c r="C246" s="1">
        <v>2.5357307200288499</v>
      </c>
      <c r="D246" s="1">
        <v>0.43357583186822302</v>
      </c>
      <c r="E246" s="1">
        <v>5.8484134346296797</v>
      </c>
      <c r="F246" s="6">
        <v>4.9628379848446797E-9</v>
      </c>
      <c r="G246" s="6">
        <v>2.1685655782796798E-6</v>
      </c>
      <c r="H246" s="1" t="s">
        <v>772</v>
      </c>
      <c r="I246" s="9" t="s">
        <v>773</v>
      </c>
      <c r="J246" s="33" t="s">
        <v>10</v>
      </c>
    </row>
    <row r="247" spans="1:10" ht="15.75" customHeight="1" x14ac:dyDescent="0.2">
      <c r="A247" s="1" t="s">
        <v>775</v>
      </c>
      <c r="B247" s="1">
        <v>209.31446213867201</v>
      </c>
      <c r="C247" s="1">
        <v>2.46526000695179</v>
      </c>
      <c r="D247" s="1">
        <v>0.42216707693386502</v>
      </c>
      <c r="E247" s="1">
        <v>5.8395363865335002</v>
      </c>
      <c r="F247" s="6">
        <v>5.2346283453868998E-9</v>
      </c>
      <c r="G247" s="6">
        <v>2.2578134066505898E-6</v>
      </c>
      <c r="H247" s="8" t="s">
        <v>10</v>
      </c>
      <c r="I247" s="9" t="s">
        <v>10</v>
      </c>
      <c r="J247" s="33" t="s">
        <v>10</v>
      </c>
    </row>
    <row r="248" spans="1:10" ht="15.75" customHeight="1" x14ac:dyDescent="0.2">
      <c r="A248" s="1" t="s">
        <v>778</v>
      </c>
      <c r="B248" s="1">
        <v>107.062489336149</v>
      </c>
      <c r="C248" s="1">
        <v>3.0224820828314201</v>
      </c>
      <c r="D248" s="1">
        <v>0.52047274766790197</v>
      </c>
      <c r="E248" s="1">
        <v>5.8071860560891002</v>
      </c>
      <c r="F248" s="6">
        <v>6.35315254371628E-9</v>
      </c>
      <c r="G248" s="6">
        <v>2.6882279323427299E-6</v>
      </c>
      <c r="H248" s="8" t="s">
        <v>10</v>
      </c>
      <c r="I248" s="9" t="s">
        <v>10</v>
      </c>
      <c r="J248" s="33" t="s">
        <v>10</v>
      </c>
    </row>
    <row r="249" spans="1:10" ht="15.75" customHeight="1" x14ac:dyDescent="0.2">
      <c r="A249" s="1" t="s">
        <v>780</v>
      </c>
      <c r="B249" s="1">
        <v>378.22067854073299</v>
      </c>
      <c r="C249" s="1">
        <v>2.4750727090085101</v>
      </c>
      <c r="D249" s="1">
        <v>0.42921465722044</v>
      </c>
      <c r="E249" s="1">
        <v>5.7665148833380702</v>
      </c>
      <c r="F249" s="6">
        <v>8.0927565879945606E-9</v>
      </c>
      <c r="G249" s="6">
        <v>3.2990319615266799E-6</v>
      </c>
      <c r="H249" s="8" t="s">
        <v>10</v>
      </c>
      <c r="I249" s="9" t="s">
        <v>10</v>
      </c>
      <c r="J249" s="33" t="s">
        <v>10</v>
      </c>
    </row>
    <row r="250" spans="1:10" ht="15.75" customHeight="1" x14ac:dyDescent="0.2">
      <c r="A250" s="1" t="s">
        <v>783</v>
      </c>
      <c r="B250" s="1">
        <v>68.425487389249199</v>
      </c>
      <c r="C250" s="1">
        <v>3.7772756893549402</v>
      </c>
      <c r="D250" s="1">
        <v>0.65666438786514003</v>
      </c>
      <c r="E250" s="1">
        <v>5.75221644291556</v>
      </c>
      <c r="F250" s="6">
        <v>8.8080927294343899E-9</v>
      </c>
      <c r="G250" s="6">
        <v>3.5383267558576698E-6</v>
      </c>
      <c r="H250" s="8" t="s">
        <v>10</v>
      </c>
      <c r="I250" s="9" t="s">
        <v>10</v>
      </c>
      <c r="J250" s="33" t="s">
        <v>10</v>
      </c>
    </row>
    <row r="251" spans="1:10" ht="15.75" customHeight="1" x14ac:dyDescent="0.2">
      <c r="A251" s="1" t="s">
        <v>786</v>
      </c>
      <c r="B251" s="1">
        <v>110.32813549436</v>
      </c>
      <c r="C251" s="1">
        <v>2.7981760450271902</v>
      </c>
      <c r="D251" s="1">
        <v>0.48651298757577099</v>
      </c>
      <c r="E251" s="1">
        <v>5.7514930052949298</v>
      </c>
      <c r="F251" s="6">
        <v>8.8458741644496499E-9</v>
      </c>
      <c r="G251" s="6">
        <v>3.5383267558576698E-6</v>
      </c>
      <c r="H251" s="8" t="s">
        <v>10</v>
      </c>
      <c r="I251" s="9" t="s">
        <v>10</v>
      </c>
      <c r="J251" s="33" t="s">
        <v>10</v>
      </c>
    </row>
    <row r="252" spans="1:10" ht="15.75" customHeight="1" x14ac:dyDescent="0.2">
      <c r="A252" s="1" t="s">
        <v>789</v>
      </c>
      <c r="B252" s="1">
        <v>111.132522849346</v>
      </c>
      <c r="C252" s="1">
        <v>3.4088679598575902</v>
      </c>
      <c r="D252" s="1">
        <v>0.59278226972007297</v>
      </c>
      <c r="E252" s="1">
        <v>5.7506240216451499</v>
      </c>
      <c r="F252" s="6">
        <v>8.8914650360345296E-9</v>
      </c>
      <c r="G252" s="6">
        <v>3.5383267558576698E-6</v>
      </c>
      <c r="H252" s="8" t="s">
        <v>10</v>
      </c>
      <c r="I252" s="17" t="s">
        <v>791</v>
      </c>
      <c r="J252" s="33" t="s">
        <v>3050</v>
      </c>
    </row>
    <row r="253" spans="1:10" ht="15.75" customHeight="1" x14ac:dyDescent="0.2">
      <c r="A253" s="1" t="s">
        <v>792</v>
      </c>
      <c r="B253" s="1">
        <v>231.57541278753399</v>
      </c>
      <c r="C253" s="1">
        <v>2.3623391656369299</v>
      </c>
      <c r="D253" s="1">
        <v>0.41248859607697402</v>
      </c>
      <c r="E253" s="1">
        <v>5.7270411548446702</v>
      </c>
      <c r="F253" s="6">
        <v>1.0219738316031701E-8</v>
      </c>
      <c r="G253" s="6">
        <v>4.0428438172680399E-6</v>
      </c>
      <c r="H253" s="1" t="s">
        <v>795</v>
      </c>
      <c r="I253" s="17" t="s">
        <v>796</v>
      </c>
      <c r="J253" s="33" t="s">
        <v>10</v>
      </c>
    </row>
    <row r="254" spans="1:10" ht="15.75" customHeight="1" x14ac:dyDescent="0.2">
      <c r="A254" s="1" t="s">
        <v>797</v>
      </c>
      <c r="B254" s="1">
        <v>301.69836032521903</v>
      </c>
      <c r="C254" s="1">
        <v>2.0728638402278201</v>
      </c>
      <c r="D254" s="1">
        <v>0.36276688234107102</v>
      </c>
      <c r="E254" s="1">
        <v>5.7140382464100599</v>
      </c>
      <c r="F254" s="6">
        <v>1.1032618555030301E-8</v>
      </c>
      <c r="G254" s="6">
        <v>4.2635012340841298E-6</v>
      </c>
      <c r="H254" s="8" t="s">
        <v>10</v>
      </c>
      <c r="I254" s="9" t="s">
        <v>10</v>
      </c>
      <c r="J254" s="33" t="s">
        <v>10</v>
      </c>
    </row>
    <row r="255" spans="1:10" ht="15.75" customHeight="1" x14ac:dyDescent="0.2">
      <c r="A255" s="1" t="s">
        <v>799</v>
      </c>
      <c r="B255" s="1">
        <v>84.797914675914697</v>
      </c>
      <c r="C255" s="1">
        <v>3.04487021526114</v>
      </c>
      <c r="D255" s="1">
        <v>0.53682744442825503</v>
      </c>
      <c r="E255" s="1">
        <v>5.6719719657851302</v>
      </c>
      <c r="F255" s="6">
        <v>1.41163081209564E-8</v>
      </c>
      <c r="G255" s="6">
        <v>5.3621919285598698E-6</v>
      </c>
      <c r="H255" s="1" t="s">
        <v>429</v>
      </c>
      <c r="I255" s="17" t="s">
        <v>802</v>
      </c>
      <c r="J255" s="33" t="s">
        <v>3050</v>
      </c>
    </row>
    <row r="256" spans="1:10" ht="15.75" customHeight="1" x14ac:dyDescent="0.2">
      <c r="A256" s="1" t="s">
        <v>803</v>
      </c>
      <c r="B256" s="1">
        <v>107.896428256422</v>
      </c>
      <c r="C256" s="1">
        <v>3.1605806558018599</v>
      </c>
      <c r="D256" s="1">
        <v>0.55861212850423902</v>
      </c>
      <c r="E256" s="1">
        <v>5.6579162795207196</v>
      </c>
      <c r="F256" s="6">
        <v>1.5322184034535901E-8</v>
      </c>
      <c r="G256" s="6">
        <v>5.6943829917398603E-6</v>
      </c>
      <c r="H256" s="8" t="s">
        <v>10</v>
      </c>
      <c r="I256" s="9" t="s">
        <v>10</v>
      </c>
      <c r="J256" s="33" t="s">
        <v>10</v>
      </c>
    </row>
    <row r="257" spans="1:10" ht="15.75" customHeight="1" x14ac:dyDescent="0.2">
      <c r="A257" s="1" t="s">
        <v>805</v>
      </c>
      <c r="B257" s="1">
        <v>501.61096858191502</v>
      </c>
      <c r="C257" s="1">
        <v>2.0899376726219199</v>
      </c>
      <c r="D257" s="1">
        <v>0.37044544544561903</v>
      </c>
      <c r="E257" s="1">
        <v>5.6416881306446403</v>
      </c>
      <c r="F257" s="6">
        <v>1.6839090905064301E-8</v>
      </c>
      <c r="G257" s="6">
        <v>6.1855902332861296E-6</v>
      </c>
      <c r="H257" s="8" t="s">
        <v>10</v>
      </c>
      <c r="I257" s="9" t="s">
        <v>10</v>
      </c>
      <c r="J257" s="33" t="s">
        <v>10</v>
      </c>
    </row>
    <row r="258" spans="1:10" ht="15.75" customHeight="1" x14ac:dyDescent="0.2">
      <c r="A258" s="1" t="s">
        <v>810</v>
      </c>
      <c r="B258" s="1">
        <v>348.88770177716901</v>
      </c>
      <c r="C258" s="1">
        <v>2.5227961195448199</v>
      </c>
      <c r="D258" s="1">
        <v>0.44739962426854302</v>
      </c>
      <c r="E258" s="1">
        <v>5.6387980290983997</v>
      </c>
      <c r="F258" s="6">
        <v>1.7124124156865001E-8</v>
      </c>
      <c r="G258" s="6">
        <v>6.2219202201478604E-6</v>
      </c>
      <c r="H258" s="18" t="s">
        <v>813</v>
      </c>
      <c r="I258" s="17" t="s">
        <v>815</v>
      </c>
      <c r="J258" s="33" t="s">
        <v>3042</v>
      </c>
    </row>
    <row r="259" spans="1:10" ht="15.75" customHeight="1" x14ac:dyDescent="0.2">
      <c r="A259" s="1" t="s">
        <v>817</v>
      </c>
      <c r="B259" s="1">
        <v>52.679156901393803</v>
      </c>
      <c r="C259" s="1">
        <v>8.8207999725982305</v>
      </c>
      <c r="D259" s="1">
        <v>1.56642790364546</v>
      </c>
      <c r="E259" s="1">
        <v>5.6311560538918402</v>
      </c>
      <c r="F259" s="6">
        <v>1.79005664245889E-8</v>
      </c>
      <c r="G259" s="6">
        <v>6.4340987543865302E-6</v>
      </c>
      <c r="H259" s="8" t="s">
        <v>10</v>
      </c>
      <c r="I259" s="9" t="s">
        <v>10</v>
      </c>
      <c r="J259" s="33" t="s">
        <v>10</v>
      </c>
    </row>
    <row r="260" spans="1:10" ht="15.75" customHeight="1" x14ac:dyDescent="0.2">
      <c r="A260" s="1" t="s">
        <v>820</v>
      </c>
      <c r="B260" s="1">
        <v>93.612967156475804</v>
      </c>
      <c r="C260" s="1">
        <v>2.78786650418219</v>
      </c>
      <c r="D260" s="1">
        <v>0.496659454906202</v>
      </c>
      <c r="E260" s="1">
        <v>5.6132355412597601</v>
      </c>
      <c r="F260" s="6">
        <v>1.98577998666064E-8</v>
      </c>
      <c r="G260" s="6">
        <v>7.0994289309196303E-6</v>
      </c>
      <c r="H260" s="8" t="s">
        <v>10</v>
      </c>
      <c r="I260" s="9" t="s">
        <v>10</v>
      </c>
      <c r="J260" s="33" t="s">
        <v>10</v>
      </c>
    </row>
    <row r="261" spans="1:10" ht="15.75" customHeight="1" x14ac:dyDescent="0.2">
      <c r="A261" s="1" t="s">
        <v>821</v>
      </c>
      <c r="B261" s="1">
        <v>127.08818976014901</v>
      </c>
      <c r="C261" s="1">
        <v>2.7875642938657701</v>
      </c>
      <c r="D261" s="1">
        <v>0.49681481292638602</v>
      </c>
      <c r="E261" s="1">
        <v>5.6108719412897399</v>
      </c>
      <c r="F261" s="6">
        <v>2.0130969741255599E-8</v>
      </c>
      <c r="G261" s="6">
        <v>7.1541210971883602E-6</v>
      </c>
      <c r="H261" s="8" t="s">
        <v>10</v>
      </c>
      <c r="I261" s="9" t="s">
        <v>10</v>
      </c>
      <c r="J261" s="33" t="s">
        <v>10</v>
      </c>
    </row>
    <row r="262" spans="1:10" ht="15.75" customHeight="1" x14ac:dyDescent="0.2">
      <c r="A262" s="1" t="s">
        <v>824</v>
      </c>
      <c r="B262" s="1">
        <v>152.52877206495501</v>
      </c>
      <c r="C262" s="1">
        <v>2.4635686632845499</v>
      </c>
      <c r="D262" s="1">
        <v>0.43913353344018502</v>
      </c>
      <c r="E262" s="1">
        <v>5.6100672703924097</v>
      </c>
      <c r="F262" s="6">
        <v>2.0224798255457301E-8</v>
      </c>
      <c r="G262" s="6">
        <v>7.1541210971883602E-6</v>
      </c>
      <c r="H262" s="8" t="s">
        <v>10</v>
      </c>
      <c r="I262" s="9" t="s">
        <v>10</v>
      </c>
      <c r="J262" s="33" t="s">
        <v>10</v>
      </c>
    </row>
    <row r="263" spans="1:10" ht="15.75" customHeight="1" x14ac:dyDescent="0.2">
      <c r="A263" s="1" t="s">
        <v>828</v>
      </c>
      <c r="B263" s="1">
        <v>503.85040809424299</v>
      </c>
      <c r="C263" s="1">
        <v>2.0569547576062401</v>
      </c>
      <c r="D263" s="1">
        <v>0.36712299336016202</v>
      </c>
      <c r="E263" s="1">
        <v>5.6029036448509597</v>
      </c>
      <c r="F263" s="6">
        <v>2.1079041664484998E-8</v>
      </c>
      <c r="G263" s="6">
        <v>7.4170491077849901E-6</v>
      </c>
      <c r="H263" s="8" t="s">
        <v>10</v>
      </c>
      <c r="I263" s="17" t="s">
        <v>832</v>
      </c>
      <c r="J263" s="33" t="s">
        <v>10</v>
      </c>
    </row>
    <row r="264" spans="1:10" ht="15.75" customHeight="1" x14ac:dyDescent="0.2">
      <c r="A264" s="14" t="s">
        <v>834</v>
      </c>
      <c r="B264" s="1">
        <v>399.44930348424401</v>
      </c>
      <c r="C264" s="1">
        <v>2.4642125228243899</v>
      </c>
      <c r="D264" s="1">
        <v>0.43994188863376898</v>
      </c>
      <c r="E264" s="1">
        <v>5.6012227671180703</v>
      </c>
      <c r="F264" s="6">
        <v>2.12844989377219E-8</v>
      </c>
      <c r="G264" s="6">
        <v>7.4440865224458498E-6</v>
      </c>
      <c r="H264" s="1" t="s">
        <v>835</v>
      </c>
      <c r="I264" s="17" t="s">
        <v>837</v>
      </c>
      <c r="J264" s="33" t="s">
        <v>10</v>
      </c>
    </row>
    <row r="265" spans="1:10" ht="15.75" customHeight="1" x14ac:dyDescent="0.2">
      <c r="A265" s="1" t="s">
        <v>838</v>
      </c>
      <c r="B265" s="1">
        <v>121.83626591656601</v>
      </c>
      <c r="C265" s="1">
        <v>2.56970948667488</v>
      </c>
      <c r="D265" s="1">
        <v>0.45909605632780298</v>
      </c>
      <c r="E265" s="1">
        <v>5.5973242445804301</v>
      </c>
      <c r="F265" s="6">
        <v>2.1768535019631999E-8</v>
      </c>
      <c r="G265" s="6">
        <v>7.5017289110180198E-6</v>
      </c>
      <c r="H265" s="8" t="s">
        <v>10</v>
      </c>
      <c r="I265" s="9" t="s">
        <v>10</v>
      </c>
      <c r="J265" s="33" t="s">
        <v>10</v>
      </c>
    </row>
    <row r="266" spans="1:10" ht="15.75" customHeight="1" x14ac:dyDescent="0.2">
      <c r="A266" s="1" t="s">
        <v>843</v>
      </c>
      <c r="B266" s="1">
        <v>123.920330450161</v>
      </c>
      <c r="C266" s="1">
        <v>2.5086022628565798</v>
      </c>
      <c r="D266" s="1">
        <v>0.449457694366237</v>
      </c>
      <c r="E266" s="1">
        <v>5.58139796982198</v>
      </c>
      <c r="F266" s="6">
        <v>2.3859300458612601E-8</v>
      </c>
      <c r="G266" s="6">
        <v>8.0561289503057696E-6</v>
      </c>
      <c r="H266" s="1" t="s">
        <v>845</v>
      </c>
      <c r="I266" s="12" t="s">
        <v>846</v>
      </c>
      <c r="J266" s="33" t="s">
        <v>10</v>
      </c>
    </row>
    <row r="267" spans="1:10" ht="15.75" customHeight="1" x14ac:dyDescent="0.2">
      <c r="A267" s="1" t="s">
        <v>848</v>
      </c>
      <c r="B267" s="1">
        <v>83.8864421551379</v>
      </c>
      <c r="C267" s="1">
        <v>2.9962069903873099</v>
      </c>
      <c r="D267" s="1">
        <v>0.53853639811986498</v>
      </c>
      <c r="E267" s="1">
        <v>5.56361092926615</v>
      </c>
      <c r="F267" s="6">
        <v>2.64248752675515E-8</v>
      </c>
      <c r="G267" s="6">
        <v>8.87756299503596E-6</v>
      </c>
      <c r="H267" s="8" t="s">
        <v>10</v>
      </c>
      <c r="I267" s="9" t="s">
        <v>10</v>
      </c>
      <c r="J267" s="33" t="s">
        <v>10</v>
      </c>
    </row>
    <row r="268" spans="1:10" ht="15.75" customHeight="1" x14ac:dyDescent="0.2">
      <c r="A268" s="1" t="s">
        <v>854</v>
      </c>
      <c r="B268" s="1">
        <v>469.91683737881101</v>
      </c>
      <c r="C268" s="1">
        <v>2.20877689333946</v>
      </c>
      <c r="D268" s="1">
        <v>0.39882743141264898</v>
      </c>
      <c r="E268" s="1">
        <v>5.5381769641971799</v>
      </c>
      <c r="F268" s="6">
        <v>3.0563635517418501E-8</v>
      </c>
      <c r="G268" s="6">
        <v>1.0115504220381199E-5</v>
      </c>
      <c r="H268" s="8" t="s">
        <v>10</v>
      </c>
      <c r="I268" s="9" t="s">
        <v>10</v>
      </c>
      <c r="J268" s="33" t="s">
        <v>10</v>
      </c>
    </row>
    <row r="269" spans="1:10" ht="15.75" customHeight="1" x14ac:dyDescent="0.2">
      <c r="A269" s="1" t="s">
        <v>856</v>
      </c>
      <c r="B269" s="1">
        <v>39.691063468118202</v>
      </c>
      <c r="C269" s="1">
        <v>5.6302710686482396</v>
      </c>
      <c r="D269" s="1">
        <v>1.0294876643433699</v>
      </c>
      <c r="E269" s="1">
        <v>5.4690029454984996</v>
      </c>
      <c r="F269" s="6">
        <v>4.5257422903427099E-8</v>
      </c>
      <c r="G269" s="6">
        <v>1.4363314406012301E-5</v>
      </c>
      <c r="H269" s="8" t="s">
        <v>10</v>
      </c>
      <c r="I269" s="9" t="s">
        <v>10</v>
      </c>
      <c r="J269" s="33" t="s">
        <v>10</v>
      </c>
    </row>
    <row r="270" spans="1:10" ht="15.75" customHeight="1" x14ac:dyDescent="0.2">
      <c r="A270" s="1" t="s">
        <v>860</v>
      </c>
      <c r="B270" s="1">
        <v>970.48333901663602</v>
      </c>
      <c r="C270" s="1">
        <v>2.24778532672098</v>
      </c>
      <c r="D270" s="1">
        <v>0.41251866377493202</v>
      </c>
      <c r="E270" s="1">
        <v>5.44893000998219</v>
      </c>
      <c r="F270" s="6">
        <v>5.0673748084897001E-8</v>
      </c>
      <c r="G270" s="6">
        <v>1.58308104122233E-5</v>
      </c>
      <c r="H270" s="8" t="s">
        <v>10</v>
      </c>
      <c r="I270" s="17" t="s">
        <v>862</v>
      </c>
      <c r="J270" s="33" t="s">
        <v>3064</v>
      </c>
    </row>
    <row r="271" spans="1:10" ht="15.75" customHeight="1" x14ac:dyDescent="0.2">
      <c r="A271" s="1" t="s">
        <v>864</v>
      </c>
      <c r="B271" s="1">
        <v>156.467520563736</v>
      </c>
      <c r="C271" s="1">
        <v>2.3540518911968298</v>
      </c>
      <c r="D271" s="1">
        <v>0.43352486109000699</v>
      </c>
      <c r="E271" s="1">
        <v>5.4300274389756202</v>
      </c>
      <c r="F271" s="6">
        <v>5.63453881022235E-8</v>
      </c>
      <c r="G271" s="6">
        <v>1.7122595098064302E-5</v>
      </c>
      <c r="H271" s="1" t="s">
        <v>867</v>
      </c>
      <c r="I271" s="12" t="s">
        <v>868</v>
      </c>
      <c r="J271" s="33" t="s">
        <v>10</v>
      </c>
    </row>
    <row r="272" spans="1:10" ht="15.75" customHeight="1" x14ac:dyDescent="0.2">
      <c r="A272" s="1" t="s">
        <v>870</v>
      </c>
      <c r="B272" s="1">
        <v>408.56976973328102</v>
      </c>
      <c r="C272" s="1">
        <v>5.4700954467991298</v>
      </c>
      <c r="D272" s="1">
        <v>1.0099060950431999</v>
      </c>
      <c r="E272" s="1">
        <v>5.4164396805280601</v>
      </c>
      <c r="F272" s="6">
        <v>6.0797488163872495E-8</v>
      </c>
      <c r="G272" s="6">
        <v>1.8145607460695101E-5</v>
      </c>
      <c r="H272" s="1" t="s">
        <v>871</v>
      </c>
      <c r="I272" s="17" t="s">
        <v>872</v>
      </c>
      <c r="J272" s="33" t="s">
        <v>3041</v>
      </c>
    </row>
    <row r="273" spans="1:10" ht="15.75" customHeight="1" x14ac:dyDescent="0.2">
      <c r="A273" s="1" t="s">
        <v>875</v>
      </c>
      <c r="B273" s="1">
        <v>416.55481353616898</v>
      </c>
      <c r="C273" s="1">
        <v>2.0241487885312299</v>
      </c>
      <c r="D273" s="1">
        <v>0.37460347268785499</v>
      </c>
      <c r="E273" s="1">
        <v>5.4034437374740802</v>
      </c>
      <c r="F273" s="6">
        <v>6.5373467370986798E-8</v>
      </c>
      <c r="G273" s="6">
        <v>1.9338686553483701E-5</v>
      </c>
      <c r="H273" s="1" t="s">
        <v>876</v>
      </c>
      <c r="I273" s="17" t="s">
        <v>877</v>
      </c>
      <c r="J273" s="33" t="s">
        <v>10</v>
      </c>
    </row>
    <row r="274" spans="1:10" ht="15.75" customHeight="1" x14ac:dyDescent="0.2">
      <c r="A274" s="1" t="s">
        <v>878</v>
      </c>
      <c r="B274" s="1">
        <v>281.36436214277097</v>
      </c>
      <c r="C274" s="1">
        <v>2.3232836880979</v>
      </c>
      <c r="D274" s="1">
        <v>0.43170483180549502</v>
      </c>
      <c r="E274" s="1">
        <v>5.3816485638609901</v>
      </c>
      <c r="F274" s="6">
        <v>7.3806753112652997E-8</v>
      </c>
      <c r="G274" s="6">
        <v>2.14536977362888E-5</v>
      </c>
      <c r="H274" s="8" t="s">
        <v>10</v>
      </c>
      <c r="I274" s="9" t="s">
        <v>10</v>
      </c>
      <c r="J274" s="33" t="s">
        <v>10</v>
      </c>
    </row>
    <row r="275" spans="1:10" ht="15.75" customHeight="1" x14ac:dyDescent="0.2">
      <c r="A275" s="1" t="s">
        <v>881</v>
      </c>
      <c r="B275" s="1">
        <v>185.81020069453501</v>
      </c>
      <c r="C275" s="1">
        <v>2.1118517791217299</v>
      </c>
      <c r="D275" s="1">
        <v>0.392769360800999</v>
      </c>
      <c r="E275" s="1">
        <v>5.3768241362179996</v>
      </c>
      <c r="F275" s="6">
        <v>7.5811156686865594E-8</v>
      </c>
      <c r="G275" s="6">
        <v>2.1752596052791401E-5</v>
      </c>
      <c r="H275" s="8" t="s">
        <v>10</v>
      </c>
      <c r="I275" s="9" t="s">
        <v>10</v>
      </c>
      <c r="J275" s="33" t="s">
        <v>10</v>
      </c>
    </row>
    <row r="276" spans="1:10" ht="15.75" customHeight="1" x14ac:dyDescent="0.2">
      <c r="A276" s="1" t="s">
        <v>883</v>
      </c>
      <c r="B276" s="1">
        <v>40.468818985507397</v>
      </c>
      <c r="C276" s="1">
        <v>8.4406159591505308</v>
      </c>
      <c r="D276" s="1">
        <v>1.5708356902380201</v>
      </c>
      <c r="E276" s="1">
        <v>5.3733283573863604</v>
      </c>
      <c r="F276" s="6">
        <v>7.7296383163693305E-8</v>
      </c>
      <c r="G276" s="6">
        <v>2.2083973061575701E-5</v>
      </c>
      <c r="H276" s="1" t="s">
        <v>886</v>
      </c>
      <c r="I276" s="9" t="s">
        <v>10</v>
      </c>
      <c r="J276" s="33" t="s">
        <v>10</v>
      </c>
    </row>
    <row r="277" spans="1:10" ht="15.75" customHeight="1" x14ac:dyDescent="0.2">
      <c r="A277" s="1" t="s">
        <v>887</v>
      </c>
      <c r="B277" s="1">
        <v>302.36703990814101</v>
      </c>
      <c r="C277" s="1">
        <v>2.7463101211447198</v>
      </c>
      <c r="D277" s="1">
        <v>0.51180684842919399</v>
      </c>
      <c r="E277" s="1">
        <v>5.3659112408783098</v>
      </c>
      <c r="F277" s="6">
        <v>8.0541544219504599E-8</v>
      </c>
      <c r="G277" s="6">
        <v>2.2816122622012601E-5</v>
      </c>
      <c r="H277" s="8" t="s">
        <v>10</v>
      </c>
      <c r="I277" s="9" t="s">
        <v>10</v>
      </c>
      <c r="J277" s="33" t="s">
        <v>10</v>
      </c>
    </row>
    <row r="278" spans="1:10" ht="15.75" customHeight="1" x14ac:dyDescent="0.2">
      <c r="A278" s="1" t="s">
        <v>889</v>
      </c>
      <c r="B278" s="1">
        <v>89.403535959017503</v>
      </c>
      <c r="C278" s="1">
        <v>3.3099780252039701</v>
      </c>
      <c r="D278" s="1">
        <v>0.61941901379883502</v>
      </c>
      <c r="E278" s="1">
        <v>5.34368166211787</v>
      </c>
      <c r="F278" s="6">
        <v>9.1077462244898597E-8</v>
      </c>
      <c r="G278" s="6">
        <v>2.5370765576594601E-5</v>
      </c>
      <c r="H278" s="8" t="s">
        <v>10</v>
      </c>
      <c r="I278" s="9" t="s">
        <v>10</v>
      </c>
      <c r="J278" s="33" t="s">
        <v>10</v>
      </c>
    </row>
    <row r="279" spans="1:10" ht="15.75" customHeight="1" x14ac:dyDescent="0.2">
      <c r="A279" s="1" t="s">
        <v>893</v>
      </c>
      <c r="B279" s="1">
        <v>166.33253189543601</v>
      </c>
      <c r="C279" s="1">
        <v>2.5201889117296101</v>
      </c>
      <c r="D279" s="1">
        <v>0.47221749465166302</v>
      </c>
      <c r="E279" s="1">
        <v>5.33692406628996</v>
      </c>
      <c r="F279" s="6">
        <v>9.4536607091664501E-8</v>
      </c>
      <c r="G279" s="6">
        <v>2.6225082436154501E-5</v>
      </c>
      <c r="H279" s="8" t="s">
        <v>10</v>
      </c>
      <c r="I279" s="17" t="s">
        <v>895</v>
      </c>
      <c r="J279" s="33" t="s">
        <v>3061</v>
      </c>
    </row>
    <row r="280" spans="1:10" ht="15.75" customHeight="1" x14ac:dyDescent="0.2">
      <c r="A280" s="1" t="s">
        <v>897</v>
      </c>
      <c r="B280" s="1">
        <v>78.842529488317396</v>
      </c>
      <c r="C280" s="1">
        <v>2.8340586899967</v>
      </c>
      <c r="D280" s="1">
        <v>0.53131091234497296</v>
      </c>
      <c r="E280" s="1">
        <v>5.33408711198574</v>
      </c>
      <c r="F280" s="6">
        <v>9.6026418468508703E-8</v>
      </c>
      <c r="G280" s="6">
        <v>2.6528290110380801E-5</v>
      </c>
      <c r="H280" s="1" t="s">
        <v>867</v>
      </c>
      <c r="I280" s="9" t="s">
        <v>10</v>
      </c>
      <c r="J280" s="33" t="s">
        <v>10</v>
      </c>
    </row>
    <row r="281" spans="1:10" ht="15.75" customHeight="1" x14ac:dyDescent="0.2">
      <c r="A281" s="1" t="s">
        <v>900</v>
      </c>
      <c r="B281" s="1">
        <v>61.398783175245299</v>
      </c>
      <c r="C281" s="1">
        <v>3.2208601861825299</v>
      </c>
      <c r="D281" s="1">
        <v>0.60708143821799398</v>
      </c>
      <c r="E281" s="1">
        <v>5.30548289474463</v>
      </c>
      <c r="F281" s="6">
        <v>1.1237510603665299E-7</v>
      </c>
      <c r="G281" s="6">
        <v>3.0293700460001799E-5</v>
      </c>
      <c r="H281" s="1" t="s">
        <v>186</v>
      </c>
      <c r="I281" s="17" t="s">
        <v>606</v>
      </c>
      <c r="J281" s="33" t="s">
        <v>10</v>
      </c>
    </row>
    <row r="282" spans="1:10" ht="15.75" customHeight="1" x14ac:dyDescent="0.2">
      <c r="A282" s="1" t="s">
        <v>902</v>
      </c>
      <c r="B282" s="1">
        <v>102.01682498424501</v>
      </c>
      <c r="C282" s="1">
        <v>2.8599802154571998</v>
      </c>
      <c r="D282" s="1">
        <v>0.539502896280875</v>
      </c>
      <c r="E282" s="1">
        <v>5.3011396883553399</v>
      </c>
      <c r="F282" s="6">
        <v>1.1508198980449799E-7</v>
      </c>
      <c r="G282" s="6">
        <v>3.0775225713518998E-5</v>
      </c>
      <c r="H282" s="8" t="s">
        <v>10</v>
      </c>
      <c r="I282" s="9" t="s">
        <v>10</v>
      </c>
      <c r="J282" s="33" t="s">
        <v>10</v>
      </c>
    </row>
    <row r="283" spans="1:10" ht="15.75" customHeight="1" x14ac:dyDescent="0.2">
      <c r="A283" s="1" t="s">
        <v>905</v>
      </c>
      <c r="B283" s="1">
        <v>104.611119558924</v>
      </c>
      <c r="C283" s="1">
        <v>2.4738899510366101</v>
      </c>
      <c r="D283" s="1">
        <v>0.46783370971204002</v>
      </c>
      <c r="E283" s="1">
        <v>5.2879685659234301</v>
      </c>
      <c r="F283" s="6">
        <v>1.2368222566622699E-7</v>
      </c>
      <c r="G283" s="6">
        <v>3.2554233058722901E-5</v>
      </c>
      <c r="H283" s="8" t="s">
        <v>10</v>
      </c>
      <c r="I283" s="9" t="s">
        <v>10</v>
      </c>
      <c r="J283" s="33" t="s">
        <v>10</v>
      </c>
    </row>
    <row r="284" spans="1:10" ht="15.75" customHeight="1" x14ac:dyDescent="0.2">
      <c r="A284" s="1" t="s">
        <v>906</v>
      </c>
      <c r="B284" s="1">
        <v>206.27998479632799</v>
      </c>
      <c r="C284" s="1">
        <v>2.68151331285459</v>
      </c>
      <c r="D284" s="1">
        <v>0.50718215168843395</v>
      </c>
      <c r="E284" s="1">
        <v>5.2870813847208602</v>
      </c>
      <c r="F284" s="6">
        <v>1.2428335442684199E-7</v>
      </c>
      <c r="G284" s="6">
        <v>3.2584171216496301E-5</v>
      </c>
      <c r="H284" s="1" t="s">
        <v>908</v>
      </c>
      <c r="I284" s="17" t="s">
        <v>910</v>
      </c>
      <c r="J284" s="33" t="s">
        <v>3060</v>
      </c>
    </row>
    <row r="285" spans="1:10" ht="15.75" customHeight="1" x14ac:dyDescent="0.2">
      <c r="A285" s="1" t="s">
        <v>911</v>
      </c>
      <c r="B285" s="1">
        <v>90.779498614795898</v>
      </c>
      <c r="C285" s="1">
        <v>2.6663614372101501</v>
      </c>
      <c r="D285" s="1">
        <v>0.50509258624625497</v>
      </c>
      <c r="E285" s="1">
        <v>5.2789557990268801</v>
      </c>
      <c r="F285" s="6">
        <v>1.29922137784087E-7</v>
      </c>
      <c r="G285" s="6">
        <v>3.3536465334189799E-5</v>
      </c>
      <c r="H285" s="8" t="s">
        <v>10</v>
      </c>
      <c r="I285" s="9" t="s">
        <v>10</v>
      </c>
      <c r="J285" s="33" t="s">
        <v>10</v>
      </c>
    </row>
    <row r="286" spans="1:10" ht="15.75" customHeight="1" x14ac:dyDescent="0.2">
      <c r="A286" s="1" t="s">
        <v>913</v>
      </c>
      <c r="B286" s="1">
        <v>145.22284306546101</v>
      </c>
      <c r="C286" s="1">
        <v>2.2115661585391599</v>
      </c>
      <c r="D286" s="1">
        <v>0.42065424942873703</v>
      </c>
      <c r="E286" s="1">
        <v>5.2574439971604896</v>
      </c>
      <c r="F286" s="6">
        <v>1.46071355713518E-7</v>
      </c>
      <c r="G286" s="6">
        <v>3.6851322589536901E-5</v>
      </c>
      <c r="H286" s="8" t="s">
        <v>10</v>
      </c>
      <c r="I286" s="9" t="s">
        <v>10</v>
      </c>
      <c r="J286" s="33" t="s">
        <v>10</v>
      </c>
    </row>
    <row r="287" spans="1:10" ht="15.75" customHeight="1" x14ac:dyDescent="0.2">
      <c r="A287" s="1" t="s">
        <v>916</v>
      </c>
      <c r="B287" s="1">
        <v>67.814578809522104</v>
      </c>
      <c r="C287" s="1">
        <v>2.9511420372947601</v>
      </c>
      <c r="D287" s="1">
        <v>0.56249702936711199</v>
      </c>
      <c r="E287" s="1">
        <v>5.2465024404043801</v>
      </c>
      <c r="F287" s="6">
        <v>1.5501379627435301E-7</v>
      </c>
      <c r="G287" s="6">
        <v>3.8814409550269001E-5</v>
      </c>
      <c r="H287" s="1" t="s">
        <v>421</v>
      </c>
      <c r="I287" s="9" t="s">
        <v>10</v>
      </c>
      <c r="J287" s="33" t="s">
        <v>10</v>
      </c>
    </row>
    <row r="288" spans="1:10" ht="15.75" customHeight="1" x14ac:dyDescent="0.2">
      <c r="A288" s="14" t="s">
        <v>919</v>
      </c>
      <c r="B288" s="1">
        <v>359.12488704621899</v>
      </c>
      <c r="C288" s="1">
        <v>2.5799912692826901</v>
      </c>
      <c r="D288" s="1">
        <v>0.49267919088608603</v>
      </c>
      <c r="E288" s="1">
        <v>5.2366556514038303</v>
      </c>
      <c r="F288" s="6">
        <v>1.63512351046761E-7</v>
      </c>
      <c r="G288" s="6">
        <v>4.0702683422621301E-5</v>
      </c>
      <c r="H288" s="1" t="s">
        <v>164</v>
      </c>
      <c r="I288" s="9" t="s">
        <v>10</v>
      </c>
      <c r="J288" s="33" t="s">
        <v>10</v>
      </c>
    </row>
    <row r="289" spans="1:10" ht="15.75" customHeight="1" x14ac:dyDescent="0.2">
      <c r="A289" s="1" t="s">
        <v>921</v>
      </c>
      <c r="B289" s="1">
        <v>86.814167660139304</v>
      </c>
      <c r="C289" s="1">
        <v>3.2286444741360598</v>
      </c>
      <c r="D289" s="1">
        <v>0.61661806750294601</v>
      </c>
      <c r="E289" s="1">
        <v>5.2360523382176796</v>
      </c>
      <c r="F289" s="6">
        <v>1.6404745148721E-7</v>
      </c>
      <c r="G289" s="6">
        <v>4.0702683422621301E-5</v>
      </c>
      <c r="H289" s="8" t="s">
        <v>10</v>
      </c>
      <c r="I289" s="9" t="s">
        <v>10</v>
      </c>
      <c r="J289" s="33" t="s">
        <v>10</v>
      </c>
    </row>
    <row r="290" spans="1:10" ht="15.75" customHeight="1" x14ac:dyDescent="0.2">
      <c r="A290" s="1" t="s">
        <v>925</v>
      </c>
      <c r="B290" s="1">
        <v>76.828511330503702</v>
      </c>
      <c r="C290" s="1">
        <v>2.9821722474117198</v>
      </c>
      <c r="D290" s="1">
        <v>0.56958678483684</v>
      </c>
      <c r="E290" s="1">
        <v>5.2356766814138203</v>
      </c>
      <c r="F290" s="6">
        <v>1.6438149015193701E-7</v>
      </c>
      <c r="G290" s="6">
        <v>4.0702683422621301E-5</v>
      </c>
      <c r="H290" s="8" t="s">
        <v>10</v>
      </c>
      <c r="I290" s="9" t="s">
        <v>10</v>
      </c>
      <c r="J290" s="33" t="s">
        <v>10</v>
      </c>
    </row>
    <row r="291" spans="1:10" ht="15.75" customHeight="1" x14ac:dyDescent="0.2">
      <c r="A291" s="1" t="s">
        <v>927</v>
      </c>
      <c r="B291" s="1">
        <v>146.927406227511</v>
      </c>
      <c r="C291" s="1">
        <v>2.1469640085230601</v>
      </c>
      <c r="D291" s="1">
        <v>0.41272626251426298</v>
      </c>
      <c r="E291" s="1">
        <v>5.2019079072993799</v>
      </c>
      <c r="F291" s="6">
        <v>1.9725297007666601E-7</v>
      </c>
      <c r="G291" s="6">
        <v>4.7780243893027099E-5</v>
      </c>
      <c r="H291" s="8" t="s">
        <v>10</v>
      </c>
      <c r="I291" s="9" t="s">
        <v>10</v>
      </c>
      <c r="J291" s="33" t="s">
        <v>10</v>
      </c>
    </row>
    <row r="292" spans="1:10" ht="15.75" customHeight="1" x14ac:dyDescent="0.2">
      <c r="A292" s="1" t="s">
        <v>930</v>
      </c>
      <c r="B292" s="1">
        <v>34.106179134575797</v>
      </c>
      <c r="C292" s="1">
        <v>8.1942534638958406</v>
      </c>
      <c r="D292" s="1">
        <v>1.5785913523093</v>
      </c>
      <c r="E292" s="1">
        <v>5.1908642803019003</v>
      </c>
      <c r="F292" s="6">
        <v>2.09320165392048E-7</v>
      </c>
      <c r="G292" s="6">
        <v>5.0338487975846699E-5</v>
      </c>
      <c r="H292" s="8" t="s">
        <v>10</v>
      </c>
      <c r="I292" s="9" t="s">
        <v>10</v>
      </c>
      <c r="J292" s="33" t="s">
        <v>10</v>
      </c>
    </row>
    <row r="293" spans="1:10" ht="15.75" customHeight="1" x14ac:dyDescent="0.2">
      <c r="A293" s="1" t="s">
        <v>932</v>
      </c>
      <c r="B293" s="1">
        <v>77.091482129126604</v>
      </c>
      <c r="C293" s="1">
        <v>3.24090261291999</v>
      </c>
      <c r="D293" s="1">
        <v>0.63266590342445095</v>
      </c>
      <c r="E293" s="1">
        <v>5.1226130496014699</v>
      </c>
      <c r="F293" s="6">
        <v>3.0133032102656402E-7</v>
      </c>
      <c r="G293" s="6">
        <v>6.8991228124078605E-5</v>
      </c>
      <c r="H293" s="8" t="s">
        <v>10</v>
      </c>
      <c r="I293" s="9" t="s">
        <v>10</v>
      </c>
      <c r="J293" s="33" t="s">
        <v>10</v>
      </c>
    </row>
    <row r="294" spans="1:10" ht="15.75" customHeight="1" x14ac:dyDescent="0.2">
      <c r="A294" s="1" t="s">
        <v>937</v>
      </c>
      <c r="B294" s="1">
        <v>40.172965724937796</v>
      </c>
      <c r="C294" s="1">
        <v>6.3555002208702103</v>
      </c>
      <c r="D294" s="1">
        <v>1.24470605482688</v>
      </c>
      <c r="E294" s="1">
        <v>5.1060249897749399</v>
      </c>
      <c r="F294" s="6">
        <v>3.29006199939895E-7</v>
      </c>
      <c r="G294" s="6">
        <v>7.4561727108412399E-5</v>
      </c>
      <c r="H294" s="1" t="s">
        <v>939</v>
      </c>
      <c r="I294" s="9" t="s">
        <v>10</v>
      </c>
      <c r="J294" s="33" t="s">
        <v>10</v>
      </c>
    </row>
    <row r="295" spans="1:10" ht="15.75" customHeight="1" x14ac:dyDescent="0.2">
      <c r="A295" s="1" t="s">
        <v>940</v>
      </c>
      <c r="B295" s="1">
        <v>64.085926519018301</v>
      </c>
      <c r="C295" s="1">
        <v>2.8985248093279798</v>
      </c>
      <c r="D295" s="1">
        <v>0.56828252682576796</v>
      </c>
      <c r="E295" s="1">
        <v>5.1004996150737698</v>
      </c>
      <c r="F295" s="6">
        <v>3.38758069950877E-7</v>
      </c>
      <c r="G295" s="6">
        <v>7.6129658578483607E-5</v>
      </c>
      <c r="H295" s="1" t="s">
        <v>278</v>
      </c>
      <c r="I295" s="9" t="s">
        <v>10</v>
      </c>
      <c r="J295" s="33" t="s">
        <v>10</v>
      </c>
    </row>
    <row r="296" spans="1:10" ht="15.75" customHeight="1" x14ac:dyDescent="0.2">
      <c r="A296" s="1" t="s">
        <v>942</v>
      </c>
      <c r="B296" s="1">
        <v>141.678743895178</v>
      </c>
      <c r="C296" s="1">
        <v>2.22856829858081</v>
      </c>
      <c r="D296" s="1">
        <v>0.43695924697781102</v>
      </c>
      <c r="E296" s="1">
        <v>5.1001742473571703</v>
      </c>
      <c r="F296" s="6">
        <v>3.3934093570246202E-7</v>
      </c>
      <c r="G296" s="6">
        <v>7.6129658578483607E-5</v>
      </c>
      <c r="H296" s="1" t="s">
        <v>945</v>
      </c>
      <c r="I296" s="9" t="s">
        <v>10</v>
      </c>
      <c r="J296" s="33" t="s">
        <v>10</v>
      </c>
    </row>
    <row r="297" spans="1:10" ht="15.75" customHeight="1" x14ac:dyDescent="0.2">
      <c r="A297" s="1" t="s">
        <v>946</v>
      </c>
      <c r="B297" s="1">
        <v>77.480565852939705</v>
      </c>
      <c r="C297" s="1">
        <v>3.7596853122854301</v>
      </c>
      <c r="D297" s="1">
        <v>0.73799110653701006</v>
      </c>
      <c r="E297" s="1">
        <v>5.0944859348340801</v>
      </c>
      <c r="F297" s="6">
        <v>3.4968879320190901E-7</v>
      </c>
      <c r="G297" s="6">
        <v>7.7928147565045405E-5</v>
      </c>
      <c r="H297" s="1" t="s">
        <v>948</v>
      </c>
      <c r="I297" s="9" t="s">
        <v>10</v>
      </c>
      <c r="J297" s="33" t="s">
        <v>10</v>
      </c>
    </row>
    <row r="298" spans="1:10" ht="15.75" customHeight="1" x14ac:dyDescent="0.2">
      <c r="A298" s="1" t="s">
        <v>949</v>
      </c>
      <c r="B298" s="1">
        <v>48.7145727763507</v>
      </c>
      <c r="C298" s="1">
        <v>3.4078336734971799</v>
      </c>
      <c r="D298" s="1">
        <v>0.67010090538002898</v>
      </c>
      <c r="E298" s="1">
        <v>5.0855530057290697</v>
      </c>
      <c r="F298" s="6">
        <v>3.66556437786741E-7</v>
      </c>
      <c r="G298" s="6">
        <v>8.1415716439310905E-5</v>
      </c>
      <c r="H298" s="8" t="s">
        <v>10</v>
      </c>
      <c r="I298" s="9" t="s">
        <v>10</v>
      </c>
      <c r="J298" s="33" t="s">
        <v>10</v>
      </c>
    </row>
    <row r="299" spans="1:10" ht="15.75" customHeight="1" x14ac:dyDescent="0.2">
      <c r="A299" s="1" t="s">
        <v>954</v>
      </c>
      <c r="B299" s="1">
        <v>742.71340156408996</v>
      </c>
      <c r="C299" s="1">
        <v>2.0583774821357301</v>
      </c>
      <c r="D299" s="1">
        <v>0.40629649240823901</v>
      </c>
      <c r="E299" s="1">
        <v>5.06619555077899</v>
      </c>
      <c r="F299" s="6">
        <v>4.0584500574452199E-7</v>
      </c>
      <c r="G299" s="6">
        <v>8.9252525852138206E-5</v>
      </c>
      <c r="H299" s="1" t="s">
        <v>956</v>
      </c>
      <c r="I299" s="9" t="s">
        <v>957</v>
      </c>
      <c r="J299" s="33" t="s">
        <v>10</v>
      </c>
    </row>
    <row r="300" spans="1:10" ht="15.75" customHeight="1" x14ac:dyDescent="0.2">
      <c r="A300" s="1" t="s">
        <v>958</v>
      </c>
      <c r="B300" s="1">
        <v>30.1986206356586</v>
      </c>
      <c r="C300" s="1">
        <v>8.0218606104041292</v>
      </c>
      <c r="D300" s="1">
        <v>1.5847751477488301</v>
      </c>
      <c r="E300" s="1">
        <v>5.06182887950962</v>
      </c>
      <c r="F300" s="6">
        <v>4.15253659921887E-7</v>
      </c>
      <c r="G300" s="6">
        <v>9.1022240767467998E-5</v>
      </c>
      <c r="H300" s="8" t="s">
        <v>10</v>
      </c>
      <c r="I300" s="9" t="s">
        <v>10</v>
      </c>
      <c r="J300" s="33" t="s">
        <v>10</v>
      </c>
    </row>
    <row r="301" spans="1:10" ht="15.75" customHeight="1" x14ac:dyDescent="0.2">
      <c r="A301" s="1" t="s">
        <v>964</v>
      </c>
      <c r="B301" s="1">
        <v>41.938031298556197</v>
      </c>
      <c r="C301" s="1">
        <v>4.4270661296560601</v>
      </c>
      <c r="D301" s="1">
        <v>0.87655718882237998</v>
      </c>
      <c r="E301" s="1">
        <v>5.0505160257753898</v>
      </c>
      <c r="F301" s="6">
        <v>4.40618141602064E-7</v>
      </c>
      <c r="G301" s="6">
        <v>9.4415146976942305E-5</v>
      </c>
      <c r="H301" s="8" t="s">
        <v>10</v>
      </c>
      <c r="I301" s="9" t="s">
        <v>10</v>
      </c>
      <c r="J301" s="33" t="s">
        <v>10</v>
      </c>
    </row>
    <row r="302" spans="1:10" ht="15.75" customHeight="1" x14ac:dyDescent="0.2">
      <c r="A302" s="1" t="s">
        <v>968</v>
      </c>
      <c r="B302" s="1">
        <v>119.72269261836701</v>
      </c>
      <c r="C302" s="1">
        <v>2.4440125734858</v>
      </c>
      <c r="D302" s="1">
        <v>0.48662215125416902</v>
      </c>
      <c r="E302" s="1">
        <v>5.0224030434842799</v>
      </c>
      <c r="F302" s="6">
        <v>5.1028958908736895E-7</v>
      </c>
      <c r="G302" s="1">
        <v>1.07960159741886E-4</v>
      </c>
      <c r="H302" s="8" t="s">
        <v>10</v>
      </c>
      <c r="I302" s="9" t="s">
        <v>10</v>
      </c>
      <c r="J302" s="33" t="s">
        <v>10</v>
      </c>
    </row>
    <row r="303" spans="1:10" ht="15.75" customHeight="1" x14ac:dyDescent="0.2">
      <c r="A303" s="1" t="s">
        <v>971</v>
      </c>
      <c r="B303" s="1">
        <v>119.97982920188301</v>
      </c>
      <c r="C303" s="1">
        <v>2.1815158946672502</v>
      </c>
      <c r="D303" s="1">
        <v>0.43496625417386398</v>
      </c>
      <c r="E303" s="1">
        <v>5.0153681434681197</v>
      </c>
      <c r="F303" s="6">
        <v>5.29320152027774E-7</v>
      </c>
      <c r="G303" s="1">
        <v>1.1163311912876E-4</v>
      </c>
      <c r="H303" s="8" t="s">
        <v>10</v>
      </c>
      <c r="I303" s="9" t="s">
        <v>10</v>
      </c>
      <c r="J303" s="33" t="s">
        <v>10</v>
      </c>
    </row>
    <row r="304" spans="1:10" ht="15.75" customHeight="1" x14ac:dyDescent="0.2">
      <c r="A304" s="1" t="s">
        <v>973</v>
      </c>
      <c r="B304" s="1">
        <v>79.463575582391897</v>
      </c>
      <c r="C304" s="1">
        <v>2.5384737897515102</v>
      </c>
      <c r="D304" s="1">
        <v>0.50710084409449796</v>
      </c>
      <c r="E304" s="1">
        <v>5.0058559738434596</v>
      </c>
      <c r="F304" s="6">
        <v>5.5614330619233803E-7</v>
      </c>
      <c r="G304" s="1">
        <v>1.1655473584792699E-4</v>
      </c>
      <c r="H304" s="1" t="s">
        <v>974</v>
      </c>
      <c r="I304" s="9" t="s">
        <v>10</v>
      </c>
      <c r="J304" s="33" t="s">
        <v>10</v>
      </c>
    </row>
    <row r="305" spans="1:10" ht="15.75" customHeight="1" x14ac:dyDescent="0.2">
      <c r="A305" s="1" t="s">
        <v>977</v>
      </c>
      <c r="B305" s="1">
        <v>34.768639663395199</v>
      </c>
      <c r="C305" s="1">
        <v>4.3474522718845101</v>
      </c>
      <c r="D305" s="1">
        <v>0.87583975929564195</v>
      </c>
      <c r="E305" s="1">
        <v>4.96375304471308</v>
      </c>
      <c r="F305" s="6">
        <v>6.9143852436146797E-7</v>
      </c>
      <c r="G305" s="1">
        <v>1.4179792192081601E-4</v>
      </c>
      <c r="H305" s="8" t="s">
        <v>10</v>
      </c>
      <c r="I305" s="9" t="s">
        <v>10</v>
      </c>
      <c r="J305" s="33" t="s">
        <v>10</v>
      </c>
    </row>
    <row r="306" spans="1:10" ht="15.75" customHeight="1" x14ac:dyDescent="0.2">
      <c r="A306" s="1" t="s">
        <v>980</v>
      </c>
      <c r="B306" s="1">
        <v>97.411663997080296</v>
      </c>
      <c r="C306" s="1">
        <v>2.9187251780374002</v>
      </c>
      <c r="D306" s="1">
        <v>0.588985557441839</v>
      </c>
      <c r="E306" s="1">
        <v>4.9555123061325803</v>
      </c>
      <c r="F306" s="6">
        <v>7.2139956260148401E-7</v>
      </c>
      <c r="G306" s="1">
        <v>1.46593215069064E-4</v>
      </c>
      <c r="H306" s="8" t="s">
        <v>10</v>
      </c>
      <c r="I306" s="9" t="s">
        <v>10</v>
      </c>
      <c r="J306" s="33" t="s">
        <v>10</v>
      </c>
    </row>
    <row r="307" spans="1:10" ht="15.75" customHeight="1" x14ac:dyDescent="0.2">
      <c r="A307" s="1" t="s">
        <v>983</v>
      </c>
      <c r="B307" s="1">
        <v>127.040125656542</v>
      </c>
      <c r="C307" s="1">
        <v>2.7150518509610801</v>
      </c>
      <c r="D307" s="1">
        <v>0.54813340010430101</v>
      </c>
      <c r="E307" s="1">
        <v>4.9532684022620197</v>
      </c>
      <c r="F307" s="6">
        <v>7.2977203645346298E-7</v>
      </c>
      <c r="G307" s="1">
        <v>1.4739851811811601E-4</v>
      </c>
      <c r="H307" s="8" t="s">
        <v>10</v>
      </c>
      <c r="I307" s="9" t="s">
        <v>10</v>
      </c>
      <c r="J307" s="33" t="s">
        <v>10</v>
      </c>
    </row>
    <row r="308" spans="1:10" ht="15.75" customHeight="1" x14ac:dyDescent="0.2">
      <c r="A308" s="1" t="s">
        <v>987</v>
      </c>
      <c r="B308" s="1">
        <v>260.08825193438003</v>
      </c>
      <c r="C308" s="1">
        <v>2.1854777084521402</v>
      </c>
      <c r="D308" s="1">
        <v>0.441689544826321</v>
      </c>
      <c r="E308" s="1">
        <v>4.9479951111623102</v>
      </c>
      <c r="F308" s="6">
        <v>7.4981791778949102E-7</v>
      </c>
      <c r="G308" s="1">
        <v>1.5099119546330299E-4</v>
      </c>
      <c r="H308" s="8" t="s">
        <v>10</v>
      </c>
      <c r="I308" s="9" t="s">
        <v>10</v>
      </c>
      <c r="J308" s="33" t="s">
        <v>10</v>
      </c>
    </row>
    <row r="309" spans="1:10" ht="15.75" customHeight="1" x14ac:dyDescent="0.2">
      <c r="A309" s="1" t="s">
        <v>989</v>
      </c>
      <c r="B309" s="1">
        <v>121.946678191286</v>
      </c>
      <c r="C309" s="1">
        <v>2.1385790733026999</v>
      </c>
      <c r="D309" s="1">
        <v>0.43275421373950701</v>
      </c>
      <c r="E309" s="1">
        <v>4.9417868281924999</v>
      </c>
      <c r="F309" s="6">
        <v>7.7409827989741101E-7</v>
      </c>
      <c r="G309" s="1">
        <v>1.54484598515049E-4</v>
      </c>
      <c r="H309" s="8" t="s">
        <v>10</v>
      </c>
      <c r="I309" s="17"/>
      <c r="J309" s="33" t="s">
        <v>10</v>
      </c>
    </row>
    <row r="310" spans="1:10" ht="15.75" customHeight="1" x14ac:dyDescent="0.2">
      <c r="A310" s="1" t="s">
        <v>992</v>
      </c>
      <c r="B310" s="1">
        <v>178.38308788735199</v>
      </c>
      <c r="C310" s="1">
        <v>2.0092062684532701</v>
      </c>
      <c r="D310" s="1">
        <v>0.40718988114802102</v>
      </c>
      <c r="E310" s="1">
        <v>4.9343226869699297</v>
      </c>
      <c r="F310" s="6">
        <v>8.0429373676812898E-7</v>
      </c>
      <c r="G310" s="1">
        <v>1.5908596973855999E-4</v>
      </c>
      <c r="H310" s="8" t="s">
        <v>10</v>
      </c>
      <c r="I310" s="9" t="s">
        <v>10</v>
      </c>
      <c r="J310" s="33" t="s">
        <v>10</v>
      </c>
    </row>
    <row r="311" spans="1:10" ht="15.75" customHeight="1" x14ac:dyDescent="0.2">
      <c r="A311" s="1" t="s">
        <v>994</v>
      </c>
      <c r="B311" s="1">
        <v>115.733985723953</v>
      </c>
      <c r="C311" s="1">
        <v>2.5205420144764199</v>
      </c>
      <c r="D311" s="1">
        <v>0.51191148040376</v>
      </c>
      <c r="E311" s="1">
        <v>4.9237848943891498</v>
      </c>
      <c r="F311" s="6">
        <v>8.48861439426688E-7</v>
      </c>
      <c r="G311" s="1">
        <v>1.65937519101963E-4</v>
      </c>
      <c r="H311" s="8" t="s">
        <v>10</v>
      </c>
      <c r="I311" s="9" t="s">
        <v>10</v>
      </c>
      <c r="J311" s="33" t="s">
        <v>10</v>
      </c>
    </row>
    <row r="312" spans="1:10" ht="15.75" customHeight="1" x14ac:dyDescent="0.2">
      <c r="A312" s="14" t="s">
        <v>997</v>
      </c>
      <c r="B312" s="1">
        <v>44.115810382751498</v>
      </c>
      <c r="C312" s="1">
        <v>4.31449626387547</v>
      </c>
      <c r="D312" s="1">
        <v>0.87754938469252897</v>
      </c>
      <c r="E312" s="1">
        <v>4.9165281625570998</v>
      </c>
      <c r="F312" s="6">
        <v>8.8092530013180699E-7</v>
      </c>
      <c r="G312" s="1">
        <v>1.7120424691951101E-4</v>
      </c>
      <c r="H312" s="1" t="s">
        <v>998</v>
      </c>
      <c r="I312" s="9" t="s">
        <v>10</v>
      </c>
      <c r="J312" s="33" t="s">
        <v>10</v>
      </c>
    </row>
    <row r="313" spans="1:10" ht="15.75" customHeight="1" x14ac:dyDescent="0.2">
      <c r="A313" s="1" t="s">
        <v>1000</v>
      </c>
      <c r="B313" s="1">
        <v>89.754759619296394</v>
      </c>
      <c r="C313" s="1">
        <v>2.3647646685538302</v>
      </c>
      <c r="D313" s="1">
        <v>0.48178889360730498</v>
      </c>
      <c r="E313" s="1">
        <v>4.9083005024214899</v>
      </c>
      <c r="F313" s="6">
        <v>9.1869015209882E-7</v>
      </c>
      <c r="G313" s="1">
        <v>1.77758165633377E-4</v>
      </c>
      <c r="H313" s="8" t="s">
        <v>10</v>
      </c>
      <c r="I313" s="9" t="s">
        <v>10</v>
      </c>
      <c r="J313" s="33" t="s">
        <v>10</v>
      </c>
    </row>
    <row r="314" spans="1:10" ht="15.75" customHeight="1" x14ac:dyDescent="0.2">
      <c r="A314" s="1" t="s">
        <v>1002</v>
      </c>
      <c r="B314" s="1">
        <v>66.978881829487094</v>
      </c>
      <c r="C314" s="1">
        <v>3.427965037826</v>
      </c>
      <c r="D314" s="1">
        <v>0.70084117618156505</v>
      </c>
      <c r="E314" s="1">
        <v>4.8912152343884596</v>
      </c>
      <c r="F314" s="6">
        <v>1.00215303451171E-6</v>
      </c>
      <c r="G314" s="1">
        <v>1.90880174137552E-4</v>
      </c>
      <c r="H314" s="1" t="s">
        <v>1004</v>
      </c>
      <c r="I314" s="17" t="s">
        <v>1005</v>
      </c>
      <c r="J314" s="33" t="s">
        <v>10</v>
      </c>
    </row>
    <row r="315" spans="1:10" ht="15.75" customHeight="1" x14ac:dyDescent="0.2">
      <c r="A315" s="1" t="s">
        <v>1006</v>
      </c>
      <c r="B315" s="1">
        <v>66.823650170570104</v>
      </c>
      <c r="C315" s="1">
        <v>2.8099804273001499</v>
      </c>
      <c r="D315" s="1">
        <v>0.57712255696114101</v>
      </c>
      <c r="E315" s="1">
        <v>4.86894922648007</v>
      </c>
      <c r="F315" s="6">
        <v>1.1219322728465101E-6</v>
      </c>
      <c r="G315" s="1">
        <v>2.1010303109566801E-4</v>
      </c>
      <c r="H315" s="8" t="s">
        <v>10</v>
      </c>
      <c r="I315" s="9" t="s">
        <v>10</v>
      </c>
      <c r="J315" s="33" t="s">
        <v>10</v>
      </c>
    </row>
    <row r="316" spans="1:10" ht="15.75" customHeight="1" x14ac:dyDescent="0.2">
      <c r="A316" s="1" t="s">
        <v>1009</v>
      </c>
      <c r="B316" s="1">
        <v>257.63102080241401</v>
      </c>
      <c r="C316" s="1">
        <v>2.4617103329432499</v>
      </c>
      <c r="D316" s="1">
        <v>0.50689448306687102</v>
      </c>
      <c r="E316" s="1">
        <v>4.8564551700171004</v>
      </c>
      <c r="F316" s="6">
        <v>1.1950582163107301E-6</v>
      </c>
      <c r="G316" s="1">
        <v>2.21932269587372E-4</v>
      </c>
      <c r="H316" s="8" t="s">
        <v>10</v>
      </c>
      <c r="I316" s="9" t="s">
        <v>10</v>
      </c>
      <c r="J316" s="33" t="s">
        <v>10</v>
      </c>
    </row>
    <row r="317" spans="1:10" ht="15.75" customHeight="1" x14ac:dyDescent="0.2">
      <c r="A317" s="1" t="s">
        <v>1012</v>
      </c>
      <c r="B317" s="1">
        <v>212.69655650125901</v>
      </c>
      <c r="C317" s="1">
        <v>7.1799667977938197</v>
      </c>
      <c r="D317" s="1">
        <v>1.4790522690864001</v>
      </c>
      <c r="E317" s="1">
        <v>4.85443749883758</v>
      </c>
      <c r="F317" s="6">
        <v>1.20728938429006E-6</v>
      </c>
      <c r="G317" s="1">
        <v>2.22965004935669E-4</v>
      </c>
      <c r="H317" s="1" t="s">
        <v>1014</v>
      </c>
      <c r="I317" s="17" t="s">
        <v>872</v>
      </c>
      <c r="J317" s="33" t="s">
        <v>3041</v>
      </c>
    </row>
    <row r="318" spans="1:10" ht="15.75" customHeight="1" x14ac:dyDescent="0.2">
      <c r="A318" s="1" t="s">
        <v>1016</v>
      </c>
      <c r="B318" s="1">
        <v>117.82699965561</v>
      </c>
      <c r="C318" s="1">
        <v>2.3663113089891401</v>
      </c>
      <c r="D318" s="1">
        <v>0.48887002782745098</v>
      </c>
      <c r="E318" s="1">
        <v>4.8403689616749102</v>
      </c>
      <c r="F318" s="6">
        <v>1.2959828825934799E-6</v>
      </c>
      <c r="G318" s="1">
        <v>2.38030042900514E-4</v>
      </c>
      <c r="H318" s="8" t="s">
        <v>10</v>
      </c>
      <c r="I318" s="9" t="s">
        <v>10</v>
      </c>
      <c r="J318" s="33" t="s">
        <v>10</v>
      </c>
    </row>
    <row r="319" spans="1:10" ht="15.75" customHeight="1" x14ac:dyDescent="0.2">
      <c r="A319" s="1" t="s">
        <v>1019</v>
      </c>
      <c r="B319" s="1">
        <v>25.550701719566</v>
      </c>
      <c r="C319" s="1">
        <v>7.7775301325224397</v>
      </c>
      <c r="D319" s="1">
        <v>1.60940350648647</v>
      </c>
      <c r="E319" s="1">
        <v>4.8325544844261898</v>
      </c>
      <c r="F319" s="6">
        <v>1.3479220537869699E-6</v>
      </c>
      <c r="G319" s="1">
        <v>2.4689131207103601E-4</v>
      </c>
      <c r="H319" s="8" t="s">
        <v>10</v>
      </c>
      <c r="I319" s="9" t="s">
        <v>10</v>
      </c>
      <c r="J319" s="33" t="s">
        <v>10</v>
      </c>
    </row>
    <row r="320" spans="1:10" ht="15.75" customHeight="1" x14ac:dyDescent="0.2">
      <c r="A320" s="1" t="s">
        <v>1021</v>
      </c>
      <c r="B320" s="1">
        <v>86.6254607988039</v>
      </c>
      <c r="C320" s="1">
        <v>2.7094502304126902</v>
      </c>
      <c r="D320" s="1">
        <v>0.56077264393331405</v>
      </c>
      <c r="E320" s="1">
        <v>4.8316376694275602</v>
      </c>
      <c r="F320" s="6">
        <v>1.35414531553653E-6</v>
      </c>
      <c r="G320" s="1">
        <v>2.4735351112075001E-4</v>
      </c>
      <c r="H320" s="8" t="s">
        <v>10</v>
      </c>
      <c r="I320" s="9" t="s">
        <v>10</v>
      </c>
      <c r="J320" s="33" t="s">
        <v>10</v>
      </c>
    </row>
    <row r="321" spans="1:10" ht="15.75" customHeight="1" x14ac:dyDescent="0.2">
      <c r="A321" s="1" t="s">
        <v>1024</v>
      </c>
      <c r="B321" s="1">
        <v>50.287571556667402</v>
      </c>
      <c r="C321" s="1">
        <v>3.0411576229124702</v>
      </c>
      <c r="D321" s="1">
        <v>0.63082024338298803</v>
      </c>
      <c r="E321" s="1">
        <v>4.8209575624955097</v>
      </c>
      <c r="F321" s="6">
        <v>1.4287075144586799E-6</v>
      </c>
      <c r="G321" s="1">
        <v>2.5885160129846902E-4</v>
      </c>
      <c r="H321" s="1" t="s">
        <v>421</v>
      </c>
      <c r="I321" s="9" t="s">
        <v>10</v>
      </c>
      <c r="J321" s="33" t="s">
        <v>10</v>
      </c>
    </row>
    <row r="322" spans="1:10" ht="15.75" customHeight="1" x14ac:dyDescent="0.2">
      <c r="A322" s="1" t="s">
        <v>1026</v>
      </c>
      <c r="B322" s="1">
        <v>69.5541112727323</v>
      </c>
      <c r="C322" s="1">
        <v>2.7117663426169298</v>
      </c>
      <c r="D322" s="1">
        <v>0.56475161921769401</v>
      </c>
      <c r="E322" s="1">
        <v>4.8016973308962401</v>
      </c>
      <c r="F322" s="6">
        <v>1.5732636699572199E-6</v>
      </c>
      <c r="G322" s="1">
        <v>2.8198536904823002E-4</v>
      </c>
      <c r="H322" s="8" t="s">
        <v>10</v>
      </c>
      <c r="I322" s="9" t="s">
        <v>10</v>
      </c>
      <c r="J322" s="33" t="s">
        <v>10</v>
      </c>
    </row>
    <row r="323" spans="1:10" ht="15.75" customHeight="1" x14ac:dyDescent="0.2">
      <c r="A323" s="1" t="s">
        <v>1029</v>
      </c>
      <c r="B323" s="1">
        <v>118.718468226677</v>
      </c>
      <c r="C323" s="1">
        <v>2.6594303290099401</v>
      </c>
      <c r="D323" s="1">
        <v>0.55410310542878805</v>
      </c>
      <c r="E323" s="1">
        <v>4.7995225129661803</v>
      </c>
      <c r="F323" s="6">
        <v>1.59044358015629E-6</v>
      </c>
      <c r="G323" s="1">
        <v>2.8430242126029098E-4</v>
      </c>
      <c r="H323" s="8" t="s">
        <v>10</v>
      </c>
      <c r="I323" s="9" t="s">
        <v>10</v>
      </c>
      <c r="J323" s="33" t="s">
        <v>10</v>
      </c>
    </row>
    <row r="324" spans="1:10" ht="15.75" customHeight="1" x14ac:dyDescent="0.2">
      <c r="A324" s="1" t="s">
        <v>1031</v>
      </c>
      <c r="B324" s="1">
        <v>504.14915362174003</v>
      </c>
      <c r="C324" s="1">
        <v>2.08747460740793</v>
      </c>
      <c r="D324" s="1">
        <v>0.43512681541352699</v>
      </c>
      <c r="E324" s="1">
        <v>4.7973936182813199</v>
      </c>
      <c r="F324" s="6">
        <v>1.60743530375789E-6</v>
      </c>
      <c r="G324" s="1">
        <v>2.8609813796628199E-4</v>
      </c>
      <c r="H324" s="18" t="s">
        <v>1033</v>
      </c>
      <c r="I324" s="17" t="s">
        <v>872</v>
      </c>
      <c r="J324" s="33" t="s">
        <v>3041</v>
      </c>
    </row>
    <row r="325" spans="1:10" ht="15.75" customHeight="1" x14ac:dyDescent="0.2">
      <c r="A325" s="1" t="s">
        <v>1035</v>
      </c>
      <c r="B325" s="1">
        <v>93.336336094549907</v>
      </c>
      <c r="C325" s="1">
        <v>2.7607883527830301</v>
      </c>
      <c r="D325" s="1">
        <v>0.57556468266839</v>
      </c>
      <c r="E325" s="1">
        <v>4.7966604552309704</v>
      </c>
      <c r="F325" s="6">
        <v>1.6133273205188601E-6</v>
      </c>
      <c r="G325" s="1">
        <v>2.8609813796628199E-4</v>
      </c>
      <c r="H325" s="8" t="s">
        <v>10</v>
      </c>
      <c r="I325" s="9" t="s">
        <v>10</v>
      </c>
      <c r="J325" s="33" t="s">
        <v>10</v>
      </c>
    </row>
    <row r="326" spans="1:10" ht="15.75" customHeight="1" x14ac:dyDescent="0.2">
      <c r="A326" s="1" t="s">
        <v>1039</v>
      </c>
      <c r="B326" s="1">
        <v>28.866699907254901</v>
      </c>
      <c r="C326" s="1">
        <v>6.6689068657550203</v>
      </c>
      <c r="D326" s="1">
        <v>1.39226927417222</v>
      </c>
      <c r="E326" s="1">
        <v>4.7899547806368501</v>
      </c>
      <c r="F326" s="6">
        <v>1.6681890242302301E-6</v>
      </c>
      <c r="G326" s="1">
        <v>2.9504438416643402E-4</v>
      </c>
      <c r="H326" s="8" t="s">
        <v>10</v>
      </c>
      <c r="I326" s="9" t="s">
        <v>10</v>
      </c>
      <c r="J326" s="33" t="s">
        <v>10</v>
      </c>
    </row>
    <row r="327" spans="1:10" ht="15.75" customHeight="1" x14ac:dyDescent="0.2">
      <c r="A327" s="1" t="s">
        <v>1041</v>
      </c>
      <c r="B327" s="1">
        <v>101.332995825046</v>
      </c>
      <c r="C327" s="1">
        <v>2.37946162653652</v>
      </c>
      <c r="D327" s="1">
        <v>0.49821459549458202</v>
      </c>
      <c r="E327" s="1">
        <v>4.7759773560515804</v>
      </c>
      <c r="F327" s="6">
        <v>1.78836517322119E-6</v>
      </c>
      <c r="G327" s="1">
        <v>3.1380880224593901E-4</v>
      </c>
      <c r="H327" s="8" t="s">
        <v>10</v>
      </c>
      <c r="I327" s="9" t="s">
        <v>10</v>
      </c>
      <c r="J327" s="33" t="s">
        <v>10</v>
      </c>
    </row>
    <row r="328" spans="1:10" ht="15.75" customHeight="1" x14ac:dyDescent="0.2">
      <c r="A328" s="1" t="s">
        <v>1043</v>
      </c>
      <c r="B328" s="1">
        <v>64.816014135611297</v>
      </c>
      <c r="C328" s="1">
        <v>2.6643141256937599</v>
      </c>
      <c r="D328" s="1">
        <v>0.55805358968252305</v>
      </c>
      <c r="E328" s="1">
        <v>4.7742979795354303</v>
      </c>
      <c r="F328" s="6">
        <v>1.80335204341428E-6</v>
      </c>
      <c r="G328" s="1">
        <v>3.1561021168183701E-4</v>
      </c>
      <c r="H328" s="8" t="s">
        <v>10</v>
      </c>
      <c r="I328" s="9" t="s">
        <v>10</v>
      </c>
      <c r="J328" s="33" t="s">
        <v>10</v>
      </c>
    </row>
    <row r="329" spans="1:10" ht="15.75" customHeight="1" x14ac:dyDescent="0.2">
      <c r="A329" s="1" t="s">
        <v>1045</v>
      </c>
      <c r="B329" s="1">
        <v>222.50132116108</v>
      </c>
      <c r="C329" s="1">
        <v>2.31398945097208</v>
      </c>
      <c r="D329" s="1">
        <v>0.48541664425380698</v>
      </c>
      <c r="E329" s="1">
        <v>4.7670171148111304</v>
      </c>
      <c r="F329" s="6">
        <v>1.86973432557621E-6</v>
      </c>
      <c r="G329" s="1">
        <v>3.23837016415537E-4</v>
      </c>
      <c r="H329" s="1" t="s">
        <v>313</v>
      </c>
      <c r="I329" s="17" t="s">
        <v>815</v>
      </c>
      <c r="J329" s="33" t="s">
        <v>3042</v>
      </c>
    </row>
    <row r="330" spans="1:10" ht="15.75" customHeight="1" x14ac:dyDescent="0.2">
      <c r="A330" s="1" t="s">
        <v>1047</v>
      </c>
      <c r="B330" s="1">
        <v>78.801681209318701</v>
      </c>
      <c r="C330" s="1">
        <v>2.40671123266387</v>
      </c>
      <c r="D330" s="1">
        <v>0.50518499034377995</v>
      </c>
      <c r="E330" s="1">
        <v>4.7640196733202496</v>
      </c>
      <c r="F330" s="6">
        <v>1.8977399017403799E-6</v>
      </c>
      <c r="G330" s="1">
        <v>3.2783824581615801E-4</v>
      </c>
      <c r="H330" s="8" t="s">
        <v>10</v>
      </c>
      <c r="I330" s="9" t="s">
        <v>10</v>
      </c>
      <c r="J330" s="33" t="s">
        <v>10</v>
      </c>
    </row>
    <row r="331" spans="1:10" ht="15.75" customHeight="1" x14ac:dyDescent="0.2">
      <c r="A331" s="1" t="s">
        <v>1049</v>
      </c>
      <c r="B331" s="1">
        <v>96.805792220344102</v>
      </c>
      <c r="C331" s="1">
        <v>2.2630192666575799</v>
      </c>
      <c r="D331" s="1">
        <v>0.47556351257003299</v>
      </c>
      <c r="E331" s="1">
        <v>4.7586057526318699</v>
      </c>
      <c r="F331" s="6">
        <v>1.94934754757427E-6</v>
      </c>
      <c r="G331" s="1">
        <v>3.3416315459763602E-4</v>
      </c>
      <c r="H331" s="8" t="s">
        <v>10</v>
      </c>
      <c r="I331" s="9" t="s">
        <v>10</v>
      </c>
      <c r="J331" s="33" t="s">
        <v>10</v>
      </c>
    </row>
    <row r="332" spans="1:10" ht="15.75" customHeight="1" x14ac:dyDescent="0.2">
      <c r="A332" s="1" t="s">
        <v>1051</v>
      </c>
      <c r="B332" s="1">
        <v>40.577190943052599</v>
      </c>
      <c r="C332" s="1">
        <v>3.92371586335199</v>
      </c>
      <c r="D332" s="1">
        <v>0.82571865051982896</v>
      </c>
      <c r="E332" s="1">
        <v>4.7518799059241603</v>
      </c>
      <c r="F332" s="6">
        <v>2.0153406732919401E-6</v>
      </c>
      <c r="G332" s="1">
        <v>3.4459232918908502E-4</v>
      </c>
      <c r="H332" s="8" t="s">
        <v>10</v>
      </c>
      <c r="I332" s="17"/>
      <c r="J332" s="33" t="s">
        <v>10</v>
      </c>
    </row>
    <row r="333" spans="1:10" ht="15.75" customHeight="1" x14ac:dyDescent="0.2">
      <c r="A333" s="1" t="s">
        <v>1054</v>
      </c>
      <c r="B333" s="1">
        <v>42.0433584045849</v>
      </c>
      <c r="C333" s="1">
        <v>3.6248248605720801</v>
      </c>
      <c r="D333" s="1">
        <v>0.76296023479095398</v>
      </c>
      <c r="E333" s="1">
        <v>4.7510010289923601</v>
      </c>
      <c r="F333" s="6">
        <v>2.0241210230393501E-6</v>
      </c>
      <c r="G333" s="1">
        <v>3.4521074233493699E-4</v>
      </c>
      <c r="H333" s="8" t="s">
        <v>10</v>
      </c>
      <c r="I333" s="9" t="s">
        <v>10</v>
      </c>
      <c r="J333" s="33" t="s">
        <v>10</v>
      </c>
    </row>
    <row r="334" spans="1:10" ht="15.75" customHeight="1" x14ac:dyDescent="0.2">
      <c r="A334" s="1" t="s">
        <v>1056</v>
      </c>
      <c r="B334" s="1">
        <v>391.69992442008902</v>
      </c>
      <c r="C334" s="1">
        <v>2.1964835862312202</v>
      </c>
      <c r="D334" s="1">
        <v>0.462546064577189</v>
      </c>
      <c r="E334" s="1">
        <v>4.7486807356992902</v>
      </c>
      <c r="F334" s="6">
        <v>2.0474786469179399E-6</v>
      </c>
      <c r="G334" s="1">
        <v>3.4830581409592498E-4</v>
      </c>
      <c r="H334" s="8" t="s">
        <v>10</v>
      </c>
      <c r="I334" s="17" t="s">
        <v>1058</v>
      </c>
      <c r="J334" s="33" t="s">
        <v>10</v>
      </c>
    </row>
    <row r="335" spans="1:10" ht="15.75" customHeight="1" x14ac:dyDescent="0.2">
      <c r="A335" s="1" t="s">
        <v>1059</v>
      </c>
      <c r="B335" s="1">
        <v>29.0599430135142</v>
      </c>
      <c r="C335" s="1">
        <v>4.4634341086888201</v>
      </c>
      <c r="D335" s="1">
        <v>0.94153889135052304</v>
      </c>
      <c r="E335" s="1">
        <v>4.7405732781644003</v>
      </c>
      <c r="F335" s="6">
        <v>2.1311435627354902E-6</v>
      </c>
      <c r="G335" s="1">
        <v>3.6070279211817998E-4</v>
      </c>
      <c r="H335" s="8" t="s">
        <v>10</v>
      </c>
      <c r="I335" s="9" t="s">
        <v>10</v>
      </c>
      <c r="J335" s="33" t="s">
        <v>10</v>
      </c>
    </row>
    <row r="336" spans="1:10" ht="15.75" customHeight="1" x14ac:dyDescent="0.2">
      <c r="A336" s="1" t="s">
        <v>1062</v>
      </c>
      <c r="B336" s="1">
        <v>89.752491023819999</v>
      </c>
      <c r="C336" s="1">
        <v>2.8326877493541001</v>
      </c>
      <c r="D336" s="1">
        <v>0.59776263242981098</v>
      </c>
      <c r="E336" s="1">
        <v>4.7388170415398401</v>
      </c>
      <c r="F336" s="6">
        <v>2.14969486700976E-6</v>
      </c>
      <c r="G336" s="1">
        <v>3.62923864479641E-4</v>
      </c>
      <c r="H336" s="8" t="s">
        <v>10</v>
      </c>
      <c r="I336" s="9" t="s">
        <v>10</v>
      </c>
      <c r="J336" s="33" t="s">
        <v>10</v>
      </c>
    </row>
    <row r="337" spans="1:10" ht="15.75" customHeight="1" x14ac:dyDescent="0.2">
      <c r="A337" s="1" t="s">
        <v>1064</v>
      </c>
      <c r="B337" s="1">
        <v>37.540306116028297</v>
      </c>
      <c r="C337" s="1">
        <v>5.5194684913997696</v>
      </c>
      <c r="D337" s="1">
        <v>1.16500575164256</v>
      </c>
      <c r="E337" s="1">
        <v>4.73771780406903</v>
      </c>
      <c r="F337" s="6">
        <v>2.1613850324933299E-6</v>
      </c>
      <c r="G337" s="1">
        <v>3.6331519520248402E-4</v>
      </c>
      <c r="H337" s="8" t="s">
        <v>10</v>
      </c>
      <c r="I337" s="9" t="s">
        <v>10</v>
      </c>
      <c r="J337" s="33" t="s">
        <v>10</v>
      </c>
    </row>
    <row r="338" spans="1:10" ht="15.75" customHeight="1" x14ac:dyDescent="0.2">
      <c r="A338" s="1" t="s">
        <v>1066</v>
      </c>
      <c r="B338" s="1">
        <v>32.900540201901201</v>
      </c>
      <c r="C338" s="1">
        <v>4.05824972240642</v>
      </c>
      <c r="D338" s="1">
        <v>0.86486005869924298</v>
      </c>
      <c r="E338" s="1">
        <v>4.6923773176784902</v>
      </c>
      <c r="F338" s="6">
        <v>2.7004847774058198E-6</v>
      </c>
      <c r="G338" s="1">
        <v>4.4016305620975298E-4</v>
      </c>
      <c r="H338" s="8" t="s">
        <v>10</v>
      </c>
      <c r="I338" s="9" t="s">
        <v>10</v>
      </c>
      <c r="J338" s="33" t="s">
        <v>10</v>
      </c>
    </row>
    <row r="339" spans="1:10" ht="15.75" customHeight="1" x14ac:dyDescent="0.2">
      <c r="A339" s="1" t="s">
        <v>1068</v>
      </c>
      <c r="B339" s="1">
        <v>40.700140201202103</v>
      </c>
      <c r="C339" s="1">
        <v>3.4677498435935199</v>
      </c>
      <c r="D339" s="1">
        <v>0.73908294951714104</v>
      </c>
      <c r="E339" s="1">
        <v>4.6919629871844197</v>
      </c>
      <c r="F339" s="6">
        <v>2.7059609019850201E-6</v>
      </c>
      <c r="G339" s="1">
        <v>4.4016305620975298E-4</v>
      </c>
      <c r="H339" s="8" t="s">
        <v>10</v>
      </c>
      <c r="I339" s="17"/>
      <c r="J339" s="33" t="s">
        <v>10</v>
      </c>
    </row>
    <row r="340" spans="1:10" ht="15.75" customHeight="1" x14ac:dyDescent="0.2">
      <c r="A340" s="1" t="s">
        <v>1070</v>
      </c>
      <c r="B340" s="1">
        <v>758.12344716374696</v>
      </c>
      <c r="C340" s="1">
        <v>4.4122215866583803</v>
      </c>
      <c r="D340" s="1">
        <v>0.94104730295080696</v>
      </c>
      <c r="E340" s="1">
        <v>4.6886289061380202</v>
      </c>
      <c r="F340" s="6">
        <v>2.75041637095408E-6</v>
      </c>
      <c r="G340" s="1">
        <v>4.4578262689872698E-4</v>
      </c>
      <c r="H340" s="8" t="s">
        <v>10</v>
      </c>
      <c r="I340" s="9" t="s">
        <v>10</v>
      </c>
      <c r="J340" s="33" t="s">
        <v>10</v>
      </c>
    </row>
    <row r="341" spans="1:10" ht="15.75" customHeight="1" x14ac:dyDescent="0.2">
      <c r="A341" s="1" t="s">
        <v>1072</v>
      </c>
      <c r="B341" s="1">
        <v>43.9433457049551</v>
      </c>
      <c r="C341" s="1">
        <v>4.1731897478960098</v>
      </c>
      <c r="D341" s="1">
        <v>0.89050081625146504</v>
      </c>
      <c r="E341" s="1">
        <v>4.6863401714362496</v>
      </c>
      <c r="F341" s="6">
        <v>2.78133835117501E-6</v>
      </c>
      <c r="G341" s="1">
        <v>4.4761362374004803E-4</v>
      </c>
      <c r="H341" s="1" t="s">
        <v>1004</v>
      </c>
      <c r="I341" s="9" t="s">
        <v>10</v>
      </c>
      <c r="J341" s="33" t="s">
        <v>10</v>
      </c>
    </row>
    <row r="342" spans="1:10" ht="15.75" customHeight="1" x14ac:dyDescent="0.2">
      <c r="A342" s="1" t="s">
        <v>1074</v>
      </c>
      <c r="B342" s="1">
        <v>163.05515607356801</v>
      </c>
      <c r="C342" s="1">
        <v>2.06869161182874</v>
      </c>
      <c r="D342" s="1">
        <v>0.44214954883236901</v>
      </c>
      <c r="E342" s="1">
        <v>4.6787147409553</v>
      </c>
      <c r="F342" s="6">
        <v>2.8867873057268801E-6</v>
      </c>
      <c r="G342" s="1">
        <v>4.5951467934374001E-4</v>
      </c>
      <c r="H342" s="1" t="s">
        <v>1076</v>
      </c>
      <c r="I342" s="9" t="s">
        <v>10</v>
      </c>
      <c r="J342" s="33" t="s">
        <v>10</v>
      </c>
    </row>
    <row r="343" spans="1:10" ht="15.75" customHeight="1" x14ac:dyDescent="0.2">
      <c r="A343" s="14" t="s">
        <v>1078</v>
      </c>
      <c r="B343" s="1">
        <v>81.576734178643704</v>
      </c>
      <c r="C343" s="1">
        <v>2.6931163518351502</v>
      </c>
      <c r="D343" s="1">
        <v>0.57715876190022997</v>
      </c>
      <c r="E343" s="1">
        <v>4.6661621197057999</v>
      </c>
      <c r="F343" s="6">
        <v>3.06877608508923E-6</v>
      </c>
      <c r="G343" s="1">
        <v>4.8273652980856599E-4</v>
      </c>
      <c r="H343" s="8" t="s">
        <v>10</v>
      </c>
      <c r="I343" s="9" t="s">
        <v>10</v>
      </c>
      <c r="J343" s="33" t="s">
        <v>10</v>
      </c>
    </row>
    <row r="344" spans="1:10" ht="15.75" customHeight="1" x14ac:dyDescent="0.2">
      <c r="A344" s="1" t="s">
        <v>1080</v>
      </c>
      <c r="B344" s="1">
        <v>40.311710451304101</v>
      </c>
      <c r="C344" s="1">
        <v>3.6783720628342498</v>
      </c>
      <c r="D344" s="1">
        <v>0.78945712843138305</v>
      </c>
      <c r="E344" s="1">
        <v>4.6593689896030401</v>
      </c>
      <c r="F344" s="6">
        <v>3.17180190129493E-6</v>
      </c>
      <c r="G344" s="1">
        <v>4.9429094664585598E-4</v>
      </c>
      <c r="H344" s="8" t="s">
        <v>10</v>
      </c>
      <c r="I344" s="9" t="s">
        <v>10</v>
      </c>
      <c r="J344" s="33" t="s">
        <v>10</v>
      </c>
    </row>
    <row r="345" spans="1:10" ht="15.75" customHeight="1" x14ac:dyDescent="0.2">
      <c r="A345" s="1" t="s">
        <v>1083</v>
      </c>
      <c r="B345" s="1">
        <v>145.66327963173899</v>
      </c>
      <c r="C345" s="1">
        <v>2.02711827772647</v>
      </c>
      <c r="D345" s="1">
        <v>0.43580503974792101</v>
      </c>
      <c r="E345" s="1">
        <v>4.6514337670326302</v>
      </c>
      <c r="F345" s="6">
        <v>3.2963514787274E-6</v>
      </c>
      <c r="G345" s="1">
        <v>5.1131688656686804E-4</v>
      </c>
      <c r="H345" s="8" t="s">
        <v>10</v>
      </c>
      <c r="I345" s="9" t="s">
        <v>10</v>
      </c>
      <c r="J345" s="33" t="s">
        <v>10</v>
      </c>
    </row>
    <row r="346" spans="1:10" ht="15.75" customHeight="1" x14ac:dyDescent="0.2">
      <c r="A346" s="1" t="s">
        <v>1086</v>
      </c>
      <c r="B346" s="1">
        <v>31.937047997001699</v>
      </c>
      <c r="C346" s="1">
        <v>3.83877820460676</v>
      </c>
      <c r="D346" s="1">
        <v>0.82803081430592995</v>
      </c>
      <c r="E346" s="1">
        <v>4.6360330295491403</v>
      </c>
      <c r="F346" s="6">
        <v>3.5515923985694702E-6</v>
      </c>
      <c r="G346" s="1">
        <v>5.4584301104910798E-4</v>
      </c>
      <c r="H346" s="8" t="s">
        <v>10</v>
      </c>
      <c r="I346" s="9" t="s">
        <v>10</v>
      </c>
      <c r="J346" s="33" t="s">
        <v>10</v>
      </c>
    </row>
    <row r="347" spans="1:10" ht="15.75" customHeight="1" x14ac:dyDescent="0.2">
      <c r="A347" s="1" t="s">
        <v>1087</v>
      </c>
      <c r="B347" s="1">
        <v>50.407774506662903</v>
      </c>
      <c r="C347" s="1">
        <v>3.3026308068393</v>
      </c>
      <c r="D347" s="1">
        <v>0.71262264914903695</v>
      </c>
      <c r="E347" s="1">
        <v>4.6344735334795502</v>
      </c>
      <c r="F347" s="6">
        <v>3.5784701141468699E-6</v>
      </c>
      <c r="G347" s="1">
        <v>5.4871243000295699E-4</v>
      </c>
      <c r="H347" s="8" t="s">
        <v>10</v>
      </c>
      <c r="I347" s="9" t="s">
        <v>10</v>
      </c>
      <c r="J347" s="33" t="s">
        <v>10</v>
      </c>
    </row>
    <row r="348" spans="1:10" ht="15.75" customHeight="1" x14ac:dyDescent="0.2">
      <c r="A348" s="1" t="s">
        <v>1089</v>
      </c>
      <c r="B348" s="1">
        <v>75.996597136348001</v>
      </c>
      <c r="C348" s="1">
        <v>2.3621186927076701</v>
      </c>
      <c r="D348" s="1">
        <v>0.51062518377202404</v>
      </c>
      <c r="E348" s="1">
        <v>4.6259345754522503</v>
      </c>
      <c r="F348" s="6">
        <v>3.7291300920003599E-6</v>
      </c>
      <c r="G348" s="1">
        <v>5.7050570320522703E-4</v>
      </c>
      <c r="H348" s="8" t="s">
        <v>10</v>
      </c>
      <c r="I348" s="17" t="s">
        <v>1091</v>
      </c>
      <c r="J348" s="33" t="s">
        <v>10</v>
      </c>
    </row>
    <row r="349" spans="1:10" ht="15.75" customHeight="1" x14ac:dyDescent="0.2">
      <c r="A349" s="1" t="s">
        <v>1092</v>
      </c>
      <c r="B349" s="1">
        <v>62.434077990007701</v>
      </c>
      <c r="C349" s="1">
        <v>2.7006179347892498</v>
      </c>
      <c r="D349" s="1">
        <v>0.584679474488638</v>
      </c>
      <c r="E349" s="1">
        <v>4.6189716804257799</v>
      </c>
      <c r="F349" s="6">
        <v>3.8564648142921602E-6</v>
      </c>
      <c r="G349" s="1">
        <v>5.8387120416046503E-4</v>
      </c>
      <c r="H349" s="17" t="s">
        <v>1093</v>
      </c>
      <c r="I349" s="17" t="s">
        <v>1094</v>
      </c>
      <c r="J349" s="33" t="s">
        <v>3058</v>
      </c>
    </row>
    <row r="350" spans="1:10" ht="15.75" customHeight="1" x14ac:dyDescent="0.2">
      <c r="A350" s="1" t="s">
        <v>1095</v>
      </c>
      <c r="B350" s="1">
        <v>30.6000539032345</v>
      </c>
      <c r="C350" s="1">
        <v>4.3746841560165599</v>
      </c>
      <c r="D350" s="1">
        <v>0.95134356291646704</v>
      </c>
      <c r="E350" s="1">
        <v>4.5984272417899197</v>
      </c>
      <c r="F350" s="6">
        <v>4.25692327405579E-6</v>
      </c>
      <c r="G350" s="1">
        <v>6.3384544651892997E-4</v>
      </c>
      <c r="H350" s="8" t="s">
        <v>10</v>
      </c>
      <c r="I350" s="9" t="s">
        <v>10</v>
      </c>
      <c r="J350" s="33" t="s">
        <v>10</v>
      </c>
    </row>
    <row r="351" spans="1:10" ht="15.75" customHeight="1" x14ac:dyDescent="0.2">
      <c r="A351" s="1" t="s">
        <v>1097</v>
      </c>
      <c r="B351" s="1">
        <v>62.011236942730598</v>
      </c>
      <c r="C351" s="1">
        <v>2.8107159801089501</v>
      </c>
      <c r="D351" s="1">
        <v>0.61446186439607697</v>
      </c>
      <c r="E351" s="1">
        <v>4.5742724536232302</v>
      </c>
      <c r="F351" s="6">
        <v>4.77877649453593E-6</v>
      </c>
      <c r="G351" s="1">
        <v>6.9909212810109398E-4</v>
      </c>
      <c r="H351" s="8" t="s">
        <v>10</v>
      </c>
      <c r="I351" s="9" t="s">
        <v>10</v>
      </c>
      <c r="J351" s="33" t="s">
        <v>10</v>
      </c>
    </row>
    <row r="352" spans="1:10" ht="15.75" customHeight="1" x14ac:dyDescent="0.2">
      <c r="A352" s="1" t="s">
        <v>1099</v>
      </c>
      <c r="B352" s="1">
        <v>107.763126579881</v>
      </c>
      <c r="C352" s="1">
        <v>2.1337107233866801</v>
      </c>
      <c r="D352" s="1">
        <v>0.467253397073913</v>
      </c>
      <c r="E352" s="1">
        <v>4.5664959029696703</v>
      </c>
      <c r="F352" s="6">
        <v>4.9594472654303098E-6</v>
      </c>
      <c r="G352" s="1">
        <v>7.2223736199656101E-4</v>
      </c>
      <c r="H352" s="8" t="s">
        <v>10</v>
      </c>
      <c r="I352" s="9" t="s">
        <v>10</v>
      </c>
      <c r="J352" s="33" t="s">
        <v>10</v>
      </c>
    </row>
    <row r="353" spans="1:10" ht="15.75" customHeight="1" x14ac:dyDescent="0.2">
      <c r="A353" s="1" t="s">
        <v>1101</v>
      </c>
      <c r="B353" s="1">
        <v>176.78841826394699</v>
      </c>
      <c r="C353" s="1">
        <v>2.0210128301080399</v>
      </c>
      <c r="D353" s="1">
        <v>0.44441650789345999</v>
      </c>
      <c r="E353" s="1">
        <v>4.5475647151085203</v>
      </c>
      <c r="F353" s="6">
        <v>5.4270235209972598E-6</v>
      </c>
      <c r="G353" s="1">
        <v>7.8026593009950895E-4</v>
      </c>
      <c r="H353" s="8" t="s">
        <v>10</v>
      </c>
      <c r="I353" s="17"/>
      <c r="J353" s="33" t="s">
        <v>10</v>
      </c>
    </row>
    <row r="354" spans="1:10" ht="15.75" customHeight="1" x14ac:dyDescent="0.2">
      <c r="A354" s="1" t="s">
        <v>1103</v>
      </c>
      <c r="B354" s="1">
        <v>112.159700072128</v>
      </c>
      <c r="C354" s="1">
        <v>2.21870841363212</v>
      </c>
      <c r="D354" s="1">
        <v>0.48866434993486602</v>
      </c>
      <c r="E354" s="1">
        <v>4.5403525219874403</v>
      </c>
      <c r="F354" s="6">
        <v>5.6160250125079798E-6</v>
      </c>
      <c r="G354" s="1">
        <v>8.0398148225100904E-4</v>
      </c>
      <c r="H354" s="8" t="s">
        <v>10</v>
      </c>
      <c r="I354" s="9" t="s">
        <v>10</v>
      </c>
      <c r="J354" s="33" t="s">
        <v>10</v>
      </c>
    </row>
    <row r="355" spans="1:10" ht="15.75" customHeight="1" x14ac:dyDescent="0.2">
      <c r="A355" s="1" t="s">
        <v>1104</v>
      </c>
      <c r="B355" s="1">
        <v>149.94044839576799</v>
      </c>
      <c r="C355" s="1">
        <v>2.0271623051625198</v>
      </c>
      <c r="D355" s="1">
        <v>0.446606066472156</v>
      </c>
      <c r="E355" s="1">
        <v>4.5390388920946396</v>
      </c>
      <c r="F355" s="6">
        <v>5.6511213322668898E-6</v>
      </c>
      <c r="G355" s="1">
        <v>8.0516865118772905E-4</v>
      </c>
      <c r="H355" s="1" t="s">
        <v>186</v>
      </c>
      <c r="I355" s="9" t="s">
        <v>10</v>
      </c>
      <c r="J355" s="33" t="s">
        <v>10</v>
      </c>
    </row>
    <row r="356" spans="1:10" ht="15.75" customHeight="1" x14ac:dyDescent="0.2">
      <c r="A356" s="1" t="s">
        <v>1106</v>
      </c>
      <c r="B356" s="1">
        <v>86.743922041363007</v>
      </c>
      <c r="C356" s="1">
        <v>2.4512247882107698</v>
      </c>
      <c r="D356" s="1">
        <v>0.54012640533392497</v>
      </c>
      <c r="E356" s="1">
        <v>4.5382428335369696</v>
      </c>
      <c r="F356" s="6">
        <v>5.6724917314998198E-6</v>
      </c>
      <c r="G356" s="1">
        <v>8.0516865118772905E-4</v>
      </c>
      <c r="H356" s="8" t="s">
        <v>10</v>
      </c>
      <c r="I356" s="9" t="s">
        <v>10</v>
      </c>
      <c r="J356" s="33" t="s">
        <v>10</v>
      </c>
    </row>
    <row r="357" spans="1:10" ht="15.75" customHeight="1" x14ac:dyDescent="0.2">
      <c r="A357" s="1" t="s">
        <v>1108</v>
      </c>
      <c r="B357" s="1">
        <v>81.840553390425995</v>
      </c>
      <c r="C357" s="1">
        <v>2.5704373589807399</v>
      </c>
      <c r="D357" s="1">
        <v>0.56750760902813102</v>
      </c>
      <c r="E357" s="1">
        <v>4.5293443084977696</v>
      </c>
      <c r="F357" s="6">
        <v>5.9167014084868496E-6</v>
      </c>
      <c r="G357" s="1">
        <v>8.3805312005166995E-4</v>
      </c>
      <c r="H357" s="8" t="s">
        <v>10</v>
      </c>
      <c r="I357" s="9" t="s">
        <v>10</v>
      </c>
      <c r="J357" s="33" t="s">
        <v>10</v>
      </c>
    </row>
    <row r="358" spans="1:10" ht="15.75" customHeight="1" x14ac:dyDescent="0.2">
      <c r="A358" s="1" t="s">
        <v>1110</v>
      </c>
      <c r="B358" s="1">
        <v>64.509826079748805</v>
      </c>
      <c r="C358" s="1">
        <v>3.39891151824223</v>
      </c>
      <c r="D358" s="1">
        <v>0.75067244202678995</v>
      </c>
      <c r="E358" s="1">
        <v>4.5278224268700802</v>
      </c>
      <c r="F358" s="6">
        <v>5.9594627693448799E-6</v>
      </c>
      <c r="G358" s="1">
        <v>8.4034012763945301E-4</v>
      </c>
      <c r="H358" s="1" t="s">
        <v>1112</v>
      </c>
      <c r="I358" s="17" t="s">
        <v>1113</v>
      </c>
      <c r="J358" s="33" t="s">
        <v>10</v>
      </c>
    </row>
    <row r="359" spans="1:10" ht="15.75" customHeight="1" x14ac:dyDescent="0.2">
      <c r="A359" s="1" t="s">
        <v>1115</v>
      </c>
      <c r="B359" s="1">
        <v>70.028644104334106</v>
      </c>
      <c r="C359" s="1">
        <v>2.4069058414719802</v>
      </c>
      <c r="D359" s="1">
        <v>0.53201460746211904</v>
      </c>
      <c r="E359" s="1">
        <v>4.5241348784645101</v>
      </c>
      <c r="F359" s="6">
        <v>6.0643043768416597E-6</v>
      </c>
      <c r="G359" s="1">
        <v>8.4640724240866202E-4</v>
      </c>
      <c r="H359" s="8" t="s">
        <v>10</v>
      </c>
      <c r="I359" s="9" t="s">
        <v>10</v>
      </c>
      <c r="J359" s="33" t="s">
        <v>10</v>
      </c>
    </row>
    <row r="360" spans="1:10" ht="15.75" customHeight="1" x14ac:dyDescent="0.2">
      <c r="A360" s="1" t="s">
        <v>1118</v>
      </c>
      <c r="B360" s="1">
        <v>78.706748306345105</v>
      </c>
      <c r="C360" s="1">
        <v>2.30032864521834</v>
      </c>
      <c r="D360" s="1">
        <v>0.50889605376337799</v>
      </c>
      <c r="E360" s="1">
        <v>4.5202328220213097</v>
      </c>
      <c r="F360" s="6">
        <v>6.1771659288880801E-6</v>
      </c>
      <c r="G360" s="1">
        <v>8.5857469475220897E-4</v>
      </c>
      <c r="H360" s="8" t="s">
        <v>10</v>
      </c>
      <c r="I360" s="9" t="s">
        <v>10</v>
      </c>
      <c r="J360" s="33" t="s">
        <v>10</v>
      </c>
    </row>
    <row r="361" spans="1:10" ht="15.75" customHeight="1" x14ac:dyDescent="0.2">
      <c r="A361" s="1" t="s">
        <v>1120</v>
      </c>
      <c r="B361" s="1">
        <v>187.99340294325199</v>
      </c>
      <c r="C361" s="1">
        <v>2.26759755454006</v>
      </c>
      <c r="D361" s="1">
        <v>0.50228709871503496</v>
      </c>
      <c r="E361" s="1">
        <v>4.5145446903595499</v>
      </c>
      <c r="F361" s="6">
        <v>6.34529410138475E-6</v>
      </c>
      <c r="G361" s="1">
        <v>8.7647652303321803E-4</v>
      </c>
      <c r="H361" s="8" t="s">
        <v>10</v>
      </c>
      <c r="I361" s="9" t="s">
        <v>10</v>
      </c>
      <c r="J361" s="33" t="s">
        <v>10</v>
      </c>
    </row>
    <row r="362" spans="1:10" ht="15.75" customHeight="1" x14ac:dyDescent="0.2">
      <c r="A362" s="1" t="s">
        <v>1123</v>
      </c>
      <c r="B362" s="1">
        <v>30.142133955653598</v>
      </c>
      <c r="C362" s="1">
        <v>5.1973508252666099</v>
      </c>
      <c r="D362" s="1">
        <v>1.15153104033061</v>
      </c>
      <c r="E362" s="1">
        <v>4.5134265974927104</v>
      </c>
      <c r="F362" s="6">
        <v>6.3788533151718301E-6</v>
      </c>
      <c r="G362" s="1">
        <v>8.7929533687796399E-4</v>
      </c>
      <c r="H362" s="1" t="s">
        <v>1125</v>
      </c>
      <c r="I362" s="17" t="s">
        <v>1127</v>
      </c>
      <c r="J362" s="33" t="s">
        <v>10</v>
      </c>
    </row>
    <row r="363" spans="1:10" ht="15.75" customHeight="1" x14ac:dyDescent="0.2">
      <c r="A363" s="1" t="s">
        <v>1128</v>
      </c>
      <c r="B363" s="1">
        <v>26.2031461365107</v>
      </c>
      <c r="C363" s="1">
        <v>6.53313250950705</v>
      </c>
      <c r="D363" s="1">
        <v>1.4478494989594</v>
      </c>
      <c r="E363" s="1">
        <v>4.5123008394191197</v>
      </c>
      <c r="F363" s="6">
        <v>6.4128141318429303E-6</v>
      </c>
      <c r="G363" s="1">
        <v>8.8215105992875897E-4</v>
      </c>
      <c r="H363" s="8" t="s">
        <v>10</v>
      </c>
      <c r="I363" s="9" t="s">
        <v>10</v>
      </c>
      <c r="J363" s="33" t="s">
        <v>10</v>
      </c>
    </row>
    <row r="364" spans="1:10" ht="15.75" customHeight="1" x14ac:dyDescent="0.2">
      <c r="A364" s="1" t="s">
        <v>1130</v>
      </c>
      <c r="B364" s="1">
        <v>53.129395809908097</v>
      </c>
      <c r="C364" s="1">
        <v>3.3573902822121102</v>
      </c>
      <c r="D364" s="1">
        <v>0.745892978772423</v>
      </c>
      <c r="E364" s="1">
        <v>4.5011689046029701</v>
      </c>
      <c r="F364" s="6">
        <v>6.75807742510947E-6</v>
      </c>
      <c r="G364" s="1">
        <v>9.2394941974579398E-4</v>
      </c>
      <c r="H364" s="1" t="s">
        <v>1132</v>
      </c>
      <c r="I364" s="17" t="s">
        <v>1133</v>
      </c>
      <c r="J364" s="33" t="s">
        <v>3037</v>
      </c>
    </row>
    <row r="365" spans="1:10" ht="15.75" customHeight="1" x14ac:dyDescent="0.2">
      <c r="A365" s="1" t="s">
        <v>1134</v>
      </c>
      <c r="B365" s="1">
        <v>92.849272654197904</v>
      </c>
      <c r="C365" s="1">
        <v>2.1260930254065502</v>
      </c>
      <c r="D365" s="1">
        <v>0.47270061109788802</v>
      </c>
      <c r="E365" s="1">
        <v>4.4977581485848104</v>
      </c>
      <c r="F365" s="6">
        <v>6.8673752498388701E-6</v>
      </c>
      <c r="G365" s="1">
        <v>9.3697627005709697E-4</v>
      </c>
      <c r="H365" s="1" t="s">
        <v>1136</v>
      </c>
      <c r="I365" s="17" t="s">
        <v>1137</v>
      </c>
      <c r="J365" s="33" t="s">
        <v>3056</v>
      </c>
    </row>
    <row r="366" spans="1:10" ht="15.75" customHeight="1" x14ac:dyDescent="0.2">
      <c r="A366" s="1" t="s">
        <v>1138</v>
      </c>
      <c r="B366" s="1">
        <v>52.072605533643099</v>
      </c>
      <c r="C366" s="1">
        <v>3.1509070151334799</v>
      </c>
      <c r="D366" s="1">
        <v>0.70084498129084705</v>
      </c>
      <c r="E366" s="1">
        <v>4.4958687002794804</v>
      </c>
      <c r="F366" s="6">
        <v>6.9286483829732303E-6</v>
      </c>
      <c r="G366" s="1">
        <v>9.4149347082047804E-4</v>
      </c>
      <c r="H366" s="8" t="s">
        <v>10</v>
      </c>
      <c r="I366" s="9" t="s">
        <v>10</v>
      </c>
      <c r="J366" s="33" t="s">
        <v>10</v>
      </c>
    </row>
    <row r="367" spans="1:10" ht="15.75" customHeight="1" x14ac:dyDescent="0.2">
      <c r="A367" s="1" t="s">
        <v>1140</v>
      </c>
      <c r="B367" s="1">
        <v>301.50756870809403</v>
      </c>
      <c r="C367" s="1">
        <v>5.2828060167484603</v>
      </c>
      <c r="D367" s="1">
        <v>1.17712621398117</v>
      </c>
      <c r="E367" s="1">
        <v>4.4878840977310501</v>
      </c>
      <c r="F367" s="6">
        <v>7.1934043070108302E-6</v>
      </c>
      <c r="G367" s="1">
        <v>9.6763590532235203E-4</v>
      </c>
      <c r="H367" s="8" t="s">
        <v>10</v>
      </c>
      <c r="I367" s="9" t="s">
        <v>10</v>
      </c>
      <c r="J367" s="33" t="s">
        <v>10</v>
      </c>
    </row>
    <row r="368" spans="1:10" ht="15.75" customHeight="1" x14ac:dyDescent="0.2">
      <c r="A368" s="1" t="s">
        <v>1142</v>
      </c>
      <c r="B368" s="1">
        <v>258.34577846901902</v>
      </c>
      <c r="C368" s="1">
        <v>2.01382294404607</v>
      </c>
      <c r="D368" s="1">
        <v>0.44941237267301898</v>
      </c>
      <c r="E368" s="1">
        <v>4.4810135779489997</v>
      </c>
      <c r="F368" s="6">
        <v>7.4289384456147703E-6</v>
      </c>
      <c r="G368" s="1">
        <v>9.9531398753822703E-4</v>
      </c>
      <c r="H368" s="1" t="s">
        <v>1125</v>
      </c>
      <c r="I368" s="17" t="s">
        <v>1144</v>
      </c>
      <c r="J368" s="33" t="s">
        <v>3078</v>
      </c>
    </row>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G1"/>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C796E-796F-8C46-829F-FDF4D147F6FA}">
  <dimension ref="A1:V548"/>
  <sheetViews>
    <sheetView workbookViewId="0">
      <selection sqref="A1:G1"/>
    </sheetView>
  </sheetViews>
  <sheetFormatPr baseColWidth="10" defaultColWidth="10.85546875" defaultRowHeight="16" x14ac:dyDescent="0.2"/>
  <cols>
    <col min="1" max="1" width="16.42578125" customWidth="1"/>
    <col min="6" max="6" width="10.140625" customWidth="1"/>
    <col min="7" max="7" width="10" customWidth="1"/>
    <col min="8" max="8" width="10.85546875" customWidth="1"/>
    <col min="9" max="9" width="20.85546875" customWidth="1"/>
    <col min="10" max="10" width="34.140625" customWidth="1"/>
    <col min="15" max="15" width="25.42578125" customWidth="1"/>
  </cols>
  <sheetData>
    <row r="1" spans="1:22" ht="29.5" customHeight="1" x14ac:dyDescent="0.2">
      <c r="A1" s="53" t="s">
        <v>5245</v>
      </c>
      <c r="B1" s="55"/>
      <c r="C1" s="55"/>
      <c r="D1" s="55"/>
      <c r="E1" s="55"/>
      <c r="F1" s="55"/>
      <c r="G1" s="55"/>
    </row>
    <row r="2" spans="1:22" x14ac:dyDescent="0.2">
      <c r="A2" s="31" t="s">
        <v>0</v>
      </c>
      <c r="B2" s="31" t="s">
        <v>1</v>
      </c>
      <c r="C2" s="31" t="s">
        <v>2</v>
      </c>
      <c r="D2" s="31" t="s">
        <v>3</v>
      </c>
      <c r="E2" s="31" t="s">
        <v>4</v>
      </c>
      <c r="F2" s="31" t="s">
        <v>5</v>
      </c>
      <c r="G2" s="31" t="s">
        <v>6</v>
      </c>
      <c r="H2" s="4" t="s">
        <v>7</v>
      </c>
      <c r="I2" s="5" t="s">
        <v>8</v>
      </c>
      <c r="J2" s="36" t="s">
        <v>3155</v>
      </c>
    </row>
    <row r="3" spans="1:22" x14ac:dyDescent="0.2">
      <c r="A3" s="31" t="s">
        <v>31</v>
      </c>
      <c r="B3" s="31">
        <v>853.28024276942097</v>
      </c>
      <c r="C3" s="31">
        <v>-7.81601975823048</v>
      </c>
      <c r="D3" s="31">
        <v>0.44626898829374101</v>
      </c>
      <c r="E3" s="31">
        <v>-17.5141449736719</v>
      </c>
      <c r="F3" s="32">
        <v>1.1175236056321701E-68</v>
      </c>
      <c r="G3" s="32">
        <v>7.47120406545387E-64</v>
      </c>
      <c r="H3" t="s">
        <v>10</v>
      </c>
      <c r="I3" t="s">
        <v>10</v>
      </c>
      <c r="J3" t="s">
        <v>10</v>
      </c>
      <c r="K3" s="30"/>
      <c r="O3" s="33"/>
      <c r="P3" s="33"/>
      <c r="R3" s="35"/>
      <c r="S3" s="35"/>
      <c r="U3" s="35"/>
      <c r="V3" s="35"/>
    </row>
    <row r="4" spans="1:22" x14ac:dyDescent="0.2">
      <c r="A4" s="31" t="s">
        <v>42</v>
      </c>
      <c r="B4" s="31">
        <v>17189.452256237899</v>
      </c>
      <c r="C4" s="31">
        <v>-6.1423206274089504</v>
      </c>
      <c r="D4" s="31">
        <v>0.41410311135439798</v>
      </c>
      <c r="E4" s="31">
        <v>-14.832828971797399</v>
      </c>
      <c r="F4" s="32">
        <v>8.9864517399553192E-50</v>
      </c>
      <c r="G4" s="32">
        <v>3.0039461553735597E-45</v>
      </c>
      <c r="H4" s="33" t="s">
        <v>10</v>
      </c>
      <c r="I4" s="33" t="s">
        <v>10</v>
      </c>
      <c r="J4" s="33" t="s">
        <v>10</v>
      </c>
      <c r="K4" s="30"/>
      <c r="L4" s="31"/>
      <c r="O4" s="33"/>
      <c r="P4" s="33"/>
      <c r="R4" s="35"/>
      <c r="S4" s="35"/>
      <c r="U4" s="35"/>
      <c r="V4" s="35"/>
    </row>
    <row r="5" spans="1:22" x14ac:dyDescent="0.2">
      <c r="A5" s="31" t="s">
        <v>39</v>
      </c>
      <c r="B5" s="31">
        <v>724.80478745813798</v>
      </c>
      <c r="C5" s="31">
        <v>-6.3391752200339901</v>
      </c>
      <c r="D5" s="31">
        <v>0.43166795910099698</v>
      </c>
      <c r="E5" s="31">
        <v>-14.6853040314507</v>
      </c>
      <c r="F5" s="32">
        <v>8.0074253744849104E-49</v>
      </c>
      <c r="G5" s="32">
        <v>1.78445474470396E-44</v>
      </c>
      <c r="H5" s="33" t="s">
        <v>10</v>
      </c>
      <c r="I5" s="33" t="s">
        <v>10</v>
      </c>
      <c r="J5" s="33" t="s">
        <v>10</v>
      </c>
      <c r="K5" s="30"/>
      <c r="L5" s="31"/>
      <c r="O5" s="33"/>
      <c r="P5" s="33"/>
      <c r="R5" s="35"/>
      <c r="S5" s="35"/>
      <c r="U5" s="35"/>
      <c r="V5" s="35"/>
    </row>
    <row r="6" spans="1:22" x14ac:dyDescent="0.2">
      <c r="A6" s="31" t="s">
        <v>41</v>
      </c>
      <c r="B6" s="31">
        <v>652.76179540288604</v>
      </c>
      <c r="C6" s="31">
        <v>-6.14243339305935</v>
      </c>
      <c r="D6" s="31">
        <v>0.425305857409156</v>
      </c>
      <c r="E6" s="31">
        <v>-14.4423907784326</v>
      </c>
      <c r="F6" s="32">
        <v>2.7995999132571501E-47</v>
      </c>
      <c r="G6" s="32">
        <v>4.6791813050201704E-43</v>
      </c>
      <c r="H6" s="33" t="s">
        <v>10</v>
      </c>
      <c r="I6" s="33" t="s">
        <v>10</v>
      </c>
      <c r="J6" s="33" t="s">
        <v>10</v>
      </c>
      <c r="K6" s="30"/>
      <c r="L6" s="31"/>
      <c r="O6" s="33"/>
      <c r="P6" s="33"/>
      <c r="R6" s="35"/>
      <c r="S6" s="35"/>
      <c r="U6" s="35"/>
      <c r="V6" s="35"/>
    </row>
    <row r="7" spans="1:22" x14ac:dyDescent="0.2">
      <c r="A7" s="31" t="s">
        <v>30</v>
      </c>
      <c r="B7" s="31">
        <v>488.75958285332098</v>
      </c>
      <c r="C7" s="31">
        <v>-8.0228644224455792</v>
      </c>
      <c r="D7" s="31">
        <v>0.56707541906081504</v>
      </c>
      <c r="E7" s="31">
        <v>-14.147790845409901</v>
      </c>
      <c r="F7" s="32">
        <v>1.92716758537237E-45</v>
      </c>
      <c r="G7" s="32">
        <v>2.57681577840139E-41</v>
      </c>
      <c r="H7" s="33" t="s">
        <v>10</v>
      </c>
      <c r="I7" s="33" t="s">
        <v>10</v>
      </c>
      <c r="J7" s="33" t="s">
        <v>10</v>
      </c>
      <c r="K7" s="30"/>
      <c r="L7" s="31"/>
      <c r="O7" s="33"/>
      <c r="P7" s="33"/>
      <c r="R7" s="35"/>
      <c r="S7" s="35"/>
      <c r="U7" s="35"/>
      <c r="V7" s="35"/>
    </row>
    <row r="8" spans="1:22" x14ac:dyDescent="0.2">
      <c r="A8" s="31" t="s">
        <v>62</v>
      </c>
      <c r="B8" s="31">
        <v>564.31165897769995</v>
      </c>
      <c r="C8" s="31">
        <v>-4.72573184579859</v>
      </c>
      <c r="D8" s="31">
        <v>0.380027598231301</v>
      </c>
      <c r="E8" s="31">
        <v>-12.4352333035621</v>
      </c>
      <c r="F8" s="32">
        <v>1.6824884645845999E-35</v>
      </c>
      <c r="G8" s="32">
        <v>1.87471277166339E-31</v>
      </c>
      <c r="H8" s="33" t="s">
        <v>10</v>
      </c>
      <c r="I8" s="33" t="s">
        <v>10</v>
      </c>
      <c r="J8" s="33" t="s">
        <v>10</v>
      </c>
      <c r="K8" s="30"/>
      <c r="L8" s="31"/>
      <c r="O8" s="33"/>
      <c r="P8" s="33"/>
      <c r="R8" s="35"/>
      <c r="S8" s="35"/>
      <c r="U8" s="35"/>
      <c r="V8" s="35"/>
    </row>
    <row r="9" spans="1:22" x14ac:dyDescent="0.2">
      <c r="A9" s="31" t="s">
        <v>35</v>
      </c>
      <c r="B9" s="31">
        <v>243.19211138033299</v>
      </c>
      <c r="C9" s="31">
        <v>-6.6302432201000503</v>
      </c>
      <c r="D9" s="31">
        <v>0.55856638461616004</v>
      </c>
      <c r="E9" s="31">
        <v>-11.870107838043801</v>
      </c>
      <c r="F9" s="32">
        <v>1.6924932809145501E-32</v>
      </c>
      <c r="G9" s="32">
        <v>1.6164519756506001E-28</v>
      </c>
      <c r="H9" s="33" t="s">
        <v>10</v>
      </c>
      <c r="I9" s="33" t="s">
        <v>10</v>
      </c>
      <c r="J9" s="33" t="s">
        <v>10</v>
      </c>
      <c r="K9" s="30"/>
      <c r="L9" s="31"/>
      <c r="O9" s="33"/>
      <c r="P9" s="33"/>
      <c r="R9" s="35"/>
      <c r="S9" s="35"/>
      <c r="U9" s="35"/>
      <c r="V9" s="35"/>
    </row>
    <row r="10" spans="1:22" x14ac:dyDescent="0.2">
      <c r="A10" s="31" t="s">
        <v>60</v>
      </c>
      <c r="B10" s="31">
        <v>443.82920476070302</v>
      </c>
      <c r="C10" s="31">
        <v>-4.9017353371246504</v>
      </c>
      <c r="D10" s="31">
        <v>0.41483347280594901</v>
      </c>
      <c r="E10" s="31">
        <v>-11.8161519222861</v>
      </c>
      <c r="F10" s="32">
        <v>3.2210352117137799E-32</v>
      </c>
      <c r="G10" s="32">
        <v>2.6917788634890599E-28</v>
      </c>
      <c r="H10" s="33" t="s">
        <v>10</v>
      </c>
      <c r="I10" s="33" t="s">
        <v>10</v>
      </c>
      <c r="J10" s="33" t="s">
        <v>10</v>
      </c>
      <c r="K10" s="30"/>
      <c r="L10" s="31"/>
      <c r="O10" s="33"/>
      <c r="P10" s="33"/>
      <c r="R10" s="35"/>
      <c r="S10" s="35"/>
      <c r="U10" s="35"/>
      <c r="V10" s="35"/>
    </row>
    <row r="11" spans="1:22" x14ac:dyDescent="0.2">
      <c r="A11" s="31" t="s">
        <v>56</v>
      </c>
      <c r="B11" s="31">
        <v>280.06927294292501</v>
      </c>
      <c r="C11" s="31">
        <v>-5.0482939813186203</v>
      </c>
      <c r="D11" s="31">
        <v>0.442410591050444</v>
      </c>
      <c r="E11" s="31">
        <v>-11.410879584351999</v>
      </c>
      <c r="F11" s="32">
        <v>3.68979127006197E-30</v>
      </c>
      <c r="G11" s="32">
        <v>2.7408999484443703E-26</v>
      </c>
      <c r="H11" s="33" t="s">
        <v>10</v>
      </c>
      <c r="I11" s="33" t="s">
        <v>10</v>
      </c>
      <c r="J11" s="33" t="s">
        <v>10</v>
      </c>
      <c r="K11" s="30"/>
      <c r="L11" s="31"/>
      <c r="O11" s="33"/>
      <c r="P11" s="33"/>
      <c r="R11" s="35"/>
      <c r="S11" s="35"/>
      <c r="U11" s="35"/>
      <c r="V11" s="35"/>
    </row>
    <row r="12" spans="1:22" x14ac:dyDescent="0.2">
      <c r="A12" s="31" t="s">
        <v>36</v>
      </c>
      <c r="B12" s="31">
        <v>167.13952911883601</v>
      </c>
      <c r="C12" s="31">
        <v>-6.5847474313385703</v>
      </c>
      <c r="D12" s="31">
        <v>0.62659617227796804</v>
      </c>
      <c r="E12" s="31">
        <v>-10.5087578294645</v>
      </c>
      <c r="F12" s="32">
        <v>7.8723586281477702E-26</v>
      </c>
      <c r="G12" s="32">
        <v>5.2630653608481903E-22</v>
      </c>
      <c r="H12" s="33" t="s">
        <v>10</v>
      </c>
      <c r="I12" s="33" t="s">
        <v>10</v>
      </c>
      <c r="J12" s="33" t="s">
        <v>10</v>
      </c>
      <c r="K12" s="30"/>
      <c r="L12" s="31"/>
      <c r="O12" s="33"/>
      <c r="P12" s="33"/>
      <c r="R12" s="35"/>
      <c r="S12" s="35"/>
      <c r="U12" s="35"/>
      <c r="V12" s="35"/>
    </row>
    <row r="13" spans="1:22" x14ac:dyDescent="0.2">
      <c r="A13" s="31" t="s">
        <v>47</v>
      </c>
      <c r="B13" s="31">
        <v>286.18118881223103</v>
      </c>
      <c r="C13" s="31">
        <v>-5.3449200196939897</v>
      </c>
      <c r="D13" s="31">
        <v>0.51404621789628102</v>
      </c>
      <c r="E13" s="31">
        <v>-10.3977421360436</v>
      </c>
      <c r="F13" s="32">
        <v>2.5387749787197601E-25</v>
      </c>
      <c r="G13" s="32">
        <v>1.54299819274827E-21</v>
      </c>
      <c r="H13" s="33" t="s">
        <v>10</v>
      </c>
      <c r="I13" s="33" t="s">
        <v>10</v>
      </c>
      <c r="J13" s="33" t="s">
        <v>10</v>
      </c>
      <c r="K13" s="30"/>
      <c r="L13" s="31"/>
      <c r="O13" s="33"/>
      <c r="P13" s="33"/>
      <c r="R13" s="35"/>
      <c r="S13" s="35"/>
      <c r="U13" s="35"/>
      <c r="V13" s="35"/>
    </row>
    <row r="14" spans="1:22" x14ac:dyDescent="0.2">
      <c r="A14" s="31" t="s">
        <v>50</v>
      </c>
      <c r="B14" s="31">
        <v>259.56683335929199</v>
      </c>
      <c r="C14" s="31">
        <v>-5.22535029037026</v>
      </c>
      <c r="D14" s="31">
        <v>0.50865607282736602</v>
      </c>
      <c r="E14" s="31">
        <v>-10.2728554115655</v>
      </c>
      <c r="F14" s="32">
        <v>9.3398538167099805E-25</v>
      </c>
      <c r="G14" s="32">
        <v>4.8031994378165E-21</v>
      </c>
      <c r="H14" s="30" t="s">
        <v>52</v>
      </c>
      <c r="I14" s="30" t="s">
        <v>53</v>
      </c>
      <c r="J14" s="33" t="s">
        <v>10</v>
      </c>
      <c r="L14" s="31"/>
      <c r="O14" s="33"/>
      <c r="P14" s="33"/>
      <c r="R14" s="35"/>
      <c r="S14" s="35"/>
      <c r="U14" s="35"/>
      <c r="V14" s="35"/>
    </row>
    <row r="15" spans="1:22" x14ac:dyDescent="0.2">
      <c r="A15" s="50" t="s">
        <v>206</v>
      </c>
      <c r="B15" s="50">
        <v>1505.82054874048</v>
      </c>
      <c r="C15" s="50">
        <v>-3.2834862677677799</v>
      </c>
      <c r="D15" s="50">
        <v>0.32416391015726698</v>
      </c>
      <c r="E15" s="50">
        <v>-10.1290926129772</v>
      </c>
      <c r="F15" s="51">
        <v>4.1044043843882499E-24</v>
      </c>
      <c r="G15" s="51">
        <v>1.9599996794162599E-20</v>
      </c>
      <c r="H15" s="50" t="s">
        <v>3156</v>
      </c>
      <c r="I15" s="50" t="s">
        <v>3167</v>
      </c>
      <c r="J15" s="50" t="s">
        <v>10</v>
      </c>
      <c r="K15" s="30"/>
      <c r="L15" s="31"/>
      <c r="O15" s="33"/>
      <c r="P15" s="33"/>
      <c r="R15" s="35"/>
      <c r="S15" s="35"/>
      <c r="U15" s="35"/>
      <c r="V15" s="35"/>
    </row>
    <row r="16" spans="1:22" x14ac:dyDescent="0.2">
      <c r="A16" s="31" t="s">
        <v>67</v>
      </c>
      <c r="B16" s="31">
        <v>837.97755399349603</v>
      </c>
      <c r="C16" s="31">
        <v>-4.60982278533782</v>
      </c>
      <c r="D16" s="31">
        <v>0.45596770853628099</v>
      </c>
      <c r="E16" s="31">
        <v>-10.109976428234299</v>
      </c>
      <c r="F16" s="32">
        <v>4.9896279891012797E-24</v>
      </c>
      <c r="G16" s="32">
        <v>2.2238771947424399E-20</v>
      </c>
      <c r="H16" s="33" t="s">
        <v>10</v>
      </c>
      <c r="I16" s="33" t="s">
        <v>10</v>
      </c>
      <c r="J16" s="33" t="s">
        <v>10</v>
      </c>
      <c r="K16" s="30"/>
      <c r="L16" s="31"/>
      <c r="O16" s="33"/>
      <c r="P16" s="33"/>
      <c r="R16" s="35"/>
      <c r="S16" s="35"/>
      <c r="U16" s="35"/>
      <c r="V16" s="35"/>
    </row>
    <row r="17" spans="1:22" x14ac:dyDescent="0.2">
      <c r="A17" s="31" t="s">
        <v>80</v>
      </c>
      <c r="B17" s="31">
        <v>708.35888731939201</v>
      </c>
      <c r="C17" s="31">
        <v>-4.3130363601613197</v>
      </c>
      <c r="D17" s="31">
        <v>0.43479001674993101</v>
      </c>
      <c r="E17" s="31">
        <v>-9.9198146093633994</v>
      </c>
      <c r="F17" s="32">
        <v>3.4138967846474799E-23</v>
      </c>
      <c r="G17" s="32">
        <v>1.42647543461004E-19</v>
      </c>
      <c r="H17" s="33" t="s">
        <v>10</v>
      </c>
      <c r="I17" s="33" t="s">
        <v>10</v>
      </c>
      <c r="J17" s="33" t="s">
        <v>10</v>
      </c>
      <c r="K17" s="30"/>
      <c r="L17" s="31"/>
      <c r="O17" s="33"/>
      <c r="P17" s="33"/>
      <c r="R17" s="35"/>
      <c r="S17" s="35"/>
      <c r="U17" s="35"/>
      <c r="V17" s="35"/>
    </row>
    <row r="18" spans="1:22" x14ac:dyDescent="0.2">
      <c r="A18" s="31" t="s">
        <v>76</v>
      </c>
      <c r="B18" s="31">
        <v>517.01293152913195</v>
      </c>
      <c r="C18" s="31">
        <v>-4.3770200422649399</v>
      </c>
      <c r="D18" s="31">
        <v>0.44803325227900698</v>
      </c>
      <c r="E18" s="31">
        <v>-9.7694088998983695</v>
      </c>
      <c r="F18" s="32">
        <v>1.52338251631872E-22</v>
      </c>
      <c r="G18" s="32">
        <v>5.6580965626937896E-19</v>
      </c>
      <c r="H18" s="33" t="s">
        <v>10</v>
      </c>
      <c r="I18" s="33" t="s">
        <v>10</v>
      </c>
      <c r="J18" s="33" t="s">
        <v>10</v>
      </c>
      <c r="K18" s="30"/>
      <c r="L18" s="31"/>
      <c r="O18" s="33"/>
      <c r="P18" s="33"/>
      <c r="R18" s="35"/>
      <c r="S18" s="35"/>
      <c r="U18" s="35"/>
      <c r="V18" s="35"/>
    </row>
    <row r="19" spans="1:22" x14ac:dyDescent="0.2">
      <c r="A19" s="31" t="s">
        <v>121</v>
      </c>
      <c r="B19" s="31">
        <v>475.891582397489</v>
      </c>
      <c r="C19" s="31">
        <v>-3.70012268835865</v>
      </c>
      <c r="D19" s="31">
        <v>0.37980930759322001</v>
      </c>
      <c r="E19" s="31">
        <v>-9.7420537474598206</v>
      </c>
      <c r="F19" s="32">
        <v>1.9948137397536499E-22</v>
      </c>
      <c r="G19" s="32">
        <v>7.0191196090121097E-19</v>
      </c>
      <c r="H19" s="33" t="s">
        <v>10</v>
      </c>
      <c r="I19" s="33" t="s">
        <v>124</v>
      </c>
      <c r="J19" s="33" t="s">
        <v>10</v>
      </c>
      <c r="K19" s="30"/>
      <c r="L19" s="31"/>
      <c r="O19" s="33"/>
      <c r="P19" s="33"/>
      <c r="R19" s="35"/>
      <c r="S19" s="35"/>
      <c r="U19" s="35"/>
      <c r="V19" s="35"/>
    </row>
    <row r="20" spans="1:22" x14ac:dyDescent="0.2">
      <c r="A20" s="31" t="s">
        <v>220</v>
      </c>
      <c r="B20" s="31">
        <v>1304.0900843742299</v>
      </c>
      <c r="C20" s="31">
        <v>-3.2673689228213201</v>
      </c>
      <c r="D20" s="31">
        <v>0.340842858096852</v>
      </c>
      <c r="E20" s="31">
        <v>-9.5861445977339006</v>
      </c>
      <c r="F20" s="32">
        <v>9.1438084944473405E-22</v>
      </c>
      <c r="G20" s="32">
        <v>2.9109967471251299E-18</v>
      </c>
      <c r="H20" s="33" t="s">
        <v>222</v>
      </c>
      <c r="I20" s="33" t="s">
        <v>223</v>
      </c>
      <c r="J20" s="33" t="s">
        <v>10</v>
      </c>
      <c r="K20" s="30"/>
      <c r="L20" s="31"/>
      <c r="O20" s="33"/>
      <c r="P20" s="33"/>
      <c r="R20" s="35"/>
      <c r="S20" s="35"/>
      <c r="U20" s="35"/>
      <c r="V20" s="35"/>
    </row>
    <row r="21" spans="1:22" x14ac:dyDescent="0.2">
      <c r="A21" s="31" t="s">
        <v>14</v>
      </c>
      <c r="B21" s="31">
        <v>20119.852838254199</v>
      </c>
      <c r="C21" s="31">
        <v>-9.0172137237311905</v>
      </c>
      <c r="D21" s="31">
        <v>0.95707082941409805</v>
      </c>
      <c r="E21" s="31">
        <v>-9.4216785702802905</v>
      </c>
      <c r="F21" s="32">
        <v>4.4393341669253401E-21</v>
      </c>
      <c r="G21" s="32">
        <v>1.2903986336077999E-17</v>
      </c>
      <c r="H21" s="33" t="s">
        <v>10</v>
      </c>
      <c r="I21" s="33" t="s">
        <v>10</v>
      </c>
      <c r="J21" s="33" t="s">
        <v>10</v>
      </c>
      <c r="K21" s="30"/>
      <c r="L21" s="31"/>
      <c r="O21" s="33"/>
      <c r="P21" s="33"/>
      <c r="R21" s="35"/>
      <c r="S21" s="35"/>
      <c r="U21" s="35"/>
      <c r="V21" s="35"/>
    </row>
    <row r="22" spans="1:22" x14ac:dyDescent="0.2">
      <c r="A22" s="31" t="s">
        <v>79</v>
      </c>
      <c r="B22" s="31">
        <v>293.07094496285799</v>
      </c>
      <c r="C22" s="31">
        <v>-4.3168122963855096</v>
      </c>
      <c r="D22" s="31">
        <v>0.46578684369182399</v>
      </c>
      <c r="E22" s="31">
        <v>-9.2677849425082108</v>
      </c>
      <c r="F22" s="32">
        <v>1.90051625161069E-20</v>
      </c>
      <c r="G22" s="32">
        <v>5.2941255833930198E-17</v>
      </c>
      <c r="H22" s="33" t="s">
        <v>10</v>
      </c>
      <c r="I22" s="33" t="s">
        <v>10</v>
      </c>
      <c r="J22" s="33" t="s">
        <v>10</v>
      </c>
      <c r="K22" s="30"/>
      <c r="L22" s="31"/>
      <c r="O22" s="33"/>
      <c r="P22" s="33"/>
      <c r="R22" s="35"/>
      <c r="S22" s="35"/>
      <c r="U22" s="35"/>
      <c r="V22" s="35"/>
    </row>
    <row r="23" spans="1:22" x14ac:dyDescent="0.2">
      <c r="A23" s="31" t="s">
        <v>141</v>
      </c>
      <c r="B23" s="31">
        <v>449.03609152836498</v>
      </c>
      <c r="C23" s="31">
        <v>-3.5817659809578801</v>
      </c>
      <c r="D23" s="31">
        <v>0.38877481258684798</v>
      </c>
      <c r="E23" s="31">
        <v>-9.2129579000382105</v>
      </c>
      <c r="F23" s="32">
        <v>3.1725946599240297E-20</v>
      </c>
      <c r="G23" s="32">
        <v>8.4841526395688395E-17</v>
      </c>
      <c r="H23" s="33" t="s">
        <v>143</v>
      </c>
      <c r="I23" s="33" t="s">
        <v>144</v>
      </c>
      <c r="J23" s="33" t="s">
        <v>3073</v>
      </c>
      <c r="K23" s="30"/>
      <c r="L23" s="31"/>
      <c r="O23" s="33"/>
      <c r="P23" s="33"/>
      <c r="R23" s="35"/>
      <c r="S23" s="35"/>
      <c r="U23" s="35"/>
      <c r="V23" s="35"/>
    </row>
    <row r="24" spans="1:22" x14ac:dyDescent="0.2">
      <c r="A24" s="31" t="s">
        <v>19</v>
      </c>
      <c r="B24" s="31">
        <v>21217.980961976598</v>
      </c>
      <c r="C24" s="31">
        <v>-8.8854598061651409</v>
      </c>
      <c r="D24" s="31">
        <v>0.97644837362471704</v>
      </c>
      <c r="E24" s="31">
        <v>-9.0997742903509007</v>
      </c>
      <c r="F24" s="32">
        <v>9.0519749934299603E-20</v>
      </c>
      <c r="G24" s="32">
        <v>2.2413695858731902E-16</v>
      </c>
      <c r="H24" s="33" t="s">
        <v>10</v>
      </c>
      <c r="I24" s="33" t="s">
        <v>10</v>
      </c>
      <c r="J24" s="33" t="s">
        <v>10</v>
      </c>
      <c r="K24" s="30"/>
      <c r="L24" s="31"/>
      <c r="O24" s="33"/>
      <c r="P24" s="33"/>
      <c r="R24" s="35"/>
      <c r="S24" s="35"/>
      <c r="U24" s="35"/>
      <c r="V24" s="35"/>
    </row>
    <row r="25" spans="1:22" x14ac:dyDescent="0.2">
      <c r="A25" s="31" t="s">
        <v>55</v>
      </c>
      <c r="B25" s="31">
        <v>100.188484543952</v>
      </c>
      <c r="C25" s="31">
        <v>-5.1886037520111401</v>
      </c>
      <c r="D25" s="31">
        <v>0.58680093442701897</v>
      </c>
      <c r="E25" s="31">
        <v>-8.8421872693122907</v>
      </c>
      <c r="F25" s="32">
        <v>9.3862727962166608E-19</v>
      </c>
      <c r="G25" s="32">
        <v>2.16385954410712E-15</v>
      </c>
      <c r="H25" s="33" t="s">
        <v>10</v>
      </c>
      <c r="I25" s="33" t="s">
        <v>10</v>
      </c>
      <c r="J25" s="33" t="s">
        <v>10</v>
      </c>
      <c r="K25" s="30"/>
      <c r="L25" s="31"/>
      <c r="O25" s="33"/>
      <c r="P25" s="33"/>
      <c r="R25" s="35"/>
      <c r="S25" s="35"/>
      <c r="U25" s="35"/>
      <c r="V25" s="35"/>
    </row>
    <row r="26" spans="1:22" x14ac:dyDescent="0.2">
      <c r="A26" s="31" t="s">
        <v>117</v>
      </c>
      <c r="B26" s="31">
        <v>3495.5288950601698</v>
      </c>
      <c r="C26" s="31">
        <v>-3.7565467003542801</v>
      </c>
      <c r="D26" s="31">
        <v>0.42603098004812401</v>
      </c>
      <c r="E26" s="31">
        <v>-8.8175435033620104</v>
      </c>
      <c r="F26" s="32">
        <v>1.1699814454118E-18</v>
      </c>
      <c r="G26" s="32">
        <v>2.6073036511002E-15</v>
      </c>
      <c r="H26" s="33" t="s">
        <v>10</v>
      </c>
      <c r="I26" s="33" t="s">
        <v>10</v>
      </c>
      <c r="J26" s="33" t="s">
        <v>10</v>
      </c>
      <c r="K26" s="30"/>
      <c r="L26" s="31"/>
      <c r="O26" s="33"/>
      <c r="P26" s="33"/>
      <c r="R26" s="35"/>
      <c r="S26" s="35"/>
      <c r="U26" s="35"/>
      <c r="V26" s="35"/>
    </row>
    <row r="27" spans="1:22" x14ac:dyDescent="0.2">
      <c r="A27" s="31" t="s">
        <v>160</v>
      </c>
      <c r="B27" s="31">
        <v>197.35110285644899</v>
      </c>
      <c r="C27" s="31">
        <v>-3.4873551203500099</v>
      </c>
      <c r="D27" s="31">
        <v>0.39630368082838902</v>
      </c>
      <c r="E27" s="31">
        <v>-8.7997040881892197</v>
      </c>
      <c r="F27" s="32">
        <v>1.37177385202269E-18</v>
      </c>
      <c r="G27" s="32">
        <v>2.9583851895799E-15</v>
      </c>
      <c r="H27" s="30" t="s">
        <v>161</v>
      </c>
      <c r="I27" s="33" t="s">
        <v>10</v>
      </c>
      <c r="J27" s="33" t="s">
        <v>10</v>
      </c>
      <c r="K27" s="30"/>
      <c r="L27" s="31"/>
      <c r="O27" s="33"/>
      <c r="P27" s="33"/>
      <c r="R27" s="35"/>
      <c r="S27" s="35"/>
      <c r="U27" s="35"/>
      <c r="V27" s="35"/>
    </row>
    <row r="28" spans="1:22" x14ac:dyDescent="0.2">
      <c r="A28" s="31" t="s">
        <v>132</v>
      </c>
      <c r="B28" s="31">
        <v>141.296975479362</v>
      </c>
      <c r="C28" s="31">
        <v>-3.62400556549676</v>
      </c>
      <c r="D28" s="31">
        <v>0.43231550558048198</v>
      </c>
      <c r="E28" s="31">
        <v>-8.3827795180066609</v>
      </c>
      <c r="F28" s="32">
        <v>5.1692250226574999E-17</v>
      </c>
      <c r="G28" s="32">
        <v>9.8739582539933502E-14</v>
      </c>
      <c r="H28" s="33" t="s">
        <v>84</v>
      </c>
      <c r="I28" s="33" t="s">
        <v>3168</v>
      </c>
      <c r="J28" s="33" t="s">
        <v>10</v>
      </c>
      <c r="K28" s="30"/>
      <c r="L28" s="31"/>
      <c r="O28" s="33"/>
      <c r="P28" s="33"/>
      <c r="R28" s="35"/>
      <c r="S28" s="35"/>
      <c r="U28" s="35"/>
      <c r="V28" s="35"/>
    </row>
    <row r="29" spans="1:22" x14ac:dyDescent="0.2">
      <c r="A29" s="31" t="s">
        <v>198</v>
      </c>
      <c r="B29" s="31">
        <v>268.76182484934401</v>
      </c>
      <c r="C29" s="31">
        <v>-3.31603067848808</v>
      </c>
      <c r="D29" s="31">
        <v>0.40089553625517199</v>
      </c>
      <c r="E29" s="31">
        <v>-8.2715579960396699</v>
      </c>
      <c r="F29" s="32">
        <v>1.3221968442748899E-16</v>
      </c>
      <c r="G29" s="32">
        <v>2.3890667574053399E-13</v>
      </c>
      <c r="H29" s="30" t="s">
        <v>143</v>
      </c>
      <c r="I29" s="33" t="s">
        <v>10</v>
      </c>
      <c r="J29" s="33" t="s">
        <v>10</v>
      </c>
      <c r="K29" s="30"/>
      <c r="L29" s="31"/>
      <c r="O29" s="33"/>
      <c r="P29" s="33"/>
      <c r="R29" s="35"/>
      <c r="S29" s="35"/>
      <c r="U29" s="35"/>
      <c r="V29" s="35"/>
    </row>
    <row r="30" spans="1:22" x14ac:dyDescent="0.2">
      <c r="A30" s="50" t="s">
        <v>239</v>
      </c>
      <c r="B30" s="50">
        <v>491.32331371306202</v>
      </c>
      <c r="C30" s="50">
        <v>-3.2142773709674799</v>
      </c>
      <c r="D30" s="50">
        <v>0.38968572904082699</v>
      </c>
      <c r="E30" s="50">
        <v>-8.2483835856117</v>
      </c>
      <c r="F30" s="51">
        <v>1.6055131429742899E-16</v>
      </c>
      <c r="G30" s="51">
        <v>2.7934555616760301E-13</v>
      </c>
      <c r="H30" s="50" t="s">
        <v>242</v>
      </c>
      <c r="I30" s="50" t="s">
        <v>243</v>
      </c>
      <c r="J30" s="50" t="s">
        <v>3053</v>
      </c>
      <c r="K30" s="30"/>
      <c r="L30" s="31"/>
      <c r="O30" s="33"/>
      <c r="P30" s="33"/>
      <c r="R30" s="35"/>
      <c r="S30" s="35"/>
      <c r="U30" s="35"/>
      <c r="V30" s="35"/>
    </row>
    <row r="31" spans="1:22" x14ac:dyDescent="0.2">
      <c r="A31" s="31" t="s">
        <v>48</v>
      </c>
      <c r="B31" s="31">
        <v>108.886195058925</v>
      </c>
      <c r="C31" s="31">
        <v>-5.3328523867250404</v>
      </c>
      <c r="D31" s="31">
        <v>0.64667239891137596</v>
      </c>
      <c r="E31" s="31">
        <v>-8.2466058481891302</v>
      </c>
      <c r="F31" s="32">
        <v>1.6295679740537801E-16</v>
      </c>
      <c r="G31" s="32">
        <v>2.7934555616760301E-13</v>
      </c>
      <c r="H31" s="33" t="s">
        <v>10</v>
      </c>
      <c r="I31" s="33" t="s">
        <v>10</v>
      </c>
      <c r="J31" s="33" t="s">
        <v>10</v>
      </c>
      <c r="K31" s="30"/>
      <c r="L31" s="31"/>
      <c r="O31" s="33"/>
      <c r="P31" s="33"/>
      <c r="R31" s="35"/>
      <c r="S31" s="35"/>
      <c r="U31" s="35"/>
      <c r="V31" s="35"/>
    </row>
    <row r="32" spans="1:22" x14ac:dyDescent="0.2">
      <c r="A32" s="31" t="s">
        <v>267</v>
      </c>
      <c r="B32" s="31">
        <v>539.30317523806002</v>
      </c>
      <c r="C32" s="31">
        <v>-3.1384916966946101</v>
      </c>
      <c r="D32" s="31">
        <v>0.381293600812742</v>
      </c>
      <c r="E32" s="31">
        <v>-8.2311680290589493</v>
      </c>
      <c r="F32" s="32">
        <v>1.85396691641086E-16</v>
      </c>
      <c r="G32" s="32">
        <v>3.0986739549161998E-13</v>
      </c>
      <c r="H32" s="33" t="s">
        <v>10</v>
      </c>
      <c r="I32" s="33" t="s">
        <v>10</v>
      </c>
      <c r="J32" s="33" t="s">
        <v>10</v>
      </c>
      <c r="K32" s="30"/>
      <c r="L32" s="31"/>
      <c r="O32" s="33"/>
      <c r="P32" s="33"/>
      <c r="R32" s="35"/>
      <c r="S32" s="35"/>
      <c r="U32" s="35"/>
      <c r="V32" s="35"/>
    </row>
    <row r="33" spans="1:22" x14ac:dyDescent="0.2">
      <c r="A33" s="31" t="s">
        <v>247</v>
      </c>
      <c r="B33" s="31">
        <v>444.14220040125502</v>
      </c>
      <c r="C33" s="31">
        <v>-3.1865642402626499</v>
      </c>
      <c r="D33" s="31">
        <v>0.405097420236401</v>
      </c>
      <c r="E33" s="31">
        <v>-7.8661676946821304</v>
      </c>
      <c r="F33" s="32">
        <v>3.6567029445165702E-15</v>
      </c>
      <c r="G33" s="32">
        <v>5.4326416745701196E-12</v>
      </c>
      <c r="H33" s="33" t="s">
        <v>10</v>
      </c>
      <c r="I33" s="33" t="s">
        <v>10</v>
      </c>
      <c r="J33" s="33" t="s">
        <v>10</v>
      </c>
      <c r="K33" s="30"/>
      <c r="L33" s="31"/>
      <c r="O33" s="33"/>
      <c r="P33" s="33"/>
      <c r="R33" s="35"/>
      <c r="S33" s="35"/>
      <c r="U33" s="35"/>
      <c r="V33" s="35"/>
    </row>
    <row r="34" spans="1:22" x14ac:dyDescent="0.2">
      <c r="A34" s="31" t="s">
        <v>261</v>
      </c>
      <c r="B34" s="31">
        <v>256.588363949648</v>
      </c>
      <c r="C34" s="31">
        <v>-3.15066038215019</v>
      </c>
      <c r="D34" s="31">
        <v>0.40197640846525601</v>
      </c>
      <c r="E34" s="31">
        <v>-7.8379236089486097</v>
      </c>
      <c r="F34" s="32">
        <v>4.5805752371830401E-15</v>
      </c>
      <c r="G34" s="32">
        <v>6.6572686409102597E-12</v>
      </c>
      <c r="H34" s="30" t="s">
        <v>263</v>
      </c>
      <c r="I34" s="33" t="s">
        <v>265</v>
      </c>
      <c r="J34" s="33" t="s">
        <v>10</v>
      </c>
      <c r="K34" s="30"/>
      <c r="L34" s="31"/>
      <c r="O34" s="33"/>
      <c r="P34" s="33"/>
      <c r="R34" s="35"/>
      <c r="S34" s="35"/>
      <c r="U34" s="35"/>
      <c r="V34" s="35"/>
    </row>
    <row r="35" spans="1:22" x14ac:dyDescent="0.2">
      <c r="A35" s="31" t="s">
        <v>102</v>
      </c>
      <c r="B35" s="31">
        <v>108.026437471009</v>
      </c>
      <c r="C35" s="31">
        <v>-3.86222546890049</v>
      </c>
      <c r="D35" s="31">
        <v>0.50050149131732702</v>
      </c>
      <c r="E35" s="31">
        <v>-7.71671121046026</v>
      </c>
      <c r="F35" s="32">
        <v>1.19369695577564E-14</v>
      </c>
      <c r="G35" s="32">
        <v>1.6625960412162601E-11</v>
      </c>
      <c r="H35" s="33" t="s">
        <v>10</v>
      </c>
      <c r="I35" s="33" t="s">
        <v>10</v>
      </c>
      <c r="J35" s="33" t="s">
        <v>10</v>
      </c>
      <c r="K35" s="30"/>
      <c r="L35" s="31"/>
      <c r="O35" s="33"/>
      <c r="P35" s="33"/>
      <c r="R35" s="35"/>
      <c r="S35" s="35"/>
      <c r="U35" s="35"/>
      <c r="V35" s="35"/>
    </row>
    <row r="36" spans="1:22" x14ac:dyDescent="0.2">
      <c r="A36" s="31" t="s">
        <v>244</v>
      </c>
      <c r="B36" s="31">
        <v>4406.0111225622304</v>
      </c>
      <c r="C36" s="31">
        <v>-3.2003986526246999</v>
      </c>
      <c r="D36" s="31">
        <v>0.41578399183805398</v>
      </c>
      <c r="E36" s="31">
        <v>-7.6972627985909599</v>
      </c>
      <c r="F36" s="32">
        <v>1.39011812608033E-14</v>
      </c>
      <c r="G36" s="32">
        <v>1.8966601493693901E-11</v>
      </c>
      <c r="H36" s="30" t="s">
        <v>246</v>
      </c>
      <c r="I36" s="33" t="s">
        <v>10</v>
      </c>
      <c r="J36" s="33" t="s">
        <v>10</v>
      </c>
      <c r="K36" s="30"/>
      <c r="L36" s="31"/>
      <c r="O36" s="33"/>
      <c r="P36" s="33"/>
      <c r="R36" s="35"/>
      <c r="S36" s="35"/>
      <c r="U36" s="35"/>
      <c r="V36" s="35"/>
    </row>
    <row r="37" spans="1:22" x14ac:dyDescent="0.2">
      <c r="A37" s="31" t="s">
        <v>70</v>
      </c>
      <c r="B37" s="31">
        <v>82.071332124656294</v>
      </c>
      <c r="C37" s="31">
        <v>-4.4891615747909501</v>
      </c>
      <c r="D37" s="31">
        <v>0.58661397848502905</v>
      </c>
      <c r="E37" s="31">
        <v>-7.6526672384871004</v>
      </c>
      <c r="F37" s="32">
        <v>1.96852842389671E-14</v>
      </c>
      <c r="G37" s="32">
        <v>2.6321193555922799E-11</v>
      </c>
      <c r="H37" s="33" t="s">
        <v>10</v>
      </c>
      <c r="I37" s="33" t="s">
        <v>10</v>
      </c>
      <c r="J37" s="33" t="s">
        <v>10</v>
      </c>
      <c r="K37" s="30"/>
      <c r="L37" s="31"/>
      <c r="O37" s="33"/>
      <c r="P37" s="33"/>
      <c r="R37" s="35"/>
      <c r="S37" s="35"/>
      <c r="U37" s="35"/>
      <c r="V37" s="35"/>
    </row>
    <row r="38" spans="1:22" x14ac:dyDescent="0.2">
      <c r="A38" s="50" t="s">
        <v>162</v>
      </c>
      <c r="B38" s="50">
        <v>273.93371158657902</v>
      </c>
      <c r="C38" s="50">
        <v>-3.4748735686552599</v>
      </c>
      <c r="D38" s="50">
        <v>0.45734462831081302</v>
      </c>
      <c r="E38" s="50">
        <v>-7.5979323983526204</v>
      </c>
      <c r="F38" s="51">
        <v>3.0089943499749699E-14</v>
      </c>
      <c r="G38" s="51">
        <v>3.9444375934819002E-11</v>
      </c>
      <c r="H38" s="50" t="s">
        <v>164</v>
      </c>
      <c r="I38" s="50" t="s">
        <v>165</v>
      </c>
      <c r="J38" s="50" t="s">
        <v>10</v>
      </c>
      <c r="K38" s="30"/>
      <c r="L38" s="31"/>
      <c r="O38" s="33"/>
      <c r="P38" s="33"/>
      <c r="R38" s="35"/>
      <c r="S38" s="35"/>
      <c r="U38" s="35"/>
      <c r="V38" s="35"/>
    </row>
    <row r="39" spans="1:22" x14ac:dyDescent="0.2">
      <c r="A39" s="31" t="s">
        <v>185</v>
      </c>
      <c r="B39" s="31">
        <v>153.22469724092201</v>
      </c>
      <c r="C39" s="31">
        <v>-3.3548704281150199</v>
      </c>
      <c r="D39" s="31">
        <v>0.44533588242192901</v>
      </c>
      <c r="E39" s="31">
        <v>-7.5333485590017597</v>
      </c>
      <c r="F39" s="32">
        <v>4.9455363390236698E-14</v>
      </c>
      <c r="G39" s="32">
        <v>6.2383741876495805E-11</v>
      </c>
      <c r="H39" s="33" t="s">
        <v>10</v>
      </c>
      <c r="I39" s="33" t="s">
        <v>10</v>
      </c>
      <c r="J39" s="33" t="s">
        <v>10</v>
      </c>
      <c r="K39" s="30"/>
      <c r="L39" s="31"/>
      <c r="O39" s="33"/>
      <c r="P39" s="33"/>
      <c r="R39" s="35"/>
      <c r="S39" s="35"/>
      <c r="U39" s="35"/>
      <c r="V39" s="35"/>
    </row>
    <row r="40" spans="1:22" x14ac:dyDescent="0.2">
      <c r="A40" s="31" t="s">
        <v>91</v>
      </c>
      <c r="B40" s="31">
        <v>87.714418260914698</v>
      </c>
      <c r="C40" s="31">
        <v>-3.9458156436182499</v>
      </c>
      <c r="D40" s="31">
        <v>0.52670601583156695</v>
      </c>
      <c r="E40" s="31">
        <v>-7.4914953029130897</v>
      </c>
      <c r="F40" s="32">
        <v>6.8093321495040502E-14</v>
      </c>
      <c r="G40" s="32">
        <v>8.4303314973165398E-11</v>
      </c>
      <c r="H40" s="33" t="s">
        <v>10</v>
      </c>
      <c r="I40" s="33" t="s">
        <v>92</v>
      </c>
      <c r="J40" s="33" t="s">
        <v>10</v>
      </c>
      <c r="K40" s="30"/>
      <c r="L40" s="31"/>
      <c r="O40" s="33"/>
      <c r="P40" s="33"/>
      <c r="R40" s="35"/>
      <c r="S40" s="35"/>
      <c r="U40" s="35"/>
      <c r="V40" s="35"/>
    </row>
    <row r="41" spans="1:22" x14ac:dyDescent="0.2">
      <c r="A41" s="31" t="s">
        <v>83</v>
      </c>
      <c r="B41" s="31">
        <v>118.740528914137</v>
      </c>
      <c r="C41" s="31">
        <v>-4.1477008615051698</v>
      </c>
      <c r="D41" s="31">
        <v>0.55559226560476804</v>
      </c>
      <c r="E41" s="31">
        <v>-7.4653682534445496</v>
      </c>
      <c r="F41" s="32">
        <v>8.3066967348479497E-14</v>
      </c>
      <c r="G41" s="32">
        <v>9.9168608965760704E-11</v>
      </c>
      <c r="H41" s="33" t="s">
        <v>84</v>
      </c>
      <c r="I41" s="33" t="s">
        <v>86</v>
      </c>
      <c r="J41" s="33" t="s">
        <v>10</v>
      </c>
      <c r="K41" s="30"/>
      <c r="L41" s="31"/>
      <c r="O41" s="33"/>
      <c r="P41" s="33"/>
      <c r="R41" s="35"/>
      <c r="S41" s="35"/>
      <c r="U41" s="35"/>
      <c r="V41" s="35"/>
    </row>
    <row r="42" spans="1:22" x14ac:dyDescent="0.2">
      <c r="A42" s="31" t="s">
        <v>249</v>
      </c>
      <c r="B42" s="31">
        <v>165.74370520826301</v>
      </c>
      <c r="C42" s="31">
        <v>-3.17994703818048</v>
      </c>
      <c r="D42" s="31">
        <v>0.44148508383161</v>
      </c>
      <c r="E42" s="31">
        <v>-7.2028413974533398</v>
      </c>
      <c r="F42" s="32">
        <v>5.8970553725063803E-13</v>
      </c>
      <c r="G42" s="32">
        <v>6.5707939488152299E-10</v>
      </c>
      <c r="H42" s="30" t="s">
        <v>252</v>
      </c>
      <c r="I42" s="33" t="s">
        <v>3169</v>
      </c>
      <c r="J42" s="33" t="s">
        <v>10</v>
      </c>
      <c r="K42" s="30"/>
      <c r="L42" s="31"/>
      <c r="O42" s="33"/>
      <c r="P42" s="33"/>
      <c r="R42" s="35"/>
      <c r="S42" s="35"/>
      <c r="U42" s="35"/>
      <c r="V42" s="35"/>
    </row>
    <row r="43" spans="1:22" x14ac:dyDescent="0.2">
      <c r="A43" s="31" t="s">
        <v>100</v>
      </c>
      <c r="B43" s="31">
        <v>93.516006480573793</v>
      </c>
      <c r="C43" s="31">
        <v>-3.9038429804772998</v>
      </c>
      <c r="D43" s="31">
        <v>0.544050979482677</v>
      </c>
      <c r="E43" s="31">
        <v>-7.1755095160188098</v>
      </c>
      <c r="F43" s="32">
        <v>7.2038386440245403E-13</v>
      </c>
      <c r="G43" s="32">
        <v>7.7679456862300004E-10</v>
      </c>
      <c r="H43" s="33" t="s">
        <v>10</v>
      </c>
      <c r="I43" s="33" t="s">
        <v>10</v>
      </c>
      <c r="J43" s="33" t="s">
        <v>10</v>
      </c>
      <c r="K43" s="30"/>
      <c r="L43" s="31"/>
      <c r="O43" s="33"/>
      <c r="P43" s="33"/>
      <c r="R43" s="35"/>
      <c r="S43" s="35"/>
      <c r="U43" s="35"/>
      <c r="V43" s="35"/>
    </row>
    <row r="44" spans="1:22" x14ac:dyDescent="0.2">
      <c r="A44" s="31" t="s">
        <v>125</v>
      </c>
      <c r="B44" s="31">
        <v>131.37574100096799</v>
      </c>
      <c r="C44" s="31">
        <v>-3.6918949642216901</v>
      </c>
      <c r="D44" s="31">
        <v>0.51467888083873403</v>
      </c>
      <c r="E44" s="31">
        <v>-7.1732008086387502</v>
      </c>
      <c r="F44" s="32">
        <v>7.3264264871741699E-13</v>
      </c>
      <c r="G44" s="32">
        <v>7.7747340126988701E-10</v>
      </c>
      <c r="H44" s="33" t="s">
        <v>10</v>
      </c>
      <c r="I44" s="33" t="s">
        <v>10</v>
      </c>
      <c r="J44" s="33" t="s">
        <v>10</v>
      </c>
      <c r="K44" s="30"/>
      <c r="L44" s="31"/>
      <c r="O44" s="33"/>
      <c r="P44" s="33"/>
      <c r="R44" s="35"/>
      <c r="S44" s="35"/>
      <c r="U44" s="35"/>
      <c r="V44" s="35"/>
    </row>
    <row r="45" spans="1:22" x14ac:dyDescent="0.2">
      <c r="A45" s="31" t="s">
        <v>33</v>
      </c>
      <c r="B45" s="31">
        <v>1131.69219945189</v>
      </c>
      <c r="C45" s="31">
        <v>-7.3204771511761999</v>
      </c>
      <c r="D45" s="31">
        <v>1.02840638786644</v>
      </c>
      <c r="E45" s="31">
        <v>-7.1182727349286798</v>
      </c>
      <c r="F45" s="32">
        <v>1.0928795332284199E-12</v>
      </c>
      <c r="G45" s="32">
        <v>1.1416322061560299E-9</v>
      </c>
      <c r="H45" s="33" t="s">
        <v>10</v>
      </c>
      <c r="I45" s="33" t="s">
        <v>10</v>
      </c>
      <c r="J45" s="33" t="s">
        <v>10</v>
      </c>
      <c r="K45" s="30"/>
      <c r="L45" s="31"/>
      <c r="O45" s="33"/>
      <c r="P45" s="33"/>
      <c r="R45" s="35"/>
      <c r="S45" s="35"/>
      <c r="U45" s="35"/>
      <c r="V45" s="35"/>
    </row>
    <row r="46" spans="1:22" x14ac:dyDescent="0.2">
      <c r="A46" s="31" t="s">
        <v>66</v>
      </c>
      <c r="B46" s="31">
        <v>72.367438820410996</v>
      </c>
      <c r="C46" s="31">
        <v>-4.6810424219375903</v>
      </c>
      <c r="D46" s="31">
        <v>0.66908279284250705</v>
      </c>
      <c r="E46" s="31">
        <v>-6.9962080508016298</v>
      </c>
      <c r="F46" s="32">
        <v>2.62982932840143E-12</v>
      </c>
      <c r="G46" s="32">
        <v>2.54807593840982E-9</v>
      </c>
      <c r="H46" s="33" t="s">
        <v>10</v>
      </c>
      <c r="I46" s="33" t="s">
        <v>10</v>
      </c>
      <c r="J46" s="33" t="s">
        <v>10</v>
      </c>
      <c r="K46" s="30"/>
      <c r="L46" s="31"/>
      <c r="O46" s="33"/>
      <c r="P46" s="33"/>
      <c r="R46" s="35"/>
      <c r="S46" s="35"/>
      <c r="U46" s="35"/>
      <c r="V46" s="35"/>
    </row>
    <row r="47" spans="1:22" x14ac:dyDescent="0.2">
      <c r="A47" s="31" t="s">
        <v>105</v>
      </c>
      <c r="B47" s="31">
        <v>89.263934177251798</v>
      </c>
      <c r="C47" s="31">
        <v>-3.8553194902932901</v>
      </c>
      <c r="D47" s="31">
        <v>0.553871337214766</v>
      </c>
      <c r="E47" s="31">
        <v>-6.9606770223575802</v>
      </c>
      <c r="F47" s="32">
        <v>3.3864133850875498E-12</v>
      </c>
      <c r="G47" s="32">
        <v>3.23426666942897E-9</v>
      </c>
      <c r="H47" s="33" t="s">
        <v>106</v>
      </c>
      <c r="I47" s="30" t="s">
        <v>107</v>
      </c>
      <c r="J47" s="33" t="s">
        <v>10</v>
      </c>
      <c r="L47" s="31"/>
      <c r="O47" s="33"/>
      <c r="P47" s="33"/>
      <c r="R47" s="35"/>
      <c r="S47" s="35"/>
      <c r="U47" s="35"/>
      <c r="V47" s="35"/>
    </row>
    <row r="48" spans="1:22" x14ac:dyDescent="0.2">
      <c r="A48" s="31" t="s">
        <v>176</v>
      </c>
      <c r="B48" s="31">
        <v>127.34377082497799</v>
      </c>
      <c r="C48" s="31">
        <v>-3.4006425843274002</v>
      </c>
      <c r="D48" s="31">
        <v>0.49854974059999901</v>
      </c>
      <c r="E48" s="31">
        <v>-6.8210698098744604</v>
      </c>
      <c r="F48" s="32">
        <v>9.0365012898469994E-12</v>
      </c>
      <c r="G48" s="32">
        <v>8.0551372497696202E-9</v>
      </c>
      <c r="H48" s="33" t="s">
        <v>10</v>
      </c>
      <c r="I48" s="33" t="s">
        <v>10</v>
      </c>
      <c r="J48" s="33" t="s">
        <v>10</v>
      </c>
      <c r="K48" s="30"/>
      <c r="L48" s="31"/>
      <c r="O48" s="33"/>
      <c r="P48" s="33"/>
      <c r="R48" s="35"/>
      <c r="S48" s="35"/>
      <c r="U48" s="35"/>
      <c r="V48" s="35"/>
    </row>
    <row r="49" spans="1:22" x14ac:dyDescent="0.2">
      <c r="A49" s="31" t="s">
        <v>129</v>
      </c>
      <c r="B49" s="31">
        <v>106.121833498245</v>
      </c>
      <c r="C49" s="31">
        <v>-3.6776947330354099</v>
      </c>
      <c r="D49" s="31">
        <v>0.54065616315764198</v>
      </c>
      <c r="E49" s="31">
        <v>-6.8022802358457302</v>
      </c>
      <c r="F49" s="32">
        <v>1.02976034275856E-11</v>
      </c>
      <c r="G49" s="32">
        <v>9.0585036467267901E-9</v>
      </c>
      <c r="H49" s="33" t="s">
        <v>10</v>
      </c>
      <c r="I49" s="33" t="s">
        <v>10</v>
      </c>
      <c r="J49" s="33" t="s">
        <v>10</v>
      </c>
      <c r="K49" s="30"/>
      <c r="L49" s="31"/>
      <c r="O49" s="33"/>
      <c r="P49" s="33"/>
      <c r="R49" s="35"/>
      <c r="S49" s="35"/>
      <c r="U49" s="35"/>
      <c r="V49" s="35"/>
    </row>
    <row r="50" spans="1:22" x14ac:dyDescent="0.2">
      <c r="A50" s="31" t="s">
        <v>189</v>
      </c>
      <c r="B50" s="31">
        <v>146.311129019156</v>
      </c>
      <c r="C50" s="31">
        <v>-3.3501178833566998</v>
      </c>
      <c r="D50" s="31">
        <v>0.49889888350024297</v>
      </c>
      <c r="E50" s="31">
        <v>-6.7150238137485498</v>
      </c>
      <c r="F50" s="32">
        <v>1.8803550882718701E-11</v>
      </c>
      <c r="G50" s="32">
        <v>1.55198937563476E-8</v>
      </c>
      <c r="H50" s="33" t="s">
        <v>10</v>
      </c>
      <c r="I50" s="33" t="s">
        <v>10</v>
      </c>
      <c r="J50" s="33" t="s">
        <v>10</v>
      </c>
      <c r="K50" s="30"/>
      <c r="L50" s="31"/>
      <c r="O50" s="33"/>
      <c r="P50" s="33"/>
      <c r="R50" s="35"/>
      <c r="S50" s="35"/>
      <c r="U50" s="35"/>
      <c r="V50" s="35"/>
    </row>
    <row r="51" spans="1:22" x14ac:dyDescent="0.2">
      <c r="A51" s="31" t="s">
        <v>461</v>
      </c>
      <c r="B51" s="31">
        <v>5334.9069204419302</v>
      </c>
      <c r="C51" s="31">
        <v>-2.2446610577612098</v>
      </c>
      <c r="D51" s="31">
        <v>0.33773479779983201</v>
      </c>
      <c r="E51" s="31">
        <v>-6.6462238193518202</v>
      </c>
      <c r="F51" s="32">
        <v>3.0070788524089502E-11</v>
      </c>
      <c r="G51" s="32">
        <v>2.42214767081687E-8</v>
      </c>
      <c r="H51" s="33" t="s">
        <v>10</v>
      </c>
      <c r="I51" s="33" t="s">
        <v>10</v>
      </c>
      <c r="J51" s="33" t="s">
        <v>10</v>
      </c>
      <c r="K51" s="30"/>
      <c r="L51" s="31"/>
      <c r="O51" s="33"/>
      <c r="P51" s="33"/>
      <c r="R51" s="35"/>
      <c r="S51" s="35"/>
      <c r="U51" s="35"/>
      <c r="V51" s="35"/>
    </row>
    <row r="52" spans="1:22" x14ac:dyDescent="0.2">
      <c r="A52" s="31" t="s">
        <v>418</v>
      </c>
      <c r="B52" s="31">
        <v>473.17062110247701</v>
      </c>
      <c r="C52" s="31">
        <v>-2.3171881924726998</v>
      </c>
      <c r="D52" s="31">
        <v>0.34925123671311697</v>
      </c>
      <c r="E52" s="31">
        <v>-6.6347315310327302</v>
      </c>
      <c r="F52" s="32">
        <v>3.2509368717035998E-11</v>
      </c>
      <c r="G52" s="32">
        <v>2.5569574653852201E-8</v>
      </c>
      <c r="H52" s="30" t="s">
        <v>421</v>
      </c>
      <c r="I52" s="30" t="s">
        <v>422</v>
      </c>
      <c r="J52" s="33" t="s">
        <v>10</v>
      </c>
      <c r="L52" s="31"/>
      <c r="O52" s="33"/>
      <c r="P52" s="33"/>
      <c r="R52" s="35"/>
      <c r="S52" s="35"/>
      <c r="U52" s="35"/>
      <c r="V52" s="35"/>
    </row>
    <row r="53" spans="1:22" x14ac:dyDescent="0.2">
      <c r="A53" s="31" t="s">
        <v>59</v>
      </c>
      <c r="B53" s="31">
        <v>48.215579668704301</v>
      </c>
      <c r="C53" s="31">
        <v>-4.9760986343887401</v>
      </c>
      <c r="D53" s="31">
        <v>0.75196943596288002</v>
      </c>
      <c r="E53" s="31">
        <v>-6.61742139561425</v>
      </c>
      <c r="F53" s="32">
        <v>3.6551845750365497E-11</v>
      </c>
      <c r="G53" s="32">
        <v>2.8414809856286999E-8</v>
      </c>
      <c r="H53" s="33" t="s">
        <v>10</v>
      </c>
      <c r="I53" s="33" t="s">
        <v>10</v>
      </c>
      <c r="J53" s="33" t="s">
        <v>10</v>
      </c>
      <c r="K53" s="30"/>
      <c r="L53" s="31"/>
      <c r="O53" s="33"/>
      <c r="P53" s="33"/>
      <c r="R53" s="35"/>
      <c r="S53" s="35"/>
      <c r="U53" s="35"/>
      <c r="V53" s="35"/>
    </row>
    <row r="54" spans="1:22" x14ac:dyDescent="0.2">
      <c r="A54" s="31" t="s">
        <v>38</v>
      </c>
      <c r="B54" s="31">
        <v>51.879896315626503</v>
      </c>
      <c r="C54" s="31">
        <v>-6.51567125382181</v>
      </c>
      <c r="D54" s="31">
        <v>0.99153374646452097</v>
      </c>
      <c r="E54" s="31">
        <v>-6.5713055930315303</v>
      </c>
      <c r="F54" s="32">
        <v>4.9875975820674497E-11</v>
      </c>
      <c r="G54" s="32">
        <v>3.79447280700528E-8</v>
      </c>
      <c r="H54" s="33" t="s">
        <v>10</v>
      </c>
      <c r="I54" s="33" t="s">
        <v>10</v>
      </c>
      <c r="J54" s="33" t="s">
        <v>10</v>
      </c>
      <c r="K54" s="30"/>
      <c r="L54" s="31"/>
      <c r="O54" s="33"/>
      <c r="P54" s="33"/>
      <c r="R54" s="35"/>
      <c r="S54" s="35"/>
      <c r="U54" s="35"/>
      <c r="V54" s="35"/>
    </row>
    <row r="55" spans="1:22" x14ac:dyDescent="0.2">
      <c r="A55" s="31" t="s">
        <v>112</v>
      </c>
      <c r="B55" s="31">
        <v>94.277958923874806</v>
      </c>
      <c r="C55" s="31">
        <v>-3.7821441581322301</v>
      </c>
      <c r="D55" s="31">
        <v>0.58032423418149504</v>
      </c>
      <c r="E55" s="31">
        <v>-6.5172948764868801</v>
      </c>
      <c r="F55" s="32">
        <v>7.1586614010132399E-11</v>
      </c>
      <c r="G55" s="32">
        <v>5.3176923107193302E-8</v>
      </c>
      <c r="H55" s="33" t="s">
        <v>10</v>
      </c>
      <c r="I55" s="33" t="s">
        <v>10</v>
      </c>
      <c r="J55" s="33" t="s">
        <v>10</v>
      </c>
      <c r="K55" s="30"/>
      <c r="L55" s="31"/>
      <c r="O55" s="33"/>
      <c r="P55" s="33"/>
      <c r="R55" s="35"/>
      <c r="S55" s="35"/>
      <c r="U55" s="35"/>
      <c r="V55" s="35"/>
    </row>
    <row r="56" spans="1:22" x14ac:dyDescent="0.2">
      <c r="A56" s="31" t="s">
        <v>349</v>
      </c>
      <c r="B56" s="31">
        <v>1686.7818177511899</v>
      </c>
      <c r="C56" s="31">
        <v>-2.6292600719491999</v>
      </c>
      <c r="D56" s="31">
        <v>0.40667433918599599</v>
      </c>
      <c r="E56" s="31">
        <v>-6.4652716402317401</v>
      </c>
      <c r="F56" s="32">
        <v>1.0111699916676701E-10</v>
      </c>
      <c r="G56" s="32">
        <v>7.4287659113123093E-8</v>
      </c>
      <c r="H56" s="33" t="s">
        <v>10</v>
      </c>
      <c r="I56" s="33" t="s">
        <v>10</v>
      </c>
      <c r="J56" s="33" t="s">
        <v>10</v>
      </c>
      <c r="K56" s="30"/>
      <c r="L56" s="31"/>
      <c r="O56" s="33"/>
      <c r="P56" s="33"/>
      <c r="R56" s="35"/>
      <c r="S56" s="35"/>
      <c r="U56" s="35"/>
      <c r="V56" s="35"/>
    </row>
    <row r="57" spans="1:22" x14ac:dyDescent="0.2">
      <c r="A57" s="50" t="s">
        <v>108</v>
      </c>
      <c r="B57" s="50">
        <v>72.320054241441895</v>
      </c>
      <c r="C57" s="50">
        <v>-3.81048603542237</v>
      </c>
      <c r="D57" s="50">
        <v>0.59658326547019602</v>
      </c>
      <c r="E57" s="50">
        <v>-6.3871822358596502</v>
      </c>
      <c r="F57" s="51">
        <v>1.6897023496157299E-10</v>
      </c>
      <c r="G57" s="51">
        <v>1.16458815034597E-7</v>
      </c>
      <c r="H57" s="50" t="s">
        <v>640</v>
      </c>
      <c r="I57" s="50" t="s">
        <v>111</v>
      </c>
      <c r="J57" s="50" t="s">
        <v>3039</v>
      </c>
      <c r="K57" s="30"/>
      <c r="L57" s="31"/>
      <c r="O57" s="33"/>
      <c r="P57" s="33"/>
      <c r="R57" s="35"/>
      <c r="S57" s="35"/>
      <c r="U57" s="35"/>
      <c r="V57" s="35"/>
    </row>
    <row r="58" spans="1:22" x14ac:dyDescent="0.2">
      <c r="A58" s="31" t="s">
        <v>177</v>
      </c>
      <c r="B58" s="31">
        <v>103.641232967978</v>
      </c>
      <c r="C58" s="31">
        <v>-3.38929503042444</v>
      </c>
      <c r="D58" s="31">
        <v>0.53275076128644705</v>
      </c>
      <c r="E58" s="31">
        <v>-6.3618774044362096</v>
      </c>
      <c r="F58" s="32">
        <v>1.99302494919812E-10</v>
      </c>
      <c r="G58" s="32">
        <v>1.3324368297864099E-7</v>
      </c>
      <c r="H58" s="33" t="s">
        <v>10</v>
      </c>
      <c r="I58" s="33" t="s">
        <v>10</v>
      </c>
      <c r="J58" s="33" t="s">
        <v>10</v>
      </c>
      <c r="K58" s="30"/>
      <c r="L58" s="31"/>
      <c r="O58" s="33"/>
      <c r="P58" s="33"/>
      <c r="R58" s="35"/>
      <c r="S58" s="35"/>
      <c r="U58" s="35"/>
      <c r="V58" s="35"/>
    </row>
    <row r="59" spans="1:22" x14ac:dyDescent="0.2">
      <c r="A59" s="31" t="s">
        <v>130</v>
      </c>
      <c r="B59" s="31">
        <v>137.17429285199799</v>
      </c>
      <c r="C59" s="31">
        <v>-3.6378865683943502</v>
      </c>
      <c r="D59" s="31">
        <v>0.57503958145352196</v>
      </c>
      <c r="E59" s="31">
        <v>-6.3263237622685002</v>
      </c>
      <c r="F59" s="32">
        <v>2.5107075060351798E-10</v>
      </c>
      <c r="G59" s="32">
        <v>1.6619143595641801E-7</v>
      </c>
      <c r="H59" s="33" t="s">
        <v>10</v>
      </c>
      <c r="I59" s="33" t="s">
        <v>131</v>
      </c>
      <c r="J59" s="33" t="s">
        <v>10</v>
      </c>
      <c r="K59" s="30"/>
      <c r="L59" s="31"/>
      <c r="O59" s="33"/>
      <c r="P59" s="33"/>
      <c r="R59" s="35"/>
      <c r="S59" s="35"/>
      <c r="U59" s="35"/>
      <c r="V59" s="35"/>
    </row>
    <row r="60" spans="1:22" x14ac:dyDescent="0.2">
      <c r="A60" s="31" t="s">
        <v>318</v>
      </c>
      <c r="B60" s="31">
        <v>190.723847455201</v>
      </c>
      <c r="C60" s="31">
        <v>-2.8058766982797199</v>
      </c>
      <c r="D60" s="31">
        <v>0.44656963525158599</v>
      </c>
      <c r="E60" s="31">
        <v>-6.2831784268067397</v>
      </c>
      <c r="F60" s="32">
        <v>3.3171996763072801E-10</v>
      </c>
      <c r="G60" s="32">
        <v>2.1742292584267001E-7</v>
      </c>
      <c r="H60" s="33" t="s">
        <v>10</v>
      </c>
      <c r="I60" s="33" t="s">
        <v>10</v>
      </c>
      <c r="J60" s="33" t="s">
        <v>10</v>
      </c>
      <c r="K60" s="30"/>
      <c r="L60" s="31"/>
      <c r="O60" s="33"/>
      <c r="P60" s="33"/>
      <c r="R60" s="35"/>
      <c r="S60" s="35"/>
      <c r="U60" s="35"/>
      <c r="V60" s="35"/>
    </row>
    <row r="61" spans="1:22" x14ac:dyDescent="0.2">
      <c r="A61" s="31" t="s">
        <v>43</v>
      </c>
      <c r="B61" s="31">
        <v>47.363200252460302</v>
      </c>
      <c r="C61" s="31">
        <v>-5.9959241407275998</v>
      </c>
      <c r="D61" s="31">
        <v>0.95457600677799703</v>
      </c>
      <c r="E61" s="31">
        <v>-6.2812432935181102</v>
      </c>
      <c r="F61" s="32">
        <v>3.3587603817658598E-10</v>
      </c>
      <c r="G61" s="32">
        <v>2.1800963623588E-7</v>
      </c>
      <c r="H61" s="33" t="s">
        <v>10</v>
      </c>
      <c r="I61" s="33" t="s">
        <v>10</v>
      </c>
      <c r="J61" s="33" t="s">
        <v>10</v>
      </c>
      <c r="K61" s="30"/>
      <c r="L61" s="31"/>
      <c r="O61" s="33"/>
      <c r="P61" s="33"/>
      <c r="R61" s="35"/>
      <c r="S61" s="35"/>
      <c r="U61" s="35"/>
      <c r="V61" s="35"/>
    </row>
    <row r="62" spans="1:22" x14ac:dyDescent="0.2">
      <c r="A62" s="31" t="s">
        <v>93</v>
      </c>
      <c r="B62" s="31">
        <v>59.917544023985897</v>
      </c>
      <c r="C62" s="31">
        <v>-3.9175897436849301</v>
      </c>
      <c r="D62" s="31">
        <v>0.62504647514145095</v>
      </c>
      <c r="E62" s="31">
        <v>-6.2676775239766904</v>
      </c>
      <c r="F62" s="32">
        <v>3.6647272219094899E-10</v>
      </c>
      <c r="G62" s="32">
        <v>2.3299791233055501E-7</v>
      </c>
      <c r="H62" s="33" t="s">
        <v>3157</v>
      </c>
      <c r="I62" s="33" t="s">
        <v>99</v>
      </c>
      <c r="J62" s="33" t="s">
        <v>10</v>
      </c>
      <c r="K62" s="30"/>
      <c r="L62" s="31"/>
      <c r="O62" s="33"/>
      <c r="P62" s="33"/>
      <c r="R62" s="35"/>
      <c r="S62" s="35"/>
      <c r="U62" s="35"/>
      <c r="V62" s="35"/>
    </row>
    <row r="63" spans="1:22" x14ac:dyDescent="0.2">
      <c r="A63" s="31" t="s">
        <v>166</v>
      </c>
      <c r="B63" s="31">
        <v>126.28581238772099</v>
      </c>
      <c r="C63" s="31">
        <v>-3.46766303501443</v>
      </c>
      <c r="D63" s="31">
        <v>0.55337152165192205</v>
      </c>
      <c r="E63" s="31">
        <v>-6.2664284288840602</v>
      </c>
      <c r="F63" s="32">
        <v>3.69423060459783E-10</v>
      </c>
      <c r="G63" s="32">
        <v>2.3299791233055501E-7</v>
      </c>
      <c r="H63" s="33" t="s">
        <v>167</v>
      </c>
      <c r="I63" s="33" t="s">
        <v>169</v>
      </c>
      <c r="J63" s="33" t="s">
        <v>3063</v>
      </c>
      <c r="K63" s="30"/>
      <c r="L63" s="31"/>
      <c r="O63" s="33"/>
      <c r="P63" s="33"/>
      <c r="R63" s="35"/>
      <c r="S63" s="35"/>
      <c r="U63" s="35"/>
      <c r="V63" s="35"/>
    </row>
    <row r="64" spans="1:22" x14ac:dyDescent="0.2">
      <c r="A64" s="31" t="s">
        <v>224</v>
      </c>
      <c r="B64" s="31">
        <v>173.78747380177299</v>
      </c>
      <c r="C64" s="31">
        <v>-3.2550181031504901</v>
      </c>
      <c r="D64" s="31">
        <v>0.51969560950912597</v>
      </c>
      <c r="E64" s="31">
        <v>-6.2633165329701201</v>
      </c>
      <c r="F64" s="32">
        <v>3.7687450920062702E-10</v>
      </c>
      <c r="G64" s="32">
        <v>2.35476124416897E-7</v>
      </c>
      <c r="H64" s="30" t="s">
        <v>45</v>
      </c>
      <c r="I64" s="33" t="s">
        <v>227</v>
      </c>
      <c r="J64" s="30" t="s">
        <v>10</v>
      </c>
      <c r="K64" s="30"/>
      <c r="L64" s="31"/>
      <c r="O64" s="33"/>
      <c r="P64" s="33"/>
      <c r="R64" s="35"/>
      <c r="S64" s="35"/>
      <c r="U64" s="35"/>
      <c r="V64" s="35"/>
    </row>
    <row r="65" spans="1:22" x14ac:dyDescent="0.2">
      <c r="A65" s="31" t="s">
        <v>536</v>
      </c>
      <c r="B65" s="31">
        <v>481.56361132056298</v>
      </c>
      <c r="C65" s="31">
        <v>-2.0381191316021701</v>
      </c>
      <c r="D65" s="31">
        <v>0.32625518940059201</v>
      </c>
      <c r="E65" s="31">
        <v>-6.2470090831250404</v>
      </c>
      <c r="F65" s="32">
        <v>4.1838673920868102E-10</v>
      </c>
      <c r="G65" s="32">
        <v>2.5899301342404099E-7</v>
      </c>
      <c r="H65" s="33" t="s">
        <v>10</v>
      </c>
      <c r="I65" s="33" t="s">
        <v>10</v>
      </c>
      <c r="J65" s="33" t="s">
        <v>10</v>
      </c>
      <c r="K65" s="30"/>
      <c r="L65" s="31"/>
      <c r="O65" s="33"/>
      <c r="P65" s="33"/>
      <c r="R65" s="35"/>
      <c r="S65" s="35"/>
      <c r="U65" s="35"/>
      <c r="V65" s="35"/>
    </row>
    <row r="66" spans="1:22" x14ac:dyDescent="0.2">
      <c r="A66" s="31" t="s">
        <v>378</v>
      </c>
      <c r="B66" s="31">
        <v>235.02649353482499</v>
      </c>
      <c r="C66" s="31">
        <v>-2.4839275038759498</v>
      </c>
      <c r="D66" s="31">
        <v>0.400145384294192</v>
      </c>
      <c r="E66" s="31">
        <v>-6.2075625544383</v>
      </c>
      <c r="F66" s="32">
        <v>5.3812691556327504E-10</v>
      </c>
      <c r="G66" s="32">
        <v>3.2411238684669099E-7</v>
      </c>
      <c r="H66" s="33" t="s">
        <v>382</v>
      </c>
      <c r="I66" s="33" t="s">
        <v>86</v>
      </c>
      <c r="J66" s="33" t="s">
        <v>3084</v>
      </c>
      <c r="K66" s="30"/>
      <c r="L66" s="31"/>
      <c r="O66" s="33"/>
      <c r="P66" s="33"/>
      <c r="R66" s="35"/>
      <c r="S66" s="35"/>
      <c r="U66" s="35"/>
      <c r="V66" s="35"/>
    </row>
    <row r="67" spans="1:22" x14ac:dyDescent="0.2">
      <c r="A67" s="31" t="s">
        <v>257</v>
      </c>
      <c r="B67" s="31">
        <v>112.399060715787</v>
      </c>
      <c r="C67" s="31">
        <v>-3.1574273762109302</v>
      </c>
      <c r="D67" s="31">
        <v>0.51353966851591104</v>
      </c>
      <c r="E67" s="31">
        <v>-6.1483612071013898</v>
      </c>
      <c r="F67" s="32">
        <v>7.8287589108529496E-10</v>
      </c>
      <c r="G67" s="32">
        <v>4.4734331366245699E-7</v>
      </c>
      <c r="H67" s="33" t="s">
        <v>10</v>
      </c>
      <c r="I67" s="33" t="s">
        <v>10</v>
      </c>
      <c r="J67" s="33" t="s">
        <v>10</v>
      </c>
      <c r="K67" s="30"/>
      <c r="L67" s="31"/>
      <c r="O67" s="33"/>
      <c r="P67" s="33"/>
      <c r="R67" s="35"/>
      <c r="S67" s="35"/>
      <c r="U67" s="35"/>
      <c r="V67" s="35"/>
    </row>
    <row r="68" spans="1:22" x14ac:dyDescent="0.2">
      <c r="A68" s="50" t="s">
        <v>340</v>
      </c>
      <c r="B68" s="50">
        <v>165.25168280544199</v>
      </c>
      <c r="C68" s="50">
        <v>-2.6930044006146598</v>
      </c>
      <c r="D68" s="50">
        <v>0.441719976149339</v>
      </c>
      <c r="E68" s="50">
        <v>-6.0966325863066597</v>
      </c>
      <c r="F68" s="51">
        <v>1.08326106758244E-9</v>
      </c>
      <c r="G68" s="51">
        <v>5.9296928054941599E-7</v>
      </c>
      <c r="H68" s="50" t="s">
        <v>3110</v>
      </c>
      <c r="I68" s="50" t="s">
        <v>343</v>
      </c>
      <c r="J68" s="49" t="s">
        <v>10</v>
      </c>
      <c r="K68" s="30"/>
      <c r="L68" s="31"/>
      <c r="O68" s="33"/>
      <c r="P68" s="33"/>
      <c r="R68" s="35"/>
      <c r="S68" s="35"/>
      <c r="U68" s="35"/>
      <c r="V68" s="35"/>
    </row>
    <row r="69" spans="1:22" x14ac:dyDescent="0.2">
      <c r="A69" s="31" t="s">
        <v>156</v>
      </c>
      <c r="B69" s="31">
        <v>92.723088282395807</v>
      </c>
      <c r="C69" s="31">
        <v>-3.5225305610853002</v>
      </c>
      <c r="D69" s="31">
        <v>0.57786885151256295</v>
      </c>
      <c r="E69" s="31">
        <v>-6.0957266546987796</v>
      </c>
      <c r="F69" s="32">
        <v>1.08941432297847E-9</v>
      </c>
      <c r="G69" s="32">
        <v>5.9296928054941599E-7</v>
      </c>
      <c r="H69" s="30" t="s">
        <v>157</v>
      </c>
      <c r="I69" s="33" t="s">
        <v>158</v>
      </c>
      <c r="J69" s="30" t="s">
        <v>10</v>
      </c>
      <c r="K69" s="30"/>
      <c r="L69" s="31"/>
      <c r="O69" s="33"/>
      <c r="P69" s="33"/>
      <c r="R69" s="35"/>
      <c r="S69" s="35"/>
      <c r="U69" s="35"/>
      <c r="V69" s="35"/>
    </row>
    <row r="70" spans="1:22" x14ac:dyDescent="0.2">
      <c r="A70" s="31" t="s">
        <v>89</v>
      </c>
      <c r="B70" s="31">
        <v>58.900122269861797</v>
      </c>
      <c r="C70" s="31">
        <v>-4.0516705461087703</v>
      </c>
      <c r="D70" s="31">
        <v>0.66483971627343796</v>
      </c>
      <c r="E70" s="31">
        <v>-6.0942065387116298</v>
      </c>
      <c r="F70" s="32">
        <v>1.0998158819553899E-9</v>
      </c>
      <c r="G70" s="32">
        <v>5.9296928054941599E-7</v>
      </c>
      <c r="H70" s="33" t="s">
        <v>10</v>
      </c>
      <c r="I70" s="33" t="s">
        <v>10</v>
      </c>
      <c r="J70" s="33" t="s">
        <v>10</v>
      </c>
      <c r="K70" s="30"/>
      <c r="L70" s="31"/>
      <c r="O70" s="33"/>
      <c r="P70" s="33"/>
      <c r="R70" s="35"/>
      <c r="S70" s="35"/>
      <c r="U70" s="35"/>
      <c r="V70" s="35"/>
    </row>
    <row r="71" spans="1:22" x14ac:dyDescent="0.2">
      <c r="A71" s="31" t="s">
        <v>514</v>
      </c>
      <c r="B71" s="31">
        <v>507.04358637906603</v>
      </c>
      <c r="C71" s="31">
        <v>-2.1142420128961099</v>
      </c>
      <c r="D71" s="31">
        <v>0.34769832539594298</v>
      </c>
      <c r="E71" s="31">
        <v>-6.08067930867516</v>
      </c>
      <c r="F71" s="32">
        <v>1.19674436311651E-9</v>
      </c>
      <c r="G71" s="32">
        <v>6.2918962203011095E-7</v>
      </c>
      <c r="H71" s="33" t="s">
        <v>10</v>
      </c>
      <c r="I71" s="33" t="s">
        <v>10</v>
      </c>
      <c r="J71" s="33" t="s">
        <v>10</v>
      </c>
      <c r="K71" s="30"/>
      <c r="L71" s="31"/>
      <c r="O71" s="33"/>
      <c r="P71" s="33"/>
      <c r="R71" s="35"/>
      <c r="S71" s="35"/>
      <c r="U71" s="35"/>
      <c r="V71" s="35"/>
    </row>
    <row r="72" spans="1:22" x14ac:dyDescent="0.2">
      <c r="A72" s="31" t="s">
        <v>460</v>
      </c>
      <c r="B72" s="31">
        <v>264.21407502774701</v>
      </c>
      <c r="C72" s="31">
        <v>-2.2498016299666301</v>
      </c>
      <c r="D72" s="31">
        <v>0.37070063320715702</v>
      </c>
      <c r="E72" s="31">
        <v>-6.06905256811197</v>
      </c>
      <c r="F72" s="32">
        <v>1.2866702891201701E-9</v>
      </c>
      <c r="G72" s="32">
        <v>6.6169493983945202E-7</v>
      </c>
      <c r="H72" s="33" t="s">
        <v>10</v>
      </c>
      <c r="I72" s="33" t="s">
        <v>10</v>
      </c>
      <c r="J72" s="33" t="s">
        <v>10</v>
      </c>
      <c r="K72" s="30"/>
      <c r="L72" s="31"/>
      <c r="O72" s="33"/>
      <c r="P72" s="33"/>
      <c r="R72" s="35"/>
      <c r="S72" s="35"/>
      <c r="U72" s="35"/>
      <c r="V72" s="35"/>
    </row>
    <row r="73" spans="1:22" x14ac:dyDescent="0.2">
      <c r="A73" s="31" t="s">
        <v>352</v>
      </c>
      <c r="B73" s="31">
        <v>1354.76265889872</v>
      </c>
      <c r="C73" s="31">
        <v>-2.5999346305572</v>
      </c>
      <c r="D73" s="31">
        <v>0.42853532656302001</v>
      </c>
      <c r="E73" s="31">
        <v>-6.0670252121556603</v>
      </c>
      <c r="F73" s="32">
        <v>1.3030110898471901E-9</v>
      </c>
      <c r="G73" s="32">
        <v>6.6498325505140401E-7</v>
      </c>
      <c r="H73" s="30" t="s">
        <v>263</v>
      </c>
      <c r="I73" s="33" t="s">
        <v>355</v>
      </c>
      <c r="J73" s="33" t="s">
        <v>3055</v>
      </c>
      <c r="K73" s="30"/>
      <c r="L73" s="31"/>
      <c r="O73" s="33"/>
      <c r="P73" s="33"/>
      <c r="R73" s="35"/>
      <c r="S73" s="35"/>
      <c r="U73" s="35"/>
      <c r="V73" s="35"/>
    </row>
    <row r="74" spans="1:22" x14ac:dyDescent="0.2">
      <c r="A74" s="31" t="s">
        <v>495</v>
      </c>
      <c r="B74" s="31">
        <v>1707.3806780221901</v>
      </c>
      <c r="C74" s="31">
        <v>-2.1615018016869798</v>
      </c>
      <c r="D74" s="31">
        <v>0.35661706923046199</v>
      </c>
      <c r="E74" s="31">
        <v>-6.0611282750745596</v>
      </c>
      <c r="F74" s="32">
        <v>1.3516997434170199E-9</v>
      </c>
      <c r="G74" s="32">
        <v>6.7945779207627903E-7</v>
      </c>
      <c r="H74" s="33" t="s">
        <v>10</v>
      </c>
      <c r="I74" s="33" t="s">
        <v>10</v>
      </c>
      <c r="J74" s="33" t="s">
        <v>10</v>
      </c>
      <c r="K74" s="30"/>
      <c r="L74" s="31"/>
      <c r="O74" s="33"/>
      <c r="P74" s="33"/>
      <c r="R74" s="35"/>
      <c r="S74" s="35"/>
      <c r="U74" s="35"/>
      <c r="V74" s="35"/>
    </row>
    <row r="75" spans="1:22" x14ac:dyDescent="0.2">
      <c r="A75" s="31" t="s">
        <v>301</v>
      </c>
      <c r="B75" s="31">
        <v>144.22024865149299</v>
      </c>
      <c r="C75" s="31">
        <v>-2.98485772373953</v>
      </c>
      <c r="D75" s="31">
        <v>0.49531507716481599</v>
      </c>
      <c r="E75" s="31">
        <v>-6.0261798223968102</v>
      </c>
      <c r="F75" s="32">
        <v>1.6788039322669201E-9</v>
      </c>
      <c r="G75" s="32">
        <v>7.9600309852272997E-7</v>
      </c>
      <c r="H75" s="33" t="s">
        <v>10</v>
      </c>
      <c r="I75" s="33" t="s">
        <v>10</v>
      </c>
      <c r="J75" s="33" t="s">
        <v>10</v>
      </c>
      <c r="K75" s="30"/>
      <c r="L75" s="31"/>
      <c r="O75" s="33"/>
      <c r="P75" s="33"/>
      <c r="R75" s="35"/>
      <c r="S75" s="35"/>
      <c r="U75" s="35"/>
      <c r="V75" s="35"/>
    </row>
    <row r="76" spans="1:22" x14ac:dyDescent="0.2">
      <c r="A76" s="31" t="s">
        <v>371</v>
      </c>
      <c r="B76" s="31">
        <v>521.91300874442095</v>
      </c>
      <c r="C76" s="31">
        <v>-2.5404032840507802</v>
      </c>
      <c r="D76" s="31">
        <v>0.42260342985552601</v>
      </c>
      <c r="E76" s="31">
        <v>-6.0113172411290297</v>
      </c>
      <c r="F76" s="32">
        <v>1.84021889537608E-9</v>
      </c>
      <c r="G76" s="32">
        <v>8.6033450524732701E-7</v>
      </c>
      <c r="H76" s="33" t="s">
        <v>373</v>
      </c>
      <c r="I76" s="33" t="s">
        <v>374</v>
      </c>
      <c r="J76" s="33" t="s">
        <v>3066</v>
      </c>
      <c r="K76" s="30"/>
      <c r="L76" s="31"/>
      <c r="O76" s="33"/>
      <c r="P76" s="33"/>
      <c r="R76" s="35"/>
      <c r="S76" s="35"/>
      <c r="U76" s="35"/>
      <c r="V76" s="35"/>
    </row>
    <row r="77" spans="1:22" x14ac:dyDescent="0.2">
      <c r="A77" s="31" t="s">
        <v>437</v>
      </c>
      <c r="B77" s="31">
        <v>239.30563318222599</v>
      </c>
      <c r="C77" s="31">
        <v>-2.2848959373986601</v>
      </c>
      <c r="D77" s="31">
        <v>0.380647666691738</v>
      </c>
      <c r="E77" s="31">
        <v>-6.0026532075108001</v>
      </c>
      <c r="F77" s="32">
        <v>1.9411894424924399E-9</v>
      </c>
      <c r="G77" s="32">
        <v>9.0123764012383495E-7</v>
      </c>
      <c r="H77" s="33" t="s">
        <v>3108</v>
      </c>
      <c r="I77" s="33" t="s">
        <v>3170</v>
      </c>
      <c r="J77" s="33" t="s">
        <v>3075</v>
      </c>
      <c r="K77" s="30"/>
      <c r="L77" s="31"/>
      <c r="O77" s="33"/>
      <c r="P77" s="33"/>
      <c r="R77" s="35"/>
      <c r="S77" s="35"/>
      <c r="U77" s="35"/>
      <c r="V77" s="35"/>
    </row>
    <row r="78" spans="1:22" x14ac:dyDescent="0.2">
      <c r="A78" s="31" t="s">
        <v>104</v>
      </c>
      <c r="B78" s="31">
        <v>67.069642001312701</v>
      </c>
      <c r="C78" s="31">
        <v>-3.8556238101594098</v>
      </c>
      <c r="D78" s="31">
        <v>0.645846617803573</v>
      </c>
      <c r="E78" s="31">
        <v>-5.9698753603011898</v>
      </c>
      <c r="F78" s="32">
        <v>2.3743490274861499E-9</v>
      </c>
      <c r="G78" s="32">
        <v>1.0947386498799101E-6</v>
      </c>
      <c r="H78" s="33" t="s">
        <v>10</v>
      </c>
      <c r="I78" s="33" t="s">
        <v>10</v>
      </c>
      <c r="J78" s="33" t="s">
        <v>10</v>
      </c>
      <c r="K78" s="30"/>
      <c r="L78" s="31"/>
      <c r="O78" s="33"/>
      <c r="P78" s="33"/>
      <c r="R78" s="35"/>
      <c r="S78" s="35"/>
      <c r="U78" s="35"/>
      <c r="V78" s="35"/>
    </row>
    <row r="79" spans="1:22" x14ac:dyDescent="0.2">
      <c r="A79" s="31" t="s">
        <v>389</v>
      </c>
      <c r="B79" s="31">
        <v>451.770515668472</v>
      </c>
      <c r="C79" s="31">
        <v>-2.3579231035298198</v>
      </c>
      <c r="D79" s="31">
        <v>0.398365750674812</v>
      </c>
      <c r="E79" s="31">
        <v>-5.9189905245007104</v>
      </c>
      <c r="F79" s="32">
        <v>3.2392362504746401E-9</v>
      </c>
      <c r="G79" s="32">
        <v>1.46323742922623E-6</v>
      </c>
      <c r="H79" s="33" t="s">
        <v>10</v>
      </c>
      <c r="I79" s="33" t="s">
        <v>391</v>
      </c>
      <c r="J79" s="33" t="s">
        <v>10</v>
      </c>
      <c r="K79" s="30"/>
      <c r="L79" s="31"/>
      <c r="O79" s="33"/>
      <c r="P79" s="33"/>
      <c r="R79" s="35"/>
      <c r="S79" s="35"/>
      <c r="U79" s="35"/>
      <c r="V79" s="35"/>
    </row>
    <row r="80" spans="1:22" x14ac:dyDescent="0.2">
      <c r="A80" s="31" t="s">
        <v>361</v>
      </c>
      <c r="B80" s="31">
        <v>235.73904269617799</v>
      </c>
      <c r="C80" s="31">
        <v>-2.5946598603913</v>
      </c>
      <c r="D80" s="31">
        <v>0.43882155263195599</v>
      </c>
      <c r="E80" s="31">
        <v>-5.9127903924250997</v>
      </c>
      <c r="F80" s="32">
        <v>3.3636010993513901E-9</v>
      </c>
      <c r="G80" s="32">
        <v>1.50921846642374E-6</v>
      </c>
      <c r="H80" s="33" t="s">
        <v>10</v>
      </c>
      <c r="I80" s="33" t="s">
        <v>131</v>
      </c>
      <c r="J80" s="33" t="s">
        <v>10</v>
      </c>
      <c r="K80" s="30"/>
      <c r="L80" s="31"/>
      <c r="O80" s="33"/>
      <c r="P80" s="33"/>
      <c r="R80" s="35"/>
      <c r="S80" s="35"/>
      <c r="U80" s="35"/>
      <c r="V80" s="35"/>
    </row>
    <row r="81" spans="1:22" x14ac:dyDescent="0.2">
      <c r="A81" s="31" t="s">
        <v>367</v>
      </c>
      <c r="B81" s="31">
        <v>625.58435098748805</v>
      </c>
      <c r="C81" s="31">
        <v>-2.5494024454198398</v>
      </c>
      <c r="D81" s="31">
        <v>0.43219933188496301</v>
      </c>
      <c r="E81" s="31">
        <v>-5.8986728052101798</v>
      </c>
      <c r="F81" s="32">
        <v>3.6643706268115301E-9</v>
      </c>
      <c r="G81" s="32">
        <v>1.6332099883699E-6</v>
      </c>
      <c r="H81" s="30" t="s">
        <v>360</v>
      </c>
      <c r="I81" s="33" t="s">
        <v>10</v>
      </c>
      <c r="J81" s="33" t="s">
        <v>10</v>
      </c>
      <c r="K81" s="30"/>
      <c r="L81" s="31"/>
      <c r="O81" s="33"/>
      <c r="P81" s="33"/>
      <c r="R81" s="35"/>
      <c r="S81" s="35"/>
      <c r="U81" s="35"/>
      <c r="V81" s="35"/>
    </row>
    <row r="82" spans="1:22" x14ac:dyDescent="0.2">
      <c r="A82" s="31" t="s">
        <v>481</v>
      </c>
      <c r="B82" s="31">
        <v>488.685861806601</v>
      </c>
      <c r="C82" s="31">
        <v>-2.1986883148663399</v>
      </c>
      <c r="D82" s="31">
        <v>0.37644285814162898</v>
      </c>
      <c r="E82" s="31">
        <v>-5.8406960507114496</v>
      </c>
      <c r="F82" s="32">
        <v>5.19831707843881E-9</v>
      </c>
      <c r="G82" s="32">
        <v>2.2567109628508201E-6</v>
      </c>
      <c r="H82" s="33" t="s">
        <v>10</v>
      </c>
      <c r="I82" s="33" t="s">
        <v>10</v>
      </c>
      <c r="J82" s="33" t="s">
        <v>10</v>
      </c>
      <c r="K82" s="30"/>
      <c r="L82" s="31"/>
      <c r="O82" s="33"/>
      <c r="P82" s="33"/>
      <c r="R82" s="35"/>
      <c r="S82" s="35"/>
      <c r="U82" s="35"/>
      <c r="V82" s="35"/>
    </row>
    <row r="83" spans="1:22" x14ac:dyDescent="0.2">
      <c r="A83" s="31" t="s">
        <v>308</v>
      </c>
      <c r="B83" s="31">
        <v>125.412282613976</v>
      </c>
      <c r="C83" s="31">
        <v>-2.8279756517164301</v>
      </c>
      <c r="D83" s="31">
        <v>0.48518579178051902</v>
      </c>
      <c r="E83" s="31">
        <v>-5.8286448194173497</v>
      </c>
      <c r="F83" s="32">
        <v>5.5879292161089304E-9</v>
      </c>
      <c r="G83" s="32">
        <v>2.3947500496343801E-6</v>
      </c>
      <c r="H83" s="33" t="s">
        <v>10</v>
      </c>
      <c r="I83" s="33" t="s">
        <v>10</v>
      </c>
      <c r="J83" s="33" t="s">
        <v>10</v>
      </c>
      <c r="K83" s="30"/>
      <c r="L83" s="31"/>
      <c r="O83" s="33"/>
      <c r="P83" s="33"/>
      <c r="R83" s="35"/>
      <c r="S83" s="35"/>
      <c r="U83" s="35"/>
      <c r="V83" s="35"/>
    </row>
    <row r="84" spans="1:22" x14ac:dyDescent="0.2">
      <c r="A84" s="31" t="s">
        <v>171</v>
      </c>
      <c r="B84" s="31">
        <v>67.517476451609696</v>
      </c>
      <c r="C84" s="31">
        <v>-3.4503120456573901</v>
      </c>
      <c r="D84" s="31">
        <v>0.59213631826478896</v>
      </c>
      <c r="E84" s="31">
        <v>-5.8268880648433701</v>
      </c>
      <c r="F84" s="32">
        <v>5.6470460656364299E-9</v>
      </c>
      <c r="G84" s="32">
        <v>2.4046704759116101E-6</v>
      </c>
      <c r="H84" s="33" t="s">
        <v>10</v>
      </c>
      <c r="I84" s="33" t="s">
        <v>10</v>
      </c>
      <c r="J84" s="33" t="s">
        <v>10</v>
      </c>
      <c r="K84" s="30"/>
      <c r="L84" s="31"/>
      <c r="O84" s="33"/>
      <c r="P84" s="33"/>
      <c r="R84" s="35"/>
      <c r="S84" s="35"/>
      <c r="U84" s="35"/>
      <c r="V84" s="35"/>
    </row>
    <row r="85" spans="1:22" x14ac:dyDescent="0.2">
      <c r="A85" s="31" t="s">
        <v>12</v>
      </c>
      <c r="B85" s="31">
        <v>42.653788304632599</v>
      </c>
      <c r="C85" s="31">
        <v>-9.2162559879316799</v>
      </c>
      <c r="D85" s="31">
        <v>1.58878310527797</v>
      </c>
      <c r="E85" s="31">
        <v>-5.8008270337940298</v>
      </c>
      <c r="F85" s="32">
        <v>6.5988640742982201E-9</v>
      </c>
      <c r="G85" s="32">
        <v>2.7746355829384102E-6</v>
      </c>
      <c r="H85" s="33" t="s">
        <v>10</v>
      </c>
      <c r="I85" s="33" t="s">
        <v>10</v>
      </c>
      <c r="J85" s="33" t="s">
        <v>10</v>
      </c>
      <c r="K85" s="30"/>
      <c r="L85" s="31"/>
      <c r="O85" s="33"/>
      <c r="P85" s="33"/>
      <c r="R85" s="35"/>
      <c r="S85" s="35"/>
      <c r="U85" s="35"/>
      <c r="V85" s="35"/>
    </row>
    <row r="86" spans="1:22" x14ac:dyDescent="0.2">
      <c r="A86" s="31" t="s">
        <v>523</v>
      </c>
      <c r="B86" s="31">
        <v>666.59132294030996</v>
      </c>
      <c r="C86" s="31">
        <v>-2.0789343884452101</v>
      </c>
      <c r="D86" s="31">
        <v>0.35928993894491701</v>
      </c>
      <c r="E86" s="31">
        <v>-5.78623045930585</v>
      </c>
      <c r="F86" s="32">
        <v>7.1983441676815802E-9</v>
      </c>
      <c r="G86" s="32">
        <v>2.9952164398641601E-6</v>
      </c>
      <c r="H86" s="30" t="s">
        <v>5229</v>
      </c>
      <c r="I86" s="33" t="s">
        <v>525</v>
      </c>
      <c r="J86" s="33" t="s">
        <v>10</v>
      </c>
      <c r="K86" s="30"/>
      <c r="L86" s="31"/>
      <c r="O86" s="33"/>
      <c r="P86" s="33"/>
      <c r="R86" s="35"/>
      <c r="S86" s="35"/>
      <c r="U86" s="35"/>
      <c r="V86" s="35"/>
    </row>
    <row r="87" spans="1:22" x14ac:dyDescent="0.2">
      <c r="A87" s="31" t="s">
        <v>44</v>
      </c>
      <c r="B87" s="31">
        <v>398.11032180842898</v>
      </c>
      <c r="C87" s="31">
        <v>-5.5703776747299498</v>
      </c>
      <c r="D87" s="31">
        <v>0.96519993987102704</v>
      </c>
      <c r="E87" s="31">
        <v>-5.7712163507534804</v>
      </c>
      <c r="F87" s="32">
        <v>7.8701349509029896E-9</v>
      </c>
      <c r="G87" s="32">
        <v>3.2478880996457999E-6</v>
      </c>
      <c r="H87" s="30" t="s">
        <v>45</v>
      </c>
      <c r="I87" s="30" t="s">
        <v>46</v>
      </c>
      <c r="J87" s="33" t="s">
        <v>10</v>
      </c>
      <c r="L87" s="31"/>
      <c r="O87" s="33"/>
      <c r="P87" s="33"/>
      <c r="R87" s="35"/>
      <c r="S87" s="35"/>
      <c r="U87" s="35"/>
      <c r="V87" s="35"/>
    </row>
    <row r="88" spans="1:22" x14ac:dyDescent="0.2">
      <c r="A88" s="31" t="s">
        <v>258</v>
      </c>
      <c r="B88" s="31">
        <v>139.06324119177799</v>
      </c>
      <c r="C88" s="31">
        <v>-3.1534849433177898</v>
      </c>
      <c r="D88" s="31">
        <v>0.546752127555027</v>
      </c>
      <c r="E88" s="31">
        <v>-5.7676683535180402</v>
      </c>
      <c r="F88" s="32">
        <v>8.0375778139302195E-9</v>
      </c>
      <c r="G88" s="32">
        <v>3.29663966104482E-6</v>
      </c>
      <c r="H88" s="33" t="s">
        <v>10</v>
      </c>
      <c r="I88" s="33" t="s">
        <v>260</v>
      </c>
      <c r="J88" s="33" t="s">
        <v>10</v>
      </c>
      <c r="K88" s="30"/>
      <c r="L88" s="31"/>
      <c r="O88" s="33"/>
      <c r="P88" s="33"/>
      <c r="R88" s="35"/>
      <c r="S88" s="35"/>
      <c r="U88" s="35"/>
      <c r="V88" s="35"/>
    </row>
    <row r="89" spans="1:22" x14ac:dyDescent="0.2">
      <c r="A89" s="31" t="s">
        <v>13</v>
      </c>
      <c r="B89" s="31">
        <v>37.227241684555601</v>
      </c>
      <c r="C89" s="31">
        <v>-9.0821118022432508</v>
      </c>
      <c r="D89" s="31">
        <v>1.5764716122436599</v>
      </c>
      <c r="E89" s="31">
        <v>-5.7610373264618699</v>
      </c>
      <c r="F89" s="32">
        <v>8.3598548057485497E-9</v>
      </c>
      <c r="G89" s="32">
        <v>3.3872611699292102E-6</v>
      </c>
      <c r="H89" s="33" t="s">
        <v>10</v>
      </c>
      <c r="I89" s="33" t="s">
        <v>10</v>
      </c>
      <c r="J89" s="33" t="s">
        <v>10</v>
      </c>
      <c r="K89" s="30"/>
      <c r="L89" s="31"/>
      <c r="O89" s="33"/>
      <c r="P89" s="33"/>
      <c r="R89" s="35"/>
      <c r="S89" s="35"/>
      <c r="U89" s="35"/>
      <c r="V89" s="35"/>
    </row>
    <row r="90" spans="1:22" x14ac:dyDescent="0.2">
      <c r="A90" s="31" t="s">
        <v>193</v>
      </c>
      <c r="B90" s="31">
        <v>72.055498041325706</v>
      </c>
      <c r="C90" s="31">
        <v>-3.31715435290613</v>
      </c>
      <c r="D90" s="31">
        <v>0.57976895012799101</v>
      </c>
      <c r="E90" s="31">
        <v>-5.7215108745886196</v>
      </c>
      <c r="F90" s="32">
        <v>1.05580898895456E-8</v>
      </c>
      <c r="G90" s="32">
        <v>4.1521241150915998E-6</v>
      </c>
      <c r="H90" s="33" t="s">
        <v>84</v>
      </c>
      <c r="I90" s="33" t="s">
        <v>197</v>
      </c>
      <c r="J90" s="33" t="s">
        <v>10</v>
      </c>
      <c r="K90" s="30"/>
      <c r="L90" s="31"/>
      <c r="O90" s="33"/>
      <c r="P90" s="33"/>
      <c r="R90" s="35"/>
      <c r="S90" s="35"/>
      <c r="U90" s="35"/>
      <c r="V90" s="35"/>
    </row>
    <row r="91" spans="1:22" x14ac:dyDescent="0.2">
      <c r="A91" s="31" t="s">
        <v>376</v>
      </c>
      <c r="B91" s="31">
        <v>415.33043858901198</v>
      </c>
      <c r="C91" s="31">
        <v>-2.4888041013678999</v>
      </c>
      <c r="D91" s="31">
        <v>0.43532769830489898</v>
      </c>
      <c r="E91" s="31">
        <v>-5.7170818926958598</v>
      </c>
      <c r="F91" s="32">
        <v>1.0836889861010701E-8</v>
      </c>
      <c r="G91" s="32">
        <v>4.2368436939056898E-6</v>
      </c>
      <c r="H91" s="33" t="s">
        <v>10</v>
      </c>
      <c r="I91" s="33" t="s">
        <v>10</v>
      </c>
      <c r="J91" s="33" t="s">
        <v>10</v>
      </c>
      <c r="K91" s="30"/>
      <c r="L91" s="31"/>
      <c r="O91" s="33"/>
      <c r="P91" s="33"/>
      <c r="R91" s="35"/>
      <c r="S91" s="35"/>
      <c r="U91" s="35"/>
      <c r="V91" s="35"/>
    </row>
    <row r="92" spans="1:22" x14ac:dyDescent="0.2">
      <c r="A92" s="31" t="s">
        <v>15</v>
      </c>
      <c r="B92" s="31">
        <v>35.2457653879272</v>
      </c>
      <c r="C92" s="31">
        <v>-8.9771765353829593</v>
      </c>
      <c r="D92" s="31">
        <v>1.5709409104707399</v>
      </c>
      <c r="E92" s="31">
        <v>-5.7145220902630198</v>
      </c>
      <c r="F92" s="32">
        <v>1.1001275809750801E-8</v>
      </c>
      <c r="G92" s="32">
        <v>4.2635012340841298E-6</v>
      </c>
      <c r="H92" s="30" t="s">
        <v>16</v>
      </c>
      <c r="I92" s="33" t="s">
        <v>10</v>
      </c>
      <c r="J92" s="33" t="s">
        <v>10</v>
      </c>
      <c r="K92" s="30"/>
      <c r="L92" s="31"/>
      <c r="O92" s="33"/>
      <c r="P92" s="33"/>
      <c r="R92" s="35"/>
      <c r="S92" s="35"/>
      <c r="U92" s="35"/>
      <c r="V92" s="35"/>
    </row>
    <row r="93" spans="1:22" x14ac:dyDescent="0.2">
      <c r="A93" s="31" t="s">
        <v>337</v>
      </c>
      <c r="B93" s="31">
        <v>265.000979292772</v>
      </c>
      <c r="C93" s="31">
        <v>-2.7008225291239598</v>
      </c>
      <c r="D93" s="31">
        <v>0.47584706133620602</v>
      </c>
      <c r="E93" s="31">
        <v>-5.6758205494427001</v>
      </c>
      <c r="F93" s="32">
        <v>1.38025414688715E-8</v>
      </c>
      <c r="G93" s="32">
        <v>5.2729651994366097E-6</v>
      </c>
      <c r="H93" s="30" t="s">
        <v>339</v>
      </c>
      <c r="I93" s="33" t="s">
        <v>10</v>
      </c>
      <c r="J93" s="33" t="s">
        <v>10</v>
      </c>
      <c r="K93" s="30"/>
      <c r="L93" s="31"/>
      <c r="O93" s="33"/>
      <c r="P93" s="33"/>
      <c r="R93" s="35"/>
      <c r="S93" s="35"/>
      <c r="U93" s="35"/>
      <c r="V93" s="35"/>
    </row>
    <row r="94" spans="1:22" x14ac:dyDescent="0.2">
      <c r="A94" s="31" t="s">
        <v>517</v>
      </c>
      <c r="B94" s="31">
        <v>498.667046970672</v>
      </c>
      <c r="C94" s="31">
        <v>-2.1005360296228699</v>
      </c>
      <c r="D94" s="31">
        <v>0.370405653022366</v>
      </c>
      <c r="E94" s="31">
        <v>-5.6709070514537601</v>
      </c>
      <c r="F94" s="32">
        <v>1.42043451281919E-8</v>
      </c>
      <c r="G94" s="32">
        <v>5.3651496810467103E-6</v>
      </c>
      <c r="H94" s="33" t="s">
        <v>3100</v>
      </c>
      <c r="I94" s="33" t="s">
        <v>86</v>
      </c>
      <c r="J94" s="33" t="s">
        <v>10</v>
      </c>
      <c r="K94" s="30"/>
      <c r="L94" s="31"/>
      <c r="O94" s="33"/>
      <c r="P94" s="33"/>
      <c r="R94" s="35"/>
      <c r="S94" s="35"/>
      <c r="U94" s="35"/>
      <c r="V94" s="35"/>
    </row>
    <row r="95" spans="1:22" x14ac:dyDescent="0.2">
      <c r="A95" s="31" t="s">
        <v>101</v>
      </c>
      <c r="B95" s="31">
        <v>44.965203036698902</v>
      </c>
      <c r="C95" s="31">
        <v>-3.8672419633220199</v>
      </c>
      <c r="D95" s="31">
        <v>0.68352256702379099</v>
      </c>
      <c r="E95" s="31">
        <v>-5.65781168010421</v>
      </c>
      <c r="F95" s="32">
        <v>1.5331522526560101E-8</v>
      </c>
      <c r="G95" s="32">
        <v>5.6943829917398603E-6</v>
      </c>
      <c r="H95" s="30" t="s">
        <v>73</v>
      </c>
      <c r="I95" s="33" t="s">
        <v>74</v>
      </c>
      <c r="J95" s="33" t="s">
        <v>10</v>
      </c>
      <c r="K95" s="30"/>
      <c r="L95" s="31"/>
      <c r="O95" s="33"/>
      <c r="P95" s="33"/>
      <c r="R95" s="35"/>
      <c r="S95" s="35"/>
      <c r="U95" s="35"/>
      <c r="V95" s="35"/>
    </row>
    <row r="96" spans="1:22" x14ac:dyDescent="0.2">
      <c r="A96" s="31" t="s">
        <v>277</v>
      </c>
      <c r="B96" s="31">
        <v>77.359495411776706</v>
      </c>
      <c r="C96" s="31">
        <v>-3.0755783230134801</v>
      </c>
      <c r="D96" s="31">
        <v>0.54448545042038499</v>
      </c>
      <c r="E96" s="31">
        <v>-5.6485959737562998</v>
      </c>
      <c r="F96" s="32">
        <v>1.6176353453897099E-8</v>
      </c>
      <c r="G96" s="32">
        <v>5.9749729843109896E-6</v>
      </c>
      <c r="H96" s="33" t="s">
        <v>174</v>
      </c>
      <c r="I96" s="33" t="s">
        <v>284</v>
      </c>
      <c r="J96" s="33" t="s">
        <v>3069</v>
      </c>
      <c r="K96" s="30"/>
      <c r="L96" s="31"/>
      <c r="O96" s="33"/>
      <c r="P96" s="33"/>
      <c r="R96" s="35"/>
      <c r="S96" s="35"/>
      <c r="U96" s="35"/>
      <c r="V96" s="35"/>
    </row>
    <row r="97" spans="1:22" x14ac:dyDescent="0.2">
      <c r="A97" s="31" t="s">
        <v>334</v>
      </c>
      <c r="B97" s="31">
        <v>80.160971944085702</v>
      </c>
      <c r="C97" s="31">
        <v>-2.7618423322791501</v>
      </c>
      <c r="D97" s="31">
        <v>0.49043009151305</v>
      </c>
      <c r="E97" s="31">
        <v>-5.63146996906013</v>
      </c>
      <c r="F97" s="32">
        <v>1.7868009209704401E-8</v>
      </c>
      <c r="G97" s="32">
        <v>6.4340987543865302E-6</v>
      </c>
      <c r="H97" s="33" t="s">
        <v>3158</v>
      </c>
      <c r="I97" s="33" t="s">
        <v>336</v>
      </c>
      <c r="J97" s="33" t="s">
        <v>3048</v>
      </c>
      <c r="K97" s="30"/>
      <c r="L97" s="31"/>
      <c r="O97" s="33"/>
      <c r="P97" s="33"/>
      <c r="R97" s="35"/>
      <c r="S97" s="35"/>
      <c r="U97" s="35"/>
      <c r="V97" s="35"/>
    </row>
    <row r="98" spans="1:22" x14ac:dyDescent="0.2">
      <c r="A98" s="31" t="s">
        <v>505</v>
      </c>
      <c r="B98" s="31">
        <v>252.54529202931499</v>
      </c>
      <c r="C98" s="31">
        <v>-2.1232488106437799</v>
      </c>
      <c r="D98" s="31">
        <v>0.37917335693147602</v>
      </c>
      <c r="E98" s="31">
        <v>-5.5996782786283301</v>
      </c>
      <c r="F98" s="32">
        <v>2.1474997996497001E-8</v>
      </c>
      <c r="G98" s="32">
        <v>7.4440865224458498E-6</v>
      </c>
      <c r="H98" s="33" t="s">
        <v>508</v>
      </c>
      <c r="I98" s="33" t="s">
        <v>509</v>
      </c>
      <c r="J98" s="33" t="s">
        <v>3083</v>
      </c>
      <c r="K98" s="30"/>
      <c r="L98" s="31"/>
      <c r="O98" s="33"/>
      <c r="P98" s="33"/>
      <c r="R98" s="35"/>
      <c r="S98" s="35"/>
      <c r="U98" s="35"/>
      <c r="V98" s="35"/>
    </row>
    <row r="99" spans="1:22" x14ac:dyDescent="0.2">
      <c r="A99" s="31" t="s">
        <v>489</v>
      </c>
      <c r="B99" s="31">
        <v>484.81241362091203</v>
      </c>
      <c r="C99" s="31">
        <v>-2.1730474756050202</v>
      </c>
      <c r="D99" s="31">
        <v>0.38839660031178702</v>
      </c>
      <c r="E99" s="31">
        <v>-5.5949188892503097</v>
      </c>
      <c r="F99" s="32">
        <v>2.2072493506577801E-8</v>
      </c>
      <c r="G99" s="32">
        <v>7.5674695045243899E-6</v>
      </c>
      <c r="H99" s="33" t="s">
        <v>3158</v>
      </c>
      <c r="I99" s="33" t="s">
        <v>490</v>
      </c>
      <c r="J99" s="33" t="s">
        <v>3048</v>
      </c>
      <c r="K99" s="30"/>
      <c r="L99" s="31"/>
      <c r="O99" s="33"/>
      <c r="P99" s="33"/>
      <c r="R99" s="35"/>
      <c r="S99" s="35"/>
      <c r="U99" s="35"/>
      <c r="V99" s="35"/>
    </row>
    <row r="100" spans="1:22" x14ac:dyDescent="0.2">
      <c r="A100" s="31" t="s">
        <v>173</v>
      </c>
      <c r="B100" s="31">
        <v>52.067420537719599</v>
      </c>
      <c r="C100" s="31">
        <v>-3.4181381703701499</v>
      </c>
      <c r="D100" s="31">
        <v>0.61204893402859895</v>
      </c>
      <c r="E100" s="31">
        <v>-5.5847465461159302</v>
      </c>
      <c r="F100" s="32">
        <v>2.34041282034964E-8</v>
      </c>
      <c r="G100" s="32">
        <v>7.9425532540342803E-6</v>
      </c>
      <c r="H100" s="33" t="s">
        <v>174</v>
      </c>
      <c r="I100" s="33" t="s">
        <v>3171</v>
      </c>
      <c r="J100" s="33" t="s">
        <v>10</v>
      </c>
      <c r="K100" s="30"/>
      <c r="L100" s="31"/>
      <c r="O100" s="33"/>
      <c r="P100" s="33"/>
      <c r="R100" s="35"/>
      <c r="S100" s="35"/>
      <c r="U100" s="35"/>
      <c r="V100" s="35"/>
    </row>
    <row r="101" spans="1:22" x14ac:dyDescent="0.2">
      <c r="A101" s="31" t="s">
        <v>217</v>
      </c>
      <c r="B101" s="31">
        <v>57.038263573455701</v>
      </c>
      <c r="C101" s="31">
        <v>-3.2808062165941099</v>
      </c>
      <c r="D101" s="31">
        <v>0.59033338869296204</v>
      </c>
      <c r="E101" s="31">
        <v>-5.5575481235408901</v>
      </c>
      <c r="F101" s="32">
        <v>2.7359056685992901E-8</v>
      </c>
      <c r="G101" s="32">
        <v>9.1454486737102892E-6</v>
      </c>
      <c r="H101" s="33" t="s">
        <v>10</v>
      </c>
      <c r="I101" s="33" t="s">
        <v>10</v>
      </c>
      <c r="J101" s="33" t="s">
        <v>10</v>
      </c>
      <c r="K101" s="30"/>
      <c r="L101" s="31"/>
      <c r="O101" s="33"/>
      <c r="P101" s="33"/>
      <c r="R101" s="35"/>
      <c r="S101" s="35"/>
      <c r="U101" s="35"/>
      <c r="V101" s="35"/>
    </row>
    <row r="102" spans="1:22" x14ac:dyDescent="0.2">
      <c r="A102" s="31" t="s">
        <v>532</v>
      </c>
      <c r="B102" s="31">
        <v>317.58719287151501</v>
      </c>
      <c r="C102" s="31">
        <v>-2.06639273993131</v>
      </c>
      <c r="D102" s="31">
        <v>0.375486154076691</v>
      </c>
      <c r="E102" s="31">
        <v>-5.5032461716531396</v>
      </c>
      <c r="F102" s="32">
        <v>3.7286121192663E-8</v>
      </c>
      <c r="G102" s="32">
        <v>1.21598225967585E-5</v>
      </c>
      <c r="H102" s="33" t="s">
        <v>10</v>
      </c>
      <c r="I102" s="33" t="s">
        <v>391</v>
      </c>
      <c r="J102" s="33" t="s">
        <v>10</v>
      </c>
      <c r="K102" s="30"/>
      <c r="L102" s="31"/>
      <c r="O102" s="33"/>
      <c r="P102" s="33"/>
      <c r="R102" s="35"/>
      <c r="S102" s="35"/>
      <c r="U102" s="35"/>
      <c r="V102" s="35"/>
    </row>
    <row r="103" spans="1:22" x14ac:dyDescent="0.2">
      <c r="A103" s="31" t="s">
        <v>182</v>
      </c>
      <c r="B103" s="31">
        <v>59.773701309579401</v>
      </c>
      <c r="C103" s="31">
        <v>-3.35585497826977</v>
      </c>
      <c r="D103" s="31">
        <v>0.61032299106120103</v>
      </c>
      <c r="E103" s="31">
        <v>-5.4984901886700399</v>
      </c>
      <c r="F103" s="32">
        <v>3.83056849170211E-8</v>
      </c>
      <c r="G103" s="32">
        <v>1.2431682354987601E-5</v>
      </c>
      <c r="H103" s="33" t="s">
        <v>10</v>
      </c>
      <c r="I103" s="33" t="s">
        <v>10</v>
      </c>
      <c r="J103" s="33" t="s">
        <v>10</v>
      </c>
      <c r="K103" s="30"/>
      <c r="L103" s="31"/>
      <c r="O103" s="33"/>
      <c r="P103" s="33"/>
      <c r="R103" s="35"/>
      <c r="S103" s="35"/>
      <c r="U103" s="35"/>
      <c r="V103" s="35"/>
    </row>
    <row r="104" spans="1:22" x14ac:dyDescent="0.2">
      <c r="A104" s="31" t="s">
        <v>151</v>
      </c>
      <c r="B104" s="31">
        <v>46.819758208712898</v>
      </c>
      <c r="C104" s="31">
        <v>-3.5419738478671201</v>
      </c>
      <c r="D104" s="31">
        <v>0.64498607876201197</v>
      </c>
      <c r="E104" s="31">
        <v>-5.4915508481447999</v>
      </c>
      <c r="F104" s="32">
        <v>3.9841957802607899E-8</v>
      </c>
      <c r="G104" s="32">
        <v>1.28677975308857E-5</v>
      </c>
      <c r="H104" s="30" t="s">
        <v>153</v>
      </c>
      <c r="I104" s="33" t="s">
        <v>154</v>
      </c>
      <c r="J104" s="33" t="s">
        <v>10</v>
      </c>
      <c r="K104" s="30"/>
      <c r="L104" s="31"/>
      <c r="O104" s="33"/>
      <c r="P104" s="33"/>
      <c r="R104" s="35"/>
      <c r="S104" s="35"/>
      <c r="U104" s="35"/>
      <c r="V104" s="35"/>
    </row>
    <row r="105" spans="1:22" x14ac:dyDescent="0.2">
      <c r="A105" s="31" t="s">
        <v>58</v>
      </c>
      <c r="B105" s="31">
        <v>40.218776803154</v>
      </c>
      <c r="C105" s="31">
        <v>-5.0352306097077104</v>
      </c>
      <c r="D105" s="31">
        <v>0.91827429029736196</v>
      </c>
      <c r="E105" s="31">
        <v>-5.4833622839175504</v>
      </c>
      <c r="F105" s="32">
        <v>4.17317168474356E-8</v>
      </c>
      <c r="G105" s="32">
        <v>1.34133362011313E-5</v>
      </c>
      <c r="H105" s="33" t="s">
        <v>10</v>
      </c>
      <c r="I105" s="33" t="s">
        <v>10</v>
      </c>
      <c r="J105" s="33" t="s">
        <v>10</v>
      </c>
      <c r="K105" s="30"/>
      <c r="L105" s="31"/>
      <c r="O105" s="33"/>
      <c r="P105" s="33"/>
      <c r="R105" s="35"/>
      <c r="S105" s="35"/>
      <c r="U105" s="35"/>
      <c r="V105" s="35"/>
    </row>
    <row r="106" spans="1:22" x14ac:dyDescent="0.2">
      <c r="A106" s="31" t="s">
        <v>406</v>
      </c>
      <c r="B106" s="31">
        <v>184.266873358325</v>
      </c>
      <c r="C106" s="31">
        <v>-2.3367880696676702</v>
      </c>
      <c r="D106" s="31">
        <v>0.42652235993322102</v>
      </c>
      <c r="E106" s="31">
        <v>-5.4787000382196496</v>
      </c>
      <c r="F106" s="32">
        <v>4.2846200777835401E-8</v>
      </c>
      <c r="G106" s="32">
        <v>1.3705659105273599E-5</v>
      </c>
      <c r="H106" s="30" t="s">
        <v>263</v>
      </c>
      <c r="I106" s="33" t="s">
        <v>265</v>
      </c>
      <c r="J106" s="33" t="s">
        <v>10</v>
      </c>
      <c r="K106" s="30"/>
      <c r="L106" s="31"/>
      <c r="O106" s="33"/>
      <c r="P106" s="33"/>
      <c r="R106" s="35"/>
      <c r="S106" s="35"/>
      <c r="U106" s="35"/>
      <c r="V106" s="35"/>
    </row>
    <row r="107" spans="1:22" x14ac:dyDescent="0.2">
      <c r="A107" s="50" t="s">
        <v>500</v>
      </c>
      <c r="B107" s="50">
        <v>194.664092317918</v>
      </c>
      <c r="C107" s="50">
        <v>-2.1244469350288302</v>
      </c>
      <c r="D107" s="50">
        <v>0.38925945892436697</v>
      </c>
      <c r="E107" s="50">
        <v>-5.4576629708607998</v>
      </c>
      <c r="F107" s="51">
        <v>4.8244228119595902E-8</v>
      </c>
      <c r="G107" s="51">
        <v>1.52139993912056E-5</v>
      </c>
      <c r="H107" s="49" t="s">
        <v>504</v>
      </c>
      <c r="I107" s="50" t="s">
        <v>10</v>
      </c>
      <c r="J107" s="50" t="s">
        <v>10</v>
      </c>
      <c r="K107" s="30"/>
      <c r="L107" s="31"/>
      <c r="O107" s="33"/>
      <c r="P107" s="33"/>
      <c r="R107" s="35"/>
      <c r="S107" s="35"/>
      <c r="U107" s="35"/>
      <c r="V107" s="35"/>
    </row>
    <row r="108" spans="1:22" x14ac:dyDescent="0.2">
      <c r="A108" s="31" t="s">
        <v>71</v>
      </c>
      <c r="B108" s="31">
        <v>38.490159905601097</v>
      </c>
      <c r="C108" s="31">
        <v>-4.4386757759703004</v>
      </c>
      <c r="D108" s="31">
        <v>0.81375496874057096</v>
      </c>
      <c r="E108" s="31">
        <v>-5.4545605820876704</v>
      </c>
      <c r="F108" s="32">
        <v>4.9094095700108799E-8</v>
      </c>
      <c r="G108" s="32">
        <v>1.54093228546046E-5</v>
      </c>
      <c r="H108" s="30" t="s">
        <v>73</v>
      </c>
      <c r="I108" s="33" t="s">
        <v>74</v>
      </c>
      <c r="J108" s="33" t="s">
        <v>10</v>
      </c>
      <c r="K108" s="30"/>
      <c r="L108" s="31"/>
      <c r="O108" s="33"/>
      <c r="P108" s="33"/>
      <c r="R108" s="35"/>
      <c r="S108" s="35"/>
      <c r="U108" s="35"/>
      <c r="V108" s="35"/>
    </row>
    <row r="109" spans="1:22" x14ac:dyDescent="0.2">
      <c r="A109" s="31" t="s">
        <v>297</v>
      </c>
      <c r="B109" s="31">
        <v>77.518113420606596</v>
      </c>
      <c r="C109" s="31">
        <v>-3.00004942804483</v>
      </c>
      <c r="D109" s="31">
        <v>0.55120061646052898</v>
      </c>
      <c r="E109" s="31">
        <v>-5.4427541233703502</v>
      </c>
      <c r="F109" s="32">
        <v>5.24630388008206E-8</v>
      </c>
      <c r="G109" s="32">
        <v>1.6238039162170701E-5</v>
      </c>
      <c r="H109" s="33" t="s">
        <v>299</v>
      </c>
      <c r="I109" s="33" t="s">
        <v>300</v>
      </c>
      <c r="J109" s="33" t="s">
        <v>3154</v>
      </c>
      <c r="K109" s="30"/>
      <c r="L109" s="31"/>
      <c r="O109" s="33"/>
      <c r="P109" s="33"/>
      <c r="R109" s="35"/>
      <c r="S109" s="35"/>
      <c r="U109" s="35"/>
      <c r="V109" s="35"/>
    </row>
    <row r="110" spans="1:22" x14ac:dyDescent="0.2">
      <c r="A110" s="31" t="s">
        <v>159</v>
      </c>
      <c r="B110" s="31">
        <v>45.759419799548297</v>
      </c>
      <c r="C110" s="31">
        <v>-3.4947103178822898</v>
      </c>
      <c r="D110" s="31">
        <v>0.64411626239444197</v>
      </c>
      <c r="E110" s="31">
        <v>-5.4255893258944203</v>
      </c>
      <c r="F110" s="32">
        <v>5.7763632758600499E-8</v>
      </c>
      <c r="G110" s="32">
        <v>1.74741523442364E-5</v>
      </c>
      <c r="H110" s="33" t="s">
        <v>10</v>
      </c>
      <c r="I110" s="33" t="s">
        <v>10</v>
      </c>
      <c r="J110" s="33" t="s">
        <v>10</v>
      </c>
      <c r="K110" s="30"/>
      <c r="L110" s="31"/>
      <c r="O110" s="33"/>
      <c r="P110" s="33"/>
      <c r="R110" s="35"/>
      <c r="S110" s="35"/>
      <c r="U110" s="35"/>
      <c r="V110" s="35"/>
    </row>
    <row r="111" spans="1:22" x14ac:dyDescent="0.2">
      <c r="A111" s="31" t="s">
        <v>383</v>
      </c>
      <c r="B111" s="31">
        <v>626.57381674286398</v>
      </c>
      <c r="C111" s="31">
        <v>-2.4514731837925701</v>
      </c>
      <c r="D111" s="31">
        <v>0.45231633381322101</v>
      </c>
      <c r="E111" s="31">
        <v>-5.4198201579978198</v>
      </c>
      <c r="F111" s="32">
        <v>5.9659019868022604E-8</v>
      </c>
      <c r="G111" s="32">
        <v>1.78856671447383E-5</v>
      </c>
      <c r="H111" s="33" t="s">
        <v>10</v>
      </c>
      <c r="I111" s="33" t="s">
        <v>10</v>
      </c>
      <c r="J111" s="33" t="s">
        <v>10</v>
      </c>
      <c r="K111" s="30"/>
      <c r="L111" s="31"/>
      <c r="O111" s="33"/>
      <c r="P111" s="33"/>
      <c r="R111" s="35"/>
      <c r="S111" s="35"/>
      <c r="U111" s="35"/>
      <c r="V111" s="35"/>
    </row>
    <row r="112" spans="1:22" x14ac:dyDescent="0.2">
      <c r="A112" s="31" t="s">
        <v>497</v>
      </c>
      <c r="B112" s="31">
        <v>151.225820255657</v>
      </c>
      <c r="C112" s="31">
        <v>-2.1541810763059801</v>
      </c>
      <c r="D112" s="31">
        <v>0.39802067735587299</v>
      </c>
      <c r="E112" s="31">
        <v>-5.4122340844616597</v>
      </c>
      <c r="F112" s="32">
        <v>6.2243246767318203E-8</v>
      </c>
      <c r="G112" s="32">
        <v>1.8494543389462501E-5</v>
      </c>
      <c r="H112" s="33" t="s">
        <v>174</v>
      </c>
      <c r="I112" s="33" t="s">
        <v>3171</v>
      </c>
      <c r="J112" s="33" t="s">
        <v>10</v>
      </c>
      <c r="K112" s="30"/>
      <c r="L112" s="31"/>
      <c r="O112" s="33"/>
      <c r="P112" s="33"/>
      <c r="R112" s="35"/>
      <c r="S112" s="35"/>
      <c r="U112" s="35"/>
      <c r="V112" s="35"/>
    </row>
    <row r="113" spans="1:22" x14ac:dyDescent="0.2">
      <c r="A113" s="31" t="s">
        <v>21</v>
      </c>
      <c r="B113" s="31">
        <v>27.676422916970399</v>
      </c>
      <c r="C113" s="31">
        <v>-8.6186916601105796</v>
      </c>
      <c r="D113" s="31">
        <v>1.5985006297311399</v>
      </c>
      <c r="E113" s="31">
        <v>-5.3917349169641602</v>
      </c>
      <c r="F113" s="32">
        <v>6.97806564318354E-8</v>
      </c>
      <c r="G113" s="32">
        <v>2.0412063693681199E-5</v>
      </c>
      <c r="H113" s="30" t="s">
        <v>25</v>
      </c>
      <c r="I113" s="33" t="s">
        <v>10</v>
      </c>
      <c r="J113" s="33" t="s">
        <v>10</v>
      </c>
      <c r="K113" s="30"/>
      <c r="L113" s="31"/>
      <c r="O113" s="33"/>
      <c r="P113" s="33"/>
      <c r="R113" s="35"/>
      <c r="S113" s="35"/>
      <c r="U113" s="35"/>
      <c r="V113" s="35"/>
    </row>
    <row r="114" spans="1:22" x14ac:dyDescent="0.2">
      <c r="A114" s="31" t="s">
        <v>413</v>
      </c>
      <c r="B114" s="31">
        <v>157.98583440240401</v>
      </c>
      <c r="C114" s="31">
        <v>-2.3263886704316699</v>
      </c>
      <c r="D114" s="31">
        <v>0.43150137244053399</v>
      </c>
      <c r="E114" s="31">
        <v>-5.3913818565021501</v>
      </c>
      <c r="F114" s="32">
        <v>6.9917920661924794E-8</v>
      </c>
      <c r="G114" s="32">
        <v>2.0412063693681199E-5</v>
      </c>
      <c r="H114" s="33" t="s">
        <v>10</v>
      </c>
      <c r="I114" s="33" t="s">
        <v>10</v>
      </c>
      <c r="J114" s="33" t="s">
        <v>10</v>
      </c>
      <c r="K114" s="30"/>
      <c r="L114" s="31"/>
      <c r="O114" s="33"/>
      <c r="P114" s="33"/>
      <c r="R114" s="35"/>
      <c r="S114" s="35"/>
      <c r="U114" s="35"/>
      <c r="V114" s="35"/>
    </row>
    <row r="115" spans="1:22" x14ac:dyDescent="0.2">
      <c r="A115" s="31" t="s">
        <v>493</v>
      </c>
      <c r="B115" s="31">
        <v>706.06265898247</v>
      </c>
      <c r="C115" s="31">
        <v>-2.1653747947767799</v>
      </c>
      <c r="D115" s="31">
        <v>0.40371691952588101</v>
      </c>
      <c r="E115" s="31">
        <v>-5.3635968423611402</v>
      </c>
      <c r="F115" s="32">
        <v>8.1580880456736996E-8</v>
      </c>
      <c r="G115" s="32">
        <v>2.3013036974409901E-5</v>
      </c>
      <c r="H115" s="33" t="s">
        <v>10</v>
      </c>
      <c r="I115" s="33" t="s">
        <v>391</v>
      </c>
      <c r="J115" s="33" t="s">
        <v>10</v>
      </c>
      <c r="K115" s="30"/>
      <c r="L115" s="31"/>
      <c r="O115" s="33"/>
      <c r="P115" s="33"/>
      <c r="R115" s="35"/>
      <c r="S115" s="35"/>
      <c r="U115" s="35"/>
      <c r="V115" s="35"/>
    </row>
    <row r="116" spans="1:22" x14ac:dyDescent="0.2">
      <c r="A116" s="31" t="s">
        <v>146</v>
      </c>
      <c r="B116" s="31">
        <v>53.648586798252403</v>
      </c>
      <c r="C116" s="31">
        <v>-3.56513834902858</v>
      </c>
      <c r="D116" s="31">
        <v>0.66519594047903596</v>
      </c>
      <c r="E116" s="31">
        <v>-5.3595311277173101</v>
      </c>
      <c r="F116" s="32">
        <v>8.3438217313781002E-8</v>
      </c>
      <c r="G116" s="32">
        <v>2.33400084456604E-5</v>
      </c>
      <c r="H116" s="33" t="s">
        <v>3088</v>
      </c>
      <c r="I116" s="33" t="s">
        <v>3115</v>
      </c>
      <c r="J116" s="33" t="s">
        <v>10</v>
      </c>
      <c r="K116" s="30"/>
      <c r="L116" s="31"/>
      <c r="O116" s="33"/>
      <c r="P116" s="33"/>
      <c r="R116" s="35"/>
      <c r="S116" s="35"/>
      <c r="U116" s="35"/>
      <c r="V116" s="35"/>
    </row>
    <row r="117" spans="1:22" x14ac:dyDescent="0.2">
      <c r="A117" s="31" t="s">
        <v>478</v>
      </c>
      <c r="B117" s="31">
        <v>1189.57809125728</v>
      </c>
      <c r="C117" s="31">
        <v>-2.2099254413001899</v>
      </c>
      <c r="D117" s="31">
        <v>0.41466386550492901</v>
      </c>
      <c r="E117" s="31">
        <v>-5.3294381911218798</v>
      </c>
      <c r="F117" s="32">
        <v>9.8517040617911006E-8</v>
      </c>
      <c r="G117" s="32">
        <v>2.71043487675327E-5</v>
      </c>
      <c r="H117" s="33" t="s">
        <v>10</v>
      </c>
      <c r="I117" s="33" t="s">
        <v>10</v>
      </c>
      <c r="J117" s="33" t="s">
        <v>10</v>
      </c>
      <c r="K117" s="30"/>
      <c r="L117" s="31"/>
      <c r="O117" s="33"/>
      <c r="P117" s="33"/>
      <c r="R117" s="35"/>
      <c r="S117" s="35"/>
      <c r="U117" s="35"/>
      <c r="V117" s="35"/>
    </row>
    <row r="118" spans="1:22" x14ac:dyDescent="0.2">
      <c r="A118" s="31" t="s">
        <v>231</v>
      </c>
      <c r="B118" s="31">
        <v>53.349241209576597</v>
      </c>
      <c r="C118" s="31">
        <v>-3.2201865574683199</v>
      </c>
      <c r="D118" s="31">
        <v>0.60443987610720995</v>
      </c>
      <c r="E118" s="31">
        <v>-5.32755479040756</v>
      </c>
      <c r="F118" s="32">
        <v>9.9543756106802195E-8</v>
      </c>
      <c r="G118" s="32">
        <v>2.7274581207050298E-5</v>
      </c>
      <c r="H118" s="30" t="s">
        <v>235</v>
      </c>
      <c r="I118" s="33" t="s">
        <v>237</v>
      </c>
      <c r="J118" s="33" t="s">
        <v>10</v>
      </c>
      <c r="K118" s="30"/>
      <c r="L118" s="31"/>
      <c r="O118" s="33"/>
      <c r="P118" s="33"/>
      <c r="R118" s="35"/>
      <c r="S118" s="35"/>
      <c r="U118" s="35"/>
      <c r="V118" s="35"/>
    </row>
    <row r="119" spans="1:22" x14ac:dyDescent="0.2">
      <c r="A119" s="31" t="s">
        <v>485</v>
      </c>
      <c r="B119" s="31">
        <v>241.98322891042201</v>
      </c>
      <c r="C119" s="31">
        <v>-2.1937017828265102</v>
      </c>
      <c r="D119" s="31">
        <v>0.41195395542023</v>
      </c>
      <c r="E119" s="31">
        <v>-5.3251140181157703</v>
      </c>
      <c r="F119" s="32">
        <v>1.0088973480944399E-7</v>
      </c>
      <c r="G119" s="32">
        <v>2.7418630978395801E-5</v>
      </c>
      <c r="H119" s="33" t="s">
        <v>10</v>
      </c>
      <c r="I119" s="33" t="s">
        <v>10</v>
      </c>
      <c r="J119" s="33" t="s">
        <v>10</v>
      </c>
      <c r="K119" s="30"/>
      <c r="L119" s="31"/>
      <c r="O119" s="33"/>
      <c r="P119" s="33"/>
      <c r="R119" s="35"/>
      <c r="S119" s="35"/>
      <c r="U119" s="35"/>
      <c r="V119" s="35"/>
    </row>
    <row r="120" spans="1:22" x14ac:dyDescent="0.2">
      <c r="A120" s="31" t="s">
        <v>138</v>
      </c>
      <c r="B120" s="31">
        <v>48.024775942115099</v>
      </c>
      <c r="C120" s="31">
        <v>-3.59507861363352</v>
      </c>
      <c r="D120" s="31">
        <v>0.67787467646424004</v>
      </c>
      <c r="E120" s="31">
        <v>-5.3034561379180998</v>
      </c>
      <c r="F120" s="32">
        <v>1.1363051616952E-7</v>
      </c>
      <c r="G120" s="32">
        <v>3.0509109070334499E-5</v>
      </c>
      <c r="H120" s="33" t="s">
        <v>139</v>
      </c>
      <c r="I120" s="33" t="s">
        <v>140</v>
      </c>
      <c r="J120" s="33" t="s">
        <v>3068</v>
      </c>
      <c r="K120" s="30"/>
      <c r="L120" s="31"/>
      <c r="O120" s="33"/>
      <c r="P120" s="33"/>
      <c r="R120" s="35"/>
      <c r="S120" s="35"/>
      <c r="U120" s="35"/>
      <c r="V120" s="35"/>
    </row>
    <row r="121" spans="1:22" x14ac:dyDescent="0.2">
      <c r="A121" s="31" t="s">
        <v>272</v>
      </c>
      <c r="B121" s="31">
        <v>52.257651567105</v>
      </c>
      <c r="C121" s="31">
        <v>-3.0994258252947402</v>
      </c>
      <c r="D121" s="31">
        <v>0.58673258436834996</v>
      </c>
      <c r="E121" s="31">
        <v>-5.28251865989587</v>
      </c>
      <c r="F121" s="32">
        <v>1.2741985252115E-7</v>
      </c>
      <c r="G121" s="32">
        <v>3.3113628666542902E-5</v>
      </c>
      <c r="H121" s="33" t="s">
        <v>84</v>
      </c>
      <c r="I121" s="33" t="s">
        <v>86</v>
      </c>
      <c r="J121" s="33" t="s">
        <v>10</v>
      </c>
      <c r="K121" s="30"/>
      <c r="L121" s="31"/>
      <c r="O121" s="33"/>
      <c r="P121" s="33"/>
      <c r="R121" s="35"/>
      <c r="S121" s="35"/>
      <c r="U121" s="35"/>
      <c r="V121" s="35"/>
    </row>
    <row r="122" spans="1:22" x14ac:dyDescent="0.2">
      <c r="A122" s="31" t="s">
        <v>27</v>
      </c>
      <c r="B122" s="31">
        <v>25.262238209655798</v>
      </c>
      <c r="C122" s="31">
        <v>-8.5124695231230501</v>
      </c>
      <c r="D122" s="31">
        <v>1.61160298053836</v>
      </c>
      <c r="E122" s="31">
        <v>-5.28198919083622</v>
      </c>
      <c r="F122" s="32">
        <v>1.2778873974972801E-7</v>
      </c>
      <c r="G122" s="32">
        <v>3.3113628666542902E-5</v>
      </c>
      <c r="H122" s="33" t="s">
        <v>10</v>
      </c>
      <c r="I122" s="33" t="s">
        <v>10</v>
      </c>
      <c r="J122" s="33" t="s">
        <v>10</v>
      </c>
      <c r="K122" s="30"/>
      <c r="L122" s="31"/>
      <c r="O122" s="33"/>
      <c r="P122" s="33"/>
      <c r="R122" s="35"/>
      <c r="S122" s="35"/>
      <c r="U122" s="35"/>
      <c r="V122" s="35"/>
    </row>
    <row r="123" spans="1:22" x14ac:dyDescent="0.2">
      <c r="A123" s="31" t="s">
        <v>468</v>
      </c>
      <c r="B123" s="31">
        <v>142.59338024803299</v>
      </c>
      <c r="C123" s="31">
        <v>-2.238768225022</v>
      </c>
      <c r="D123" s="31">
        <v>0.42504487226626397</v>
      </c>
      <c r="E123" s="31">
        <v>-5.2671338277421897</v>
      </c>
      <c r="F123" s="32">
        <v>1.38570191261697E-7</v>
      </c>
      <c r="G123" s="32">
        <v>3.5494674853642799E-5</v>
      </c>
      <c r="H123" s="33" t="s">
        <v>10</v>
      </c>
      <c r="I123" s="33" t="s">
        <v>10</v>
      </c>
      <c r="J123" s="33" t="s">
        <v>10</v>
      </c>
      <c r="K123" s="30"/>
      <c r="L123" s="31"/>
      <c r="O123" s="33"/>
      <c r="P123" s="33"/>
      <c r="R123" s="35"/>
      <c r="S123" s="35"/>
      <c r="U123" s="35"/>
      <c r="V123" s="35"/>
    </row>
    <row r="124" spans="1:22" x14ac:dyDescent="0.2">
      <c r="A124" s="31" t="s">
        <v>464</v>
      </c>
      <c r="B124" s="31">
        <v>228.66775826336601</v>
      </c>
      <c r="C124" s="31">
        <v>-2.2427429353561998</v>
      </c>
      <c r="D124" s="31">
        <v>0.42636540931626199</v>
      </c>
      <c r="E124" s="31">
        <v>-5.2601427938367804</v>
      </c>
      <c r="F124" s="32">
        <v>1.4394357545437799E-7</v>
      </c>
      <c r="G124" s="32">
        <v>3.6452074761372998E-5</v>
      </c>
      <c r="H124" s="33" t="s">
        <v>10</v>
      </c>
      <c r="I124" s="33" t="s">
        <v>10</v>
      </c>
      <c r="J124" s="33" t="s">
        <v>10</v>
      </c>
      <c r="K124" s="30"/>
      <c r="L124" s="31"/>
      <c r="O124" s="33"/>
      <c r="P124" s="33"/>
      <c r="R124" s="35"/>
      <c r="S124" s="35"/>
      <c r="U124" s="35"/>
      <c r="V124" s="35"/>
    </row>
    <row r="125" spans="1:22" x14ac:dyDescent="0.2">
      <c r="A125" s="31" t="s">
        <v>9</v>
      </c>
      <c r="B125" s="31">
        <v>268.57450392480303</v>
      </c>
      <c r="C125" s="31">
        <v>-25.1104239215903</v>
      </c>
      <c r="D125" s="31">
        <v>4.78506728346823</v>
      </c>
      <c r="E125" s="31">
        <v>-5.2476637075393802</v>
      </c>
      <c r="F125" s="32">
        <v>1.54040150701461E-7</v>
      </c>
      <c r="G125" s="32">
        <v>3.8715617575737502E-5</v>
      </c>
      <c r="H125" s="33" t="s">
        <v>10</v>
      </c>
      <c r="I125" s="33" t="s">
        <v>10</v>
      </c>
      <c r="J125" s="33" t="s">
        <v>10</v>
      </c>
      <c r="K125" s="30"/>
      <c r="L125" s="31"/>
      <c r="O125" s="33"/>
      <c r="P125" s="33"/>
      <c r="R125" s="35"/>
      <c r="S125" s="35"/>
      <c r="U125" s="35"/>
      <c r="V125" s="35"/>
    </row>
    <row r="126" spans="1:22" x14ac:dyDescent="0.2">
      <c r="A126" s="31" t="s">
        <v>28</v>
      </c>
      <c r="B126" s="31">
        <v>48.702017242401503</v>
      </c>
      <c r="C126" s="31">
        <v>-8.0379654377225904</v>
      </c>
      <c r="D126" s="31">
        <v>1.53746380643134</v>
      </c>
      <c r="E126" s="31">
        <v>-5.22806807165093</v>
      </c>
      <c r="F126" s="32">
        <v>1.7129044936101199E-7</v>
      </c>
      <c r="G126" s="32">
        <v>4.2223764519125299E-5</v>
      </c>
      <c r="H126" s="33" t="s">
        <v>10</v>
      </c>
      <c r="I126" s="33" t="s">
        <v>10</v>
      </c>
      <c r="J126" s="33" t="s">
        <v>10</v>
      </c>
      <c r="K126" s="30"/>
      <c r="L126" s="31"/>
      <c r="O126" s="33"/>
      <c r="P126" s="33"/>
      <c r="R126" s="35"/>
      <c r="S126" s="35"/>
      <c r="U126" s="35"/>
      <c r="V126" s="35"/>
    </row>
    <row r="127" spans="1:22" x14ac:dyDescent="0.2">
      <c r="A127" s="31" t="s">
        <v>88</v>
      </c>
      <c r="B127" s="31">
        <v>32.810025050080597</v>
      </c>
      <c r="C127" s="31">
        <v>-4.0590459482110903</v>
      </c>
      <c r="D127" s="31">
        <v>0.77743726001931901</v>
      </c>
      <c r="E127" s="31">
        <v>-5.2210591863197102</v>
      </c>
      <c r="F127" s="32">
        <v>1.77902667357847E-7</v>
      </c>
      <c r="G127" s="32">
        <v>4.35666037590067E-5</v>
      </c>
      <c r="H127" s="33" t="s">
        <v>10</v>
      </c>
      <c r="I127" s="33" t="s">
        <v>10</v>
      </c>
      <c r="J127" s="33" t="s">
        <v>10</v>
      </c>
      <c r="K127" s="30"/>
      <c r="L127" s="31"/>
      <c r="O127" s="33"/>
      <c r="P127" s="33"/>
      <c r="R127" s="35"/>
      <c r="S127" s="35"/>
      <c r="U127" s="35"/>
      <c r="V127" s="35"/>
    </row>
    <row r="128" spans="1:22" x14ac:dyDescent="0.2">
      <c r="A128" s="31" t="s">
        <v>410</v>
      </c>
      <c r="B128" s="31">
        <v>165.16078152823599</v>
      </c>
      <c r="C128" s="31">
        <v>-2.32982503437891</v>
      </c>
      <c r="D128" s="31">
        <v>0.44692037088616798</v>
      </c>
      <c r="E128" s="31">
        <v>-5.2130652038958596</v>
      </c>
      <c r="F128" s="32">
        <v>1.85745570783853E-7</v>
      </c>
      <c r="G128" s="32">
        <v>4.5321241367717102E-5</v>
      </c>
      <c r="H128" s="33" t="s">
        <v>10</v>
      </c>
      <c r="I128" s="33" t="s">
        <v>10</v>
      </c>
      <c r="J128" s="33" t="s">
        <v>10</v>
      </c>
      <c r="K128" s="30"/>
      <c r="L128" s="31"/>
      <c r="O128" s="33"/>
      <c r="P128" s="33"/>
      <c r="R128" s="35"/>
      <c r="S128" s="35"/>
      <c r="U128" s="35"/>
      <c r="V128" s="35"/>
    </row>
    <row r="129" spans="1:22" x14ac:dyDescent="0.2">
      <c r="A129" s="31" t="s">
        <v>269</v>
      </c>
      <c r="B129" s="31">
        <v>98.580014215095204</v>
      </c>
      <c r="C129" s="31">
        <v>-3.1279762292570701</v>
      </c>
      <c r="D129" s="31">
        <v>0.60251195104774902</v>
      </c>
      <c r="E129" s="31">
        <v>-5.1915588127631596</v>
      </c>
      <c r="F129" s="32">
        <v>2.08540690897252E-7</v>
      </c>
      <c r="G129" s="32">
        <v>5.0332086245255599E-5</v>
      </c>
      <c r="H129" s="30" t="s">
        <v>270</v>
      </c>
      <c r="I129" s="33" t="s">
        <v>227</v>
      </c>
      <c r="J129" s="33" t="s">
        <v>10</v>
      </c>
      <c r="K129" s="30"/>
      <c r="L129" s="31"/>
      <c r="O129" s="33"/>
      <c r="P129" s="33"/>
      <c r="R129" s="35"/>
      <c r="S129" s="35"/>
      <c r="U129" s="35"/>
      <c r="V129" s="35"/>
    </row>
    <row r="130" spans="1:22" x14ac:dyDescent="0.2">
      <c r="A130" s="31" t="s">
        <v>473</v>
      </c>
      <c r="B130" s="31">
        <v>117.15235905811799</v>
      </c>
      <c r="C130" s="31">
        <v>-2.2121696478992301</v>
      </c>
      <c r="D130" s="31">
        <v>0.42649202426062799</v>
      </c>
      <c r="E130" s="31">
        <v>-5.1868957027608404</v>
      </c>
      <c r="F130" s="32">
        <v>2.13828402369501E-7</v>
      </c>
      <c r="G130" s="32">
        <v>5.0873657795063901E-5</v>
      </c>
      <c r="H130" s="33" t="s">
        <v>10</v>
      </c>
      <c r="I130" s="33" t="s">
        <v>10</v>
      </c>
      <c r="J130" s="33" t="s">
        <v>10</v>
      </c>
      <c r="K130" s="30"/>
      <c r="L130" s="31"/>
      <c r="O130" s="33"/>
      <c r="P130" s="33"/>
      <c r="R130" s="35"/>
      <c r="S130" s="35"/>
      <c r="U130" s="35"/>
      <c r="V130" s="35"/>
    </row>
    <row r="131" spans="1:22" x14ac:dyDescent="0.2">
      <c r="A131" s="31" t="s">
        <v>455</v>
      </c>
      <c r="B131" s="31">
        <v>114.744781100597</v>
      </c>
      <c r="C131" s="31">
        <v>-2.2714448064786499</v>
      </c>
      <c r="D131" s="31">
        <v>0.43801505120224699</v>
      </c>
      <c r="E131" s="31">
        <v>-5.1857688457144802</v>
      </c>
      <c r="F131" s="32">
        <v>2.1512550331041199E-7</v>
      </c>
      <c r="G131" s="32">
        <v>5.1000764268856697E-5</v>
      </c>
      <c r="H131" s="30" t="s">
        <v>457</v>
      </c>
      <c r="I131" s="33" t="s">
        <v>10</v>
      </c>
      <c r="J131" s="33" t="s">
        <v>10</v>
      </c>
      <c r="K131" s="30"/>
      <c r="L131" s="31"/>
      <c r="O131" s="33"/>
      <c r="P131" s="33"/>
      <c r="R131" s="35"/>
      <c r="S131" s="35"/>
      <c r="U131" s="35"/>
      <c r="V131" s="35"/>
    </row>
    <row r="132" spans="1:22" x14ac:dyDescent="0.2">
      <c r="A132" s="31" t="s">
        <v>345</v>
      </c>
      <c r="B132" s="31">
        <v>67.198539789489701</v>
      </c>
      <c r="C132" s="31">
        <v>-2.6900182420416101</v>
      </c>
      <c r="D132" s="31">
        <v>0.52156913782115</v>
      </c>
      <c r="E132" s="31">
        <v>-5.1575487255230099</v>
      </c>
      <c r="F132" s="32">
        <v>2.5020375211115201E-7</v>
      </c>
      <c r="G132" s="32">
        <v>5.8899196645743098E-5</v>
      </c>
      <c r="H132" s="33" t="s">
        <v>10</v>
      </c>
      <c r="I132" s="33" t="s">
        <v>10</v>
      </c>
      <c r="J132" s="33" t="s">
        <v>10</v>
      </c>
      <c r="K132" s="30"/>
      <c r="L132" s="31"/>
      <c r="O132" s="33"/>
      <c r="P132" s="33"/>
      <c r="R132" s="35"/>
      <c r="S132" s="35"/>
      <c r="U132" s="35"/>
      <c r="V132" s="35"/>
    </row>
    <row r="133" spans="1:22" x14ac:dyDescent="0.2">
      <c r="A133" s="31" t="s">
        <v>127</v>
      </c>
      <c r="B133" s="31">
        <v>46.421694089483097</v>
      </c>
      <c r="C133" s="31">
        <v>-3.6818448496122098</v>
      </c>
      <c r="D133" s="31">
        <v>0.71419289732533298</v>
      </c>
      <c r="E133" s="31">
        <v>-5.1552526822946501</v>
      </c>
      <c r="F133" s="32">
        <v>2.5328914197185201E-7</v>
      </c>
      <c r="G133" s="32">
        <v>5.94163003036077E-5</v>
      </c>
      <c r="H133" s="30" t="s">
        <v>128</v>
      </c>
      <c r="I133" s="33" t="s">
        <v>10</v>
      </c>
      <c r="J133" s="33" t="s">
        <v>10</v>
      </c>
      <c r="K133" s="30"/>
      <c r="L133" s="31"/>
      <c r="O133" s="33"/>
      <c r="P133" s="33"/>
      <c r="R133" s="35"/>
      <c r="S133" s="35"/>
      <c r="U133" s="35"/>
      <c r="V133" s="35"/>
    </row>
    <row r="134" spans="1:22" x14ac:dyDescent="0.2">
      <c r="A134" s="31" t="s">
        <v>179</v>
      </c>
      <c r="B134" s="31">
        <v>47.024999352280197</v>
      </c>
      <c r="C134" s="31">
        <v>-3.3626673382854801</v>
      </c>
      <c r="D134" s="31">
        <v>0.65274843990344</v>
      </c>
      <c r="E134" s="31">
        <v>-5.1515517046397097</v>
      </c>
      <c r="F134" s="32">
        <v>2.5833997771569497E-7</v>
      </c>
      <c r="G134" s="32">
        <v>6.0389228007632103E-5</v>
      </c>
      <c r="H134" s="33" t="s">
        <v>10</v>
      </c>
      <c r="I134" s="33" t="s">
        <v>10</v>
      </c>
      <c r="J134" s="33" t="s">
        <v>10</v>
      </c>
      <c r="K134" s="30"/>
      <c r="L134" s="31"/>
      <c r="O134" s="33"/>
      <c r="P134" s="33"/>
      <c r="R134" s="35"/>
      <c r="S134" s="35"/>
      <c r="U134" s="35"/>
      <c r="V134" s="35"/>
    </row>
    <row r="135" spans="1:22" x14ac:dyDescent="0.2">
      <c r="A135" s="31" t="s">
        <v>444</v>
      </c>
      <c r="B135" s="31">
        <v>143.68195492353601</v>
      </c>
      <c r="C135" s="31">
        <v>-2.28306815082159</v>
      </c>
      <c r="D135" s="31">
        <v>0.44362569339159202</v>
      </c>
      <c r="E135" s="31">
        <v>-5.1463839557333904</v>
      </c>
      <c r="F135" s="32">
        <v>2.6555561065584799E-7</v>
      </c>
      <c r="G135" s="32">
        <v>6.1644862327766303E-5</v>
      </c>
      <c r="H135" s="30" t="s">
        <v>446</v>
      </c>
      <c r="I135" s="33" t="s">
        <v>447</v>
      </c>
      <c r="J135" s="33" t="s">
        <v>10</v>
      </c>
      <c r="K135" s="30"/>
      <c r="L135" s="31"/>
      <c r="O135" s="33"/>
      <c r="P135" s="33"/>
      <c r="R135" s="35"/>
      <c r="S135" s="35"/>
      <c r="U135" s="35"/>
      <c r="V135" s="35"/>
    </row>
    <row r="136" spans="1:22" x14ac:dyDescent="0.2">
      <c r="A136" s="31" t="s">
        <v>118</v>
      </c>
      <c r="B136" s="31">
        <v>38.628623438967999</v>
      </c>
      <c r="C136" s="31">
        <v>-3.7314739264900498</v>
      </c>
      <c r="D136" s="31">
        <v>0.72798612618733205</v>
      </c>
      <c r="E136" s="31">
        <v>-5.1257486815481297</v>
      </c>
      <c r="F136" s="32">
        <v>2.9635770774733599E-7</v>
      </c>
      <c r="G136" s="32">
        <v>6.8320670867062501E-5</v>
      </c>
      <c r="H136" s="30" t="s">
        <v>16</v>
      </c>
      <c r="I136" s="33" t="s">
        <v>119</v>
      </c>
      <c r="J136" s="33" t="s">
        <v>10</v>
      </c>
      <c r="K136" s="30"/>
      <c r="L136" s="31"/>
      <c r="O136" s="33"/>
      <c r="P136" s="33"/>
      <c r="R136" s="35"/>
      <c r="S136" s="35"/>
      <c r="U136" s="35"/>
      <c r="V136" s="35"/>
    </row>
    <row r="137" spans="1:22" x14ac:dyDescent="0.2">
      <c r="A137" s="31" t="s">
        <v>155</v>
      </c>
      <c r="B137" s="31">
        <v>49.703807819439</v>
      </c>
      <c r="C137" s="31">
        <v>-3.5264458610237499</v>
      </c>
      <c r="D137" s="31">
        <v>0.68816457755262905</v>
      </c>
      <c r="E137" s="31">
        <v>-5.1244222327820301</v>
      </c>
      <c r="F137" s="32">
        <v>2.98451497821891E-7</v>
      </c>
      <c r="G137" s="32">
        <v>6.8566924009905598E-5</v>
      </c>
      <c r="H137" s="33" t="s">
        <v>10</v>
      </c>
      <c r="I137" s="33" t="s">
        <v>10</v>
      </c>
      <c r="J137" s="33" t="s">
        <v>10</v>
      </c>
      <c r="K137" s="30"/>
      <c r="L137" s="31"/>
      <c r="O137" s="33"/>
      <c r="P137" s="33"/>
      <c r="R137" s="35"/>
      <c r="S137" s="35"/>
      <c r="U137" s="35"/>
      <c r="V137" s="35"/>
    </row>
    <row r="138" spans="1:22" x14ac:dyDescent="0.2">
      <c r="A138" s="31" t="s">
        <v>392</v>
      </c>
      <c r="B138" s="31">
        <v>139.860780320006</v>
      </c>
      <c r="C138" s="31">
        <v>-2.35711695798439</v>
      </c>
      <c r="D138" s="31">
        <v>0.46027969778136302</v>
      </c>
      <c r="E138" s="31">
        <v>-5.1210535014821401</v>
      </c>
      <c r="F138" s="32">
        <v>3.0383342067550201E-7</v>
      </c>
      <c r="G138" s="32">
        <v>6.9326905594746294E-5</v>
      </c>
      <c r="H138" s="33" t="s">
        <v>10</v>
      </c>
      <c r="I138" s="33" t="s">
        <v>10</v>
      </c>
      <c r="J138" s="33" t="s">
        <v>10</v>
      </c>
      <c r="K138" s="30"/>
      <c r="L138" s="31"/>
      <c r="O138" s="33"/>
      <c r="P138" s="33"/>
      <c r="R138" s="35"/>
      <c r="S138" s="35"/>
      <c r="U138" s="35"/>
      <c r="V138" s="35"/>
    </row>
    <row r="139" spans="1:22" x14ac:dyDescent="0.2">
      <c r="A139" s="31" t="s">
        <v>312</v>
      </c>
      <c r="B139" s="31">
        <v>69.356976033835906</v>
      </c>
      <c r="C139" s="31">
        <v>-2.8244466831384401</v>
      </c>
      <c r="D139" s="31">
        <v>0.55214382413664898</v>
      </c>
      <c r="E139" s="31">
        <v>-5.1154184103296698</v>
      </c>
      <c r="F139" s="32">
        <v>3.1304624273145301E-7</v>
      </c>
      <c r="G139" s="32">
        <v>7.1186076727249397E-5</v>
      </c>
      <c r="H139" s="33" t="s">
        <v>3159</v>
      </c>
      <c r="I139" s="33" t="s">
        <v>316</v>
      </c>
      <c r="J139" s="33" t="s">
        <v>10</v>
      </c>
      <c r="K139" s="30"/>
      <c r="L139" s="31"/>
      <c r="O139" s="33"/>
      <c r="P139" s="33"/>
      <c r="R139" s="35"/>
      <c r="S139" s="35"/>
      <c r="U139" s="35"/>
      <c r="V139" s="35"/>
    </row>
    <row r="140" spans="1:22" x14ac:dyDescent="0.2">
      <c r="A140" s="31" t="s">
        <v>385</v>
      </c>
      <c r="B140" s="31">
        <v>183.244536418856</v>
      </c>
      <c r="C140" s="31">
        <v>-2.36948875634421</v>
      </c>
      <c r="D140" s="31">
        <v>0.464762428108346</v>
      </c>
      <c r="E140" s="31">
        <v>-5.0982794930054798</v>
      </c>
      <c r="F140" s="32">
        <v>3.4275449254135301E-7</v>
      </c>
      <c r="G140" s="32">
        <v>7.6638299661712904E-5</v>
      </c>
      <c r="H140" s="33" t="s">
        <v>10</v>
      </c>
      <c r="I140" s="33" t="s">
        <v>10</v>
      </c>
      <c r="J140" s="33" t="s">
        <v>10</v>
      </c>
      <c r="K140" s="30"/>
      <c r="L140" s="31"/>
      <c r="O140" s="33"/>
      <c r="P140" s="33"/>
      <c r="R140" s="35"/>
      <c r="S140" s="35"/>
      <c r="U140" s="35"/>
      <c r="V140" s="35"/>
    </row>
    <row r="141" spans="1:22" x14ac:dyDescent="0.2">
      <c r="A141" s="31" t="s">
        <v>209</v>
      </c>
      <c r="B141" s="31">
        <v>42.5544870992276</v>
      </c>
      <c r="C141" s="31">
        <v>-3.28110371643622</v>
      </c>
      <c r="D141" s="31">
        <v>0.64725470166656096</v>
      </c>
      <c r="E141" s="31">
        <v>-5.0692620818172198</v>
      </c>
      <c r="F141" s="32">
        <v>3.99361002099331E-7</v>
      </c>
      <c r="G141" s="32">
        <v>8.8408211242883305E-5</v>
      </c>
      <c r="H141" s="33" t="s">
        <v>3160</v>
      </c>
      <c r="I141" s="33" t="s">
        <v>3172</v>
      </c>
      <c r="J141" s="33" t="s">
        <v>3052</v>
      </c>
      <c r="K141" s="30"/>
      <c r="L141" s="31"/>
      <c r="O141" s="33"/>
      <c r="P141" s="33"/>
      <c r="R141" s="35"/>
      <c r="S141" s="35"/>
      <c r="U141" s="35"/>
      <c r="V141" s="35"/>
    </row>
    <row r="142" spans="1:22" x14ac:dyDescent="0.2">
      <c r="A142" s="31" t="s">
        <v>394</v>
      </c>
      <c r="B142" s="31">
        <v>187.08789349601199</v>
      </c>
      <c r="C142" s="31">
        <v>-2.3466790473060399</v>
      </c>
      <c r="D142" s="31">
        <v>0.46383260236893797</v>
      </c>
      <c r="E142" s="31">
        <v>-5.0593232026399599</v>
      </c>
      <c r="F142" s="32">
        <v>4.2074718211417999E-7</v>
      </c>
      <c r="G142" s="32">
        <v>9.1625579349327401E-5</v>
      </c>
      <c r="H142" s="33" t="s">
        <v>10</v>
      </c>
      <c r="I142" s="33" t="s">
        <v>10</v>
      </c>
      <c r="J142" s="33" t="s">
        <v>10</v>
      </c>
      <c r="K142" s="30"/>
      <c r="L142" s="31"/>
      <c r="O142" s="33"/>
      <c r="P142" s="33"/>
      <c r="R142" s="35"/>
      <c r="S142" s="35"/>
      <c r="U142" s="35"/>
      <c r="V142" s="35"/>
    </row>
    <row r="143" spans="1:22" x14ac:dyDescent="0.2">
      <c r="A143" s="31" t="s">
        <v>470</v>
      </c>
      <c r="B143" s="31">
        <v>208.86957917357</v>
      </c>
      <c r="C143" s="31">
        <v>-2.21395658296849</v>
      </c>
      <c r="D143" s="31">
        <v>0.43783952879351701</v>
      </c>
      <c r="E143" s="31">
        <v>-5.05654797562278</v>
      </c>
      <c r="F143" s="32">
        <v>4.2691350956626702E-7</v>
      </c>
      <c r="G143" s="32">
        <v>9.2528575724997101E-5</v>
      </c>
      <c r="H143" s="33" t="s">
        <v>10</v>
      </c>
      <c r="I143" s="33" t="s">
        <v>10</v>
      </c>
      <c r="J143" s="33" t="s">
        <v>10</v>
      </c>
      <c r="K143" s="30"/>
      <c r="L143" s="31"/>
      <c r="O143" s="33"/>
      <c r="P143" s="33"/>
      <c r="R143" s="35"/>
      <c r="S143" s="35"/>
      <c r="U143" s="35"/>
      <c r="V143" s="35"/>
    </row>
    <row r="144" spans="1:22" x14ac:dyDescent="0.2">
      <c r="A144" s="31" t="s">
        <v>428</v>
      </c>
      <c r="B144" s="31">
        <v>113.751976483993</v>
      </c>
      <c r="C144" s="31">
        <v>-2.3025264150220401</v>
      </c>
      <c r="D144" s="31">
        <v>0.45539117983739302</v>
      </c>
      <c r="E144" s="31">
        <v>-5.0561506611616904</v>
      </c>
      <c r="F144" s="32">
        <v>4.2780341322893299E-7</v>
      </c>
      <c r="G144" s="32">
        <v>9.2528575724997101E-5</v>
      </c>
      <c r="H144" s="33" t="s">
        <v>10</v>
      </c>
      <c r="I144" s="33" t="s">
        <v>10</v>
      </c>
      <c r="J144" s="33" t="s">
        <v>10</v>
      </c>
      <c r="K144" s="30"/>
      <c r="L144" s="31"/>
      <c r="O144" s="33"/>
      <c r="P144" s="33"/>
      <c r="R144" s="35"/>
      <c r="S144" s="35"/>
      <c r="U144" s="35"/>
      <c r="V144" s="35"/>
    </row>
    <row r="145" spans="1:22" x14ac:dyDescent="0.2">
      <c r="A145" s="31" t="s">
        <v>432</v>
      </c>
      <c r="B145" s="31">
        <v>100.686746325694</v>
      </c>
      <c r="C145" s="31">
        <v>-2.2903498891583398</v>
      </c>
      <c r="D145" s="31">
        <v>0.45453103588578198</v>
      </c>
      <c r="E145" s="31">
        <v>-5.0389295962924701</v>
      </c>
      <c r="F145" s="32">
        <v>4.6814263782206903E-7</v>
      </c>
      <c r="G145" s="32">
        <v>9.9674127552848405E-5</v>
      </c>
      <c r="H145" s="30" t="s">
        <v>434</v>
      </c>
      <c r="I145" s="33" t="s">
        <v>435</v>
      </c>
      <c r="J145" s="33" t="s">
        <v>10</v>
      </c>
      <c r="K145" s="30"/>
      <c r="L145" s="31"/>
      <c r="O145" s="33"/>
      <c r="P145" s="33"/>
      <c r="R145" s="35"/>
      <c r="S145" s="35"/>
      <c r="U145" s="35"/>
      <c r="V145" s="35"/>
    </row>
    <row r="146" spans="1:22" x14ac:dyDescent="0.2">
      <c r="A146" s="31" t="s">
        <v>120</v>
      </c>
      <c r="B146" s="31">
        <v>36.344011210307102</v>
      </c>
      <c r="C146" s="31">
        <v>-3.7196733163017499</v>
      </c>
      <c r="D146" s="31">
        <v>0.73851723569073602</v>
      </c>
      <c r="E146" s="31">
        <v>-5.0366777328124801</v>
      </c>
      <c r="F146" s="32">
        <v>4.7368128102670899E-7</v>
      </c>
      <c r="G146" s="31">
        <v>1.0053321283504999E-4</v>
      </c>
      <c r="H146" s="33" t="s">
        <v>10</v>
      </c>
      <c r="I146" s="33" t="s">
        <v>10</v>
      </c>
      <c r="J146" s="33" t="s">
        <v>10</v>
      </c>
      <c r="K146" s="30"/>
      <c r="L146" s="31"/>
      <c r="O146" s="33"/>
      <c r="P146" s="33"/>
      <c r="R146" s="35"/>
      <c r="S146" s="35"/>
      <c r="U146" s="35"/>
      <c r="V146" s="35"/>
    </row>
    <row r="147" spans="1:22" x14ac:dyDescent="0.2">
      <c r="A147" s="31" t="s">
        <v>510</v>
      </c>
      <c r="B147" s="31">
        <v>994.85274866807595</v>
      </c>
      <c r="C147" s="31">
        <v>-2.114978896032</v>
      </c>
      <c r="D147" s="31">
        <v>0.424834416238702</v>
      </c>
      <c r="E147" s="31">
        <v>-4.9783605451674404</v>
      </c>
      <c r="F147" s="32">
        <v>6.4125120940466898E-7</v>
      </c>
      <c r="G147" s="31">
        <v>1.33139284486799E-4</v>
      </c>
      <c r="H147" s="33" t="s">
        <v>512</v>
      </c>
      <c r="I147" s="33" t="s">
        <v>513</v>
      </c>
      <c r="J147" s="33" t="s">
        <v>3067</v>
      </c>
      <c r="K147" s="30"/>
      <c r="L147" s="31"/>
      <c r="O147" s="33"/>
      <c r="P147" s="33"/>
      <c r="R147" s="35"/>
      <c r="S147" s="35"/>
      <c r="U147" s="35"/>
      <c r="V147" s="35"/>
    </row>
    <row r="148" spans="1:22" x14ac:dyDescent="0.2">
      <c r="A148" s="31" t="s">
        <v>285</v>
      </c>
      <c r="B148" s="31">
        <v>59.105393649516998</v>
      </c>
      <c r="C148" s="31">
        <v>-3.0204645395860501</v>
      </c>
      <c r="D148" s="31">
        <v>0.60777675034094103</v>
      </c>
      <c r="E148" s="31">
        <v>-4.9696941153008503</v>
      </c>
      <c r="F148" s="32">
        <v>6.7058606691913096E-7</v>
      </c>
      <c r="G148" s="31">
        <v>1.3879885914513501E-4</v>
      </c>
      <c r="H148" s="33" t="s">
        <v>287</v>
      </c>
      <c r="I148" s="33" t="s">
        <v>289</v>
      </c>
      <c r="J148" s="33" t="s">
        <v>10</v>
      </c>
      <c r="K148" s="30"/>
      <c r="L148" s="31"/>
      <c r="O148" s="33"/>
      <c r="P148" s="33"/>
      <c r="R148" s="35"/>
      <c r="S148" s="35"/>
      <c r="U148" s="35"/>
      <c r="V148" s="35"/>
    </row>
    <row r="149" spans="1:22" x14ac:dyDescent="0.2">
      <c r="A149" s="31" t="s">
        <v>305</v>
      </c>
      <c r="B149" s="31">
        <v>64.279022145218406</v>
      </c>
      <c r="C149" s="31">
        <v>-2.9312503989571499</v>
      </c>
      <c r="D149" s="31">
        <v>0.59131611357818903</v>
      </c>
      <c r="E149" s="31">
        <v>-4.9571630666708604</v>
      </c>
      <c r="F149" s="32">
        <v>7.1529939428202701E-7</v>
      </c>
      <c r="G149" s="31">
        <v>1.45796771355869E-4</v>
      </c>
      <c r="H149" s="33" t="s">
        <v>10</v>
      </c>
      <c r="I149" s="33" t="s">
        <v>10</v>
      </c>
      <c r="J149" s="33" t="s">
        <v>10</v>
      </c>
      <c r="K149" s="30"/>
      <c r="L149" s="31"/>
      <c r="O149" s="33"/>
      <c r="P149" s="33"/>
      <c r="R149" s="35"/>
      <c r="S149" s="35"/>
      <c r="U149" s="35"/>
      <c r="V149" s="35"/>
    </row>
    <row r="150" spans="1:22" x14ac:dyDescent="0.2">
      <c r="A150" s="31" t="s">
        <v>150</v>
      </c>
      <c r="B150" s="31">
        <v>40.219661778686103</v>
      </c>
      <c r="C150" s="31">
        <v>-3.54799681993258</v>
      </c>
      <c r="D150" s="31">
        <v>0.71830917910604997</v>
      </c>
      <c r="E150" s="31">
        <v>-4.9393727981426201</v>
      </c>
      <c r="F150" s="32">
        <v>7.83742492595629E-7</v>
      </c>
      <c r="G150" s="31">
        <v>1.5594376292404999E-4</v>
      </c>
      <c r="H150" s="33" t="s">
        <v>10</v>
      </c>
      <c r="I150" s="33" t="s">
        <v>92</v>
      </c>
      <c r="J150" s="33" t="s">
        <v>10</v>
      </c>
      <c r="K150" s="30"/>
      <c r="L150" s="31"/>
      <c r="O150" s="33"/>
      <c r="P150" s="33"/>
      <c r="R150" s="35"/>
      <c r="S150" s="35"/>
      <c r="U150" s="35"/>
      <c r="V150" s="35"/>
    </row>
    <row r="151" spans="1:22" x14ac:dyDescent="0.2">
      <c r="A151" s="31" t="s">
        <v>449</v>
      </c>
      <c r="B151" s="31">
        <v>107.468214792162</v>
      </c>
      <c r="C151" s="31">
        <v>-2.2738623103782101</v>
      </c>
      <c r="D151" s="31">
        <v>0.46081975980726902</v>
      </c>
      <c r="E151" s="31">
        <v>-4.9343854337522597</v>
      </c>
      <c r="F151" s="32">
        <v>8.0403523526423496E-7</v>
      </c>
      <c r="G151" s="31">
        <v>1.5908596973855999E-4</v>
      </c>
      <c r="H151" s="30" t="s">
        <v>451</v>
      </c>
      <c r="I151" s="33" t="s">
        <v>452</v>
      </c>
      <c r="J151" s="33" t="s">
        <v>10</v>
      </c>
      <c r="K151" s="30"/>
      <c r="L151" s="31"/>
      <c r="O151" s="33"/>
      <c r="P151" s="33"/>
      <c r="R151" s="35"/>
      <c r="S151" s="35"/>
      <c r="U151" s="35"/>
      <c r="V151" s="35"/>
    </row>
    <row r="152" spans="1:22" x14ac:dyDescent="0.2">
      <c r="A152" s="31" t="s">
        <v>543</v>
      </c>
      <c r="B152" s="31">
        <v>787.07987806592098</v>
      </c>
      <c r="C152" s="31">
        <v>-2.0054932639128</v>
      </c>
      <c r="D152" s="31">
        <v>0.406761322339942</v>
      </c>
      <c r="E152" s="31">
        <v>-4.9303932153036598</v>
      </c>
      <c r="F152" s="32">
        <v>8.2064265473043903E-7</v>
      </c>
      <c r="G152" s="31">
        <v>1.6089168528446801E-4</v>
      </c>
      <c r="H152" s="33" t="s">
        <v>10</v>
      </c>
      <c r="I152" s="33" t="s">
        <v>355</v>
      </c>
      <c r="J152" s="33" t="s">
        <v>3055</v>
      </c>
      <c r="K152" s="30"/>
      <c r="L152" s="31"/>
      <c r="O152" s="33"/>
      <c r="P152" s="33"/>
      <c r="R152" s="35"/>
      <c r="S152" s="35"/>
      <c r="U152" s="35"/>
      <c r="V152" s="35"/>
    </row>
    <row r="153" spans="1:22" x14ac:dyDescent="0.2">
      <c r="A153" s="31" t="s">
        <v>520</v>
      </c>
      <c r="B153" s="31">
        <v>131.53565983966499</v>
      </c>
      <c r="C153" s="31">
        <v>-2.08617374835308</v>
      </c>
      <c r="D153" s="31">
        <v>0.42515128144332498</v>
      </c>
      <c r="E153" s="31">
        <v>-4.9068974725204404</v>
      </c>
      <c r="F153" s="32">
        <v>9.2528369815893197E-7</v>
      </c>
      <c r="G153" s="31">
        <v>1.77758165633377E-4</v>
      </c>
      <c r="H153" s="33" t="s">
        <v>446</v>
      </c>
      <c r="I153" s="33" t="s">
        <v>521</v>
      </c>
      <c r="J153" s="33" t="s">
        <v>3047</v>
      </c>
      <c r="K153" s="30"/>
      <c r="L153" s="31"/>
      <c r="O153" s="33"/>
      <c r="P153" s="33"/>
      <c r="R153" s="35"/>
      <c r="S153" s="35"/>
      <c r="U153" s="35"/>
      <c r="V153" s="35"/>
    </row>
    <row r="154" spans="1:22" x14ac:dyDescent="0.2">
      <c r="A154" s="31" t="s">
        <v>322</v>
      </c>
      <c r="B154" s="31">
        <v>54.857405917072398</v>
      </c>
      <c r="C154" s="31">
        <v>-2.7879571744588501</v>
      </c>
      <c r="D154" s="31">
        <v>0.56968505430709204</v>
      </c>
      <c r="E154" s="31">
        <v>-4.8938569712871303</v>
      </c>
      <c r="F154" s="32">
        <v>9.8878712053407104E-7</v>
      </c>
      <c r="G154" s="31">
        <v>1.8887246555230101E-4</v>
      </c>
      <c r="H154" s="33" t="s">
        <v>325</v>
      </c>
      <c r="I154" s="33" t="s">
        <v>326</v>
      </c>
      <c r="J154" s="33" t="s">
        <v>10</v>
      </c>
      <c r="K154" s="30"/>
      <c r="L154" s="31"/>
      <c r="O154" s="33"/>
      <c r="P154" s="33"/>
      <c r="R154" s="35"/>
      <c r="S154" s="35"/>
      <c r="U154" s="35"/>
      <c r="V154" s="35"/>
    </row>
    <row r="155" spans="1:22" x14ac:dyDescent="0.2">
      <c r="A155" s="31" t="s">
        <v>476</v>
      </c>
      <c r="B155" s="31">
        <v>112.160522729455</v>
      </c>
      <c r="C155" s="31">
        <v>-2.21104308323851</v>
      </c>
      <c r="D155" s="31">
        <v>0.45321324895375298</v>
      </c>
      <c r="E155" s="31">
        <v>-4.8785932192907397</v>
      </c>
      <c r="F155" s="32">
        <v>1.0684516377100599E-6</v>
      </c>
      <c r="G155" s="31">
        <v>2.02929926815642E-4</v>
      </c>
      <c r="H155" s="33" t="s">
        <v>10</v>
      </c>
      <c r="I155" s="33" t="s">
        <v>391</v>
      </c>
      <c r="J155" s="33" t="s">
        <v>10</v>
      </c>
      <c r="K155" s="30"/>
      <c r="L155" s="31"/>
      <c r="O155" s="33"/>
      <c r="P155" s="33"/>
      <c r="R155" s="35"/>
      <c r="S155" s="35"/>
      <c r="U155" s="35"/>
      <c r="V155" s="35"/>
    </row>
    <row r="156" spans="1:22" x14ac:dyDescent="0.2">
      <c r="A156" s="31" t="s">
        <v>327</v>
      </c>
      <c r="B156" s="31">
        <v>81.202941068369498</v>
      </c>
      <c r="C156" s="31">
        <v>-2.7801227669827</v>
      </c>
      <c r="D156" s="31">
        <v>0.57068967815162097</v>
      </c>
      <c r="E156" s="31">
        <v>-4.8715140178934</v>
      </c>
      <c r="F156" s="32">
        <v>1.10746303944885E-6</v>
      </c>
      <c r="G156" s="31">
        <v>2.0915096469591201E-4</v>
      </c>
      <c r="H156" s="33" t="s">
        <v>10</v>
      </c>
      <c r="I156" s="33" t="s">
        <v>10</v>
      </c>
      <c r="J156" s="33" t="s">
        <v>10</v>
      </c>
      <c r="K156" s="30"/>
      <c r="L156" s="31"/>
      <c r="O156" s="33"/>
      <c r="P156" s="33"/>
      <c r="R156" s="35"/>
      <c r="S156" s="35"/>
      <c r="U156" s="35"/>
      <c r="V156" s="35"/>
    </row>
    <row r="157" spans="1:22" x14ac:dyDescent="0.2">
      <c r="A157" s="31" t="s">
        <v>538</v>
      </c>
      <c r="B157" s="31">
        <v>135.628461009483</v>
      </c>
      <c r="C157" s="31">
        <v>-2.0268572394184901</v>
      </c>
      <c r="D157" s="31">
        <v>0.41661303437963099</v>
      </c>
      <c r="E157" s="31">
        <v>-4.8650835959480601</v>
      </c>
      <c r="F157" s="32">
        <v>1.1440844053087499E-6</v>
      </c>
      <c r="G157" s="31">
        <v>2.13057835423165E-4</v>
      </c>
      <c r="H157" s="33" t="s">
        <v>540</v>
      </c>
      <c r="I157" s="33" t="s">
        <v>542</v>
      </c>
      <c r="J157" s="33" t="s">
        <v>10</v>
      </c>
      <c r="K157" s="30"/>
      <c r="L157" s="31"/>
      <c r="O157" s="33"/>
      <c r="P157" s="33"/>
      <c r="R157" s="35"/>
      <c r="S157" s="35"/>
      <c r="U157" s="35"/>
      <c r="V157" s="35"/>
    </row>
    <row r="158" spans="1:22" x14ac:dyDescent="0.2">
      <c r="A158" s="31" t="s">
        <v>149</v>
      </c>
      <c r="B158" s="31">
        <v>37.532437079396601</v>
      </c>
      <c r="C158" s="31">
        <v>-3.5532590722622301</v>
      </c>
      <c r="D158" s="31">
        <v>0.73174930033176899</v>
      </c>
      <c r="E158" s="31">
        <v>-4.8558421178554001</v>
      </c>
      <c r="F158" s="32">
        <v>1.19876188726933E-6</v>
      </c>
      <c r="G158" s="31">
        <v>2.2200339604817399E-4</v>
      </c>
      <c r="H158" s="33" t="s">
        <v>10</v>
      </c>
      <c r="I158" s="33" t="s">
        <v>10</v>
      </c>
      <c r="J158" s="33" t="s">
        <v>10</v>
      </c>
      <c r="K158" s="30"/>
      <c r="L158" s="31"/>
      <c r="O158" s="33"/>
      <c r="P158" s="33"/>
      <c r="R158" s="35"/>
      <c r="S158" s="35"/>
      <c r="U158" s="35"/>
      <c r="V158" s="35"/>
    </row>
    <row r="159" spans="1:22" x14ac:dyDescent="0.2">
      <c r="A159" s="31" t="s">
        <v>527</v>
      </c>
      <c r="B159" s="31">
        <v>127.33825224822</v>
      </c>
      <c r="C159" s="31">
        <v>-2.0672755486369998</v>
      </c>
      <c r="D159" s="31">
        <v>0.43336001620244602</v>
      </c>
      <c r="E159" s="31">
        <v>-4.7703421435891302</v>
      </c>
      <c r="F159" s="32">
        <v>1.83913264750765E-6</v>
      </c>
      <c r="G159" s="31">
        <v>3.1936418999772501E-4</v>
      </c>
      <c r="H159" s="33" t="s">
        <v>529</v>
      </c>
      <c r="I159" s="33" t="s">
        <v>531</v>
      </c>
      <c r="J159" s="33" t="s">
        <v>10</v>
      </c>
      <c r="K159" s="30"/>
      <c r="L159" s="31"/>
      <c r="O159" s="33"/>
      <c r="P159" s="33"/>
      <c r="R159" s="35"/>
      <c r="S159" s="35"/>
      <c r="U159" s="35"/>
      <c r="V159" s="35"/>
    </row>
    <row r="160" spans="1:22" x14ac:dyDescent="0.2">
      <c r="A160" s="31" t="s">
        <v>347</v>
      </c>
      <c r="B160" s="31">
        <v>63.211251418490399</v>
      </c>
      <c r="C160" s="31">
        <v>-2.66991734686904</v>
      </c>
      <c r="D160" s="31">
        <v>0.56309220969842999</v>
      </c>
      <c r="E160" s="31">
        <v>-4.7415277655838004</v>
      </c>
      <c r="F160" s="32">
        <v>2.1211258061299701E-6</v>
      </c>
      <c r="G160" s="31">
        <v>3.5991844103761201E-4</v>
      </c>
      <c r="H160" s="33" t="s">
        <v>10</v>
      </c>
      <c r="I160" s="33" t="s">
        <v>10</v>
      </c>
      <c r="J160" s="33" t="s">
        <v>10</v>
      </c>
      <c r="K160" s="30"/>
      <c r="L160" s="31"/>
      <c r="O160" s="33"/>
      <c r="P160" s="33"/>
      <c r="R160" s="35"/>
      <c r="S160" s="35"/>
      <c r="U160" s="35"/>
      <c r="V160" s="35"/>
    </row>
    <row r="161" spans="1:12" x14ac:dyDescent="0.2">
      <c r="A161" s="31" t="s">
        <v>331</v>
      </c>
      <c r="B161" s="31">
        <v>57.879948232839403</v>
      </c>
      <c r="C161" s="31">
        <v>-2.77346627575717</v>
      </c>
      <c r="D161" s="31">
        <v>0.58611461793128505</v>
      </c>
      <c r="E161" s="31">
        <v>-4.7319520634824501</v>
      </c>
      <c r="F161" s="32">
        <v>2.2237093423633401E-6</v>
      </c>
      <c r="G161" s="31">
        <v>3.7259671198922701E-4</v>
      </c>
      <c r="H161" s="33" t="s">
        <v>10</v>
      </c>
      <c r="I161" s="33" t="s">
        <v>10</v>
      </c>
      <c r="J161" s="33" t="s">
        <v>10</v>
      </c>
      <c r="K161" s="30"/>
      <c r="L161" s="31"/>
    </row>
    <row r="162" spans="1:12" x14ac:dyDescent="0.2">
      <c r="A162" s="31" t="s">
        <v>290</v>
      </c>
      <c r="B162" s="31">
        <v>51.577281200101801</v>
      </c>
      <c r="C162" s="31">
        <v>-3.0189461249672598</v>
      </c>
      <c r="D162" s="31">
        <v>0.64216151120728604</v>
      </c>
      <c r="E162" s="31">
        <v>-4.7012255830959697</v>
      </c>
      <c r="F162" s="32">
        <v>2.5860462941383399E-6</v>
      </c>
      <c r="G162" s="31">
        <v>4.2688919751757701E-4</v>
      </c>
      <c r="H162" s="30" t="s">
        <v>246</v>
      </c>
      <c r="I162" s="30" t="s">
        <v>292</v>
      </c>
      <c r="J162" s="33" t="s">
        <v>10</v>
      </c>
      <c r="L162" s="31"/>
    </row>
    <row r="163" spans="1:12" x14ac:dyDescent="0.2">
      <c r="A163" s="31" t="s">
        <v>82</v>
      </c>
      <c r="B163" s="31">
        <v>24.9625628955007</v>
      </c>
      <c r="C163" s="31">
        <v>-4.1988334823653704</v>
      </c>
      <c r="D163" s="31">
        <v>0.89366825246889803</v>
      </c>
      <c r="E163" s="31">
        <v>-4.6984252498233401</v>
      </c>
      <c r="F163" s="32">
        <v>2.6217510914861098E-6</v>
      </c>
      <c r="G163" s="31">
        <v>4.31717165569714E-4</v>
      </c>
      <c r="H163" s="33" t="s">
        <v>10</v>
      </c>
      <c r="I163" s="33" t="s">
        <v>10</v>
      </c>
      <c r="J163" s="33" t="s">
        <v>10</v>
      </c>
      <c r="K163" s="30"/>
      <c r="L163" s="31"/>
    </row>
    <row r="164" spans="1:12" x14ac:dyDescent="0.2">
      <c r="A164" s="31" t="s">
        <v>424</v>
      </c>
      <c r="B164" s="31">
        <v>123.147534587766</v>
      </c>
      <c r="C164" s="31">
        <v>-2.3075854767006501</v>
      </c>
      <c r="D164" s="31">
        <v>0.491421594035444</v>
      </c>
      <c r="E164" s="31">
        <v>-4.6957347920983299</v>
      </c>
      <c r="F164" s="32">
        <v>2.65650029090364E-6</v>
      </c>
      <c r="G164" s="31">
        <v>4.35294918991086E-4</v>
      </c>
      <c r="H164" s="33" t="s">
        <v>10</v>
      </c>
      <c r="I164" s="33" t="s">
        <v>10</v>
      </c>
      <c r="J164" s="33" t="s">
        <v>10</v>
      </c>
      <c r="K164" s="30"/>
      <c r="L164" s="31"/>
    </row>
    <row r="165" spans="1:12" x14ac:dyDescent="0.2">
      <c r="A165" s="31" t="s">
        <v>303</v>
      </c>
      <c r="B165" s="31">
        <v>48.805890630203301</v>
      </c>
      <c r="C165" s="31">
        <v>-2.9505043211763402</v>
      </c>
      <c r="D165" s="31">
        <v>0.63021757602741202</v>
      </c>
      <c r="E165" s="31">
        <v>-4.6817233181195901</v>
      </c>
      <c r="F165" s="32">
        <v>2.8447326848159901E-6</v>
      </c>
      <c r="G165" s="31">
        <v>4.5498709005591603E-4</v>
      </c>
      <c r="H165" s="30" t="s">
        <v>246</v>
      </c>
      <c r="I165" s="30" t="s">
        <v>292</v>
      </c>
      <c r="J165" s="33" t="s">
        <v>10</v>
      </c>
      <c r="L165" s="31"/>
    </row>
    <row r="166" spans="1:12" x14ac:dyDescent="0.2">
      <c r="A166" s="31" t="s">
        <v>396</v>
      </c>
      <c r="B166" s="31">
        <v>89.397595863753807</v>
      </c>
      <c r="C166" s="31">
        <v>-2.3455444088070601</v>
      </c>
      <c r="D166" s="31">
        <v>0.50108343964356805</v>
      </c>
      <c r="E166" s="31">
        <v>-4.68094577317403</v>
      </c>
      <c r="F166" s="32">
        <v>2.8555447141255398E-6</v>
      </c>
      <c r="G166" s="31">
        <v>4.5562635289466102E-4</v>
      </c>
      <c r="H166" s="30" t="s">
        <v>399</v>
      </c>
      <c r="I166" s="33" t="s">
        <v>401</v>
      </c>
      <c r="J166" s="33" t="s">
        <v>10</v>
      </c>
      <c r="K166" s="30"/>
      <c r="L166" s="31"/>
    </row>
    <row r="167" spans="1:12" x14ac:dyDescent="0.2">
      <c r="A167" s="31" t="s">
        <v>34</v>
      </c>
      <c r="B167" s="31">
        <v>29.422602343709102</v>
      </c>
      <c r="C167" s="31">
        <v>-7.2739679728188298</v>
      </c>
      <c r="D167" s="31">
        <v>1.5555466633316899</v>
      </c>
      <c r="E167" s="31">
        <v>-4.6761489991173502</v>
      </c>
      <c r="F167" s="32">
        <v>2.9231225481184199E-6</v>
      </c>
      <c r="G167" s="31">
        <v>4.6419324929799702E-4</v>
      </c>
      <c r="H167" s="33" t="s">
        <v>10</v>
      </c>
      <c r="I167" s="33" t="s">
        <v>10</v>
      </c>
      <c r="J167" s="33" t="s">
        <v>10</v>
      </c>
      <c r="K167" s="30"/>
      <c r="L167" s="31"/>
    </row>
    <row r="168" spans="1:12" x14ac:dyDescent="0.2">
      <c r="A168" s="31" t="s">
        <v>69</v>
      </c>
      <c r="B168" s="31">
        <v>31.799502447589202</v>
      </c>
      <c r="C168" s="31">
        <v>-4.5039825829286801</v>
      </c>
      <c r="D168" s="31">
        <v>0.96776042648264005</v>
      </c>
      <c r="E168" s="31">
        <v>-4.6540264095098101</v>
      </c>
      <c r="F168" s="32">
        <v>3.25515083139538E-6</v>
      </c>
      <c r="G168" s="31">
        <v>5.0610025309985704E-4</v>
      </c>
      <c r="H168" s="33" t="s">
        <v>10</v>
      </c>
      <c r="I168" s="33" t="s">
        <v>10</v>
      </c>
      <c r="J168" s="33" t="s">
        <v>10</v>
      </c>
      <c r="K168" s="30"/>
      <c r="L168" s="31"/>
    </row>
    <row r="169" spans="1:12" x14ac:dyDescent="0.2">
      <c r="A169" s="31" t="s">
        <v>365</v>
      </c>
      <c r="B169" s="31">
        <v>84.147193601271795</v>
      </c>
      <c r="C169" s="31">
        <v>-2.56654232151539</v>
      </c>
      <c r="D169" s="31">
        <v>0.55587055203531099</v>
      </c>
      <c r="E169" s="31">
        <v>-4.6171582792397299</v>
      </c>
      <c r="F169" s="32">
        <v>3.8903055102855498E-6</v>
      </c>
      <c r="G169" s="31">
        <v>5.85780123626443E-4</v>
      </c>
      <c r="H169" s="33" t="s">
        <v>10</v>
      </c>
      <c r="I169" s="33" t="s">
        <v>10</v>
      </c>
      <c r="J169" s="33" t="s">
        <v>10</v>
      </c>
      <c r="K169" s="30"/>
      <c r="L169" s="31"/>
    </row>
    <row r="170" spans="1:12" x14ac:dyDescent="0.2">
      <c r="A170" s="31" t="s">
        <v>203</v>
      </c>
      <c r="B170" s="31">
        <v>39.2462099795789</v>
      </c>
      <c r="C170" s="31">
        <v>-3.2900676295839602</v>
      </c>
      <c r="D170" s="31">
        <v>0.71766126221818205</v>
      </c>
      <c r="E170" s="31">
        <v>-4.5844297341824802</v>
      </c>
      <c r="F170" s="32">
        <v>4.5522713685620901E-6</v>
      </c>
      <c r="G170" s="31">
        <v>6.7183687051924597E-4</v>
      </c>
      <c r="H170" s="33" t="s">
        <v>10</v>
      </c>
      <c r="I170" s="33" t="s">
        <v>10</v>
      </c>
      <c r="J170" s="33" t="s">
        <v>10</v>
      </c>
      <c r="K170" s="30"/>
      <c r="L170" s="31"/>
    </row>
    <row r="171" spans="1:12" x14ac:dyDescent="0.2">
      <c r="A171" s="31" t="s">
        <v>135</v>
      </c>
      <c r="B171" s="31">
        <v>27.3301081641461</v>
      </c>
      <c r="C171" s="31">
        <v>-3.6168738464013299</v>
      </c>
      <c r="D171" s="31">
        <v>0.79654904864217502</v>
      </c>
      <c r="E171" s="31">
        <v>-4.5406793876243698</v>
      </c>
      <c r="F171" s="32">
        <v>5.6073245982886004E-6</v>
      </c>
      <c r="G171" s="31">
        <v>8.0398148225100904E-4</v>
      </c>
      <c r="H171" s="30" t="s">
        <v>136</v>
      </c>
      <c r="I171" s="30" t="s">
        <v>137</v>
      </c>
      <c r="J171" s="33" t="s">
        <v>10</v>
      </c>
      <c r="L171" s="31"/>
    </row>
    <row r="172" spans="1:12" x14ac:dyDescent="0.2">
      <c r="A172" s="31" t="s">
        <v>294</v>
      </c>
      <c r="B172" s="31">
        <v>37.612233965112203</v>
      </c>
      <c r="C172" s="31">
        <v>-3.0156505599274901</v>
      </c>
      <c r="D172" s="31">
        <v>0.66625775707018997</v>
      </c>
      <c r="E172" s="31">
        <v>-4.5262520817596803</v>
      </c>
      <c r="F172" s="32">
        <v>6.00389581517642E-6</v>
      </c>
      <c r="G172" s="31">
        <v>8.4166972293225103E-4</v>
      </c>
      <c r="H172" s="30" t="s">
        <v>296</v>
      </c>
      <c r="I172" s="33" t="s">
        <v>10</v>
      </c>
      <c r="J172" s="33" t="s">
        <v>10</v>
      </c>
      <c r="K172" s="30"/>
      <c r="L172" s="31"/>
    </row>
    <row r="173" spans="1:12" x14ac:dyDescent="0.2">
      <c r="A173" s="31" t="s">
        <v>113</v>
      </c>
      <c r="B173" s="31">
        <v>33.970327688166101</v>
      </c>
      <c r="C173" s="31">
        <v>-3.7625278412188301</v>
      </c>
      <c r="D173" s="31">
        <v>0.83156863841887496</v>
      </c>
      <c r="E173" s="31">
        <v>-4.5246148873204302</v>
      </c>
      <c r="F173" s="32">
        <v>6.0505578716167098E-6</v>
      </c>
      <c r="G173" s="31">
        <v>8.4625532742036704E-4</v>
      </c>
      <c r="H173" s="33" t="s">
        <v>114</v>
      </c>
      <c r="I173" s="33" t="s">
        <v>115</v>
      </c>
      <c r="J173" s="33" t="s">
        <v>3054</v>
      </c>
      <c r="K173" s="30"/>
      <c r="L173" s="31"/>
    </row>
    <row r="174" spans="1:12" x14ac:dyDescent="0.2">
      <c r="A174" s="31" t="s">
        <v>356</v>
      </c>
      <c r="B174" s="31">
        <v>82.946459163421906</v>
      </c>
      <c r="C174" s="31">
        <v>-2.5978525853151302</v>
      </c>
      <c r="D174" s="31">
        <v>0.57450051466683205</v>
      </c>
      <c r="E174" s="31">
        <v>-4.5219325640146497</v>
      </c>
      <c r="F174" s="32">
        <v>6.1277583585630897E-6</v>
      </c>
      <c r="G174" s="31">
        <v>8.53481843878615E-4</v>
      </c>
      <c r="H174" s="30" t="s">
        <v>360</v>
      </c>
      <c r="I174" s="33" t="s">
        <v>10</v>
      </c>
      <c r="J174" s="33" t="s">
        <v>10</v>
      </c>
      <c r="K174" s="30"/>
      <c r="L174" s="31"/>
    </row>
    <row r="175" spans="1:12" x14ac:dyDescent="0.2">
      <c r="A175" s="31" t="s">
        <v>75</v>
      </c>
      <c r="B175" s="31">
        <v>694.226608944448</v>
      </c>
      <c r="C175" s="31">
        <v>-4.4272959737745499</v>
      </c>
      <c r="D175" s="31">
        <v>0.97981423817566304</v>
      </c>
      <c r="E175" s="31">
        <v>-4.5185054485611698</v>
      </c>
      <c r="F175" s="32">
        <v>6.2277671117882503E-6</v>
      </c>
      <c r="G175" s="31">
        <v>8.6202354090808098E-4</v>
      </c>
      <c r="H175" s="33" t="s">
        <v>10</v>
      </c>
      <c r="I175" s="33" t="s">
        <v>10</v>
      </c>
      <c r="J175" s="33" t="s">
        <v>10</v>
      </c>
      <c r="K175" s="30"/>
      <c r="L175" s="31"/>
    </row>
    <row r="176" spans="1:12" x14ac:dyDescent="0.2">
      <c r="A176" s="31" t="s">
        <v>491</v>
      </c>
      <c r="B176" s="31">
        <v>147.36604086718799</v>
      </c>
      <c r="C176" s="31">
        <v>-2.16878162023762</v>
      </c>
      <c r="D176" s="31">
        <v>0.480683897459041</v>
      </c>
      <c r="E176" s="31">
        <v>-4.5118665961187601</v>
      </c>
      <c r="F176" s="32">
        <v>6.4259601553407499E-6</v>
      </c>
      <c r="G176" s="31">
        <v>8.8215105992875897E-4</v>
      </c>
      <c r="H176" s="33" t="s">
        <v>10</v>
      </c>
      <c r="I176" s="33" t="s">
        <v>10</v>
      </c>
      <c r="J176" s="33" t="s">
        <v>10</v>
      </c>
      <c r="K176" s="30"/>
      <c r="L176" s="31"/>
    </row>
    <row r="177" spans="1:12" x14ac:dyDescent="0.2">
      <c r="A177" s="31" t="s">
        <v>466</v>
      </c>
      <c r="B177" s="31">
        <v>86.665152074890898</v>
      </c>
      <c r="C177" s="31">
        <v>-2.2396973826582198</v>
      </c>
      <c r="D177" s="31">
        <v>0.49834940113176501</v>
      </c>
      <c r="E177" s="31">
        <v>-4.4942311108868802</v>
      </c>
      <c r="F177" s="32">
        <v>6.9821766463800298E-6</v>
      </c>
      <c r="G177" s="31">
        <v>9.4684263629561205E-4</v>
      </c>
      <c r="H177" s="33" t="s">
        <v>10</v>
      </c>
      <c r="I177" s="33" t="s">
        <v>10</v>
      </c>
      <c r="J177" s="33" t="s">
        <v>10</v>
      </c>
      <c r="K177" s="30"/>
      <c r="L177" s="31"/>
    </row>
    <row r="178" spans="1:12" x14ac:dyDescent="0.2">
      <c r="A178" s="31" t="s">
        <v>229</v>
      </c>
      <c r="B178" s="31">
        <v>48.217196370699497</v>
      </c>
      <c r="C178" s="31">
        <v>-3.2289497933262301</v>
      </c>
      <c r="D178" s="31">
        <v>0.71939592834232702</v>
      </c>
      <c r="E178" s="31">
        <v>-4.4884182216134603</v>
      </c>
      <c r="F178" s="32">
        <v>7.1753958489561902E-6</v>
      </c>
      <c r="G178" s="31">
        <v>9.6763590532235203E-4</v>
      </c>
      <c r="H178" s="33" t="s">
        <v>10</v>
      </c>
      <c r="I178" s="33" t="s">
        <v>10</v>
      </c>
      <c r="J178" s="33" t="s">
        <v>10</v>
      </c>
      <c r="K178" s="30"/>
      <c r="L178" s="31"/>
    </row>
    <row r="179" spans="1:12" x14ac:dyDescent="0.2">
      <c r="A179" s="31" t="s">
        <v>402</v>
      </c>
      <c r="B179" s="31">
        <v>79.878338860927997</v>
      </c>
      <c r="C179" s="31">
        <v>-2.3453783403403898</v>
      </c>
      <c r="D179" s="31">
        <v>0.52258755633958298</v>
      </c>
      <c r="E179" s="31">
        <v>-4.4880103092549302</v>
      </c>
      <c r="F179" s="32">
        <v>7.1891450780502703E-6</v>
      </c>
      <c r="G179" s="31">
        <v>9.6763590532235203E-4</v>
      </c>
      <c r="H179" s="30" t="s">
        <v>404</v>
      </c>
      <c r="I179" s="33" t="s">
        <v>405</v>
      </c>
      <c r="J179" s="33" t="s">
        <v>10</v>
      </c>
      <c r="K179" s="30"/>
      <c r="L179" s="31"/>
    </row>
    <row r="180" spans="1:12" x14ac:dyDescent="0.2">
      <c r="A180" s="31" t="s">
        <v>2857</v>
      </c>
      <c r="B180" s="31">
        <v>84.022605147278099</v>
      </c>
      <c r="C180" s="31">
        <v>-2.1433658630078001</v>
      </c>
      <c r="D180" s="31">
        <v>0.47859672154632399</v>
      </c>
      <c r="E180" s="31">
        <v>-4.4784382477228002</v>
      </c>
      <c r="F180" s="32">
        <v>7.5191114518585203E-6</v>
      </c>
      <c r="G180" s="31">
        <v>1.005380392228E-3</v>
      </c>
      <c r="H180" s="33" t="s">
        <v>10</v>
      </c>
      <c r="I180" s="33" t="s">
        <v>10</v>
      </c>
      <c r="J180" s="33" t="s">
        <v>10</v>
      </c>
      <c r="K180" s="30"/>
      <c r="L180" s="31"/>
    </row>
    <row r="181" spans="1:12" x14ac:dyDescent="0.2">
      <c r="A181" s="31" t="s">
        <v>2858</v>
      </c>
      <c r="B181" s="31">
        <v>135.51436586172201</v>
      </c>
      <c r="C181" s="31">
        <v>-2.18386549082296</v>
      </c>
      <c r="D181" s="31">
        <v>0.48856544977434802</v>
      </c>
      <c r="E181" s="31">
        <v>-4.4699548276113497</v>
      </c>
      <c r="F181" s="32">
        <v>7.8236119093006593E-6</v>
      </c>
      <c r="G181" s="31">
        <v>1.0440071341243399E-3</v>
      </c>
      <c r="H181" s="33" t="s">
        <v>10</v>
      </c>
      <c r="I181" s="33" t="s">
        <v>10</v>
      </c>
      <c r="J181" s="33" t="s">
        <v>10</v>
      </c>
      <c r="K181" s="30"/>
      <c r="L181" s="31"/>
    </row>
    <row r="182" spans="1:12" x14ac:dyDescent="0.2">
      <c r="A182" s="31" t="s">
        <v>2859</v>
      </c>
      <c r="B182" s="31">
        <v>26.7407334339754</v>
      </c>
      <c r="C182" s="31">
        <v>-3.5635753091933302</v>
      </c>
      <c r="D182" s="31">
        <v>0.79749984249648098</v>
      </c>
      <c r="E182" s="31">
        <v>-4.4684338720844998</v>
      </c>
      <c r="F182" s="32">
        <v>7.8794362919635592E-6</v>
      </c>
      <c r="G182" s="31">
        <v>1.04936197868371E-3</v>
      </c>
      <c r="H182" s="33" t="s">
        <v>10</v>
      </c>
      <c r="I182" s="33" t="s">
        <v>10</v>
      </c>
      <c r="J182" s="33" t="s">
        <v>10</v>
      </c>
      <c r="K182" s="30"/>
      <c r="L182" s="31"/>
    </row>
    <row r="183" spans="1:12" x14ac:dyDescent="0.2">
      <c r="A183" s="31" t="s">
        <v>2860</v>
      </c>
      <c r="B183" s="31">
        <v>237.52025963849101</v>
      </c>
      <c r="C183" s="31">
        <v>-2.0370235025702099</v>
      </c>
      <c r="D183" s="31">
        <v>0.45608243472423998</v>
      </c>
      <c r="E183" s="31">
        <v>-4.4663493866012303</v>
      </c>
      <c r="F183" s="32">
        <v>7.9565630831730194E-6</v>
      </c>
      <c r="G183" s="31">
        <v>1.05752688851994E-3</v>
      </c>
      <c r="H183" s="33" t="s">
        <v>10</v>
      </c>
      <c r="I183" s="33" t="s">
        <v>10</v>
      </c>
      <c r="J183" s="33" t="s">
        <v>10</v>
      </c>
      <c r="K183" s="30"/>
      <c r="L183" s="31"/>
    </row>
    <row r="184" spans="1:12" x14ac:dyDescent="0.2">
      <c r="A184" s="31" t="s">
        <v>2861</v>
      </c>
      <c r="B184" s="31">
        <v>120.247974138012</v>
      </c>
      <c r="C184" s="31">
        <v>-2.53818716760841</v>
      </c>
      <c r="D184" s="31">
        <v>0.56917191185105298</v>
      </c>
      <c r="E184" s="31">
        <v>-4.4594385540807</v>
      </c>
      <c r="F184" s="32">
        <v>8.2174626850323208E-6</v>
      </c>
      <c r="G184" s="31">
        <v>1.0878781540749199E-3</v>
      </c>
      <c r="H184" s="33" t="s">
        <v>10</v>
      </c>
      <c r="I184" s="33" t="s">
        <v>10</v>
      </c>
      <c r="J184" s="33" t="s">
        <v>10</v>
      </c>
      <c r="K184" s="30"/>
      <c r="L184" s="31"/>
    </row>
    <row r="185" spans="1:12" x14ac:dyDescent="0.2">
      <c r="A185" s="31" t="s">
        <v>2862</v>
      </c>
      <c r="B185" s="31">
        <v>27.513364330204801</v>
      </c>
      <c r="C185" s="31">
        <v>-3.6276206967401601</v>
      </c>
      <c r="D185" s="31">
        <v>0.81420713868345895</v>
      </c>
      <c r="E185" s="31">
        <v>-4.4554027155864597</v>
      </c>
      <c r="F185" s="32">
        <v>8.3735860878493892E-6</v>
      </c>
      <c r="G185" s="31">
        <v>1.10417376312262E-3</v>
      </c>
      <c r="H185" s="33" t="s">
        <v>3091</v>
      </c>
      <c r="I185" s="33" t="s">
        <v>3122</v>
      </c>
      <c r="J185" s="33" t="s">
        <v>10</v>
      </c>
      <c r="K185" s="30"/>
      <c r="L185" s="31"/>
    </row>
    <row r="186" spans="1:12" x14ac:dyDescent="0.2">
      <c r="A186" s="31" t="s">
        <v>2863</v>
      </c>
      <c r="B186" s="31">
        <v>48.274754265121203</v>
      </c>
      <c r="C186" s="31">
        <v>-2.6348715014761201</v>
      </c>
      <c r="D186" s="31">
        <v>0.59171976848777297</v>
      </c>
      <c r="E186" s="31">
        <v>-4.4529042999694299</v>
      </c>
      <c r="F186" s="32">
        <v>8.4716519335118804E-6</v>
      </c>
      <c r="G186" s="31">
        <v>1.1127156974753199E-3</v>
      </c>
      <c r="H186" s="33" t="s">
        <v>10</v>
      </c>
      <c r="I186" s="33" t="s">
        <v>10</v>
      </c>
      <c r="J186" s="33" t="s">
        <v>10</v>
      </c>
      <c r="K186" s="30"/>
      <c r="L186" s="31"/>
    </row>
    <row r="187" spans="1:12" x14ac:dyDescent="0.2">
      <c r="A187" s="31" t="s">
        <v>2864</v>
      </c>
      <c r="B187" s="31">
        <v>210.09358556544501</v>
      </c>
      <c r="C187" s="31">
        <v>-2.0213240391482898</v>
      </c>
      <c r="D187" s="31">
        <v>0.45518549485097198</v>
      </c>
      <c r="E187" s="31">
        <v>-4.44066004302283</v>
      </c>
      <c r="F187" s="32">
        <v>8.96833773857905E-6</v>
      </c>
      <c r="G187" s="31">
        <v>1.15748691025618E-3</v>
      </c>
      <c r="H187" s="33" t="s">
        <v>10</v>
      </c>
      <c r="I187" s="33" t="s">
        <v>3141</v>
      </c>
      <c r="J187" s="33" t="s">
        <v>10</v>
      </c>
      <c r="K187" s="30"/>
      <c r="L187" s="31"/>
    </row>
    <row r="188" spans="1:12" x14ac:dyDescent="0.2">
      <c r="A188" s="31" t="s">
        <v>2865</v>
      </c>
      <c r="B188" s="31">
        <v>32.592116440599597</v>
      </c>
      <c r="C188" s="31">
        <v>-3.5960178363842399</v>
      </c>
      <c r="D188" s="31">
        <v>0.81428399835597998</v>
      </c>
      <c r="E188" s="31">
        <v>-4.41617156132813</v>
      </c>
      <c r="F188" s="32">
        <v>1.0046435881873799E-5</v>
      </c>
      <c r="G188" s="31">
        <v>1.2720728615202099E-3</v>
      </c>
      <c r="H188" s="33" t="s">
        <v>10</v>
      </c>
      <c r="I188" s="33" t="s">
        <v>10</v>
      </c>
      <c r="J188" s="33" t="s">
        <v>10</v>
      </c>
      <c r="K188" s="30"/>
      <c r="L188" s="31"/>
    </row>
    <row r="189" spans="1:12" x14ac:dyDescent="0.2">
      <c r="A189" s="31" t="s">
        <v>2866</v>
      </c>
      <c r="B189" s="31">
        <v>73.882643579185597</v>
      </c>
      <c r="C189" s="31">
        <v>-2.47571663501909</v>
      </c>
      <c r="D189" s="31">
        <v>0.561361798878521</v>
      </c>
      <c r="E189" s="31">
        <v>-4.4101979150790802</v>
      </c>
      <c r="F189" s="32">
        <v>1.03276185190835E-5</v>
      </c>
      <c r="G189" s="31">
        <v>1.2929830263920001E-3</v>
      </c>
      <c r="H189" s="33" t="s">
        <v>3092</v>
      </c>
      <c r="I189" s="33" t="s">
        <v>3123</v>
      </c>
      <c r="J189" s="33" t="s">
        <v>3043</v>
      </c>
      <c r="K189" s="30"/>
      <c r="L189" s="31"/>
    </row>
    <row r="190" spans="1:12" x14ac:dyDescent="0.2">
      <c r="A190" s="31" t="s">
        <v>2867</v>
      </c>
      <c r="B190" s="31">
        <v>56.469000733237102</v>
      </c>
      <c r="C190" s="31">
        <v>-2.52487768290151</v>
      </c>
      <c r="D190" s="31">
        <v>0.57467405329576804</v>
      </c>
      <c r="E190" s="31">
        <v>-4.3935821852775101</v>
      </c>
      <c r="F190" s="32">
        <v>1.1149801032357999E-5</v>
      </c>
      <c r="G190" s="31">
        <v>1.3778557264663501E-3</v>
      </c>
      <c r="H190" s="33" t="s">
        <v>10</v>
      </c>
      <c r="I190" s="33" t="s">
        <v>10</v>
      </c>
      <c r="J190" s="33" t="s">
        <v>10</v>
      </c>
      <c r="K190" s="30"/>
      <c r="L190" s="31"/>
    </row>
    <row r="191" spans="1:12" x14ac:dyDescent="0.2">
      <c r="A191" s="31" t="s">
        <v>2868</v>
      </c>
      <c r="B191" s="31">
        <v>38.953441969022499</v>
      </c>
      <c r="C191" s="31">
        <v>-2.9585095034060598</v>
      </c>
      <c r="D191" s="31">
        <v>0.67599092162537</v>
      </c>
      <c r="E191" s="31">
        <v>-4.3765521233518001</v>
      </c>
      <c r="F191" s="32">
        <v>1.20571368491724E-5</v>
      </c>
      <c r="G191" s="31">
        <v>1.47391653770958E-3</v>
      </c>
      <c r="H191" s="33" t="s">
        <v>10</v>
      </c>
      <c r="I191" s="33" t="s">
        <v>10</v>
      </c>
      <c r="J191" s="33" t="s">
        <v>10</v>
      </c>
      <c r="K191" s="30"/>
      <c r="L191" s="31"/>
    </row>
    <row r="192" spans="1:12" x14ac:dyDescent="0.2">
      <c r="A192" s="31" t="s">
        <v>2869</v>
      </c>
      <c r="B192" s="31">
        <v>108.17186420074199</v>
      </c>
      <c r="C192" s="31">
        <v>-2.2949736812244801</v>
      </c>
      <c r="D192" s="31">
        <v>0.52509023920048203</v>
      </c>
      <c r="E192" s="31">
        <v>-4.37062719870565</v>
      </c>
      <c r="F192" s="32">
        <v>1.23890158439066E-5</v>
      </c>
      <c r="G192" s="31">
        <v>1.50594118953523E-3</v>
      </c>
      <c r="H192" s="33" t="s">
        <v>3104</v>
      </c>
      <c r="I192" s="33" t="s">
        <v>3145</v>
      </c>
      <c r="J192" s="33" t="s">
        <v>3072</v>
      </c>
      <c r="K192" s="30"/>
      <c r="L192" s="31"/>
    </row>
    <row r="193" spans="1:12" x14ac:dyDescent="0.2">
      <c r="A193" s="31" t="s">
        <v>2870</v>
      </c>
      <c r="B193" s="31">
        <v>88.127044392836794</v>
      </c>
      <c r="C193" s="31">
        <v>-2.1572204870732201</v>
      </c>
      <c r="D193" s="31">
        <v>0.49495380872689798</v>
      </c>
      <c r="E193" s="31">
        <v>-4.3584278957706104</v>
      </c>
      <c r="F193" s="32">
        <v>1.31000067091833E-5</v>
      </c>
      <c r="G193" s="31">
        <v>1.5715944835254399E-3</v>
      </c>
      <c r="H193" s="33" t="s">
        <v>10</v>
      </c>
      <c r="I193" s="33" t="s">
        <v>10</v>
      </c>
      <c r="J193" s="33" t="s">
        <v>10</v>
      </c>
      <c r="K193" s="30"/>
      <c r="L193" s="31"/>
    </row>
    <row r="194" spans="1:12" x14ac:dyDescent="0.2">
      <c r="A194" s="31" t="s">
        <v>2871</v>
      </c>
      <c r="B194" s="31">
        <v>121.103668313763</v>
      </c>
      <c r="C194" s="31">
        <v>-2.0042025122161502</v>
      </c>
      <c r="D194" s="31">
        <v>0.460693842356862</v>
      </c>
      <c r="E194" s="31">
        <v>-4.3504000443393203</v>
      </c>
      <c r="F194" s="32">
        <v>1.3588938918053501E-5</v>
      </c>
      <c r="G194" s="31">
        <v>1.6223009131544001E-3</v>
      </c>
      <c r="H194" s="33" t="s">
        <v>2764</v>
      </c>
      <c r="I194" s="33" t="s">
        <v>3119</v>
      </c>
      <c r="J194" s="33" t="s">
        <v>3038</v>
      </c>
      <c r="K194" s="30"/>
      <c r="L194" s="31"/>
    </row>
    <row r="195" spans="1:12" x14ac:dyDescent="0.2">
      <c r="A195" s="31" t="s">
        <v>2872</v>
      </c>
      <c r="B195" s="31">
        <v>90.104625462740501</v>
      </c>
      <c r="C195" s="31">
        <v>-2.3699990876274502</v>
      </c>
      <c r="D195" s="31">
        <v>0.54550808982893895</v>
      </c>
      <c r="E195" s="31">
        <v>-4.3445718437844496</v>
      </c>
      <c r="F195" s="32">
        <v>1.3954756874748099E-5</v>
      </c>
      <c r="G195" s="31">
        <v>1.66004496594535E-3</v>
      </c>
      <c r="H195" s="33" t="s">
        <v>382</v>
      </c>
      <c r="I195" s="33" t="s">
        <v>86</v>
      </c>
      <c r="J195" s="33" t="s">
        <v>3084</v>
      </c>
      <c r="K195" s="30"/>
      <c r="L195" s="31"/>
    </row>
    <row r="196" spans="1:12" x14ac:dyDescent="0.2">
      <c r="A196" s="31" t="s">
        <v>2873</v>
      </c>
      <c r="B196" s="31">
        <v>100.546546649908</v>
      </c>
      <c r="C196" s="31">
        <v>-2.0263755437892201</v>
      </c>
      <c r="D196" s="31">
        <v>0.46923415171411598</v>
      </c>
      <c r="E196" s="31">
        <v>-4.3184741272280602</v>
      </c>
      <c r="F196" s="32">
        <v>1.57111635490582E-5</v>
      </c>
      <c r="G196" s="31">
        <v>1.83952686352414E-3</v>
      </c>
      <c r="H196" s="33" t="s">
        <v>10</v>
      </c>
      <c r="I196" s="33" t="s">
        <v>10</v>
      </c>
      <c r="J196" s="33" t="s">
        <v>10</v>
      </c>
      <c r="K196" s="30"/>
      <c r="L196" s="31"/>
    </row>
    <row r="197" spans="1:12" x14ac:dyDescent="0.2">
      <c r="A197" s="31" t="s">
        <v>2874</v>
      </c>
      <c r="B197" s="31">
        <v>30.311626106456</v>
      </c>
      <c r="C197" s="31">
        <v>-4.1657931840136202</v>
      </c>
      <c r="D197" s="31">
        <v>0.96475753757736604</v>
      </c>
      <c r="E197" s="31">
        <v>-4.3179690458542401</v>
      </c>
      <c r="F197" s="32">
        <v>1.57471508034556E-5</v>
      </c>
      <c r="G197" s="31">
        <v>1.8405170751136801E-3</v>
      </c>
      <c r="H197" s="33" t="s">
        <v>10</v>
      </c>
      <c r="I197" s="33" t="s">
        <v>10</v>
      </c>
      <c r="J197" s="33" t="s">
        <v>10</v>
      </c>
      <c r="K197" s="30"/>
      <c r="L197" s="31"/>
    </row>
    <row r="198" spans="1:12" x14ac:dyDescent="0.2">
      <c r="A198" s="31" t="s">
        <v>2875</v>
      </c>
      <c r="B198" s="31">
        <v>34.1913543223029</v>
      </c>
      <c r="C198" s="31">
        <v>-3.12403495642589</v>
      </c>
      <c r="D198" s="31">
        <v>0.72606718084775401</v>
      </c>
      <c r="E198" s="31">
        <v>-4.3026803012612103</v>
      </c>
      <c r="F198" s="32">
        <v>1.6874425155169599E-5</v>
      </c>
      <c r="G198" s="31">
        <v>1.94506843749805E-3</v>
      </c>
      <c r="H198" s="33" t="s">
        <v>10</v>
      </c>
      <c r="I198" s="33" t="s">
        <v>10</v>
      </c>
      <c r="J198" s="33" t="s">
        <v>10</v>
      </c>
      <c r="K198" s="30"/>
      <c r="L198" s="31"/>
    </row>
    <row r="199" spans="1:12" x14ac:dyDescent="0.2">
      <c r="A199" s="31" t="s">
        <v>2876</v>
      </c>
      <c r="B199" s="31">
        <v>233.25411353112099</v>
      </c>
      <c r="C199" s="31">
        <v>-2.14351900534332</v>
      </c>
      <c r="D199" s="31">
        <v>0.49884489336312399</v>
      </c>
      <c r="E199" s="31">
        <v>-4.2969649160726</v>
      </c>
      <c r="F199" s="32">
        <v>1.7315258750647999E-5</v>
      </c>
      <c r="G199" s="31">
        <v>1.9822116845454999E-3</v>
      </c>
      <c r="H199" s="33" t="s">
        <v>10</v>
      </c>
      <c r="I199" s="33" t="s">
        <v>10</v>
      </c>
      <c r="J199" s="33" t="s">
        <v>10</v>
      </c>
      <c r="K199" s="30"/>
      <c r="L199" s="31"/>
    </row>
    <row r="200" spans="1:12" x14ac:dyDescent="0.2">
      <c r="A200" s="31" t="s">
        <v>2877</v>
      </c>
      <c r="B200" s="31">
        <v>79.108932698403507</v>
      </c>
      <c r="C200" s="31">
        <v>-2.27271177961117</v>
      </c>
      <c r="D200" s="31">
        <v>0.53176915524254698</v>
      </c>
      <c r="E200" s="31">
        <v>-4.27386913514108</v>
      </c>
      <c r="F200" s="32">
        <v>1.92109816538565E-5</v>
      </c>
      <c r="G200" s="31">
        <v>2.1513403324431701E-3</v>
      </c>
      <c r="H200" s="33" t="s">
        <v>10</v>
      </c>
      <c r="I200" s="33" t="s">
        <v>391</v>
      </c>
      <c r="J200" s="33" t="s">
        <v>10</v>
      </c>
      <c r="K200" s="30"/>
      <c r="L200" s="31"/>
    </row>
    <row r="201" spans="1:12" x14ac:dyDescent="0.2">
      <c r="A201" s="31" t="s">
        <v>2878</v>
      </c>
      <c r="B201" s="31">
        <v>120.676712674694</v>
      </c>
      <c r="C201" s="31">
        <v>-2.44362913877886</v>
      </c>
      <c r="D201" s="31">
        <v>0.57219814650147305</v>
      </c>
      <c r="E201" s="31">
        <v>-4.2705995357022202</v>
      </c>
      <c r="F201" s="32">
        <v>1.9494818975547399E-5</v>
      </c>
      <c r="G201" s="31">
        <v>2.1722102043503699E-3</v>
      </c>
      <c r="H201" s="33" t="s">
        <v>10</v>
      </c>
      <c r="I201" s="33" t="s">
        <v>10</v>
      </c>
      <c r="J201" s="33" t="s">
        <v>10</v>
      </c>
      <c r="K201" s="30"/>
      <c r="L201" s="31"/>
    </row>
    <row r="202" spans="1:12" x14ac:dyDescent="0.2">
      <c r="A202" s="31" t="s">
        <v>2879</v>
      </c>
      <c r="B202" s="31">
        <v>81.974390389770605</v>
      </c>
      <c r="C202" s="31">
        <v>-2.3498453246531499</v>
      </c>
      <c r="D202" s="31">
        <v>0.55032557528615</v>
      </c>
      <c r="E202" s="31">
        <v>-4.2699184449701697</v>
      </c>
      <c r="F202" s="32">
        <v>1.9554445699856599E-5</v>
      </c>
      <c r="G202" s="31">
        <v>2.1724021658302401E-3</v>
      </c>
      <c r="H202" s="33" t="s">
        <v>10</v>
      </c>
      <c r="I202" s="33" t="s">
        <v>10</v>
      </c>
      <c r="J202" s="33" t="s">
        <v>10</v>
      </c>
      <c r="K202" s="30"/>
      <c r="L202" s="31"/>
    </row>
    <row r="203" spans="1:12" x14ac:dyDescent="0.2">
      <c r="A203" s="31" t="s">
        <v>2880</v>
      </c>
      <c r="B203" s="31">
        <v>67.192605358397302</v>
      </c>
      <c r="C203" s="31">
        <v>-2.5935583515161702</v>
      </c>
      <c r="D203" s="31">
        <v>0.60864971466870099</v>
      </c>
      <c r="E203" s="31">
        <v>-4.2611674482224799</v>
      </c>
      <c r="F203" s="32">
        <v>2.03361787886917E-5</v>
      </c>
      <c r="G203" s="31">
        <v>2.2472317899470801E-3</v>
      </c>
      <c r="H203" s="33" t="s">
        <v>540</v>
      </c>
      <c r="I203" s="33" t="s">
        <v>3149</v>
      </c>
      <c r="J203" s="33" t="s">
        <v>10</v>
      </c>
      <c r="K203" s="30"/>
      <c r="L203" s="31"/>
    </row>
    <row r="204" spans="1:12" x14ac:dyDescent="0.2">
      <c r="A204" s="31" t="s">
        <v>2881</v>
      </c>
      <c r="B204" s="31">
        <v>53.539097037876701</v>
      </c>
      <c r="C204" s="31">
        <v>-2.4874183388720401</v>
      </c>
      <c r="D204" s="31">
        <v>0.58460159142824597</v>
      </c>
      <c r="E204" s="31">
        <v>-4.2548949153473901</v>
      </c>
      <c r="F204" s="32">
        <v>2.0914721720742099E-5</v>
      </c>
      <c r="G204" s="31">
        <v>2.2891929285033599E-3</v>
      </c>
      <c r="H204" s="33" t="s">
        <v>10</v>
      </c>
      <c r="I204" s="33" t="s">
        <v>401</v>
      </c>
      <c r="J204" s="33" t="s">
        <v>10</v>
      </c>
      <c r="K204" s="30"/>
      <c r="L204" s="31"/>
    </row>
    <row r="205" spans="1:12" x14ac:dyDescent="0.2">
      <c r="A205" s="31" t="s">
        <v>2882</v>
      </c>
      <c r="B205" s="31">
        <v>122.707781000298</v>
      </c>
      <c r="C205" s="31">
        <v>-2.1871463623921699</v>
      </c>
      <c r="D205" s="31">
        <v>0.51495717327812796</v>
      </c>
      <c r="E205" s="31">
        <v>-4.2472393353978903</v>
      </c>
      <c r="F205" s="32">
        <v>2.1642073201803601E-5</v>
      </c>
      <c r="G205" s="31">
        <v>2.3412310742824899E-3</v>
      </c>
      <c r="H205" s="33" t="s">
        <v>10</v>
      </c>
      <c r="I205" s="33" t="s">
        <v>10</v>
      </c>
      <c r="J205" s="33" t="s">
        <v>10</v>
      </c>
      <c r="K205" s="30"/>
      <c r="L205" s="31"/>
    </row>
    <row r="206" spans="1:12" x14ac:dyDescent="0.2">
      <c r="A206" s="50" t="s">
        <v>2883</v>
      </c>
      <c r="B206" s="50">
        <v>80.212774391968495</v>
      </c>
      <c r="C206" s="50">
        <v>-2.3113248848699799</v>
      </c>
      <c r="D206" s="50">
        <v>0.54559358248203504</v>
      </c>
      <c r="E206" s="50">
        <v>-4.2363491050521702</v>
      </c>
      <c r="F206" s="51">
        <v>2.2718346991335999E-5</v>
      </c>
      <c r="G206" s="50">
        <v>2.4448017336424202E-3</v>
      </c>
      <c r="H206" s="50" t="s">
        <v>164</v>
      </c>
      <c r="I206" s="50" t="s">
        <v>3148</v>
      </c>
      <c r="J206" s="50" t="s">
        <v>10</v>
      </c>
      <c r="K206" s="30"/>
      <c r="L206" s="31"/>
    </row>
    <row r="207" spans="1:12" x14ac:dyDescent="0.2">
      <c r="A207" s="31" t="s">
        <v>2884</v>
      </c>
      <c r="B207" s="31">
        <v>48.0275560893256</v>
      </c>
      <c r="C207" s="31">
        <v>-2.77605822540179</v>
      </c>
      <c r="D207" s="31">
        <v>0.65780184070112302</v>
      </c>
      <c r="E207" s="31">
        <v>-4.22020440447979</v>
      </c>
      <c r="F207" s="32">
        <v>2.4408090798730799E-5</v>
      </c>
      <c r="G207" s="31">
        <v>2.5901633497605499E-3</v>
      </c>
      <c r="H207" s="33" t="s">
        <v>3106</v>
      </c>
      <c r="I207" s="33" t="s">
        <v>401</v>
      </c>
      <c r="J207" s="33" t="s">
        <v>10</v>
      </c>
      <c r="K207" s="30"/>
      <c r="L207" s="31"/>
    </row>
    <row r="208" spans="1:12" x14ac:dyDescent="0.2">
      <c r="A208" s="31" t="s">
        <v>2885</v>
      </c>
      <c r="B208" s="31">
        <v>1073.11902176484</v>
      </c>
      <c r="C208" s="31">
        <v>-3.5151076998395898</v>
      </c>
      <c r="D208" s="31">
        <v>0.83308721212579795</v>
      </c>
      <c r="E208" s="31">
        <v>-4.2193754131335703</v>
      </c>
      <c r="F208" s="32">
        <v>2.4498005430709401E-5</v>
      </c>
      <c r="G208" s="31">
        <v>2.5934897412594098E-3</v>
      </c>
      <c r="H208" s="33" t="s">
        <v>10</v>
      </c>
      <c r="I208" s="33" t="s">
        <v>10</v>
      </c>
      <c r="J208" s="33" t="s">
        <v>10</v>
      </c>
      <c r="K208" s="30"/>
      <c r="L208" s="31"/>
    </row>
    <row r="209" spans="1:12" x14ac:dyDescent="0.2">
      <c r="A209" s="31" t="s">
        <v>2886</v>
      </c>
      <c r="B209" s="31">
        <v>127.89794050882099</v>
      </c>
      <c r="C209" s="31">
        <v>-2.2035279981985298</v>
      </c>
      <c r="D209" s="31">
        <v>0.52276844010571299</v>
      </c>
      <c r="E209" s="31">
        <v>-4.2151129049660003</v>
      </c>
      <c r="F209" s="32">
        <v>2.4965326026403E-5</v>
      </c>
      <c r="G209" s="31">
        <v>2.6284360181026301E-3</v>
      </c>
      <c r="H209" s="33" t="s">
        <v>3103</v>
      </c>
      <c r="I209" s="33" t="s">
        <v>3144</v>
      </c>
      <c r="J209" s="33" t="s">
        <v>10</v>
      </c>
      <c r="K209" s="30"/>
      <c r="L209" s="31"/>
    </row>
    <row r="210" spans="1:12" x14ac:dyDescent="0.2">
      <c r="A210" s="31" t="s">
        <v>2887</v>
      </c>
      <c r="B210" s="31">
        <v>33.448441274950603</v>
      </c>
      <c r="C210" s="31">
        <v>-3.0894691203738902</v>
      </c>
      <c r="D210" s="31">
        <v>0.73776141688879204</v>
      </c>
      <c r="E210" s="31">
        <v>-4.1876263106879001</v>
      </c>
      <c r="F210" s="32">
        <v>2.81887145724201E-5</v>
      </c>
      <c r="G210" s="31">
        <v>2.8859977224182901E-3</v>
      </c>
      <c r="H210" s="33" t="s">
        <v>10</v>
      </c>
      <c r="I210" s="33" t="s">
        <v>92</v>
      </c>
      <c r="J210" s="33" t="s">
        <v>10</v>
      </c>
      <c r="K210" s="30"/>
      <c r="L210" s="31"/>
    </row>
    <row r="211" spans="1:12" x14ac:dyDescent="0.2">
      <c r="A211" s="31" t="s">
        <v>2888</v>
      </c>
      <c r="B211" s="31">
        <v>39.301389727773802</v>
      </c>
      <c r="C211" s="31">
        <v>-2.8516793241055298</v>
      </c>
      <c r="D211" s="31">
        <v>0.68207829723519098</v>
      </c>
      <c r="E211" s="31">
        <v>-4.1808679966285904</v>
      </c>
      <c r="F211" s="32">
        <v>2.9039842088134301E-5</v>
      </c>
      <c r="G211" s="31">
        <v>2.9595406140277801E-3</v>
      </c>
      <c r="H211" s="33" t="s">
        <v>10</v>
      </c>
      <c r="I211" s="33" t="s">
        <v>10</v>
      </c>
      <c r="J211" s="33" t="s">
        <v>10</v>
      </c>
      <c r="K211" s="30"/>
      <c r="L211" s="31"/>
    </row>
    <row r="212" spans="1:12" x14ac:dyDescent="0.2">
      <c r="A212" s="31" t="s">
        <v>2889</v>
      </c>
      <c r="B212" s="31">
        <v>61.225365541281597</v>
      </c>
      <c r="C212" s="31">
        <v>-2.6025660057581002</v>
      </c>
      <c r="D212" s="31">
        <v>0.627551677074074</v>
      </c>
      <c r="E212" s="31">
        <v>-4.1471740110590201</v>
      </c>
      <c r="F212" s="32">
        <v>3.3660423522907201E-5</v>
      </c>
      <c r="G212" s="31">
        <v>3.3338779475910502E-3</v>
      </c>
      <c r="H212" s="33" t="s">
        <v>10</v>
      </c>
      <c r="I212" s="33" t="s">
        <v>10</v>
      </c>
      <c r="J212" s="33" t="s">
        <v>10</v>
      </c>
      <c r="K212" s="30"/>
      <c r="L212" s="31"/>
    </row>
    <row r="213" spans="1:12" x14ac:dyDescent="0.2">
      <c r="A213" s="31" t="s">
        <v>2890</v>
      </c>
      <c r="B213" s="31">
        <v>54.857513690535498</v>
      </c>
      <c r="C213" s="31">
        <v>-2.3297914124583201</v>
      </c>
      <c r="D213" s="31">
        <v>0.56630640954386802</v>
      </c>
      <c r="E213" s="31">
        <v>-4.1140120846148598</v>
      </c>
      <c r="F213" s="32">
        <v>3.8884106534411903E-5</v>
      </c>
      <c r="G213" s="31">
        <v>3.7350530781007302E-3</v>
      </c>
      <c r="H213" s="33" t="s">
        <v>10</v>
      </c>
      <c r="I213" s="33" t="s">
        <v>10</v>
      </c>
      <c r="J213" s="33" t="s">
        <v>10</v>
      </c>
      <c r="K213" s="30"/>
      <c r="L213" s="31"/>
    </row>
    <row r="214" spans="1:12" x14ac:dyDescent="0.2">
      <c r="A214" s="31" t="s">
        <v>2891</v>
      </c>
      <c r="B214" s="31">
        <v>115.511410688468</v>
      </c>
      <c r="C214" s="31">
        <v>-2.1142623582250701</v>
      </c>
      <c r="D214" s="31">
        <v>0.51581772581058005</v>
      </c>
      <c r="E214" s="31">
        <v>-4.0988555693827999</v>
      </c>
      <c r="F214" s="32">
        <v>4.1519801400150397E-5</v>
      </c>
      <c r="G214" s="31">
        <v>3.9261758452716396E-3</v>
      </c>
      <c r="H214" s="33" t="s">
        <v>10</v>
      </c>
      <c r="I214" s="33" t="s">
        <v>10</v>
      </c>
      <c r="J214" s="33" t="s">
        <v>10</v>
      </c>
      <c r="K214" s="30"/>
      <c r="L214" s="31"/>
    </row>
    <row r="215" spans="1:12" x14ac:dyDescent="0.2">
      <c r="A215" s="31" t="s">
        <v>2892</v>
      </c>
      <c r="B215" s="31">
        <v>54.124624907023701</v>
      </c>
      <c r="C215" s="31">
        <v>-2.7662499213444001</v>
      </c>
      <c r="D215" s="31">
        <v>0.6754626095538</v>
      </c>
      <c r="E215" s="31">
        <v>-4.0953412997526799</v>
      </c>
      <c r="F215" s="32">
        <v>4.2154691082041497E-5</v>
      </c>
      <c r="G215" s="31">
        <v>3.9637860369759297E-3</v>
      </c>
      <c r="H215" s="33" t="s">
        <v>1356</v>
      </c>
      <c r="I215" s="33" t="s">
        <v>3124</v>
      </c>
      <c r="J215" s="33" t="s">
        <v>3045</v>
      </c>
      <c r="K215" s="30"/>
      <c r="L215" s="31"/>
    </row>
    <row r="216" spans="1:12" x14ac:dyDescent="0.2">
      <c r="A216" s="31" t="s">
        <v>2893</v>
      </c>
      <c r="B216" s="31">
        <v>154.071781260981</v>
      </c>
      <c r="C216" s="31">
        <v>-2.3109602436201202</v>
      </c>
      <c r="D216" s="31">
        <v>0.565917962115284</v>
      </c>
      <c r="E216" s="31">
        <v>-4.0835605128740404</v>
      </c>
      <c r="F216" s="32">
        <v>4.4350873232346899E-5</v>
      </c>
      <c r="G216" s="31">
        <v>4.1353941840286696E-3</v>
      </c>
      <c r="H216" s="33" t="s">
        <v>10</v>
      </c>
      <c r="I216" s="33" t="s">
        <v>10</v>
      </c>
      <c r="J216" s="33" t="s">
        <v>10</v>
      </c>
      <c r="K216" s="30"/>
      <c r="L216" s="31"/>
    </row>
    <row r="217" spans="1:12" x14ac:dyDescent="0.2">
      <c r="A217" s="31" t="s">
        <v>2894</v>
      </c>
      <c r="B217" s="31">
        <v>107.332562403361</v>
      </c>
      <c r="C217" s="31">
        <v>-2.3445608148595798</v>
      </c>
      <c r="D217" s="31">
        <v>0.57546121360257196</v>
      </c>
      <c r="E217" s="31">
        <v>-4.0742290869298996</v>
      </c>
      <c r="F217" s="32">
        <v>4.6167020013088002E-5</v>
      </c>
      <c r="G217" s="31">
        <v>4.2808545394937602E-3</v>
      </c>
      <c r="H217" s="33" t="s">
        <v>10</v>
      </c>
      <c r="I217" s="33" t="s">
        <v>10</v>
      </c>
      <c r="J217" s="33" t="s">
        <v>10</v>
      </c>
      <c r="K217" s="30"/>
      <c r="L217" s="31"/>
    </row>
    <row r="218" spans="1:12" x14ac:dyDescent="0.2">
      <c r="A218" s="31" t="s">
        <v>2895</v>
      </c>
      <c r="B218" s="31">
        <v>69.855768170218894</v>
      </c>
      <c r="C218" s="31">
        <v>-2.26767912091892</v>
      </c>
      <c r="D218" s="31">
        <v>0.55814058118785104</v>
      </c>
      <c r="E218" s="31">
        <v>-4.0629174751865902</v>
      </c>
      <c r="F218" s="32">
        <v>4.8463166687239302E-5</v>
      </c>
      <c r="G218" s="31">
        <v>4.4383630258566899E-3</v>
      </c>
      <c r="H218" s="33" t="s">
        <v>10</v>
      </c>
      <c r="I218" s="33" t="s">
        <v>10</v>
      </c>
      <c r="J218" s="33" t="s">
        <v>10</v>
      </c>
      <c r="K218" s="30"/>
      <c r="L218" s="31"/>
    </row>
    <row r="219" spans="1:12" x14ac:dyDescent="0.2">
      <c r="A219" s="31" t="s">
        <v>2896</v>
      </c>
      <c r="B219" s="31">
        <v>34.639169578572996</v>
      </c>
      <c r="C219" s="31">
        <v>-3.0430769634295101</v>
      </c>
      <c r="D219" s="31">
        <v>0.75454597571236204</v>
      </c>
      <c r="E219" s="31">
        <v>-4.0329907803915699</v>
      </c>
      <c r="F219" s="32">
        <v>5.5071441111041603E-5</v>
      </c>
      <c r="G219" s="31">
        <v>4.9287833942151102E-3</v>
      </c>
      <c r="H219" s="33" t="s">
        <v>508</v>
      </c>
      <c r="I219" s="33" t="s">
        <v>3152</v>
      </c>
      <c r="J219" s="33" t="s">
        <v>3085</v>
      </c>
      <c r="K219" s="30"/>
      <c r="L219" s="31"/>
    </row>
    <row r="220" spans="1:12" x14ac:dyDescent="0.2">
      <c r="A220" s="31" t="s">
        <v>2897</v>
      </c>
      <c r="B220" s="31">
        <v>36.000767942118699</v>
      </c>
      <c r="C220" s="31">
        <v>-2.81297717622222</v>
      </c>
      <c r="D220" s="31">
        <v>0.70228494602242897</v>
      </c>
      <c r="E220" s="31">
        <v>-4.0054641526266996</v>
      </c>
      <c r="F220" s="32">
        <v>6.1895820511719606E-5</v>
      </c>
      <c r="G220" s="31">
        <v>5.4319744954669296E-3</v>
      </c>
      <c r="H220" s="33" t="s">
        <v>10</v>
      </c>
      <c r="I220" s="33" t="s">
        <v>10</v>
      </c>
      <c r="J220" s="33" t="s">
        <v>10</v>
      </c>
      <c r="K220" s="30"/>
      <c r="L220" s="31"/>
    </row>
    <row r="221" spans="1:12" x14ac:dyDescent="0.2">
      <c r="A221" s="31" t="s">
        <v>2898</v>
      </c>
      <c r="B221" s="31">
        <v>48.105819590611397</v>
      </c>
      <c r="C221" s="31">
        <v>-2.4112649261636698</v>
      </c>
      <c r="D221" s="31">
        <v>0.60361065498551003</v>
      </c>
      <c r="E221" s="31">
        <v>-3.99473552404663</v>
      </c>
      <c r="F221" s="32">
        <v>6.4766510017352498E-5</v>
      </c>
      <c r="G221" s="31">
        <v>5.6306437284916796E-3</v>
      </c>
      <c r="H221" s="33" t="s">
        <v>10</v>
      </c>
      <c r="I221" s="33" t="s">
        <v>92</v>
      </c>
      <c r="J221" s="33" t="s">
        <v>10</v>
      </c>
      <c r="K221" s="30"/>
      <c r="L221" s="31"/>
    </row>
    <row r="222" spans="1:12" x14ac:dyDescent="0.2">
      <c r="A222" s="31" t="s">
        <v>2899</v>
      </c>
      <c r="B222" s="31">
        <v>27.247593429077099</v>
      </c>
      <c r="C222" s="31">
        <v>-3.5044694563752201</v>
      </c>
      <c r="D222" s="31">
        <v>0.88197407951353402</v>
      </c>
      <c r="E222" s="31">
        <v>-3.97343815172909</v>
      </c>
      <c r="F222" s="32">
        <v>7.0842559464989795E-5</v>
      </c>
      <c r="G222" s="31">
        <v>6.0410450421325198E-3</v>
      </c>
      <c r="H222" s="33" t="s">
        <v>10</v>
      </c>
      <c r="I222" s="33" t="s">
        <v>10</v>
      </c>
      <c r="J222" s="33" t="s">
        <v>10</v>
      </c>
      <c r="K222" s="30"/>
      <c r="L222" s="31"/>
    </row>
    <row r="223" spans="1:12" x14ac:dyDescent="0.2">
      <c r="A223" s="31" t="s">
        <v>2900</v>
      </c>
      <c r="B223" s="31">
        <v>58.386061261960201</v>
      </c>
      <c r="C223" s="31">
        <v>-2.1669953936416499</v>
      </c>
      <c r="D223" s="31">
        <v>0.54551741999307601</v>
      </c>
      <c r="E223" s="31">
        <v>-3.9723669936500898</v>
      </c>
      <c r="F223" s="32">
        <v>7.1161971803744198E-5</v>
      </c>
      <c r="G223" s="31">
        <v>6.0451507305455104E-3</v>
      </c>
      <c r="H223" s="33" t="s">
        <v>382</v>
      </c>
      <c r="I223" s="33" t="s">
        <v>86</v>
      </c>
      <c r="J223" s="33" t="s">
        <v>3084</v>
      </c>
      <c r="K223" s="30"/>
      <c r="L223" s="31"/>
    </row>
    <row r="224" spans="1:12" x14ac:dyDescent="0.2">
      <c r="A224" s="31" t="s">
        <v>2901</v>
      </c>
      <c r="B224" s="31">
        <v>170.13349383602301</v>
      </c>
      <c r="C224" s="31">
        <v>-2.10029391349646</v>
      </c>
      <c r="D224" s="31">
        <v>0.53010927126002205</v>
      </c>
      <c r="E224" s="31">
        <v>-3.9620018501171499</v>
      </c>
      <c r="F224" s="32">
        <v>7.4323964336964502E-5</v>
      </c>
      <c r="G224" s="31">
        <v>6.2580965185740096E-3</v>
      </c>
      <c r="H224" s="33" t="s">
        <v>10</v>
      </c>
      <c r="I224" s="33" t="s">
        <v>10</v>
      </c>
      <c r="J224" s="33" t="s">
        <v>10</v>
      </c>
      <c r="K224" s="30"/>
      <c r="L224" s="31"/>
    </row>
    <row r="225" spans="1:12" x14ac:dyDescent="0.2">
      <c r="A225" s="31" t="s">
        <v>2902</v>
      </c>
      <c r="B225" s="31">
        <v>32.519648053493199</v>
      </c>
      <c r="C225" s="31">
        <v>-3.0384916793695602</v>
      </c>
      <c r="D225" s="31">
        <v>0.76972078652569098</v>
      </c>
      <c r="E225" s="31">
        <v>-3.9475245213065899</v>
      </c>
      <c r="F225" s="32">
        <v>7.8963432514549996E-5</v>
      </c>
      <c r="G225" s="31">
        <v>6.6071342687862803E-3</v>
      </c>
      <c r="H225" s="33" t="s">
        <v>10</v>
      </c>
      <c r="I225" s="33" t="s">
        <v>10</v>
      </c>
      <c r="J225" s="33" t="s">
        <v>10</v>
      </c>
      <c r="K225" s="30"/>
      <c r="L225" s="31"/>
    </row>
    <row r="226" spans="1:12" x14ac:dyDescent="0.2">
      <c r="A226" s="31" t="s">
        <v>2903</v>
      </c>
      <c r="B226" s="31">
        <v>267.97357550476698</v>
      </c>
      <c r="C226" s="31">
        <v>-3.9038774869221502</v>
      </c>
      <c r="D226" s="31">
        <v>0.98999699569134103</v>
      </c>
      <c r="E226" s="31">
        <v>-3.9433225594749999</v>
      </c>
      <c r="F226" s="32">
        <v>8.0360454342521094E-5</v>
      </c>
      <c r="G226" s="31">
        <v>6.6656304901603503E-3</v>
      </c>
      <c r="H226" s="33" t="s">
        <v>10</v>
      </c>
      <c r="I226" s="33" t="s">
        <v>3044</v>
      </c>
      <c r="J226" s="33" t="s">
        <v>10</v>
      </c>
      <c r="K226" s="30"/>
      <c r="L226" s="31"/>
    </row>
    <row r="227" spans="1:12" x14ac:dyDescent="0.2">
      <c r="A227" s="31" t="s">
        <v>2904</v>
      </c>
      <c r="B227" s="31">
        <v>29.980804442361901</v>
      </c>
      <c r="C227" s="31">
        <v>-2.9362718391156299</v>
      </c>
      <c r="D227" s="31">
        <v>0.74551573924696501</v>
      </c>
      <c r="E227" s="31">
        <v>-3.9385779327496402</v>
      </c>
      <c r="F227" s="32">
        <v>8.1965971461167103E-5</v>
      </c>
      <c r="G227" s="31">
        <v>6.7568865869745099E-3</v>
      </c>
      <c r="H227" s="33" t="s">
        <v>10</v>
      </c>
      <c r="I227" s="33" t="s">
        <v>10</v>
      </c>
      <c r="J227" s="33" t="s">
        <v>10</v>
      </c>
      <c r="K227" s="30"/>
      <c r="L227" s="31"/>
    </row>
    <row r="228" spans="1:12" x14ac:dyDescent="0.2">
      <c r="A228" s="31" t="s">
        <v>2905</v>
      </c>
      <c r="B228" s="31">
        <v>54.684126713566997</v>
      </c>
      <c r="C228" s="31">
        <v>-2.5500749638003102</v>
      </c>
      <c r="D228" s="31">
        <v>0.64780643175369501</v>
      </c>
      <c r="E228" s="31">
        <v>-3.9364767603447999</v>
      </c>
      <c r="F228" s="32">
        <v>8.2686623598229506E-5</v>
      </c>
      <c r="G228" s="31">
        <v>6.7828395345517004E-3</v>
      </c>
      <c r="H228" s="33" t="s">
        <v>10</v>
      </c>
      <c r="I228" s="33" t="s">
        <v>10</v>
      </c>
      <c r="J228" s="33" t="s">
        <v>10</v>
      </c>
      <c r="K228" s="30"/>
      <c r="L228" s="31"/>
    </row>
    <row r="229" spans="1:12" x14ac:dyDescent="0.2">
      <c r="A229" s="31" t="s">
        <v>2906</v>
      </c>
      <c r="B229" s="31">
        <v>26.103194032671599</v>
      </c>
      <c r="C229" s="31">
        <v>-3.13363715087142</v>
      </c>
      <c r="D229" s="31">
        <v>0.80468485537946099</v>
      </c>
      <c r="E229" s="31">
        <v>-3.8942414908426501</v>
      </c>
      <c r="F229" s="32">
        <v>9.8506478540529396E-5</v>
      </c>
      <c r="G229" s="31">
        <v>7.8092179137460999E-3</v>
      </c>
      <c r="H229" s="33" t="s">
        <v>10</v>
      </c>
      <c r="I229" s="33" t="s">
        <v>10</v>
      </c>
      <c r="J229" s="33" t="s">
        <v>10</v>
      </c>
      <c r="K229" s="30"/>
      <c r="L229" s="31"/>
    </row>
    <row r="230" spans="1:12" x14ac:dyDescent="0.2">
      <c r="A230" s="50" t="s">
        <v>2907</v>
      </c>
      <c r="B230" s="50">
        <v>31.931021353717401</v>
      </c>
      <c r="C230" s="50">
        <v>-2.7708596727889399</v>
      </c>
      <c r="D230" s="50">
        <v>0.71156327154445698</v>
      </c>
      <c r="E230" s="50">
        <v>-3.8940453837292002</v>
      </c>
      <c r="F230" s="51">
        <v>9.8586192793384401E-5</v>
      </c>
      <c r="G230" s="50">
        <v>7.8092179137460999E-3</v>
      </c>
      <c r="H230" s="50" t="s">
        <v>242</v>
      </c>
      <c r="I230" s="50" t="s">
        <v>243</v>
      </c>
      <c r="J230" s="50" t="s">
        <v>3053</v>
      </c>
      <c r="K230" s="30"/>
      <c r="L230" s="31"/>
    </row>
    <row r="231" spans="1:12" x14ac:dyDescent="0.2">
      <c r="A231" s="31" t="s">
        <v>2908</v>
      </c>
      <c r="B231" s="31">
        <v>105.282823477804</v>
      </c>
      <c r="C231" s="31">
        <v>-2.19476058239731</v>
      </c>
      <c r="D231" s="31">
        <v>0.56389196926664298</v>
      </c>
      <c r="E231" s="31">
        <v>-3.8921649926166801</v>
      </c>
      <c r="F231" s="32">
        <v>9.9353637997497805E-5</v>
      </c>
      <c r="G231" s="31">
        <v>7.8606952287842806E-3</v>
      </c>
      <c r="H231" s="33" t="s">
        <v>10</v>
      </c>
      <c r="I231" s="33" t="s">
        <v>10</v>
      </c>
      <c r="J231" s="33" t="s">
        <v>10</v>
      </c>
      <c r="K231" s="30"/>
      <c r="L231" s="31"/>
    </row>
    <row r="232" spans="1:12" x14ac:dyDescent="0.2">
      <c r="A232" s="31" t="s">
        <v>2909</v>
      </c>
      <c r="B232" s="31">
        <v>60.826580737649699</v>
      </c>
      <c r="C232" s="31">
        <v>-2.6027670400502898</v>
      </c>
      <c r="D232" s="31">
        <v>0.66970760773877402</v>
      </c>
      <c r="E232" s="31">
        <v>-3.88642298515671</v>
      </c>
      <c r="F232" s="31">
        <v>1.01732181550717E-4</v>
      </c>
      <c r="G232" s="31">
        <v>7.9827523445695006E-3</v>
      </c>
      <c r="H232" s="33" t="s">
        <v>10</v>
      </c>
      <c r="I232" s="33" t="s">
        <v>10</v>
      </c>
      <c r="J232" s="33" t="s">
        <v>10</v>
      </c>
      <c r="K232" s="30"/>
      <c r="L232" s="31"/>
    </row>
    <row r="233" spans="1:12" x14ac:dyDescent="0.2">
      <c r="A233" s="31" t="s">
        <v>2910</v>
      </c>
      <c r="B233" s="31">
        <v>84.685745218718097</v>
      </c>
      <c r="C233" s="31">
        <v>-2.1063489323278599</v>
      </c>
      <c r="D233" s="31">
        <v>0.542017506194722</v>
      </c>
      <c r="E233" s="31">
        <v>-3.8861271236710699</v>
      </c>
      <c r="F233" s="31">
        <v>1.01856182406789E-4</v>
      </c>
      <c r="G233" s="31">
        <v>7.9831126316599003E-3</v>
      </c>
      <c r="H233" s="33" t="s">
        <v>3111</v>
      </c>
      <c r="I233" s="33" t="s">
        <v>3151</v>
      </c>
      <c r="J233" s="33" t="s">
        <v>3082</v>
      </c>
      <c r="K233" s="30"/>
      <c r="L233" s="31"/>
    </row>
    <row r="234" spans="1:12" x14ac:dyDescent="0.2">
      <c r="A234" s="31" t="s">
        <v>2911</v>
      </c>
      <c r="B234" s="31">
        <v>40.755578346025104</v>
      </c>
      <c r="C234" s="31">
        <v>-2.7022493423945302</v>
      </c>
      <c r="D234" s="31">
        <v>0.69649973453158198</v>
      </c>
      <c r="E234" s="31">
        <v>-3.87975645706724</v>
      </c>
      <c r="F234" s="31">
        <v>1.0456110519933099E-4</v>
      </c>
      <c r="G234" s="31">
        <v>8.1568642801648494E-3</v>
      </c>
      <c r="H234" s="33" t="s">
        <v>10</v>
      </c>
      <c r="I234" s="33" t="s">
        <v>10</v>
      </c>
      <c r="J234" s="33" t="s">
        <v>10</v>
      </c>
      <c r="K234" s="30"/>
      <c r="L234" s="31"/>
    </row>
    <row r="235" spans="1:12" x14ac:dyDescent="0.2">
      <c r="A235" s="31" t="s">
        <v>2912</v>
      </c>
      <c r="B235" s="31">
        <v>46.858075774877797</v>
      </c>
      <c r="C235" s="31">
        <v>-2.4117424530371001</v>
      </c>
      <c r="D235" s="31">
        <v>0.62359128801866803</v>
      </c>
      <c r="E235" s="31">
        <v>-3.8675050459731599</v>
      </c>
      <c r="F235" s="31">
        <v>1.09954554012183E-4</v>
      </c>
      <c r="G235" s="31">
        <v>8.4300592987207497E-3</v>
      </c>
      <c r="H235" s="33" t="s">
        <v>10</v>
      </c>
      <c r="I235" s="33" t="s">
        <v>3128</v>
      </c>
      <c r="J235" s="33" t="s">
        <v>10</v>
      </c>
      <c r="K235" s="30"/>
      <c r="L235" s="31"/>
    </row>
    <row r="236" spans="1:12" x14ac:dyDescent="0.2">
      <c r="A236" s="31" t="s">
        <v>2913</v>
      </c>
      <c r="B236" s="31">
        <v>66.569931656634196</v>
      </c>
      <c r="C236" s="31">
        <v>-2.2403880564839298</v>
      </c>
      <c r="D236" s="31">
        <v>0.58211955904319801</v>
      </c>
      <c r="E236" s="31">
        <v>-3.84867338964927</v>
      </c>
      <c r="F236" s="31">
        <v>1.1875922324508499E-4</v>
      </c>
      <c r="G236" s="31">
        <v>8.9309874803713708E-3</v>
      </c>
      <c r="H236" s="33" t="s">
        <v>2476</v>
      </c>
      <c r="I236" s="33" t="s">
        <v>3126</v>
      </c>
      <c r="J236" s="33" t="s">
        <v>10</v>
      </c>
      <c r="K236" s="30"/>
      <c r="L236" s="31"/>
    </row>
    <row r="237" spans="1:12" x14ac:dyDescent="0.2">
      <c r="A237" s="31" t="s">
        <v>2914</v>
      </c>
      <c r="B237" s="31">
        <v>54.865597307091697</v>
      </c>
      <c r="C237" s="31">
        <v>-2.5532355327121001</v>
      </c>
      <c r="D237" s="31">
        <v>0.66502742359431599</v>
      </c>
      <c r="E237" s="31">
        <v>-3.8392936022284099</v>
      </c>
      <c r="F237" s="31">
        <v>1.2338880702789101E-4</v>
      </c>
      <c r="G237" s="31">
        <v>9.2066503279571998E-3</v>
      </c>
      <c r="H237" s="33" t="s">
        <v>10</v>
      </c>
      <c r="I237" s="33" t="s">
        <v>10</v>
      </c>
      <c r="J237" s="33" t="s">
        <v>10</v>
      </c>
      <c r="K237" s="30"/>
      <c r="L237" s="31"/>
    </row>
    <row r="238" spans="1:12" x14ac:dyDescent="0.2">
      <c r="A238" s="31" t="s">
        <v>2915</v>
      </c>
      <c r="B238" s="31">
        <v>70.495452723672202</v>
      </c>
      <c r="C238" s="31">
        <v>-2.14166094159427</v>
      </c>
      <c r="D238" s="31">
        <v>0.55882896851471398</v>
      </c>
      <c r="E238" s="31">
        <v>-3.8324085941473101</v>
      </c>
      <c r="F238" s="31">
        <v>1.2689475341583201E-4</v>
      </c>
      <c r="G238" s="31">
        <v>9.3948491025641501E-3</v>
      </c>
      <c r="H238" s="33" t="s">
        <v>3090</v>
      </c>
      <c r="I238" s="33" t="s">
        <v>3117</v>
      </c>
      <c r="J238" s="33" t="s">
        <v>10</v>
      </c>
      <c r="K238" s="30"/>
      <c r="L238" s="31"/>
    </row>
    <row r="239" spans="1:12" x14ac:dyDescent="0.2">
      <c r="A239" s="31" t="s">
        <v>2916</v>
      </c>
      <c r="B239" s="31">
        <v>56.221749475964202</v>
      </c>
      <c r="C239" s="31">
        <v>-2.8050043851974702</v>
      </c>
      <c r="D239" s="31">
        <v>0.73230871791473096</v>
      </c>
      <c r="E239" s="31">
        <v>-3.8303577665780102</v>
      </c>
      <c r="F239" s="31">
        <v>1.27957079783986E-4</v>
      </c>
      <c r="G239" s="31">
        <v>9.4213332257250797E-3</v>
      </c>
      <c r="H239" s="33" t="s">
        <v>10</v>
      </c>
      <c r="I239" s="33" t="s">
        <v>10</v>
      </c>
      <c r="J239" s="33" t="s">
        <v>10</v>
      </c>
      <c r="K239" s="30"/>
      <c r="L239" s="31"/>
    </row>
    <row r="240" spans="1:12" x14ac:dyDescent="0.2">
      <c r="A240" s="31" t="s">
        <v>2917</v>
      </c>
      <c r="B240" s="31">
        <v>26.928916042613402</v>
      </c>
      <c r="C240" s="31">
        <v>-3.7559334361083301</v>
      </c>
      <c r="D240" s="31">
        <v>0.98243351067971696</v>
      </c>
      <c r="E240" s="31">
        <v>-3.8230917362638701</v>
      </c>
      <c r="F240" s="31">
        <v>1.3178871968456699E-4</v>
      </c>
      <c r="G240" s="31">
        <v>9.6292184202313898E-3</v>
      </c>
      <c r="H240" s="33" t="s">
        <v>373</v>
      </c>
      <c r="I240" s="33" t="s">
        <v>3142</v>
      </c>
      <c r="J240" s="33" t="s">
        <v>10</v>
      </c>
      <c r="K240" s="30"/>
      <c r="L240" s="31"/>
    </row>
    <row r="241" spans="1:12" x14ac:dyDescent="0.2">
      <c r="A241" s="31" t="s">
        <v>546</v>
      </c>
      <c r="B241" s="31">
        <v>11317.045013156099</v>
      </c>
      <c r="C241" s="31">
        <v>3.8575863226558198</v>
      </c>
      <c r="D241" s="31">
        <v>0.37277091696628301</v>
      </c>
      <c r="E241" s="31">
        <v>10.348410101437</v>
      </c>
      <c r="F241" s="32">
        <v>4.2549280773811497E-25</v>
      </c>
      <c r="G241" s="32">
        <v>2.37052680511097E-21</v>
      </c>
      <c r="H241" s="33" t="s">
        <v>10</v>
      </c>
      <c r="I241" s="33" t="s">
        <v>10</v>
      </c>
      <c r="J241" s="33" t="s">
        <v>10</v>
      </c>
      <c r="K241" s="30"/>
      <c r="L241" s="31"/>
    </row>
    <row r="242" spans="1:12" x14ac:dyDescent="0.2">
      <c r="A242" s="31" t="s">
        <v>551</v>
      </c>
      <c r="B242" s="31">
        <v>318.29887256627097</v>
      </c>
      <c r="C242" s="31">
        <v>5.4138194289386803</v>
      </c>
      <c r="D242" s="31">
        <v>0.55266088380072698</v>
      </c>
      <c r="E242" s="31">
        <v>9.79591570097576</v>
      </c>
      <c r="F242" s="32">
        <v>1.1723032737817299E-22</v>
      </c>
      <c r="G242" s="32">
        <v>4.6102550216869001E-19</v>
      </c>
      <c r="H242" s="33" t="s">
        <v>552</v>
      </c>
      <c r="I242" s="33" t="s">
        <v>554</v>
      </c>
      <c r="J242" s="33" t="s">
        <v>3076</v>
      </c>
      <c r="K242" s="30"/>
      <c r="L242" s="31"/>
    </row>
    <row r="243" spans="1:12" x14ac:dyDescent="0.2">
      <c r="A243" s="31" t="s">
        <v>555</v>
      </c>
      <c r="B243" s="31">
        <v>4656.3809562817996</v>
      </c>
      <c r="C243" s="31">
        <v>2.8289951798005299</v>
      </c>
      <c r="D243" s="31">
        <v>0.29071118286100001</v>
      </c>
      <c r="E243" s="31">
        <v>9.7312912147350001</v>
      </c>
      <c r="F243" s="32">
        <v>2.2175990964385102E-22</v>
      </c>
      <c r="G243" s="32">
        <v>7.4128793796198203E-19</v>
      </c>
      <c r="H243" s="33" t="s">
        <v>10</v>
      </c>
      <c r="I243" s="33" t="s">
        <v>557</v>
      </c>
      <c r="J243" s="33" t="s">
        <v>3077</v>
      </c>
      <c r="K243" s="30"/>
      <c r="L243" s="31"/>
    </row>
    <row r="244" spans="1:12" x14ac:dyDescent="0.2">
      <c r="A244" s="31" t="s">
        <v>558</v>
      </c>
      <c r="B244" s="31">
        <v>899.61701124079002</v>
      </c>
      <c r="C244" s="31">
        <v>3.4769270353808599</v>
      </c>
      <c r="D244" s="31">
        <v>0.36390397123828999</v>
      </c>
      <c r="E244" s="31">
        <v>9.5545179777774791</v>
      </c>
      <c r="F244" s="32">
        <v>1.2416054567122799E-21</v>
      </c>
      <c r="G244" s="32">
        <v>3.7730696731136103E-18</v>
      </c>
      <c r="H244" s="33" t="s">
        <v>10</v>
      </c>
      <c r="I244" s="33" t="s">
        <v>10</v>
      </c>
      <c r="J244" s="33" t="s">
        <v>10</v>
      </c>
      <c r="K244" s="30"/>
      <c r="L244" s="31"/>
    </row>
    <row r="245" spans="1:12" x14ac:dyDescent="0.2">
      <c r="A245" s="31" t="s">
        <v>561</v>
      </c>
      <c r="B245" s="31">
        <v>193.36266627143101</v>
      </c>
      <c r="C245" s="31">
        <v>4.1831111870036697</v>
      </c>
      <c r="D245" s="31">
        <v>0.455212853232214</v>
      </c>
      <c r="E245" s="31">
        <v>9.1893520960616897</v>
      </c>
      <c r="F245" s="32">
        <v>3.9521456628033999E-20</v>
      </c>
      <c r="G245" s="32">
        <v>1.01623345494893E-16</v>
      </c>
      <c r="H245" s="33" t="s">
        <v>10</v>
      </c>
      <c r="I245" s="33" t="s">
        <v>10</v>
      </c>
      <c r="J245" s="33" t="s">
        <v>10</v>
      </c>
      <c r="K245" s="30"/>
      <c r="L245" s="31"/>
    </row>
    <row r="246" spans="1:12" x14ac:dyDescent="0.2">
      <c r="A246" s="31" t="s">
        <v>563</v>
      </c>
      <c r="B246" s="31">
        <v>732.47535061630401</v>
      </c>
      <c r="C246" s="31">
        <v>3.3091700381140199</v>
      </c>
      <c r="D246" s="31">
        <v>0.36592410932462399</v>
      </c>
      <c r="E246" s="31">
        <v>9.0433233388793699</v>
      </c>
      <c r="F246" s="32">
        <v>1.51979509360064E-19</v>
      </c>
      <c r="G246" s="32">
        <v>3.6287821779525399E-16</v>
      </c>
      <c r="H246" s="33" t="s">
        <v>10</v>
      </c>
      <c r="I246" s="33" t="s">
        <v>10</v>
      </c>
      <c r="J246" s="33" t="s">
        <v>10</v>
      </c>
      <c r="K246" s="30"/>
      <c r="L246" s="31"/>
    </row>
    <row r="247" spans="1:12" x14ac:dyDescent="0.2">
      <c r="A247" s="31" t="s">
        <v>567</v>
      </c>
      <c r="B247" s="31">
        <v>300.05506296240901</v>
      </c>
      <c r="C247" s="31">
        <v>3.2339520701532201</v>
      </c>
      <c r="D247" s="31">
        <v>0.37299652952944001</v>
      </c>
      <c r="E247" s="31">
        <v>8.67019345792054</v>
      </c>
      <c r="F247" s="32">
        <v>4.3138681354734799E-18</v>
      </c>
      <c r="G247" s="32">
        <v>9.0126141936587294E-15</v>
      </c>
      <c r="H247" s="33" t="s">
        <v>10</v>
      </c>
      <c r="I247" s="33" t="s">
        <v>10</v>
      </c>
      <c r="J247" s="33" t="s">
        <v>10</v>
      </c>
      <c r="K247" s="30"/>
      <c r="L247" s="31"/>
    </row>
    <row r="248" spans="1:12" x14ac:dyDescent="0.2">
      <c r="A248" s="31" t="s">
        <v>569</v>
      </c>
      <c r="B248" s="31">
        <v>627.774819505241</v>
      </c>
      <c r="C248" s="31">
        <v>11.114261018932099</v>
      </c>
      <c r="D248" s="31">
        <v>1.2863766791362701</v>
      </c>
      <c r="E248" s="31">
        <v>8.6399739665636996</v>
      </c>
      <c r="F248" s="32">
        <v>5.6225831794154299E-18</v>
      </c>
      <c r="G248" s="32">
        <v>1.13908423775703E-14</v>
      </c>
      <c r="H248" s="33" t="s">
        <v>10</v>
      </c>
      <c r="I248" s="33" t="s">
        <v>10</v>
      </c>
      <c r="J248" s="33" t="s">
        <v>10</v>
      </c>
      <c r="K248" s="30"/>
      <c r="L248" s="31"/>
    </row>
    <row r="249" spans="1:12" x14ac:dyDescent="0.2">
      <c r="A249" s="31" t="s">
        <v>571</v>
      </c>
      <c r="B249" s="31">
        <v>480.90406496818599</v>
      </c>
      <c r="C249" s="31">
        <v>2.8180378080917801</v>
      </c>
      <c r="D249" s="31">
        <v>0.33380937806591199</v>
      </c>
      <c r="E249" s="31">
        <v>8.4420570339259609</v>
      </c>
      <c r="F249" s="32">
        <v>3.11801142606656E-17</v>
      </c>
      <c r="G249" s="32">
        <v>6.1310192320494101E-14</v>
      </c>
      <c r="H249" s="33" t="s">
        <v>10</v>
      </c>
      <c r="I249" s="33" t="s">
        <v>10</v>
      </c>
      <c r="J249" s="33" t="s">
        <v>10</v>
      </c>
      <c r="K249" s="30"/>
      <c r="L249" s="31"/>
    </row>
    <row r="250" spans="1:12" x14ac:dyDescent="0.2">
      <c r="A250" s="31" t="s">
        <v>575</v>
      </c>
      <c r="B250" s="31">
        <v>185.35253346254601</v>
      </c>
      <c r="C250" s="31">
        <v>4.1845261495124504</v>
      </c>
      <c r="D250" s="31">
        <v>0.50018095127615703</v>
      </c>
      <c r="E250" s="31">
        <v>8.3660246133645995</v>
      </c>
      <c r="F250" s="32">
        <v>5.9594753414077504E-17</v>
      </c>
      <c r="G250" s="32">
        <v>1.10672423319393E-13</v>
      </c>
      <c r="H250" s="33" t="s">
        <v>10</v>
      </c>
      <c r="I250" s="33" t="s">
        <v>10</v>
      </c>
      <c r="J250" s="33" t="s">
        <v>10</v>
      </c>
      <c r="K250" s="30"/>
      <c r="L250" s="31"/>
    </row>
    <row r="251" spans="1:12" x14ac:dyDescent="0.2">
      <c r="A251" s="31" t="s">
        <v>578</v>
      </c>
      <c r="B251" s="31">
        <v>287.72951838201197</v>
      </c>
      <c r="C251" s="31">
        <v>4.1458635490004099</v>
      </c>
      <c r="D251" s="31">
        <v>0.51401211213611397</v>
      </c>
      <c r="E251" s="31">
        <v>8.0656923273095096</v>
      </c>
      <c r="F251" s="32">
        <v>7.2821995319763697E-16</v>
      </c>
      <c r="G251" s="32">
        <v>1.1874425602689801E-12</v>
      </c>
      <c r="H251" s="33" t="s">
        <v>580</v>
      </c>
      <c r="I251" s="33" t="s">
        <v>581</v>
      </c>
      <c r="J251" s="33" t="s">
        <v>3062</v>
      </c>
      <c r="K251" s="30"/>
      <c r="L251" s="31"/>
    </row>
    <row r="252" spans="1:12" x14ac:dyDescent="0.2">
      <c r="A252" s="31" t="s">
        <v>583</v>
      </c>
      <c r="B252" s="31">
        <v>150.08723539354</v>
      </c>
      <c r="C252" s="31">
        <v>4.9074490410269203</v>
      </c>
      <c r="D252" s="31">
        <v>0.61078607917249605</v>
      </c>
      <c r="E252" s="31">
        <v>8.0346445480152795</v>
      </c>
      <c r="F252" s="32">
        <v>9.3850578359825009E-16</v>
      </c>
      <c r="G252" s="32">
        <v>1.49390009910622E-12</v>
      </c>
      <c r="H252" s="33" t="s">
        <v>10</v>
      </c>
      <c r="I252" s="33" t="s">
        <v>10</v>
      </c>
      <c r="J252" s="33" t="s">
        <v>10</v>
      </c>
      <c r="K252" s="30"/>
      <c r="L252" s="31"/>
    </row>
    <row r="253" spans="1:12" x14ac:dyDescent="0.2">
      <c r="A253" s="31" t="s">
        <v>585</v>
      </c>
      <c r="B253" s="31">
        <v>1073.8980291646001</v>
      </c>
      <c r="C253" s="31">
        <v>2.84929737839109</v>
      </c>
      <c r="D253" s="31">
        <v>0.36000940966497003</v>
      </c>
      <c r="E253" s="31">
        <v>7.9145080708937297</v>
      </c>
      <c r="F253" s="32">
        <v>2.4823261943430699E-15</v>
      </c>
      <c r="G253" s="32">
        <v>3.8594399470419899E-12</v>
      </c>
      <c r="H253" s="33" t="s">
        <v>10</v>
      </c>
      <c r="I253" s="33" t="s">
        <v>10</v>
      </c>
      <c r="J253" s="33" t="s">
        <v>10</v>
      </c>
      <c r="K253" s="30"/>
      <c r="L253" s="31"/>
    </row>
    <row r="254" spans="1:12" x14ac:dyDescent="0.2">
      <c r="A254" s="31" t="s">
        <v>590</v>
      </c>
      <c r="B254" s="31">
        <v>361.94787584985301</v>
      </c>
      <c r="C254" s="31">
        <v>2.9057009244767098</v>
      </c>
      <c r="D254" s="31">
        <v>0.36864251870880199</v>
      </c>
      <c r="E254" s="31">
        <v>7.8821643652342201</v>
      </c>
      <c r="F254" s="32">
        <v>3.21758385616284E-15</v>
      </c>
      <c r="G254" s="32">
        <v>4.8888992887219698E-12</v>
      </c>
      <c r="H254" s="33" t="s">
        <v>10</v>
      </c>
      <c r="I254" s="33" t="s">
        <v>593</v>
      </c>
      <c r="J254" s="33" t="s">
        <v>10</v>
      </c>
      <c r="K254" s="30"/>
      <c r="L254" s="31"/>
    </row>
    <row r="255" spans="1:12" x14ac:dyDescent="0.2">
      <c r="A255" s="31" t="s">
        <v>594</v>
      </c>
      <c r="B255" s="31">
        <v>2296.56901501738</v>
      </c>
      <c r="C255" s="31">
        <v>2.9467811259043999</v>
      </c>
      <c r="D255" s="31">
        <v>0.378280058104011</v>
      </c>
      <c r="E255" s="31">
        <v>7.7899457366958602</v>
      </c>
      <c r="F255" s="32">
        <v>6.7037979087449603E-15</v>
      </c>
      <c r="G255" s="32">
        <v>9.5357959401945492E-12</v>
      </c>
      <c r="H255" s="33" t="s">
        <v>10</v>
      </c>
      <c r="I255" s="33" t="s">
        <v>10</v>
      </c>
      <c r="J255" s="33" t="s">
        <v>10</v>
      </c>
      <c r="K255" s="30"/>
      <c r="L255" s="31"/>
    </row>
    <row r="256" spans="1:12" x14ac:dyDescent="0.2">
      <c r="A256" s="31" t="s">
        <v>596</v>
      </c>
      <c r="B256" s="31">
        <v>291.72555379663203</v>
      </c>
      <c r="C256" s="31">
        <v>11.293363480304301</v>
      </c>
      <c r="D256" s="31">
        <v>1.4920933307047499</v>
      </c>
      <c r="E256" s="31">
        <v>7.56880501233133</v>
      </c>
      <c r="F256" s="32">
        <v>3.7667303107105398E-14</v>
      </c>
      <c r="G256" s="32">
        <v>4.8427837485106403E-11</v>
      </c>
      <c r="H256" s="33" t="s">
        <v>10</v>
      </c>
      <c r="I256" s="33" t="s">
        <v>10</v>
      </c>
      <c r="J256" s="33" t="s">
        <v>10</v>
      </c>
      <c r="K256" s="30"/>
      <c r="L256" s="31"/>
    </row>
    <row r="257" spans="1:12" x14ac:dyDescent="0.2">
      <c r="A257" s="31" t="s">
        <v>598</v>
      </c>
      <c r="B257" s="31">
        <v>148.22648332153599</v>
      </c>
      <c r="C257" s="31">
        <v>3.93603138142119</v>
      </c>
      <c r="D257" s="31">
        <v>0.52593833171417703</v>
      </c>
      <c r="E257" s="31">
        <v>7.4838267988427196</v>
      </c>
      <c r="F257" s="32">
        <v>7.2189081263770198E-14</v>
      </c>
      <c r="G257" s="32">
        <v>8.7749109597988294E-11</v>
      </c>
      <c r="H257" s="33" t="s">
        <v>10</v>
      </c>
      <c r="I257" s="33" t="s">
        <v>10</v>
      </c>
      <c r="J257" s="33" t="s">
        <v>10</v>
      </c>
      <c r="K257" s="30"/>
      <c r="L257" s="31"/>
    </row>
    <row r="258" spans="1:12" x14ac:dyDescent="0.2">
      <c r="A258" s="31" t="s">
        <v>602</v>
      </c>
      <c r="B258" s="31">
        <v>599.60941732431297</v>
      </c>
      <c r="C258" s="31">
        <v>2.8351059421022802</v>
      </c>
      <c r="D258" s="31">
        <v>0.38055186934006502</v>
      </c>
      <c r="E258" s="31">
        <v>7.4499855880849797</v>
      </c>
      <c r="F258" s="32">
        <v>9.3350428725285103E-14</v>
      </c>
      <c r="G258" s="32">
        <v>1.0949022653384101E-10</v>
      </c>
      <c r="H258" s="33" t="s">
        <v>10</v>
      </c>
      <c r="I258" s="33" t="s">
        <v>10</v>
      </c>
      <c r="J258" s="33" t="s">
        <v>10</v>
      </c>
      <c r="K258" s="30"/>
      <c r="L258" s="31"/>
    </row>
    <row r="259" spans="1:12" x14ac:dyDescent="0.2">
      <c r="A259" s="31" t="s">
        <v>604</v>
      </c>
      <c r="B259" s="31">
        <v>248.207121518523</v>
      </c>
      <c r="C259" s="31">
        <v>3.0670066081953702</v>
      </c>
      <c r="D259" s="31">
        <v>0.41589607588608202</v>
      </c>
      <c r="E259" s="31">
        <v>7.3744543072713302</v>
      </c>
      <c r="F259" s="32">
        <v>1.6501956193475101E-13</v>
      </c>
      <c r="G259" s="32">
        <v>1.9021349677841E-10</v>
      </c>
      <c r="H259" s="30" t="s">
        <v>186</v>
      </c>
      <c r="I259" s="33" t="s">
        <v>606</v>
      </c>
      <c r="J259" s="33" t="s">
        <v>10</v>
      </c>
      <c r="K259" s="30"/>
      <c r="L259" s="31"/>
    </row>
    <row r="260" spans="1:12" x14ac:dyDescent="0.2">
      <c r="A260" s="31" t="s">
        <v>607</v>
      </c>
      <c r="B260" s="31">
        <v>158.66008811324301</v>
      </c>
      <c r="C260" s="31">
        <v>3.4372355183391599</v>
      </c>
      <c r="D260" s="31">
        <v>0.47570265288213898</v>
      </c>
      <c r="E260" s="31">
        <v>7.2255966989336304</v>
      </c>
      <c r="F260" s="32">
        <v>4.9890631612749499E-13</v>
      </c>
      <c r="G260" s="32">
        <v>5.6532850448650397E-10</v>
      </c>
      <c r="H260" s="33" t="s">
        <v>609</v>
      </c>
      <c r="I260" s="33" t="s">
        <v>610</v>
      </c>
      <c r="J260" s="33" t="s">
        <v>3061</v>
      </c>
      <c r="K260" s="30"/>
      <c r="L260" s="31"/>
    </row>
    <row r="261" spans="1:12" x14ac:dyDescent="0.2">
      <c r="A261" s="31" t="s">
        <v>611</v>
      </c>
      <c r="B261" s="31">
        <v>381.61045325173399</v>
      </c>
      <c r="C261" s="31">
        <v>3.2550530998760698</v>
      </c>
      <c r="D261" s="31">
        <v>0.45238723544737097</v>
      </c>
      <c r="E261" s="31">
        <v>7.1952806021529696</v>
      </c>
      <c r="F261" s="32">
        <v>6.2332440896035495E-13</v>
      </c>
      <c r="G261" s="32">
        <v>6.8315333378761599E-10</v>
      </c>
      <c r="H261" s="33" t="s">
        <v>10</v>
      </c>
      <c r="I261" s="33" t="s">
        <v>10</v>
      </c>
      <c r="J261" s="33" t="s">
        <v>10</v>
      </c>
      <c r="K261" s="30"/>
      <c r="L261" s="31"/>
    </row>
    <row r="262" spans="1:12" x14ac:dyDescent="0.2">
      <c r="A262" s="31" t="s">
        <v>613</v>
      </c>
      <c r="B262" s="31">
        <v>197.88210480662701</v>
      </c>
      <c r="C262" s="31">
        <v>3.5042238513200199</v>
      </c>
      <c r="D262" s="31">
        <v>0.49256464104528802</v>
      </c>
      <c r="E262" s="31">
        <v>7.1142415823506804</v>
      </c>
      <c r="F262" s="32">
        <v>1.1252989567708599E-12</v>
      </c>
      <c r="G262" s="32">
        <v>1.1574132577679401E-9</v>
      </c>
      <c r="H262" s="30" t="s">
        <v>615</v>
      </c>
      <c r="I262" s="33" t="s">
        <v>616</v>
      </c>
      <c r="J262" s="33" t="s">
        <v>10</v>
      </c>
      <c r="K262" s="30"/>
      <c r="L262" s="31"/>
    </row>
    <row r="263" spans="1:12" x14ac:dyDescent="0.2">
      <c r="A263" s="31" t="s">
        <v>617</v>
      </c>
      <c r="B263" s="31">
        <v>281.484666861074</v>
      </c>
      <c r="C263" s="31">
        <v>2.7216146558309999</v>
      </c>
      <c r="D263" s="31">
        <v>0.38406472828969201</v>
      </c>
      <c r="E263" s="31">
        <v>7.0863436690758803</v>
      </c>
      <c r="F263" s="32">
        <v>1.3770160576541501E-12</v>
      </c>
      <c r="G263" s="32">
        <v>1.39485467476467E-9</v>
      </c>
      <c r="H263" s="33" t="s">
        <v>10</v>
      </c>
      <c r="I263" s="33" t="s">
        <v>10</v>
      </c>
      <c r="J263" s="33" t="s">
        <v>10</v>
      </c>
      <c r="K263" s="30"/>
      <c r="L263" s="31"/>
    </row>
    <row r="264" spans="1:12" x14ac:dyDescent="0.2">
      <c r="A264" s="31" t="s">
        <v>619</v>
      </c>
      <c r="B264" s="31">
        <v>302.69687063649297</v>
      </c>
      <c r="C264" s="31">
        <v>2.5592695554087399</v>
      </c>
      <c r="D264" s="31">
        <v>0.36159762116045002</v>
      </c>
      <c r="E264" s="31">
        <v>7.0776725444029696</v>
      </c>
      <c r="F264" s="32">
        <v>1.46595613397309E-12</v>
      </c>
      <c r="G264" s="32">
        <v>1.46278354233987E-9</v>
      </c>
      <c r="H264" s="33" t="s">
        <v>10</v>
      </c>
      <c r="I264" s="33" t="s">
        <v>10</v>
      </c>
      <c r="J264" s="33" t="s">
        <v>10</v>
      </c>
      <c r="K264" s="30"/>
      <c r="L264" s="31"/>
    </row>
    <row r="265" spans="1:12" x14ac:dyDescent="0.2">
      <c r="A265" s="31" t="s">
        <v>621</v>
      </c>
      <c r="B265" s="31">
        <v>217.86015576259101</v>
      </c>
      <c r="C265" s="31">
        <v>3.67845503699502</v>
      </c>
      <c r="D265" s="31">
        <v>0.52059444176409997</v>
      </c>
      <c r="E265" s="31">
        <v>7.0658745885378904</v>
      </c>
      <c r="F265" s="32">
        <v>1.5960751556788801E-12</v>
      </c>
      <c r="G265" s="32">
        <v>1.5692000666604599E-9</v>
      </c>
      <c r="H265" s="33" t="s">
        <v>10</v>
      </c>
      <c r="I265" s="33" t="s">
        <v>10</v>
      </c>
      <c r="J265" s="33" t="s">
        <v>10</v>
      </c>
      <c r="K265" s="30"/>
      <c r="L265" s="31"/>
    </row>
    <row r="266" spans="1:12" x14ac:dyDescent="0.2">
      <c r="A266" s="31" t="s">
        <v>624</v>
      </c>
      <c r="B266" s="31">
        <v>115.216084181312</v>
      </c>
      <c r="C266" s="31">
        <v>3.7305507227689998</v>
      </c>
      <c r="D266" s="31">
        <v>0.53645058085650399</v>
      </c>
      <c r="E266" s="31">
        <v>6.9541367945072503</v>
      </c>
      <c r="F266" s="32">
        <v>3.5472728042917302E-12</v>
      </c>
      <c r="G266" s="32">
        <v>3.3401820187454001E-9</v>
      </c>
      <c r="H266" s="33" t="s">
        <v>10</v>
      </c>
      <c r="I266" s="33" t="s">
        <v>10</v>
      </c>
      <c r="J266" s="33" t="s">
        <v>10</v>
      </c>
      <c r="K266" s="30"/>
      <c r="L266" s="31"/>
    </row>
    <row r="267" spans="1:12" x14ac:dyDescent="0.2">
      <c r="A267" s="31" t="s">
        <v>627</v>
      </c>
      <c r="B267" s="31">
        <v>547.20475101868499</v>
      </c>
      <c r="C267" s="31">
        <v>2.2136473052740002</v>
      </c>
      <c r="D267" s="31">
        <v>0.320205596302789</v>
      </c>
      <c r="E267" s="31">
        <v>6.9132061738881996</v>
      </c>
      <c r="F267" s="32">
        <v>4.7382051633837604E-12</v>
      </c>
      <c r="G267" s="32">
        <v>4.3996209194169602E-9</v>
      </c>
      <c r="H267" s="33" t="s">
        <v>10</v>
      </c>
      <c r="I267" s="33" t="s">
        <v>10</v>
      </c>
      <c r="J267" s="33" t="s">
        <v>10</v>
      </c>
      <c r="K267" s="30"/>
      <c r="L267" s="31"/>
    </row>
    <row r="268" spans="1:12" x14ac:dyDescent="0.2">
      <c r="A268" s="31" t="s">
        <v>629</v>
      </c>
      <c r="B268" s="31">
        <v>1030.3717534130701</v>
      </c>
      <c r="C268" s="31">
        <v>2.8752699369672401</v>
      </c>
      <c r="D268" s="31">
        <v>0.41685429173793598</v>
      </c>
      <c r="E268" s="31">
        <v>6.8975418844310203</v>
      </c>
      <c r="F268" s="32">
        <v>5.2910046383574501E-12</v>
      </c>
      <c r="G268" s="32">
        <v>4.8456180150326997E-9</v>
      </c>
      <c r="H268" s="33" t="s">
        <v>631</v>
      </c>
      <c r="I268" s="33" t="s">
        <v>632</v>
      </c>
      <c r="J268" s="33" t="s">
        <v>3070</v>
      </c>
      <c r="K268" s="30"/>
      <c r="L268" s="31"/>
    </row>
    <row r="269" spans="1:12" x14ac:dyDescent="0.2">
      <c r="A269" s="31" t="s">
        <v>633</v>
      </c>
      <c r="B269" s="31">
        <v>190.58465955059799</v>
      </c>
      <c r="C269" s="31">
        <v>3.8993547412762299</v>
      </c>
      <c r="D269" s="31">
        <v>0.56609858567828397</v>
      </c>
      <c r="E269" s="31">
        <v>6.8881195606665004</v>
      </c>
      <c r="F269" s="32">
        <v>5.6534688948883998E-12</v>
      </c>
      <c r="G269" s="32">
        <v>5.10760355361843E-9</v>
      </c>
      <c r="H269" s="33" t="s">
        <v>10</v>
      </c>
      <c r="I269" s="33" t="s">
        <v>10</v>
      </c>
      <c r="J269" s="33" t="s">
        <v>10</v>
      </c>
      <c r="K269" s="30"/>
      <c r="L269" s="31"/>
    </row>
    <row r="270" spans="1:12" x14ac:dyDescent="0.2">
      <c r="A270" s="50" t="s">
        <v>638</v>
      </c>
      <c r="B270" s="50">
        <v>456.19597845593</v>
      </c>
      <c r="C270" s="50">
        <v>2.5624608189655098</v>
      </c>
      <c r="D270" s="50">
        <v>0.37887089491620501</v>
      </c>
      <c r="E270" s="50">
        <v>6.76341427475512</v>
      </c>
      <c r="F270" s="51">
        <v>1.34777134653691E-11</v>
      </c>
      <c r="G270" s="51">
        <v>1.17019809574968E-8</v>
      </c>
      <c r="H270" s="50" t="s">
        <v>640</v>
      </c>
      <c r="I270" s="50" t="s">
        <v>111</v>
      </c>
      <c r="J270" s="50" t="s">
        <v>3039</v>
      </c>
      <c r="K270" s="30"/>
      <c r="L270" s="31"/>
    </row>
    <row r="271" spans="1:12" x14ac:dyDescent="0.2">
      <c r="A271" s="31" t="s">
        <v>642</v>
      </c>
      <c r="B271" s="31">
        <v>500.72111476815297</v>
      </c>
      <c r="C271" s="31">
        <v>2.5896225473400598</v>
      </c>
      <c r="D271" s="31">
        <v>0.38372833250452099</v>
      </c>
      <c r="E271" s="31">
        <v>6.7485831198288002</v>
      </c>
      <c r="F271" s="32">
        <v>1.49295864579559E-11</v>
      </c>
      <c r="G271" s="32">
        <v>1.2796378239059501E-8</v>
      </c>
      <c r="H271" s="33" t="s">
        <v>10</v>
      </c>
      <c r="I271" s="33" t="s">
        <v>10</v>
      </c>
      <c r="J271" s="33" t="s">
        <v>10</v>
      </c>
      <c r="K271" s="30"/>
      <c r="L271" s="31"/>
    </row>
    <row r="272" spans="1:12" x14ac:dyDescent="0.2">
      <c r="A272" s="31" t="s">
        <v>646</v>
      </c>
      <c r="B272" s="31">
        <v>3617.82558713462</v>
      </c>
      <c r="C272" s="31">
        <v>2.7095431435144199</v>
      </c>
      <c r="D272" s="31">
        <v>0.40251515273537097</v>
      </c>
      <c r="E272" s="31">
        <v>6.7315307885956202</v>
      </c>
      <c r="F272" s="32">
        <v>1.6788729700730301E-11</v>
      </c>
      <c r="G272" s="32">
        <v>1.4207728153700301E-8</v>
      </c>
      <c r="H272" s="33" t="s">
        <v>10</v>
      </c>
      <c r="I272" s="33" t="s">
        <v>10</v>
      </c>
      <c r="J272" s="33" t="s">
        <v>10</v>
      </c>
      <c r="K272" s="30"/>
      <c r="L272" s="31"/>
    </row>
    <row r="273" spans="1:12" x14ac:dyDescent="0.2">
      <c r="A273" s="31" t="s">
        <v>649</v>
      </c>
      <c r="B273" s="31">
        <v>137.197071230669</v>
      </c>
      <c r="C273" s="31">
        <v>3.2457188242871502</v>
      </c>
      <c r="D273" s="31">
        <v>0.48357050003916802</v>
      </c>
      <c r="E273" s="31">
        <v>6.7119868230676802</v>
      </c>
      <c r="F273" s="32">
        <v>1.91992036543733E-11</v>
      </c>
      <c r="G273" s="32">
        <v>1.56532043940626E-8</v>
      </c>
      <c r="H273" s="33" t="s">
        <v>3161</v>
      </c>
      <c r="I273" s="33" t="s">
        <v>3139</v>
      </c>
      <c r="J273" s="33" t="s">
        <v>10</v>
      </c>
      <c r="K273" s="30"/>
      <c r="L273" s="31"/>
    </row>
    <row r="274" spans="1:12" x14ac:dyDescent="0.2">
      <c r="A274" s="31" t="s">
        <v>656</v>
      </c>
      <c r="B274" s="31">
        <v>892.612787601896</v>
      </c>
      <c r="C274" s="31">
        <v>2.21003068059423</v>
      </c>
      <c r="D274" s="31">
        <v>0.332681402401382</v>
      </c>
      <c r="E274" s="31">
        <v>6.6430845386656703</v>
      </c>
      <c r="F274" s="32">
        <v>3.0718552629970799E-11</v>
      </c>
      <c r="G274" s="32">
        <v>2.4448676619960701E-8</v>
      </c>
      <c r="H274" s="33" t="s">
        <v>10</v>
      </c>
      <c r="I274" s="33" t="s">
        <v>10</v>
      </c>
      <c r="J274" s="33" t="s">
        <v>10</v>
      </c>
      <c r="K274" s="30"/>
      <c r="L274" s="31"/>
    </row>
    <row r="275" spans="1:12" x14ac:dyDescent="0.2">
      <c r="A275" s="31" t="s">
        <v>661</v>
      </c>
      <c r="B275" s="31">
        <v>305.51440734132399</v>
      </c>
      <c r="C275" s="31">
        <v>2.37437733244797</v>
      </c>
      <c r="D275" s="31">
        <v>0.361336527474307</v>
      </c>
      <c r="E275" s="31">
        <v>6.5710968914339798</v>
      </c>
      <c r="F275" s="32">
        <v>4.9945943761343999E-11</v>
      </c>
      <c r="G275" s="32">
        <v>3.79447280700528E-8</v>
      </c>
      <c r="H275" s="33" t="s">
        <v>10</v>
      </c>
      <c r="I275" s="33" t="s">
        <v>10</v>
      </c>
      <c r="J275" s="33" t="s">
        <v>10</v>
      </c>
      <c r="K275" s="30"/>
      <c r="L275" s="31"/>
    </row>
    <row r="276" spans="1:12" x14ac:dyDescent="0.2">
      <c r="A276" s="31" t="s">
        <v>664</v>
      </c>
      <c r="B276" s="31">
        <v>1253.8471594657101</v>
      </c>
      <c r="C276" s="31">
        <v>2.1129460160098201</v>
      </c>
      <c r="D276" s="31">
        <v>0.32383374856517</v>
      </c>
      <c r="E276" s="31">
        <v>6.5247863305531997</v>
      </c>
      <c r="F276" s="32">
        <v>6.8098541762779297E-11</v>
      </c>
      <c r="G276" s="32">
        <v>5.1154247298321403E-8</v>
      </c>
      <c r="H276" s="30" t="s">
        <v>667</v>
      </c>
      <c r="I276" s="33" t="s">
        <v>668</v>
      </c>
      <c r="J276" s="33" t="s">
        <v>10</v>
      </c>
      <c r="K276" s="30"/>
      <c r="L276" s="31"/>
    </row>
    <row r="277" spans="1:12" x14ac:dyDescent="0.2">
      <c r="A277" s="31" t="s">
        <v>670</v>
      </c>
      <c r="B277" s="31">
        <v>141.715776565261</v>
      </c>
      <c r="C277" s="31">
        <v>3.1889183172322699</v>
      </c>
      <c r="D277" s="31">
        <v>0.494352056893411</v>
      </c>
      <c r="E277" s="31">
        <v>6.4507030420222096</v>
      </c>
      <c r="F277" s="32">
        <v>1.1133246255095E-10</v>
      </c>
      <c r="G277" s="32">
        <v>8.0903606346127501E-8</v>
      </c>
      <c r="H277" s="30" t="s">
        <v>545</v>
      </c>
      <c r="I277" s="33" t="s">
        <v>673</v>
      </c>
      <c r="J277" s="33" t="s">
        <v>10</v>
      </c>
      <c r="K277" s="30"/>
      <c r="L277" s="31"/>
    </row>
    <row r="278" spans="1:12" x14ac:dyDescent="0.2">
      <c r="A278" s="31" t="s">
        <v>674</v>
      </c>
      <c r="B278" s="31">
        <v>164.876952451303</v>
      </c>
      <c r="C278" s="31">
        <v>2.7701625942427599</v>
      </c>
      <c r="D278" s="31">
        <v>0.43130106917503602</v>
      </c>
      <c r="E278" s="31">
        <v>6.4228048391842298</v>
      </c>
      <c r="F278" s="32">
        <v>1.3378597147356999E-10</v>
      </c>
      <c r="G278" s="32">
        <v>9.6174850783500405E-8</v>
      </c>
      <c r="H278" s="33" t="s">
        <v>10</v>
      </c>
      <c r="I278" s="33" t="s">
        <v>10</v>
      </c>
      <c r="J278" s="33" t="s">
        <v>10</v>
      </c>
      <c r="K278" s="30"/>
      <c r="L278" s="31"/>
    </row>
    <row r="279" spans="1:12" x14ac:dyDescent="0.2">
      <c r="A279" s="50" t="s">
        <v>677</v>
      </c>
      <c r="B279" s="50">
        <v>59.553624116614998</v>
      </c>
      <c r="C279" s="50">
        <v>5.9447237457205304</v>
      </c>
      <c r="D279" s="50">
        <v>0.92581840045924602</v>
      </c>
      <c r="E279" s="50">
        <v>6.4210473055749304</v>
      </c>
      <c r="F279" s="51">
        <v>1.35339958482055E-10</v>
      </c>
      <c r="G279" s="51">
        <v>9.6256946003381E-8</v>
      </c>
      <c r="H279" s="50" t="s">
        <v>640</v>
      </c>
      <c r="I279" s="50" t="s">
        <v>111</v>
      </c>
      <c r="J279" s="50" t="s">
        <v>3039</v>
      </c>
      <c r="K279" s="30"/>
      <c r="L279" s="31"/>
    </row>
    <row r="280" spans="1:12" x14ac:dyDescent="0.2">
      <c r="A280" s="31" t="s">
        <v>681</v>
      </c>
      <c r="B280" s="31">
        <v>274.83065848332399</v>
      </c>
      <c r="C280" s="31">
        <v>3.0812941361675898</v>
      </c>
      <c r="D280" s="31">
        <v>0.481248845728731</v>
      </c>
      <c r="E280" s="31">
        <v>6.4027044709099297</v>
      </c>
      <c r="F280" s="32">
        <v>1.5264849055624999E-10</v>
      </c>
      <c r="G280" s="32">
        <v>1.07424366696191E-7</v>
      </c>
      <c r="H280" s="33" t="s">
        <v>10</v>
      </c>
      <c r="I280" s="33" t="s">
        <v>10</v>
      </c>
      <c r="J280" s="33" t="s">
        <v>10</v>
      </c>
      <c r="K280" s="30"/>
      <c r="L280" s="31"/>
    </row>
    <row r="281" spans="1:12" x14ac:dyDescent="0.2">
      <c r="A281" s="31" t="s">
        <v>683</v>
      </c>
      <c r="B281" s="31">
        <v>370.76928728675</v>
      </c>
      <c r="C281" s="31">
        <v>2.5462334298532898</v>
      </c>
      <c r="D281" s="31">
        <v>0.39796350242170397</v>
      </c>
      <c r="E281" s="31">
        <v>6.3981581586221798</v>
      </c>
      <c r="F281" s="32">
        <v>1.5726235053942201E-10</v>
      </c>
      <c r="G281" s="32">
        <v>1.09518483805344E-7</v>
      </c>
      <c r="H281" s="33">
        <v>0</v>
      </c>
      <c r="I281" s="33" t="s">
        <v>686</v>
      </c>
      <c r="J281" s="33">
        <v>0</v>
      </c>
      <c r="K281" s="30"/>
      <c r="L281" s="31"/>
    </row>
    <row r="282" spans="1:12" x14ac:dyDescent="0.2">
      <c r="A282" s="31" t="s">
        <v>687</v>
      </c>
      <c r="B282" s="31">
        <v>93.221806689482193</v>
      </c>
      <c r="C282" s="31">
        <v>3.2199267400109601</v>
      </c>
      <c r="D282" s="31">
        <v>0.50477131695975996</v>
      </c>
      <c r="E282" s="31">
        <v>6.3789811976730197</v>
      </c>
      <c r="F282" s="32">
        <v>1.78269919800066E-10</v>
      </c>
      <c r="G282" s="32">
        <v>1.2161464783911701E-7</v>
      </c>
      <c r="H282" s="33" t="s">
        <v>10</v>
      </c>
      <c r="I282" s="33" t="s">
        <v>10</v>
      </c>
      <c r="J282" s="33" t="s">
        <v>10</v>
      </c>
      <c r="K282" s="30"/>
      <c r="L282" s="31"/>
    </row>
    <row r="283" spans="1:12" x14ac:dyDescent="0.2">
      <c r="A283" s="31" t="s">
        <v>689</v>
      </c>
      <c r="B283" s="31">
        <v>90.686727686222994</v>
      </c>
      <c r="C283" s="31">
        <v>3.6768830403489301</v>
      </c>
      <c r="D283" s="31">
        <v>0.57713153656284299</v>
      </c>
      <c r="E283" s="31">
        <v>6.3709619166662197</v>
      </c>
      <c r="F283" s="32">
        <v>1.8784628677316101E-10</v>
      </c>
      <c r="G283" s="32">
        <v>1.2685316668908801E-7</v>
      </c>
      <c r="H283" s="33" t="s">
        <v>10</v>
      </c>
      <c r="I283" s="33" t="s">
        <v>10</v>
      </c>
      <c r="J283" s="33" t="s">
        <v>10</v>
      </c>
      <c r="K283" s="30"/>
      <c r="L283" s="31"/>
    </row>
    <row r="284" spans="1:12" x14ac:dyDescent="0.2">
      <c r="A284" s="31" t="s">
        <v>692</v>
      </c>
      <c r="B284" s="31">
        <v>142.24057000520401</v>
      </c>
      <c r="C284" s="31">
        <v>2.6584245752568498</v>
      </c>
      <c r="D284" s="31">
        <v>0.42590607676854803</v>
      </c>
      <c r="E284" s="31">
        <v>6.2418094511047197</v>
      </c>
      <c r="F284" s="32">
        <v>4.3253768685066598E-10</v>
      </c>
      <c r="G284" s="32">
        <v>2.6529639499450702E-7</v>
      </c>
      <c r="H284" s="33" t="s">
        <v>10</v>
      </c>
      <c r="I284" s="33" t="s">
        <v>10</v>
      </c>
      <c r="J284" s="33" t="s">
        <v>10</v>
      </c>
      <c r="K284" s="30"/>
      <c r="L284" s="31"/>
    </row>
    <row r="285" spans="1:12" x14ac:dyDescent="0.2">
      <c r="A285" s="31" t="s">
        <v>694</v>
      </c>
      <c r="B285" s="31">
        <v>364.838580558091</v>
      </c>
      <c r="C285" s="31">
        <v>2.8006015717474102</v>
      </c>
      <c r="D285" s="31">
        <v>0.45023135977534401</v>
      </c>
      <c r="E285" s="31">
        <v>6.2203609565199001</v>
      </c>
      <c r="F285" s="32">
        <v>4.9601245533927403E-10</v>
      </c>
      <c r="G285" s="32">
        <v>3.0146284274279198E-7</v>
      </c>
      <c r="H285" s="30" t="s">
        <v>186</v>
      </c>
      <c r="I285" s="30" t="s">
        <v>696</v>
      </c>
      <c r="J285" s="33" t="s">
        <v>10</v>
      </c>
      <c r="L285" s="31"/>
    </row>
    <row r="286" spans="1:12" x14ac:dyDescent="0.2">
      <c r="A286" s="31" t="s">
        <v>697</v>
      </c>
      <c r="B286" s="31">
        <v>266.68236699273598</v>
      </c>
      <c r="C286" s="31">
        <v>3.0667185341610002</v>
      </c>
      <c r="D286" s="31">
        <v>0.49424244279451002</v>
      </c>
      <c r="E286" s="31">
        <v>6.2048870526403697</v>
      </c>
      <c r="F286" s="32">
        <v>5.4736199734280902E-10</v>
      </c>
      <c r="G286" s="32">
        <v>3.2673112796744199E-7</v>
      </c>
      <c r="H286" s="33" t="s">
        <v>10</v>
      </c>
      <c r="I286" s="33" t="s">
        <v>10</v>
      </c>
      <c r="J286" s="33" t="s">
        <v>10</v>
      </c>
      <c r="K286" s="30"/>
      <c r="L286" s="31"/>
    </row>
    <row r="287" spans="1:12" x14ac:dyDescent="0.2">
      <c r="A287" s="31" t="s">
        <v>699</v>
      </c>
      <c r="B287" s="31">
        <v>240.57225510293699</v>
      </c>
      <c r="C287" s="31">
        <v>3.26858400771492</v>
      </c>
      <c r="D287" s="31">
        <v>0.52940967905605196</v>
      </c>
      <c r="E287" s="31">
        <v>6.1740163374853099</v>
      </c>
      <c r="F287" s="32">
        <v>6.6576656838889504E-10</v>
      </c>
      <c r="G287" s="32">
        <v>3.9389224716495198E-7</v>
      </c>
      <c r="H287" s="33" t="s">
        <v>3096</v>
      </c>
      <c r="I287" s="33" t="s">
        <v>700</v>
      </c>
      <c r="J287" s="33" t="s">
        <v>3086</v>
      </c>
      <c r="K287" s="30"/>
      <c r="L287" s="31"/>
    </row>
    <row r="288" spans="1:12" x14ac:dyDescent="0.2">
      <c r="A288" s="31" t="s">
        <v>701</v>
      </c>
      <c r="B288" s="31">
        <v>1073.43537889514</v>
      </c>
      <c r="C288" s="31">
        <v>2.7054006500496399</v>
      </c>
      <c r="D288" s="31">
        <v>0.43890494903284899</v>
      </c>
      <c r="E288" s="31">
        <v>6.1639784559530302</v>
      </c>
      <c r="F288" s="32">
        <v>7.0939598875177099E-10</v>
      </c>
      <c r="G288" s="32">
        <v>4.1491162550699101E-7</v>
      </c>
      <c r="H288" s="33" t="s">
        <v>10</v>
      </c>
      <c r="I288" s="33" t="s">
        <v>10</v>
      </c>
      <c r="J288" s="33" t="s">
        <v>10</v>
      </c>
      <c r="K288" s="30"/>
      <c r="L288" s="31"/>
    </row>
    <row r="289" spans="1:12" x14ac:dyDescent="0.2">
      <c r="A289" s="31" t="s">
        <v>703</v>
      </c>
      <c r="B289" s="31">
        <v>62.278643739880401</v>
      </c>
      <c r="C289" s="31">
        <v>4.2407687623430999</v>
      </c>
      <c r="D289" s="31">
        <v>0.68809917584226798</v>
      </c>
      <c r="E289" s="31">
        <v>6.1630196797608203</v>
      </c>
      <c r="F289" s="32">
        <v>7.1370633360712E-10</v>
      </c>
      <c r="G289" s="32">
        <v>4.1491162550699101E-7</v>
      </c>
      <c r="H289" s="33" t="s">
        <v>10</v>
      </c>
      <c r="I289" s="33" t="s">
        <v>10</v>
      </c>
      <c r="J289" s="33" t="s">
        <v>10</v>
      </c>
      <c r="K289" s="30"/>
      <c r="L289" s="31"/>
    </row>
    <row r="290" spans="1:12" x14ac:dyDescent="0.2">
      <c r="A290" s="31" t="s">
        <v>707</v>
      </c>
      <c r="B290" s="31">
        <v>206.18278879290401</v>
      </c>
      <c r="C290" s="31">
        <v>2.5611198547701801</v>
      </c>
      <c r="D290" s="31">
        <v>0.41646881442417</v>
      </c>
      <c r="E290" s="31">
        <v>6.1496077642963698</v>
      </c>
      <c r="F290" s="32">
        <v>7.7674795947421603E-10</v>
      </c>
      <c r="G290" s="32">
        <v>4.4734331366245699E-7</v>
      </c>
      <c r="H290" s="33" t="s">
        <v>10</v>
      </c>
      <c r="I290" s="33" t="s">
        <v>10</v>
      </c>
      <c r="J290" s="33" t="s">
        <v>10</v>
      </c>
      <c r="K290" s="30"/>
      <c r="L290" s="31"/>
    </row>
    <row r="291" spans="1:12" x14ac:dyDescent="0.2">
      <c r="A291" s="31" t="s">
        <v>711</v>
      </c>
      <c r="B291" s="31">
        <v>260.97764586068303</v>
      </c>
      <c r="C291" s="31">
        <v>2.9296428164219099</v>
      </c>
      <c r="D291" s="31">
        <v>0.47740139646716101</v>
      </c>
      <c r="E291" s="31">
        <v>6.1366448403831404</v>
      </c>
      <c r="F291" s="32">
        <v>8.4282521428615105E-10</v>
      </c>
      <c r="G291" s="32">
        <v>4.7751762458559905E-7</v>
      </c>
      <c r="H291" s="33" t="s">
        <v>10</v>
      </c>
      <c r="I291" s="33" t="s">
        <v>714</v>
      </c>
      <c r="J291" s="33" t="s">
        <v>10</v>
      </c>
      <c r="K291" s="30"/>
      <c r="L291" s="31"/>
    </row>
    <row r="292" spans="1:12" x14ac:dyDescent="0.2">
      <c r="A292" s="31" t="s">
        <v>716</v>
      </c>
      <c r="B292" s="31">
        <v>186.71199421961501</v>
      </c>
      <c r="C292" s="31">
        <v>2.4612948928783398</v>
      </c>
      <c r="D292" s="31">
        <v>0.40148701506222001</v>
      </c>
      <c r="E292" s="31">
        <v>6.1304470643886404</v>
      </c>
      <c r="F292" s="32">
        <v>8.76324718435183E-10</v>
      </c>
      <c r="G292" s="32">
        <v>4.9232511807549699E-7</v>
      </c>
      <c r="H292" s="30" t="s">
        <v>186</v>
      </c>
      <c r="I292" s="33" t="s">
        <v>606</v>
      </c>
      <c r="J292" s="33" t="s">
        <v>10</v>
      </c>
      <c r="K292" s="30"/>
      <c r="L292" s="31"/>
    </row>
    <row r="293" spans="1:12" x14ac:dyDescent="0.2">
      <c r="A293" s="31" t="s">
        <v>721</v>
      </c>
      <c r="B293" s="31">
        <v>227.472142648996</v>
      </c>
      <c r="C293" s="31">
        <v>2.35548564175263</v>
      </c>
      <c r="D293" s="31">
        <v>0.38451910479671098</v>
      </c>
      <c r="E293" s="31">
        <v>6.12579612396096</v>
      </c>
      <c r="F293" s="32">
        <v>9.0231284427652604E-10</v>
      </c>
      <c r="G293" s="32">
        <v>5.0270104336756004E-7</v>
      </c>
      <c r="H293" s="30" t="s">
        <v>724</v>
      </c>
      <c r="I293" s="33" t="s">
        <v>10</v>
      </c>
      <c r="J293" s="33" t="s">
        <v>10</v>
      </c>
      <c r="K293" s="30"/>
      <c r="L293" s="31"/>
    </row>
    <row r="294" spans="1:12" x14ac:dyDescent="0.2">
      <c r="A294" s="31" t="s">
        <v>725</v>
      </c>
      <c r="B294" s="31">
        <v>659.58100607966799</v>
      </c>
      <c r="C294" s="31">
        <v>2.1221468575576199</v>
      </c>
      <c r="D294" s="31">
        <v>0.34817871244458198</v>
      </c>
      <c r="E294" s="31">
        <v>6.0949931219456497</v>
      </c>
      <c r="F294" s="32">
        <v>1.0944215695704099E-9</v>
      </c>
      <c r="G294" s="32">
        <v>5.9296928054941599E-7</v>
      </c>
      <c r="H294" s="33" t="s">
        <v>10</v>
      </c>
      <c r="I294" s="33" t="s">
        <v>10</v>
      </c>
      <c r="J294" s="33" t="s">
        <v>10</v>
      </c>
      <c r="K294" s="30"/>
      <c r="L294" s="31"/>
    </row>
    <row r="295" spans="1:12" x14ac:dyDescent="0.2">
      <c r="A295" s="50" t="s">
        <v>729</v>
      </c>
      <c r="B295" s="50">
        <v>505.02031041635303</v>
      </c>
      <c r="C295" s="50">
        <v>2.8153566938974399</v>
      </c>
      <c r="D295" s="50">
        <v>0.462096359440541</v>
      </c>
      <c r="E295" s="50">
        <v>6.0925749281080197</v>
      </c>
      <c r="F295" s="51">
        <v>1.1110880964593801E-9</v>
      </c>
      <c r="G295" s="51">
        <v>5.9425435751033597E-7</v>
      </c>
      <c r="H295" s="49" t="s">
        <v>731</v>
      </c>
      <c r="I295" s="49" t="s">
        <v>732</v>
      </c>
      <c r="J295" s="50" t="s">
        <v>10</v>
      </c>
      <c r="L295" s="31"/>
    </row>
    <row r="296" spans="1:12" x14ac:dyDescent="0.2">
      <c r="A296" s="31" t="s">
        <v>734</v>
      </c>
      <c r="B296" s="31">
        <v>399.26823650221098</v>
      </c>
      <c r="C296" s="31">
        <v>2.52442894939478</v>
      </c>
      <c r="D296" s="31">
        <v>0.41505470954000701</v>
      </c>
      <c r="E296" s="31">
        <v>6.0821595114353197</v>
      </c>
      <c r="F296" s="32">
        <v>1.1857451269903699E-9</v>
      </c>
      <c r="G296" s="32">
        <v>6.2915071797572203E-7</v>
      </c>
      <c r="H296" s="33" t="s">
        <v>3162</v>
      </c>
      <c r="I296" s="33" t="s">
        <v>738</v>
      </c>
      <c r="J296" s="33" t="s">
        <v>10</v>
      </c>
      <c r="K296" s="30"/>
      <c r="L296" s="31"/>
    </row>
    <row r="297" spans="1:12" x14ac:dyDescent="0.2">
      <c r="A297" s="31" t="s">
        <v>739</v>
      </c>
      <c r="B297" s="31">
        <v>184.65387749837399</v>
      </c>
      <c r="C297" s="31">
        <v>2.5067574062154701</v>
      </c>
      <c r="D297" s="31">
        <v>0.41326481363698098</v>
      </c>
      <c r="E297" s="31">
        <v>6.0657411990981904</v>
      </c>
      <c r="F297" s="32">
        <v>1.3134648811791E-9</v>
      </c>
      <c r="G297" s="32">
        <v>6.65240110842641E-7</v>
      </c>
      <c r="H297" s="33" t="s">
        <v>10</v>
      </c>
      <c r="I297" s="33" t="s">
        <v>10</v>
      </c>
      <c r="J297" s="33" t="s">
        <v>10</v>
      </c>
      <c r="K297" s="30"/>
      <c r="L297" s="31"/>
    </row>
    <row r="298" spans="1:12" x14ac:dyDescent="0.2">
      <c r="A298" s="31" t="s">
        <v>528</v>
      </c>
      <c r="B298" s="31">
        <v>221.432906829204</v>
      </c>
      <c r="C298" s="31">
        <v>3.2086458321237599</v>
      </c>
      <c r="D298" s="31">
        <v>0.52987388037875205</v>
      </c>
      <c r="E298" s="31">
        <v>6.05548971357151</v>
      </c>
      <c r="F298" s="32">
        <v>1.3999112069552499E-9</v>
      </c>
      <c r="G298" s="32">
        <v>6.9167388093338996E-7</v>
      </c>
      <c r="H298" s="33" t="s">
        <v>10</v>
      </c>
      <c r="I298" s="33" t="s">
        <v>745</v>
      </c>
      <c r="J298" s="33" t="s">
        <v>10</v>
      </c>
      <c r="K298" s="30"/>
      <c r="L298" s="31"/>
    </row>
    <row r="299" spans="1:12" x14ac:dyDescent="0.2">
      <c r="A299" s="31" t="s">
        <v>746</v>
      </c>
      <c r="B299" s="31">
        <v>66.654949339378604</v>
      </c>
      <c r="C299" s="31">
        <v>4.8065917172543502</v>
      </c>
      <c r="D299" s="31">
        <v>0.79393729918781297</v>
      </c>
      <c r="E299" s="31">
        <v>6.0541200447080996</v>
      </c>
      <c r="F299" s="32">
        <v>1.41187297077984E-9</v>
      </c>
      <c r="G299" s="32">
        <v>6.9167388093338996E-7</v>
      </c>
      <c r="H299" s="33" t="s">
        <v>10</v>
      </c>
      <c r="I299" s="33" t="s">
        <v>10</v>
      </c>
      <c r="J299" s="33" t="s">
        <v>10</v>
      </c>
      <c r="K299" s="30"/>
      <c r="L299" s="31"/>
    </row>
    <row r="300" spans="1:12" x14ac:dyDescent="0.2">
      <c r="A300" s="31" t="s">
        <v>748</v>
      </c>
      <c r="B300" s="31">
        <v>383.58165427622703</v>
      </c>
      <c r="C300" s="31">
        <v>2.1893991984304599</v>
      </c>
      <c r="D300" s="31">
        <v>0.36180857560042501</v>
      </c>
      <c r="E300" s="31">
        <v>6.0512639723840902</v>
      </c>
      <c r="F300" s="32">
        <v>1.4371373050495499E-9</v>
      </c>
      <c r="G300" s="32">
        <v>6.9623054006585102E-7</v>
      </c>
      <c r="H300" s="33" t="s">
        <v>750</v>
      </c>
      <c r="I300" s="33" t="s">
        <v>751</v>
      </c>
      <c r="J300" s="33" t="s">
        <v>3079</v>
      </c>
      <c r="K300" s="30"/>
      <c r="L300" s="31"/>
    </row>
    <row r="301" spans="1:12" x14ac:dyDescent="0.2">
      <c r="A301" s="31" t="s">
        <v>753</v>
      </c>
      <c r="B301" s="31">
        <v>108.90528137858701</v>
      </c>
      <c r="C301" s="31">
        <v>4.0531975113776602</v>
      </c>
      <c r="D301" s="31">
        <v>0.67018436442553397</v>
      </c>
      <c r="E301" s="31">
        <v>6.0478843233711697</v>
      </c>
      <c r="F301" s="32">
        <v>1.4676026437729599E-9</v>
      </c>
      <c r="G301" s="32">
        <v>7.0587463848518799E-7</v>
      </c>
      <c r="H301" s="30" t="s">
        <v>429</v>
      </c>
      <c r="I301" s="30" t="s">
        <v>755</v>
      </c>
      <c r="J301" s="33" t="s">
        <v>10</v>
      </c>
      <c r="L301" s="31"/>
    </row>
    <row r="302" spans="1:12" x14ac:dyDescent="0.2">
      <c r="A302" s="31" t="s">
        <v>756</v>
      </c>
      <c r="B302" s="31">
        <v>97.253399408360195</v>
      </c>
      <c r="C302" s="31">
        <v>3.72352061758308</v>
      </c>
      <c r="D302" s="31">
        <v>0.61753842333244802</v>
      </c>
      <c r="E302" s="31">
        <v>6.0296177159142497</v>
      </c>
      <c r="F302" s="32">
        <v>1.64347970567229E-9</v>
      </c>
      <c r="G302" s="32">
        <v>7.8482025516229404E-7</v>
      </c>
      <c r="H302" s="33" t="s">
        <v>10</v>
      </c>
      <c r="I302" s="33" t="s">
        <v>10</v>
      </c>
      <c r="J302" s="33" t="s">
        <v>10</v>
      </c>
      <c r="K302" s="30"/>
      <c r="L302" s="31"/>
    </row>
    <row r="303" spans="1:12" x14ac:dyDescent="0.2">
      <c r="A303" s="31" t="s">
        <v>758</v>
      </c>
      <c r="B303" s="31">
        <v>110.974468242535</v>
      </c>
      <c r="C303" s="31">
        <v>3.5013268848886701</v>
      </c>
      <c r="D303" s="31">
        <v>0.58199454049858501</v>
      </c>
      <c r="E303" s="31">
        <v>6.0160820097885201</v>
      </c>
      <c r="F303" s="32">
        <v>1.7868907023233299E-9</v>
      </c>
      <c r="G303" s="32">
        <v>8.4128575988609896E-7</v>
      </c>
      <c r="H303" s="33" t="s">
        <v>10</v>
      </c>
      <c r="I303" s="33" t="s">
        <v>10</v>
      </c>
      <c r="J303" s="33" t="s">
        <v>10</v>
      </c>
      <c r="K303" s="30"/>
      <c r="L303" s="31"/>
    </row>
    <row r="304" spans="1:12" x14ac:dyDescent="0.2">
      <c r="A304" s="31" t="s">
        <v>761</v>
      </c>
      <c r="B304" s="31">
        <v>774.18864529248003</v>
      </c>
      <c r="C304" s="31">
        <v>2.04617984515516</v>
      </c>
      <c r="D304" s="31">
        <v>0.34296581515589902</v>
      </c>
      <c r="E304" s="31">
        <v>5.9661335174907997</v>
      </c>
      <c r="F304" s="32">
        <v>2.4294151344508298E-9</v>
      </c>
      <c r="G304" s="32">
        <v>1.1048880871680999E-6</v>
      </c>
      <c r="H304" s="33" t="s">
        <v>10</v>
      </c>
      <c r="I304" s="33" t="s">
        <v>762</v>
      </c>
      <c r="J304" s="33" t="s">
        <v>10</v>
      </c>
      <c r="K304" s="30"/>
      <c r="L304" s="31"/>
    </row>
    <row r="305" spans="1:12" x14ac:dyDescent="0.2">
      <c r="A305" s="31" t="s">
        <v>764</v>
      </c>
      <c r="B305" s="31">
        <v>141.49709516634101</v>
      </c>
      <c r="C305" s="31">
        <v>2.5866756747666</v>
      </c>
      <c r="D305" s="31">
        <v>0.43931608902822999</v>
      </c>
      <c r="E305" s="31">
        <v>5.8879602622529603</v>
      </c>
      <c r="F305" s="32">
        <v>3.9099109487667702E-9</v>
      </c>
      <c r="G305" s="32">
        <v>1.73110659920399E-6</v>
      </c>
      <c r="H305" s="33" t="s">
        <v>10</v>
      </c>
      <c r="I305" s="33" t="s">
        <v>10</v>
      </c>
      <c r="J305" s="33" t="s">
        <v>10</v>
      </c>
      <c r="K305" s="30"/>
      <c r="L305" s="31"/>
    </row>
    <row r="306" spans="1:12" x14ac:dyDescent="0.2">
      <c r="A306" s="31" t="s">
        <v>766</v>
      </c>
      <c r="B306" s="31">
        <v>348.38845015451</v>
      </c>
      <c r="C306" s="31">
        <v>2.0468575118792498</v>
      </c>
      <c r="D306" s="31">
        <v>0.34865781951377001</v>
      </c>
      <c r="E306" s="31">
        <v>5.8706772007401202</v>
      </c>
      <c r="F306" s="32">
        <v>4.3401860420467801E-9</v>
      </c>
      <c r="G306" s="32">
        <v>1.9089680121120898E-6</v>
      </c>
      <c r="H306" s="33" t="s">
        <v>10</v>
      </c>
      <c r="I306" s="33" t="s">
        <v>10</v>
      </c>
      <c r="J306" s="33" t="s">
        <v>10</v>
      </c>
      <c r="K306" s="30"/>
      <c r="L306" s="31"/>
    </row>
    <row r="307" spans="1:12" x14ac:dyDescent="0.2">
      <c r="A307" s="31" t="s">
        <v>770</v>
      </c>
      <c r="B307" s="31">
        <v>326.21254469817399</v>
      </c>
      <c r="C307" s="31">
        <v>2.5357307200288499</v>
      </c>
      <c r="D307" s="31">
        <v>0.43357583186822302</v>
      </c>
      <c r="E307" s="31">
        <v>5.8484134346296797</v>
      </c>
      <c r="F307" s="32">
        <v>4.9628379848446797E-9</v>
      </c>
      <c r="G307" s="32">
        <v>2.1685655782796798E-6</v>
      </c>
      <c r="H307" s="30" t="s">
        <v>772</v>
      </c>
      <c r="I307" s="30" t="s">
        <v>773</v>
      </c>
      <c r="J307" s="33" t="s">
        <v>10</v>
      </c>
      <c r="L307" s="31"/>
    </row>
    <row r="308" spans="1:12" x14ac:dyDescent="0.2">
      <c r="A308" s="31" t="s">
        <v>775</v>
      </c>
      <c r="B308" s="31">
        <v>209.31446213867201</v>
      </c>
      <c r="C308" s="31">
        <v>2.46526000695179</v>
      </c>
      <c r="D308" s="31">
        <v>0.42216707693386502</v>
      </c>
      <c r="E308" s="31">
        <v>5.8395363865335002</v>
      </c>
      <c r="F308" s="32">
        <v>5.2346283453868998E-9</v>
      </c>
      <c r="G308" s="32">
        <v>2.2578134066505898E-6</v>
      </c>
      <c r="H308" s="33" t="s">
        <v>10</v>
      </c>
      <c r="I308" s="33" t="s">
        <v>10</v>
      </c>
      <c r="J308" s="33" t="s">
        <v>10</v>
      </c>
      <c r="K308" s="30"/>
      <c r="L308" s="31"/>
    </row>
    <row r="309" spans="1:12" x14ac:dyDescent="0.2">
      <c r="A309" s="31" t="s">
        <v>778</v>
      </c>
      <c r="B309" s="31">
        <v>107.062489336149</v>
      </c>
      <c r="C309" s="31">
        <v>3.0224820828314201</v>
      </c>
      <c r="D309" s="31">
        <v>0.52047274766790197</v>
      </c>
      <c r="E309" s="31">
        <v>5.8071860560891002</v>
      </c>
      <c r="F309" s="32">
        <v>6.35315254371628E-9</v>
      </c>
      <c r="G309" s="32">
        <v>2.6882279323427299E-6</v>
      </c>
      <c r="H309" s="33" t="s">
        <v>10</v>
      </c>
      <c r="I309" s="33" t="s">
        <v>10</v>
      </c>
      <c r="J309" s="33" t="s">
        <v>10</v>
      </c>
      <c r="K309" s="30"/>
      <c r="L309" s="31"/>
    </row>
    <row r="310" spans="1:12" x14ac:dyDescent="0.2">
      <c r="A310" s="31" t="s">
        <v>780</v>
      </c>
      <c r="B310" s="31">
        <v>378.22067854073299</v>
      </c>
      <c r="C310" s="31">
        <v>2.4750727090085101</v>
      </c>
      <c r="D310" s="31">
        <v>0.42921465722044</v>
      </c>
      <c r="E310" s="31">
        <v>5.7665148833380702</v>
      </c>
      <c r="F310" s="32">
        <v>8.0927565879945606E-9</v>
      </c>
      <c r="G310" s="32">
        <v>3.2990319615266799E-6</v>
      </c>
      <c r="H310" s="33" t="s">
        <v>10</v>
      </c>
      <c r="I310" s="33" t="s">
        <v>10</v>
      </c>
      <c r="J310" s="33" t="s">
        <v>10</v>
      </c>
      <c r="K310" s="30"/>
      <c r="L310" s="31"/>
    </row>
    <row r="311" spans="1:12" x14ac:dyDescent="0.2">
      <c r="A311" s="31" t="s">
        <v>783</v>
      </c>
      <c r="B311" s="31">
        <v>68.425487389249199</v>
      </c>
      <c r="C311" s="31">
        <v>3.7772756893549402</v>
      </c>
      <c r="D311" s="31">
        <v>0.65666438786514003</v>
      </c>
      <c r="E311" s="31">
        <v>5.75221644291556</v>
      </c>
      <c r="F311" s="32">
        <v>8.8080927294343899E-9</v>
      </c>
      <c r="G311" s="32">
        <v>3.5383267558576698E-6</v>
      </c>
      <c r="H311" s="33" t="s">
        <v>10</v>
      </c>
      <c r="I311" s="33" t="s">
        <v>10</v>
      </c>
      <c r="J311" s="33" t="s">
        <v>10</v>
      </c>
      <c r="K311" s="30"/>
      <c r="L311" s="31"/>
    </row>
    <row r="312" spans="1:12" x14ac:dyDescent="0.2">
      <c r="A312" s="31" t="s">
        <v>786</v>
      </c>
      <c r="B312" s="31">
        <v>110.32813549436</v>
      </c>
      <c r="C312" s="31">
        <v>2.7981760450271902</v>
      </c>
      <c r="D312" s="31">
        <v>0.48651298757577099</v>
      </c>
      <c r="E312" s="31">
        <v>5.7514930052949298</v>
      </c>
      <c r="F312" s="32">
        <v>8.8458741644496499E-9</v>
      </c>
      <c r="G312" s="32">
        <v>3.5383267558576698E-6</v>
      </c>
      <c r="H312" s="33" t="s">
        <v>10</v>
      </c>
      <c r="I312" s="33" t="s">
        <v>10</v>
      </c>
      <c r="J312" s="33" t="s">
        <v>10</v>
      </c>
      <c r="K312" s="30"/>
      <c r="L312" s="31"/>
    </row>
    <row r="313" spans="1:12" x14ac:dyDescent="0.2">
      <c r="A313" s="31" t="s">
        <v>789</v>
      </c>
      <c r="B313" s="31">
        <v>111.132522849346</v>
      </c>
      <c r="C313" s="31">
        <v>3.4088679598575902</v>
      </c>
      <c r="D313" s="31">
        <v>0.59278226972007297</v>
      </c>
      <c r="E313" s="31">
        <v>5.7506240216451499</v>
      </c>
      <c r="F313" s="32">
        <v>8.8914650360345296E-9</v>
      </c>
      <c r="G313" s="32">
        <v>3.5383267558576698E-6</v>
      </c>
      <c r="H313" s="33" t="s">
        <v>429</v>
      </c>
      <c r="I313" s="33" t="s">
        <v>791</v>
      </c>
      <c r="J313" s="33" t="s">
        <v>3050</v>
      </c>
      <c r="K313" s="30"/>
      <c r="L313" s="31"/>
    </row>
    <row r="314" spans="1:12" x14ac:dyDescent="0.2">
      <c r="A314" s="31" t="s">
        <v>792</v>
      </c>
      <c r="B314" s="31">
        <v>231.57541278753399</v>
      </c>
      <c r="C314" s="31">
        <v>2.3623391656369299</v>
      </c>
      <c r="D314" s="31">
        <v>0.41248859607697402</v>
      </c>
      <c r="E314" s="31">
        <v>5.7270411548446702</v>
      </c>
      <c r="F314" s="32">
        <v>1.0219738316031701E-8</v>
      </c>
      <c r="G314" s="32">
        <v>4.0428438172680399E-6</v>
      </c>
      <c r="H314" s="30" t="s">
        <v>795</v>
      </c>
      <c r="I314" s="33" t="s">
        <v>796</v>
      </c>
      <c r="J314" s="33" t="s">
        <v>10</v>
      </c>
      <c r="K314" s="30"/>
      <c r="L314" s="31"/>
    </row>
    <row r="315" spans="1:12" x14ac:dyDescent="0.2">
      <c r="A315" s="31" t="s">
        <v>797</v>
      </c>
      <c r="B315" s="31">
        <v>301.69836032521903</v>
      </c>
      <c r="C315" s="31">
        <v>2.0728638402278201</v>
      </c>
      <c r="D315" s="31">
        <v>0.36276688234107102</v>
      </c>
      <c r="E315" s="31">
        <v>5.7140382464100599</v>
      </c>
      <c r="F315" s="32">
        <v>1.1032618555030301E-8</v>
      </c>
      <c r="G315" s="32">
        <v>4.2635012340841298E-6</v>
      </c>
      <c r="H315" s="33" t="s">
        <v>10</v>
      </c>
      <c r="I315" s="33" t="s">
        <v>10</v>
      </c>
      <c r="J315" s="33" t="s">
        <v>10</v>
      </c>
      <c r="K315" s="30"/>
      <c r="L315" s="31"/>
    </row>
    <row r="316" spans="1:12" x14ac:dyDescent="0.2">
      <c r="A316" s="31" t="s">
        <v>799</v>
      </c>
      <c r="B316" s="31">
        <v>84.797914675914697</v>
      </c>
      <c r="C316" s="31">
        <v>3.04487021526114</v>
      </c>
      <c r="D316" s="31">
        <v>0.53682744442825503</v>
      </c>
      <c r="E316" s="31">
        <v>5.6719719657851302</v>
      </c>
      <c r="F316" s="32">
        <v>1.41163081209564E-8</v>
      </c>
      <c r="G316" s="32">
        <v>5.3621919285598698E-6</v>
      </c>
      <c r="H316" s="33" t="s">
        <v>429</v>
      </c>
      <c r="I316" s="33" t="s">
        <v>802</v>
      </c>
      <c r="J316" s="33" t="s">
        <v>3050</v>
      </c>
      <c r="K316" s="30"/>
      <c r="L316" s="31"/>
    </row>
    <row r="317" spans="1:12" x14ac:dyDescent="0.2">
      <c r="A317" s="31" t="s">
        <v>803</v>
      </c>
      <c r="B317" s="31">
        <v>107.896428256422</v>
      </c>
      <c r="C317" s="31">
        <v>3.1605806558018599</v>
      </c>
      <c r="D317" s="31">
        <v>0.55861212850423902</v>
      </c>
      <c r="E317" s="31">
        <v>5.6579162795207196</v>
      </c>
      <c r="F317" s="32">
        <v>1.5322184034535901E-8</v>
      </c>
      <c r="G317" s="32">
        <v>5.6943829917398603E-6</v>
      </c>
      <c r="H317" s="33" t="s">
        <v>10</v>
      </c>
      <c r="I317" s="33" t="s">
        <v>10</v>
      </c>
      <c r="J317" s="33" t="s">
        <v>10</v>
      </c>
      <c r="K317" s="30"/>
      <c r="L317" s="31"/>
    </row>
    <row r="318" spans="1:12" x14ac:dyDescent="0.2">
      <c r="A318" s="31" t="s">
        <v>805</v>
      </c>
      <c r="B318" s="31">
        <v>501.61096858191502</v>
      </c>
      <c r="C318" s="31">
        <v>2.0899376726219199</v>
      </c>
      <c r="D318" s="31">
        <v>0.37044544544561903</v>
      </c>
      <c r="E318" s="31">
        <v>5.6416881306446403</v>
      </c>
      <c r="F318" s="32">
        <v>1.6839090905064301E-8</v>
      </c>
      <c r="G318" s="32">
        <v>6.1855902332861296E-6</v>
      </c>
      <c r="H318" s="33" t="s">
        <v>10</v>
      </c>
      <c r="I318" s="33" t="s">
        <v>10</v>
      </c>
      <c r="J318" s="33" t="s">
        <v>10</v>
      </c>
      <c r="K318" s="30"/>
      <c r="L318" s="31"/>
    </row>
    <row r="319" spans="1:12" x14ac:dyDescent="0.2">
      <c r="A319" s="50" t="s">
        <v>810</v>
      </c>
      <c r="B319" s="50">
        <v>348.88770177716901</v>
      </c>
      <c r="C319" s="50">
        <v>2.5227961195448199</v>
      </c>
      <c r="D319" s="50">
        <v>0.44739962426854302</v>
      </c>
      <c r="E319" s="50">
        <v>5.6387980290983997</v>
      </c>
      <c r="F319" s="51">
        <v>1.7124124156865001E-8</v>
      </c>
      <c r="G319" s="51">
        <v>6.2219202201478604E-6</v>
      </c>
      <c r="H319" s="50" t="s">
        <v>813</v>
      </c>
      <c r="I319" s="50" t="s">
        <v>815</v>
      </c>
      <c r="J319" s="50" t="s">
        <v>3042</v>
      </c>
      <c r="K319" s="30"/>
      <c r="L319" s="31"/>
    </row>
    <row r="320" spans="1:12" x14ac:dyDescent="0.2">
      <c r="A320" s="31" t="s">
        <v>817</v>
      </c>
      <c r="B320" s="31">
        <v>52.679156901393803</v>
      </c>
      <c r="C320" s="31">
        <v>8.8207999725982305</v>
      </c>
      <c r="D320" s="31">
        <v>1.56642790364546</v>
      </c>
      <c r="E320" s="31">
        <v>5.6311560538918402</v>
      </c>
      <c r="F320" s="32">
        <v>1.79005664245889E-8</v>
      </c>
      <c r="G320" s="32">
        <v>6.4340987543865302E-6</v>
      </c>
      <c r="H320" s="33" t="s">
        <v>10</v>
      </c>
      <c r="I320" s="33" t="s">
        <v>10</v>
      </c>
      <c r="J320" s="33" t="s">
        <v>10</v>
      </c>
      <c r="K320" s="30"/>
      <c r="L320" s="31"/>
    </row>
    <row r="321" spans="1:12" x14ac:dyDescent="0.2">
      <c r="A321" s="31" t="s">
        <v>820</v>
      </c>
      <c r="B321" s="31">
        <v>93.612967156475804</v>
      </c>
      <c r="C321" s="31">
        <v>2.78786650418219</v>
      </c>
      <c r="D321" s="31">
        <v>0.496659454906202</v>
      </c>
      <c r="E321" s="31">
        <v>5.6132355412597601</v>
      </c>
      <c r="F321" s="32">
        <v>1.98577998666064E-8</v>
      </c>
      <c r="G321" s="32">
        <v>7.0994289309196303E-6</v>
      </c>
      <c r="H321" s="33" t="s">
        <v>10</v>
      </c>
      <c r="I321" s="33" t="s">
        <v>10</v>
      </c>
      <c r="J321" s="33" t="s">
        <v>10</v>
      </c>
      <c r="K321" s="30"/>
      <c r="L321" s="31"/>
    </row>
    <row r="322" spans="1:12" x14ac:dyDescent="0.2">
      <c r="A322" s="31" t="s">
        <v>821</v>
      </c>
      <c r="B322" s="31">
        <v>127.08818976014901</v>
      </c>
      <c r="C322" s="31">
        <v>2.7875642938657701</v>
      </c>
      <c r="D322" s="31">
        <v>0.49681481292638602</v>
      </c>
      <c r="E322" s="31">
        <v>5.6108719412897399</v>
      </c>
      <c r="F322" s="32">
        <v>2.0130969741255599E-8</v>
      </c>
      <c r="G322" s="32">
        <v>7.1541210971883602E-6</v>
      </c>
      <c r="H322" s="33" t="s">
        <v>10</v>
      </c>
      <c r="I322" s="33" t="s">
        <v>10</v>
      </c>
      <c r="J322" s="33" t="s">
        <v>10</v>
      </c>
      <c r="K322" s="30"/>
      <c r="L322" s="31"/>
    </row>
    <row r="323" spans="1:12" x14ac:dyDescent="0.2">
      <c r="A323" s="31" t="s">
        <v>824</v>
      </c>
      <c r="B323" s="31">
        <v>152.52877206495501</v>
      </c>
      <c r="C323" s="31">
        <v>2.4635686632845499</v>
      </c>
      <c r="D323" s="31">
        <v>0.43913353344018502</v>
      </c>
      <c r="E323" s="31">
        <v>5.6100672703924097</v>
      </c>
      <c r="F323" s="32">
        <v>2.0224798255457301E-8</v>
      </c>
      <c r="G323" s="32">
        <v>7.1541210971883602E-6</v>
      </c>
      <c r="H323" s="33" t="s">
        <v>10</v>
      </c>
      <c r="I323" s="33" t="s">
        <v>10</v>
      </c>
      <c r="J323" s="33" t="s">
        <v>10</v>
      </c>
      <c r="K323" s="30"/>
      <c r="L323" s="31"/>
    </row>
    <row r="324" spans="1:12" x14ac:dyDescent="0.2">
      <c r="A324" s="31" t="s">
        <v>828</v>
      </c>
      <c r="B324" s="31">
        <v>503.85040809424299</v>
      </c>
      <c r="C324" s="31">
        <v>2.0569547576062401</v>
      </c>
      <c r="D324" s="31">
        <v>0.36712299336016202</v>
      </c>
      <c r="E324" s="31">
        <v>5.6029036448509597</v>
      </c>
      <c r="F324" s="32">
        <v>2.1079041664484998E-8</v>
      </c>
      <c r="G324" s="32">
        <v>7.4170491077849901E-6</v>
      </c>
      <c r="H324" s="33" t="s">
        <v>10</v>
      </c>
      <c r="I324" s="33" t="s">
        <v>832</v>
      </c>
      <c r="J324" s="33" t="s">
        <v>10</v>
      </c>
      <c r="K324" s="30"/>
      <c r="L324" s="31"/>
    </row>
    <row r="325" spans="1:12" x14ac:dyDescent="0.2">
      <c r="A325" s="31" t="s">
        <v>834</v>
      </c>
      <c r="B325" s="31">
        <v>399.44930348424401</v>
      </c>
      <c r="C325" s="31">
        <v>2.4642125228243899</v>
      </c>
      <c r="D325" s="31">
        <v>0.43994188863376898</v>
      </c>
      <c r="E325" s="31">
        <v>5.6012227671180703</v>
      </c>
      <c r="F325" s="32">
        <v>2.12844989377219E-8</v>
      </c>
      <c r="G325" s="32">
        <v>7.4440865224458498E-6</v>
      </c>
      <c r="H325" s="30" t="s">
        <v>835</v>
      </c>
      <c r="I325" s="33" t="s">
        <v>837</v>
      </c>
      <c r="J325" s="33" t="s">
        <v>10</v>
      </c>
      <c r="K325" s="30"/>
      <c r="L325" s="31"/>
    </row>
    <row r="326" spans="1:12" x14ac:dyDescent="0.2">
      <c r="A326" s="31" t="s">
        <v>838</v>
      </c>
      <c r="B326" s="31">
        <v>121.83626591656601</v>
      </c>
      <c r="C326" s="31">
        <v>2.56970948667488</v>
      </c>
      <c r="D326" s="31">
        <v>0.45909605632780298</v>
      </c>
      <c r="E326" s="31">
        <v>5.5973242445804301</v>
      </c>
      <c r="F326" s="32">
        <v>2.1768535019631999E-8</v>
      </c>
      <c r="G326" s="32">
        <v>7.5017289110180198E-6</v>
      </c>
      <c r="H326" s="33" t="s">
        <v>10</v>
      </c>
      <c r="I326" s="33" t="s">
        <v>10</v>
      </c>
      <c r="J326" s="33" t="s">
        <v>10</v>
      </c>
      <c r="K326" s="30"/>
      <c r="L326" s="31"/>
    </row>
    <row r="327" spans="1:12" x14ac:dyDescent="0.2">
      <c r="A327" s="31" t="s">
        <v>843</v>
      </c>
      <c r="B327" s="31">
        <v>123.920330450161</v>
      </c>
      <c r="C327" s="31">
        <v>2.5086022628565798</v>
      </c>
      <c r="D327" s="31">
        <v>0.449457694366237</v>
      </c>
      <c r="E327" s="31">
        <v>5.58139796982198</v>
      </c>
      <c r="F327" s="32">
        <v>2.3859300458612601E-8</v>
      </c>
      <c r="G327" s="32">
        <v>8.0561289503057696E-6</v>
      </c>
      <c r="H327" s="30" t="s">
        <v>845</v>
      </c>
      <c r="I327" s="30" t="s">
        <v>846</v>
      </c>
      <c r="J327" s="33" t="s">
        <v>10</v>
      </c>
      <c r="L327" s="31"/>
    </row>
    <row r="328" spans="1:12" x14ac:dyDescent="0.2">
      <c r="A328" s="31" t="s">
        <v>848</v>
      </c>
      <c r="B328" s="31">
        <v>83.8864421551379</v>
      </c>
      <c r="C328" s="31">
        <v>2.9962069903873099</v>
      </c>
      <c r="D328" s="31">
        <v>0.53853639811986498</v>
      </c>
      <c r="E328" s="31">
        <v>5.56361092926615</v>
      </c>
      <c r="F328" s="32">
        <v>2.64248752675515E-8</v>
      </c>
      <c r="G328" s="32">
        <v>8.87756299503596E-6</v>
      </c>
      <c r="H328" s="33" t="s">
        <v>10</v>
      </c>
      <c r="I328" s="33" t="s">
        <v>10</v>
      </c>
      <c r="J328" s="33" t="s">
        <v>10</v>
      </c>
      <c r="K328" s="30"/>
      <c r="L328" s="31"/>
    </row>
    <row r="329" spans="1:12" x14ac:dyDescent="0.2">
      <c r="A329" s="31" t="s">
        <v>854</v>
      </c>
      <c r="B329" s="31">
        <v>469.91683737881101</v>
      </c>
      <c r="C329" s="31">
        <v>2.20877689333946</v>
      </c>
      <c r="D329" s="31">
        <v>0.39882743141264898</v>
      </c>
      <c r="E329" s="31">
        <v>5.5381769641971799</v>
      </c>
      <c r="F329" s="32">
        <v>3.0563635517418501E-8</v>
      </c>
      <c r="G329" s="32">
        <v>1.0115504220381199E-5</v>
      </c>
      <c r="H329" s="33" t="s">
        <v>10</v>
      </c>
      <c r="I329" s="33" t="s">
        <v>10</v>
      </c>
      <c r="J329" s="33" t="s">
        <v>10</v>
      </c>
      <c r="K329" s="30"/>
      <c r="L329" s="31"/>
    </row>
    <row r="330" spans="1:12" x14ac:dyDescent="0.2">
      <c r="A330" s="31" t="s">
        <v>856</v>
      </c>
      <c r="B330" s="31">
        <v>39.691063468118202</v>
      </c>
      <c r="C330" s="31">
        <v>5.6302710686482396</v>
      </c>
      <c r="D330" s="31">
        <v>1.0294876643433699</v>
      </c>
      <c r="E330" s="31">
        <v>5.4690029454984996</v>
      </c>
      <c r="F330" s="32">
        <v>4.5257422903427099E-8</v>
      </c>
      <c r="G330" s="32">
        <v>1.4363314406012301E-5</v>
      </c>
      <c r="H330" s="33" t="s">
        <v>10</v>
      </c>
      <c r="I330" s="33" t="s">
        <v>10</v>
      </c>
      <c r="J330" s="33" t="s">
        <v>10</v>
      </c>
      <c r="K330" s="30"/>
      <c r="L330" s="31"/>
    </row>
    <row r="331" spans="1:12" x14ac:dyDescent="0.2">
      <c r="A331" s="31" t="s">
        <v>860</v>
      </c>
      <c r="B331" s="31">
        <v>970.48333901663602</v>
      </c>
      <c r="C331" s="31">
        <v>2.24778532672098</v>
      </c>
      <c r="D331" s="31">
        <v>0.41251866377493202</v>
      </c>
      <c r="E331" s="31">
        <v>5.44893000998219</v>
      </c>
      <c r="F331" s="32">
        <v>5.0673748084897001E-8</v>
      </c>
      <c r="G331" s="32">
        <v>1.58308104122233E-5</v>
      </c>
      <c r="H331" s="33" t="s">
        <v>10</v>
      </c>
      <c r="I331" s="33" t="s">
        <v>862</v>
      </c>
      <c r="J331" s="33" t="s">
        <v>3064</v>
      </c>
      <c r="K331" s="30"/>
      <c r="L331" s="31"/>
    </row>
    <row r="332" spans="1:12" x14ac:dyDescent="0.2">
      <c r="A332" s="31" t="s">
        <v>864</v>
      </c>
      <c r="B332" s="31">
        <v>156.467520563736</v>
      </c>
      <c r="C332" s="31">
        <v>2.3540518911968298</v>
      </c>
      <c r="D332" s="31">
        <v>0.43352486109000699</v>
      </c>
      <c r="E332" s="31">
        <v>5.4300274389756202</v>
      </c>
      <c r="F332" s="32">
        <v>5.63453881022235E-8</v>
      </c>
      <c r="G332" s="32">
        <v>1.7122595098064302E-5</v>
      </c>
      <c r="H332" s="30" t="s">
        <v>867</v>
      </c>
      <c r="I332" s="30" t="s">
        <v>868</v>
      </c>
      <c r="J332" s="33" t="s">
        <v>10</v>
      </c>
      <c r="L332" s="31"/>
    </row>
    <row r="333" spans="1:12" x14ac:dyDescent="0.2">
      <c r="A333" s="31" t="s">
        <v>870</v>
      </c>
      <c r="B333" s="31">
        <v>408.56976973328102</v>
      </c>
      <c r="C333" s="31">
        <v>5.4700954467991298</v>
      </c>
      <c r="D333" s="31">
        <v>1.0099060950431999</v>
      </c>
      <c r="E333" s="31">
        <v>5.4164396805280601</v>
      </c>
      <c r="F333" s="32">
        <v>6.0797488163872495E-8</v>
      </c>
      <c r="G333" s="32">
        <v>1.8145607460695101E-5</v>
      </c>
      <c r="H333" s="33" t="s">
        <v>871</v>
      </c>
      <c r="I333" s="33" t="s">
        <v>872</v>
      </c>
      <c r="J333" s="33" t="s">
        <v>3041</v>
      </c>
      <c r="K333" s="30"/>
      <c r="L333" s="31"/>
    </row>
    <row r="334" spans="1:12" x14ac:dyDescent="0.2">
      <c r="A334" s="31" t="s">
        <v>875</v>
      </c>
      <c r="B334" s="31">
        <v>416.55481353616898</v>
      </c>
      <c r="C334" s="31">
        <v>2.0241487885312299</v>
      </c>
      <c r="D334" s="31">
        <v>0.37460347268785499</v>
      </c>
      <c r="E334" s="31">
        <v>5.4034437374740802</v>
      </c>
      <c r="F334" s="32">
        <v>6.5373467370986798E-8</v>
      </c>
      <c r="G334" s="32">
        <v>1.9338686553483701E-5</v>
      </c>
      <c r="H334" s="33" t="s">
        <v>3101</v>
      </c>
      <c r="I334" s="33" t="s">
        <v>877</v>
      </c>
      <c r="J334" s="33" t="s">
        <v>10</v>
      </c>
      <c r="K334" s="30"/>
      <c r="L334" s="31"/>
    </row>
    <row r="335" spans="1:12" x14ac:dyDescent="0.2">
      <c r="A335" s="31" t="s">
        <v>878</v>
      </c>
      <c r="B335" s="31">
        <v>281.36436214277097</v>
      </c>
      <c r="C335" s="31">
        <v>2.3232836880979</v>
      </c>
      <c r="D335" s="31">
        <v>0.43170483180549502</v>
      </c>
      <c r="E335" s="31">
        <v>5.3816485638609901</v>
      </c>
      <c r="F335" s="32">
        <v>7.3806753112652997E-8</v>
      </c>
      <c r="G335" s="32">
        <v>2.14536977362888E-5</v>
      </c>
      <c r="H335" s="33" t="s">
        <v>10</v>
      </c>
      <c r="I335" s="33" t="s">
        <v>10</v>
      </c>
      <c r="J335" s="33" t="s">
        <v>10</v>
      </c>
      <c r="K335" s="30"/>
      <c r="L335" s="31"/>
    </row>
    <row r="336" spans="1:12" x14ac:dyDescent="0.2">
      <c r="A336" s="31" t="s">
        <v>881</v>
      </c>
      <c r="B336" s="31">
        <v>185.81020069453501</v>
      </c>
      <c r="C336" s="31">
        <v>2.1118517791217299</v>
      </c>
      <c r="D336" s="31">
        <v>0.392769360800999</v>
      </c>
      <c r="E336" s="31">
        <v>5.3768241362179996</v>
      </c>
      <c r="F336" s="32">
        <v>7.5811156686865594E-8</v>
      </c>
      <c r="G336" s="32">
        <v>2.1752596052791401E-5</v>
      </c>
      <c r="H336" s="33" t="s">
        <v>10</v>
      </c>
      <c r="I336" s="33" t="s">
        <v>10</v>
      </c>
      <c r="J336" s="33" t="s">
        <v>10</v>
      </c>
      <c r="K336" s="30"/>
      <c r="L336" s="31"/>
    </row>
    <row r="337" spans="1:12" x14ac:dyDescent="0.2">
      <c r="A337" s="31" t="s">
        <v>883</v>
      </c>
      <c r="B337" s="31">
        <v>40.468818985507397</v>
      </c>
      <c r="C337" s="31">
        <v>8.4406159591505308</v>
      </c>
      <c r="D337" s="31">
        <v>1.5708356902380201</v>
      </c>
      <c r="E337" s="31">
        <v>5.3733283573863604</v>
      </c>
      <c r="F337" s="32">
        <v>7.7296383163693305E-8</v>
      </c>
      <c r="G337" s="32">
        <v>2.2083973061575701E-5</v>
      </c>
      <c r="H337" s="30" t="s">
        <v>886</v>
      </c>
      <c r="I337" s="33" t="s">
        <v>10</v>
      </c>
      <c r="J337" s="33" t="s">
        <v>10</v>
      </c>
      <c r="K337" s="30"/>
      <c r="L337" s="31"/>
    </row>
    <row r="338" spans="1:12" x14ac:dyDescent="0.2">
      <c r="A338" s="31" t="s">
        <v>887</v>
      </c>
      <c r="B338" s="31">
        <v>302.36703990814101</v>
      </c>
      <c r="C338" s="31">
        <v>2.7463101211447198</v>
      </c>
      <c r="D338" s="31">
        <v>0.51180684842919399</v>
      </c>
      <c r="E338" s="31">
        <v>5.3659112408783098</v>
      </c>
      <c r="F338" s="32">
        <v>8.0541544219504599E-8</v>
      </c>
      <c r="G338" s="32">
        <v>2.2816122622012601E-5</v>
      </c>
      <c r="H338" s="33" t="s">
        <v>10</v>
      </c>
      <c r="I338" s="33" t="s">
        <v>10</v>
      </c>
      <c r="J338" s="33" t="s">
        <v>10</v>
      </c>
      <c r="K338" s="30"/>
      <c r="L338" s="31"/>
    </row>
    <row r="339" spans="1:12" x14ac:dyDescent="0.2">
      <c r="A339" s="31" t="s">
        <v>889</v>
      </c>
      <c r="B339" s="31">
        <v>89.403535959017503</v>
      </c>
      <c r="C339" s="31">
        <v>3.3099780252039701</v>
      </c>
      <c r="D339" s="31">
        <v>0.61941901379883502</v>
      </c>
      <c r="E339" s="31">
        <v>5.34368166211787</v>
      </c>
      <c r="F339" s="32">
        <v>9.1077462244898597E-8</v>
      </c>
      <c r="G339" s="32">
        <v>2.5370765576594601E-5</v>
      </c>
      <c r="H339" s="33" t="s">
        <v>10</v>
      </c>
      <c r="I339" s="33" t="s">
        <v>10</v>
      </c>
      <c r="J339" s="33" t="s">
        <v>10</v>
      </c>
      <c r="K339" s="30"/>
      <c r="L339" s="31"/>
    </row>
    <row r="340" spans="1:12" x14ac:dyDescent="0.2">
      <c r="A340" s="31" t="s">
        <v>893</v>
      </c>
      <c r="B340" s="31">
        <v>166.33253189543601</v>
      </c>
      <c r="C340" s="31">
        <v>2.5201889117296101</v>
      </c>
      <c r="D340" s="31">
        <v>0.47221749465166302</v>
      </c>
      <c r="E340" s="31">
        <v>5.33692406628996</v>
      </c>
      <c r="F340" s="32">
        <v>9.4536607091664501E-8</v>
      </c>
      <c r="G340" s="32">
        <v>2.6225082436154501E-5</v>
      </c>
      <c r="H340" s="33" t="s">
        <v>10</v>
      </c>
      <c r="I340" s="33" t="s">
        <v>895</v>
      </c>
      <c r="J340" s="33" t="s">
        <v>3061</v>
      </c>
      <c r="K340" s="30"/>
      <c r="L340" s="31"/>
    </row>
    <row r="341" spans="1:12" x14ac:dyDescent="0.2">
      <c r="A341" s="31" t="s">
        <v>897</v>
      </c>
      <c r="B341" s="31">
        <v>78.842529488317396</v>
      </c>
      <c r="C341" s="31">
        <v>2.8340586899967</v>
      </c>
      <c r="D341" s="31">
        <v>0.53131091234497296</v>
      </c>
      <c r="E341" s="31">
        <v>5.33408711198574</v>
      </c>
      <c r="F341" s="32">
        <v>9.6026418468508703E-8</v>
      </c>
      <c r="G341" s="32">
        <v>2.6528290110380801E-5</v>
      </c>
      <c r="H341" s="30" t="s">
        <v>867</v>
      </c>
      <c r="I341" s="33" t="s">
        <v>10</v>
      </c>
      <c r="J341" s="33" t="s">
        <v>10</v>
      </c>
      <c r="K341" s="30"/>
      <c r="L341" s="31"/>
    </row>
    <row r="342" spans="1:12" x14ac:dyDescent="0.2">
      <c r="A342" s="31" t="s">
        <v>900</v>
      </c>
      <c r="B342" s="31">
        <v>61.398783175245299</v>
      </c>
      <c r="C342" s="31">
        <v>3.2208601861825299</v>
      </c>
      <c r="D342" s="31">
        <v>0.60708143821799398</v>
      </c>
      <c r="E342" s="31">
        <v>5.30548289474463</v>
      </c>
      <c r="F342" s="32">
        <v>1.1237510603665299E-7</v>
      </c>
      <c r="G342" s="32">
        <v>3.0293700460001799E-5</v>
      </c>
      <c r="H342" s="30" t="s">
        <v>186</v>
      </c>
      <c r="I342" s="33" t="s">
        <v>606</v>
      </c>
      <c r="J342" s="33">
        <v>0</v>
      </c>
      <c r="K342" s="30"/>
      <c r="L342" s="31"/>
    </row>
    <row r="343" spans="1:12" x14ac:dyDescent="0.2">
      <c r="A343" s="31" t="s">
        <v>902</v>
      </c>
      <c r="B343" s="31">
        <v>102.01682498424501</v>
      </c>
      <c r="C343" s="31">
        <v>2.8599802154571998</v>
      </c>
      <c r="D343" s="31">
        <v>0.539502896280875</v>
      </c>
      <c r="E343" s="31">
        <v>5.3011396883553399</v>
      </c>
      <c r="F343" s="32">
        <v>1.1508198980449799E-7</v>
      </c>
      <c r="G343" s="32">
        <v>3.0775225713518998E-5</v>
      </c>
      <c r="H343" s="33" t="s">
        <v>10</v>
      </c>
      <c r="I343" s="33" t="s">
        <v>10</v>
      </c>
      <c r="J343" s="33" t="s">
        <v>10</v>
      </c>
      <c r="K343" s="30"/>
      <c r="L343" s="31"/>
    </row>
    <row r="344" spans="1:12" x14ac:dyDescent="0.2">
      <c r="A344" s="31" t="s">
        <v>905</v>
      </c>
      <c r="B344" s="31">
        <v>104.611119558924</v>
      </c>
      <c r="C344" s="31">
        <v>2.4738899510366101</v>
      </c>
      <c r="D344" s="31">
        <v>0.46783370971204002</v>
      </c>
      <c r="E344" s="31">
        <v>5.2879685659234301</v>
      </c>
      <c r="F344" s="32">
        <v>1.2368222566622699E-7</v>
      </c>
      <c r="G344" s="32">
        <v>3.2554233058722901E-5</v>
      </c>
      <c r="H344" s="33" t="s">
        <v>10</v>
      </c>
      <c r="I344" s="33" t="s">
        <v>10</v>
      </c>
      <c r="J344" s="33" t="s">
        <v>10</v>
      </c>
      <c r="K344" s="30"/>
      <c r="L344" s="31"/>
    </row>
    <row r="345" spans="1:12" x14ac:dyDescent="0.2">
      <c r="A345" s="31" t="s">
        <v>906</v>
      </c>
      <c r="B345" s="31">
        <v>206.27998479632799</v>
      </c>
      <c r="C345" s="31">
        <v>2.68151331285459</v>
      </c>
      <c r="D345" s="31">
        <v>0.50718215168843395</v>
      </c>
      <c r="E345" s="31">
        <v>5.2870813847208602</v>
      </c>
      <c r="F345" s="32">
        <v>1.2428335442684199E-7</v>
      </c>
      <c r="G345" s="32">
        <v>3.2584171216496301E-5</v>
      </c>
      <c r="H345" s="33" t="s">
        <v>908</v>
      </c>
      <c r="I345" s="33" t="s">
        <v>910</v>
      </c>
      <c r="J345" s="33" t="s">
        <v>3060</v>
      </c>
      <c r="K345" s="30"/>
      <c r="L345" s="31"/>
    </row>
    <row r="346" spans="1:12" x14ac:dyDescent="0.2">
      <c r="A346" s="31" t="s">
        <v>911</v>
      </c>
      <c r="B346" s="31">
        <v>90.779498614795898</v>
      </c>
      <c r="C346" s="31">
        <v>2.6663614372101501</v>
      </c>
      <c r="D346" s="31">
        <v>0.50509258624625497</v>
      </c>
      <c r="E346" s="31">
        <v>5.2789557990268801</v>
      </c>
      <c r="F346" s="32">
        <v>1.29922137784087E-7</v>
      </c>
      <c r="G346" s="32">
        <v>3.3536465334189799E-5</v>
      </c>
      <c r="H346" s="33" t="s">
        <v>10</v>
      </c>
      <c r="I346" s="33" t="s">
        <v>10</v>
      </c>
      <c r="J346" s="33" t="s">
        <v>10</v>
      </c>
      <c r="K346" s="30"/>
      <c r="L346" s="31"/>
    </row>
    <row r="347" spans="1:12" x14ac:dyDescent="0.2">
      <c r="A347" s="31" t="s">
        <v>913</v>
      </c>
      <c r="B347" s="31">
        <v>145.22284306546101</v>
      </c>
      <c r="C347" s="31">
        <v>2.2115661585391599</v>
      </c>
      <c r="D347" s="31">
        <v>0.42065424942873703</v>
      </c>
      <c r="E347" s="31">
        <v>5.2574439971604896</v>
      </c>
      <c r="F347" s="32">
        <v>1.46071355713518E-7</v>
      </c>
      <c r="G347" s="32">
        <v>3.6851322589536901E-5</v>
      </c>
      <c r="H347" s="33" t="s">
        <v>10</v>
      </c>
      <c r="I347" s="33" t="s">
        <v>10</v>
      </c>
      <c r="J347" s="33" t="s">
        <v>10</v>
      </c>
      <c r="K347" s="30"/>
      <c r="L347" s="31"/>
    </row>
    <row r="348" spans="1:12" x14ac:dyDescent="0.2">
      <c r="A348" s="31" t="s">
        <v>916</v>
      </c>
      <c r="B348" s="31">
        <v>67.814578809522104</v>
      </c>
      <c r="C348" s="31">
        <v>2.9511420372947601</v>
      </c>
      <c r="D348" s="31">
        <v>0.56249702936711199</v>
      </c>
      <c r="E348" s="31">
        <v>5.2465024404043801</v>
      </c>
      <c r="F348" s="32">
        <v>1.5501379627435301E-7</v>
      </c>
      <c r="G348" s="32">
        <v>3.8814409550269001E-5</v>
      </c>
      <c r="H348" s="30" t="s">
        <v>421</v>
      </c>
      <c r="I348" s="33" t="s">
        <v>10</v>
      </c>
      <c r="J348" s="33" t="s">
        <v>10</v>
      </c>
      <c r="K348" s="30"/>
      <c r="L348" s="31"/>
    </row>
    <row r="349" spans="1:12" x14ac:dyDescent="0.2">
      <c r="A349" s="50" t="s">
        <v>919</v>
      </c>
      <c r="B349" s="50">
        <v>359.12488704621899</v>
      </c>
      <c r="C349" s="50">
        <v>2.5799912692826901</v>
      </c>
      <c r="D349" s="50">
        <v>0.49267919088608603</v>
      </c>
      <c r="E349" s="50">
        <v>5.2366556514038303</v>
      </c>
      <c r="F349" s="51">
        <v>1.63512351046761E-7</v>
      </c>
      <c r="G349" s="51">
        <v>4.0702683422621301E-5</v>
      </c>
      <c r="H349" s="49" t="s">
        <v>164</v>
      </c>
      <c r="I349" s="50" t="s">
        <v>10</v>
      </c>
      <c r="J349" s="50" t="s">
        <v>10</v>
      </c>
      <c r="K349" s="30"/>
      <c r="L349" s="31"/>
    </row>
    <row r="350" spans="1:12" x14ac:dyDescent="0.2">
      <c r="A350" s="31" t="s">
        <v>921</v>
      </c>
      <c r="B350" s="31">
        <v>86.814167660139304</v>
      </c>
      <c r="C350" s="31">
        <v>3.2286444741360598</v>
      </c>
      <c r="D350" s="31">
        <v>0.61661806750294601</v>
      </c>
      <c r="E350" s="31">
        <v>5.2360523382176796</v>
      </c>
      <c r="F350" s="32">
        <v>1.6404745148721E-7</v>
      </c>
      <c r="G350" s="32">
        <v>4.0702683422621301E-5</v>
      </c>
      <c r="H350" s="33" t="s">
        <v>10</v>
      </c>
      <c r="I350" s="33" t="s">
        <v>10</v>
      </c>
      <c r="J350" s="33" t="s">
        <v>10</v>
      </c>
      <c r="K350" s="30"/>
      <c r="L350" s="31"/>
    </row>
    <row r="351" spans="1:12" x14ac:dyDescent="0.2">
      <c r="A351" s="31" t="s">
        <v>925</v>
      </c>
      <c r="B351" s="31">
        <v>76.828511330503702</v>
      </c>
      <c r="C351" s="31">
        <v>2.9821722474117198</v>
      </c>
      <c r="D351" s="31">
        <v>0.56958678483684</v>
      </c>
      <c r="E351" s="31">
        <v>5.2356766814138203</v>
      </c>
      <c r="F351" s="32">
        <v>1.6438149015193701E-7</v>
      </c>
      <c r="G351" s="32">
        <v>4.0702683422621301E-5</v>
      </c>
      <c r="H351" s="33" t="s">
        <v>10</v>
      </c>
      <c r="I351" s="33" t="s">
        <v>10</v>
      </c>
      <c r="J351" s="33" t="s">
        <v>10</v>
      </c>
      <c r="K351" s="30"/>
      <c r="L351" s="31"/>
    </row>
    <row r="352" spans="1:12" x14ac:dyDescent="0.2">
      <c r="A352" s="31" t="s">
        <v>927</v>
      </c>
      <c r="B352" s="31">
        <v>146.927406227511</v>
      </c>
      <c r="C352" s="31">
        <v>2.1469640085230601</v>
      </c>
      <c r="D352" s="31">
        <v>0.41272626251426298</v>
      </c>
      <c r="E352" s="31">
        <v>5.2019079072993799</v>
      </c>
      <c r="F352" s="32">
        <v>1.9725297007666601E-7</v>
      </c>
      <c r="G352" s="32">
        <v>4.7780243893027099E-5</v>
      </c>
      <c r="H352" s="33" t="s">
        <v>10</v>
      </c>
      <c r="I352" s="33" t="s">
        <v>10</v>
      </c>
      <c r="J352" s="33" t="s">
        <v>10</v>
      </c>
      <c r="K352" s="30"/>
      <c r="L352" s="31"/>
    </row>
    <row r="353" spans="1:12" x14ac:dyDescent="0.2">
      <c r="A353" s="31" t="s">
        <v>930</v>
      </c>
      <c r="B353" s="31">
        <v>34.106179134575797</v>
      </c>
      <c r="C353" s="31">
        <v>8.1942534638958406</v>
      </c>
      <c r="D353" s="31">
        <v>1.5785913523093</v>
      </c>
      <c r="E353" s="31">
        <v>5.1908642803019003</v>
      </c>
      <c r="F353" s="32">
        <v>2.09320165392048E-7</v>
      </c>
      <c r="G353" s="32">
        <v>5.0338487975846699E-5</v>
      </c>
      <c r="H353" s="33" t="s">
        <v>10</v>
      </c>
      <c r="I353" s="33" t="s">
        <v>10</v>
      </c>
      <c r="J353" s="33" t="s">
        <v>10</v>
      </c>
      <c r="K353" s="30"/>
      <c r="L353" s="31"/>
    </row>
    <row r="354" spans="1:12" x14ac:dyDescent="0.2">
      <c r="A354" s="31" t="s">
        <v>932</v>
      </c>
      <c r="B354" s="31">
        <v>77.091482129126604</v>
      </c>
      <c r="C354" s="31">
        <v>3.24090261291999</v>
      </c>
      <c r="D354" s="31">
        <v>0.63266590342445095</v>
      </c>
      <c r="E354" s="31">
        <v>5.1226130496014699</v>
      </c>
      <c r="F354" s="32">
        <v>3.0133032102656402E-7</v>
      </c>
      <c r="G354" s="32">
        <v>6.8991228124078605E-5</v>
      </c>
      <c r="H354" s="33" t="s">
        <v>10</v>
      </c>
      <c r="I354" s="33" t="s">
        <v>10</v>
      </c>
      <c r="J354" s="33" t="s">
        <v>10</v>
      </c>
      <c r="K354" s="30"/>
      <c r="L354" s="31"/>
    </row>
    <row r="355" spans="1:12" x14ac:dyDescent="0.2">
      <c r="A355" s="31" t="s">
        <v>937</v>
      </c>
      <c r="B355" s="31">
        <v>40.172965724937796</v>
      </c>
      <c r="C355" s="31">
        <v>6.3555002208702103</v>
      </c>
      <c r="D355" s="31">
        <v>1.24470605482688</v>
      </c>
      <c r="E355" s="31">
        <v>5.1060249897749399</v>
      </c>
      <c r="F355" s="32">
        <v>3.29006199939895E-7</v>
      </c>
      <c r="G355" s="32">
        <v>7.4561727108412399E-5</v>
      </c>
      <c r="H355" s="30" t="s">
        <v>939</v>
      </c>
      <c r="I355" s="33" t="s">
        <v>10</v>
      </c>
      <c r="J355" s="33" t="s">
        <v>10</v>
      </c>
      <c r="K355" s="30"/>
      <c r="L355" s="31"/>
    </row>
    <row r="356" spans="1:12" x14ac:dyDescent="0.2">
      <c r="A356" s="31" t="s">
        <v>940</v>
      </c>
      <c r="B356" s="31">
        <v>64.085926519018301</v>
      </c>
      <c r="C356" s="31">
        <v>2.8985248093279798</v>
      </c>
      <c r="D356" s="31">
        <v>0.56828252682576796</v>
      </c>
      <c r="E356" s="31">
        <v>5.1004996150737698</v>
      </c>
      <c r="F356" s="32">
        <v>3.38758069950877E-7</v>
      </c>
      <c r="G356" s="32">
        <v>7.6129658578483607E-5</v>
      </c>
      <c r="H356" s="30" t="s">
        <v>278</v>
      </c>
      <c r="I356" s="33" t="s">
        <v>10</v>
      </c>
      <c r="J356" s="33" t="s">
        <v>10</v>
      </c>
      <c r="K356" s="30"/>
      <c r="L356" s="31"/>
    </row>
    <row r="357" spans="1:12" x14ac:dyDescent="0.2">
      <c r="A357" s="31" t="s">
        <v>942</v>
      </c>
      <c r="B357" s="31">
        <v>141.678743895178</v>
      </c>
      <c r="C357" s="31">
        <v>2.22856829858081</v>
      </c>
      <c r="D357" s="31">
        <v>0.43695924697781102</v>
      </c>
      <c r="E357" s="31">
        <v>5.1001742473571703</v>
      </c>
      <c r="F357" s="32">
        <v>3.3934093570246202E-7</v>
      </c>
      <c r="G357" s="32">
        <v>7.6129658578483607E-5</v>
      </c>
      <c r="H357" s="30" t="s">
        <v>945</v>
      </c>
      <c r="I357" s="33" t="s">
        <v>10</v>
      </c>
      <c r="J357" s="33" t="s">
        <v>10</v>
      </c>
      <c r="K357" s="30"/>
      <c r="L357" s="31"/>
    </row>
    <row r="358" spans="1:12" x14ac:dyDescent="0.2">
      <c r="A358" s="31" t="s">
        <v>946</v>
      </c>
      <c r="B358" s="31">
        <v>77.480565852939705</v>
      </c>
      <c r="C358" s="31">
        <v>3.7596853122854301</v>
      </c>
      <c r="D358" s="31">
        <v>0.73799110653701006</v>
      </c>
      <c r="E358" s="31">
        <v>5.0944859348340801</v>
      </c>
      <c r="F358" s="32">
        <v>3.4968879320190901E-7</v>
      </c>
      <c r="G358" s="32">
        <v>7.7928147565045405E-5</v>
      </c>
      <c r="H358" s="30" t="s">
        <v>948</v>
      </c>
      <c r="I358" s="33" t="s">
        <v>10</v>
      </c>
      <c r="J358" s="33" t="s">
        <v>10</v>
      </c>
      <c r="K358" s="30"/>
      <c r="L358" s="31"/>
    </row>
    <row r="359" spans="1:12" x14ac:dyDescent="0.2">
      <c r="A359" s="31" t="s">
        <v>949</v>
      </c>
      <c r="B359" s="31">
        <v>48.7145727763507</v>
      </c>
      <c r="C359" s="31">
        <v>3.4078336734971799</v>
      </c>
      <c r="D359" s="31">
        <v>0.67010090538002898</v>
      </c>
      <c r="E359" s="31">
        <v>5.0855530057290697</v>
      </c>
      <c r="F359" s="32">
        <v>3.66556437786741E-7</v>
      </c>
      <c r="G359" s="32">
        <v>8.1415716439310905E-5</v>
      </c>
      <c r="H359" s="33" t="s">
        <v>10</v>
      </c>
      <c r="I359" s="33" t="s">
        <v>10</v>
      </c>
      <c r="J359" s="33" t="s">
        <v>10</v>
      </c>
      <c r="K359" s="30"/>
      <c r="L359" s="31"/>
    </row>
    <row r="360" spans="1:12" x14ac:dyDescent="0.2">
      <c r="A360" s="31" t="s">
        <v>954</v>
      </c>
      <c r="B360" s="31">
        <v>742.71340156408996</v>
      </c>
      <c r="C360" s="31">
        <v>2.0583774821357301</v>
      </c>
      <c r="D360" s="31">
        <v>0.40629649240823901</v>
      </c>
      <c r="E360" s="31">
        <v>5.06619555077899</v>
      </c>
      <c r="F360" s="32">
        <v>4.0584500574452199E-7</v>
      </c>
      <c r="G360" s="32">
        <v>8.9252525852138206E-5</v>
      </c>
      <c r="H360" s="33" t="s">
        <v>3163</v>
      </c>
      <c r="I360" s="33" t="s">
        <v>3173</v>
      </c>
      <c r="J360" s="33" t="s">
        <v>10</v>
      </c>
      <c r="K360" s="30"/>
      <c r="L360" s="31"/>
    </row>
    <row r="361" spans="1:12" x14ac:dyDescent="0.2">
      <c r="A361" s="31" t="s">
        <v>958</v>
      </c>
      <c r="B361" s="31">
        <v>30.1986206356586</v>
      </c>
      <c r="C361" s="31">
        <v>8.0218606104041292</v>
      </c>
      <c r="D361" s="31">
        <v>1.5847751477488301</v>
      </c>
      <c r="E361" s="31">
        <v>5.06182887950962</v>
      </c>
      <c r="F361" s="32">
        <v>4.15253659921887E-7</v>
      </c>
      <c r="G361" s="32">
        <v>9.1022240767467998E-5</v>
      </c>
      <c r="H361" s="33" t="s">
        <v>10</v>
      </c>
      <c r="I361" s="33" t="s">
        <v>10</v>
      </c>
      <c r="J361" s="33" t="s">
        <v>10</v>
      </c>
      <c r="K361" s="30"/>
      <c r="L361" s="31"/>
    </row>
    <row r="362" spans="1:12" x14ac:dyDescent="0.2">
      <c r="A362" s="31" t="s">
        <v>964</v>
      </c>
      <c r="B362" s="31">
        <v>41.938031298556197</v>
      </c>
      <c r="C362" s="31">
        <v>4.4270661296560601</v>
      </c>
      <c r="D362" s="31">
        <v>0.87655718882237998</v>
      </c>
      <c r="E362" s="31">
        <v>5.0505160257753898</v>
      </c>
      <c r="F362" s="32">
        <v>4.40618141602064E-7</v>
      </c>
      <c r="G362" s="32">
        <v>9.4415146976942305E-5</v>
      </c>
      <c r="H362" s="33" t="s">
        <v>10</v>
      </c>
      <c r="I362" s="33" t="s">
        <v>10</v>
      </c>
      <c r="J362" s="33" t="s">
        <v>10</v>
      </c>
      <c r="K362" s="30"/>
      <c r="L362" s="31"/>
    </row>
    <row r="363" spans="1:12" x14ac:dyDescent="0.2">
      <c r="A363" s="31" t="s">
        <v>968</v>
      </c>
      <c r="B363" s="31">
        <v>119.72269261836701</v>
      </c>
      <c r="C363" s="31">
        <v>2.4440125734858</v>
      </c>
      <c r="D363" s="31">
        <v>0.48662215125416902</v>
      </c>
      <c r="E363" s="31">
        <v>5.0224030434842799</v>
      </c>
      <c r="F363" s="32">
        <v>5.1028958908736895E-7</v>
      </c>
      <c r="G363" s="31">
        <v>1.07960159741886E-4</v>
      </c>
      <c r="H363" s="33" t="s">
        <v>10</v>
      </c>
      <c r="I363" s="33" t="s">
        <v>10</v>
      </c>
      <c r="J363" s="33" t="s">
        <v>10</v>
      </c>
      <c r="K363" s="30"/>
      <c r="L363" s="31"/>
    </row>
    <row r="364" spans="1:12" x14ac:dyDescent="0.2">
      <c r="A364" s="31" t="s">
        <v>971</v>
      </c>
      <c r="B364" s="31">
        <v>119.97982920188301</v>
      </c>
      <c r="C364" s="31">
        <v>2.1815158946672502</v>
      </c>
      <c r="D364" s="31">
        <v>0.43496625417386398</v>
      </c>
      <c r="E364" s="31">
        <v>5.0153681434681197</v>
      </c>
      <c r="F364" s="32">
        <v>5.29320152027774E-7</v>
      </c>
      <c r="G364" s="31">
        <v>1.1163311912876E-4</v>
      </c>
      <c r="H364" s="33" t="s">
        <v>10</v>
      </c>
      <c r="I364" s="33" t="s">
        <v>10</v>
      </c>
      <c r="J364" s="33" t="s">
        <v>10</v>
      </c>
      <c r="K364" s="30"/>
      <c r="L364" s="31"/>
    </row>
    <row r="365" spans="1:12" x14ac:dyDescent="0.2">
      <c r="A365" s="31" t="s">
        <v>973</v>
      </c>
      <c r="B365" s="31">
        <v>79.463575582391897</v>
      </c>
      <c r="C365" s="31">
        <v>2.5384737897515102</v>
      </c>
      <c r="D365" s="31">
        <v>0.50710084409449796</v>
      </c>
      <c r="E365" s="31">
        <v>5.0058559738434596</v>
      </c>
      <c r="F365" s="32">
        <v>5.5614330619233803E-7</v>
      </c>
      <c r="G365" s="31">
        <v>1.1655473584792699E-4</v>
      </c>
      <c r="H365" s="30" t="s">
        <v>974</v>
      </c>
      <c r="I365" s="33" t="s">
        <v>10</v>
      </c>
      <c r="J365" s="33" t="s">
        <v>10</v>
      </c>
      <c r="K365" s="30"/>
      <c r="L365" s="31"/>
    </row>
    <row r="366" spans="1:12" x14ac:dyDescent="0.2">
      <c r="A366" s="31" t="s">
        <v>977</v>
      </c>
      <c r="B366" s="31">
        <v>34.768639663395199</v>
      </c>
      <c r="C366" s="31">
        <v>4.3474522718845101</v>
      </c>
      <c r="D366" s="31">
        <v>0.87583975929564195</v>
      </c>
      <c r="E366" s="31">
        <v>4.96375304471308</v>
      </c>
      <c r="F366" s="32">
        <v>6.9143852436146797E-7</v>
      </c>
      <c r="G366" s="31">
        <v>1.4179792192081601E-4</v>
      </c>
      <c r="H366" s="33" t="s">
        <v>10</v>
      </c>
      <c r="I366" s="33" t="s">
        <v>10</v>
      </c>
      <c r="J366" s="33" t="s">
        <v>10</v>
      </c>
      <c r="K366" s="30"/>
      <c r="L366" s="31"/>
    </row>
    <row r="367" spans="1:12" x14ac:dyDescent="0.2">
      <c r="A367" s="31" t="s">
        <v>980</v>
      </c>
      <c r="B367" s="31">
        <v>97.411663997080296</v>
      </c>
      <c r="C367" s="31">
        <v>2.9187251780374002</v>
      </c>
      <c r="D367" s="31">
        <v>0.588985557441839</v>
      </c>
      <c r="E367" s="31">
        <v>4.9555123061325803</v>
      </c>
      <c r="F367" s="32">
        <v>7.2139956260148401E-7</v>
      </c>
      <c r="G367" s="31">
        <v>1.46593215069064E-4</v>
      </c>
      <c r="H367" s="33" t="s">
        <v>10</v>
      </c>
      <c r="I367" s="33" t="s">
        <v>10</v>
      </c>
      <c r="J367" s="33" t="s">
        <v>10</v>
      </c>
      <c r="K367" s="30"/>
      <c r="L367" s="31"/>
    </row>
    <row r="368" spans="1:12" x14ac:dyDescent="0.2">
      <c r="A368" s="31" t="s">
        <v>983</v>
      </c>
      <c r="B368" s="31">
        <v>127.040125656542</v>
      </c>
      <c r="C368" s="31">
        <v>2.7150518509610801</v>
      </c>
      <c r="D368" s="31">
        <v>0.54813340010430101</v>
      </c>
      <c r="E368" s="31">
        <v>4.9532684022620197</v>
      </c>
      <c r="F368" s="32">
        <v>7.2977203645346298E-7</v>
      </c>
      <c r="G368" s="31">
        <v>1.4739851811811601E-4</v>
      </c>
      <c r="H368" s="33" t="s">
        <v>10</v>
      </c>
      <c r="I368" s="33" t="s">
        <v>10</v>
      </c>
      <c r="J368" s="33" t="s">
        <v>10</v>
      </c>
      <c r="K368" s="30"/>
      <c r="L368" s="31"/>
    </row>
    <row r="369" spans="1:12" x14ac:dyDescent="0.2">
      <c r="A369" s="31" t="s">
        <v>987</v>
      </c>
      <c r="B369" s="31">
        <v>260.08825193438003</v>
      </c>
      <c r="C369" s="31">
        <v>2.1854777084521402</v>
      </c>
      <c r="D369" s="31">
        <v>0.441689544826321</v>
      </c>
      <c r="E369" s="31">
        <v>4.9479951111623102</v>
      </c>
      <c r="F369" s="32">
        <v>7.4981791778949102E-7</v>
      </c>
      <c r="G369" s="31">
        <v>1.5099119546330299E-4</v>
      </c>
      <c r="H369" s="33" t="s">
        <v>10</v>
      </c>
      <c r="I369" s="33" t="s">
        <v>10</v>
      </c>
      <c r="J369" s="33" t="s">
        <v>10</v>
      </c>
      <c r="K369" s="30"/>
      <c r="L369" s="31"/>
    </row>
    <row r="370" spans="1:12" x14ac:dyDescent="0.2">
      <c r="A370" s="31" t="s">
        <v>989</v>
      </c>
      <c r="B370" s="31">
        <v>121.946678191286</v>
      </c>
      <c r="C370" s="31">
        <v>2.1385790733026999</v>
      </c>
      <c r="D370" s="31">
        <v>0.43275421373950701</v>
      </c>
      <c r="E370" s="31">
        <v>4.9417868281924999</v>
      </c>
      <c r="F370" s="32">
        <v>7.7409827989741101E-7</v>
      </c>
      <c r="G370" s="31">
        <v>1.54484598515049E-4</v>
      </c>
      <c r="H370" s="33" t="s">
        <v>10</v>
      </c>
      <c r="I370" s="33" t="s">
        <v>10</v>
      </c>
      <c r="J370" s="33" t="s">
        <v>10</v>
      </c>
      <c r="K370" s="30"/>
      <c r="L370" s="31"/>
    </row>
    <row r="371" spans="1:12" x14ac:dyDescent="0.2">
      <c r="A371" s="31" t="s">
        <v>992</v>
      </c>
      <c r="B371" s="31">
        <v>178.38308788735199</v>
      </c>
      <c r="C371" s="31">
        <v>2.0092062684532701</v>
      </c>
      <c r="D371" s="31">
        <v>0.40718988114802102</v>
      </c>
      <c r="E371" s="31">
        <v>4.9343226869699297</v>
      </c>
      <c r="F371" s="32">
        <v>8.0429373676812898E-7</v>
      </c>
      <c r="G371" s="31">
        <v>1.5908596973855999E-4</v>
      </c>
      <c r="H371" s="33" t="s">
        <v>10</v>
      </c>
      <c r="I371" s="33" t="s">
        <v>10</v>
      </c>
      <c r="J371" s="33" t="s">
        <v>10</v>
      </c>
      <c r="K371" s="30"/>
      <c r="L371" s="31"/>
    </row>
    <row r="372" spans="1:12" x14ac:dyDescent="0.2">
      <c r="A372" s="31" t="s">
        <v>994</v>
      </c>
      <c r="B372" s="31">
        <v>115.733985723953</v>
      </c>
      <c r="C372" s="31">
        <v>2.5205420144764199</v>
      </c>
      <c r="D372" s="31">
        <v>0.51191148040376</v>
      </c>
      <c r="E372" s="31">
        <v>4.9237848943891498</v>
      </c>
      <c r="F372" s="32">
        <v>8.48861439426688E-7</v>
      </c>
      <c r="G372" s="31">
        <v>1.65937519101963E-4</v>
      </c>
      <c r="H372" s="33" t="s">
        <v>10</v>
      </c>
      <c r="I372" s="33" t="s">
        <v>10</v>
      </c>
      <c r="J372" s="33" t="s">
        <v>10</v>
      </c>
      <c r="K372" s="30"/>
      <c r="L372" s="31"/>
    </row>
    <row r="373" spans="1:12" x14ac:dyDescent="0.2">
      <c r="A373" s="31" t="s">
        <v>997</v>
      </c>
      <c r="B373" s="31">
        <v>44.115810382751498</v>
      </c>
      <c r="C373" s="31">
        <v>4.31449626387547</v>
      </c>
      <c r="D373" s="31">
        <v>0.87754938469252897</v>
      </c>
      <c r="E373" s="31">
        <v>4.9165281625570998</v>
      </c>
      <c r="F373" s="32">
        <v>8.8092530013180699E-7</v>
      </c>
      <c r="G373" s="31">
        <v>1.7120424691951101E-4</v>
      </c>
      <c r="H373" s="30" t="s">
        <v>998</v>
      </c>
      <c r="I373" s="33" t="s">
        <v>10</v>
      </c>
      <c r="J373" s="33" t="s">
        <v>10</v>
      </c>
      <c r="K373" s="30"/>
      <c r="L373" s="31"/>
    </row>
    <row r="374" spans="1:12" x14ac:dyDescent="0.2">
      <c r="A374" s="31" t="s">
        <v>1000</v>
      </c>
      <c r="B374" s="31">
        <v>89.754759619296394</v>
      </c>
      <c r="C374" s="31">
        <v>2.3647646685538302</v>
      </c>
      <c r="D374" s="31">
        <v>0.48178889360730498</v>
      </c>
      <c r="E374" s="31">
        <v>4.9083005024214899</v>
      </c>
      <c r="F374" s="32">
        <v>9.1869015209882E-7</v>
      </c>
      <c r="G374" s="31">
        <v>1.77758165633377E-4</v>
      </c>
      <c r="H374" s="33" t="s">
        <v>10</v>
      </c>
      <c r="I374" s="33" t="s">
        <v>10</v>
      </c>
      <c r="J374" s="33" t="s">
        <v>10</v>
      </c>
      <c r="K374" s="30"/>
      <c r="L374" s="31"/>
    </row>
    <row r="375" spans="1:12" x14ac:dyDescent="0.2">
      <c r="A375" s="31" t="s">
        <v>1002</v>
      </c>
      <c r="B375" s="31">
        <v>66.978881829487094</v>
      </c>
      <c r="C375" s="31">
        <v>3.427965037826</v>
      </c>
      <c r="D375" s="31">
        <v>0.70084117618156505</v>
      </c>
      <c r="E375" s="31">
        <v>4.8912152343884596</v>
      </c>
      <c r="F375" s="32">
        <v>1.00215303451171E-6</v>
      </c>
      <c r="G375" s="31">
        <v>1.90880174137552E-4</v>
      </c>
      <c r="H375" s="30" t="s">
        <v>1004</v>
      </c>
      <c r="I375" s="33" t="s">
        <v>1005</v>
      </c>
      <c r="J375" s="33" t="s">
        <v>10</v>
      </c>
      <c r="K375" s="30"/>
      <c r="L375" s="31"/>
    </row>
    <row r="376" spans="1:12" x14ac:dyDescent="0.2">
      <c r="A376" s="31" t="s">
        <v>1006</v>
      </c>
      <c r="B376" s="31">
        <v>66.823650170570104</v>
      </c>
      <c r="C376" s="31">
        <v>2.8099804273001499</v>
      </c>
      <c r="D376" s="31">
        <v>0.57712255696114101</v>
      </c>
      <c r="E376" s="31">
        <v>4.86894922648007</v>
      </c>
      <c r="F376" s="32">
        <v>1.1219322728465101E-6</v>
      </c>
      <c r="G376" s="31">
        <v>2.1010303109566801E-4</v>
      </c>
      <c r="H376" s="33" t="s">
        <v>10</v>
      </c>
      <c r="I376" s="33" t="s">
        <v>10</v>
      </c>
      <c r="J376" s="33" t="s">
        <v>10</v>
      </c>
      <c r="K376" s="30"/>
      <c r="L376" s="31"/>
    </row>
    <row r="377" spans="1:12" x14ac:dyDescent="0.2">
      <c r="A377" s="31" t="s">
        <v>1009</v>
      </c>
      <c r="B377" s="31">
        <v>257.63102080241401</v>
      </c>
      <c r="C377" s="31">
        <v>2.4617103329432499</v>
      </c>
      <c r="D377" s="31">
        <v>0.50689448306687102</v>
      </c>
      <c r="E377" s="31">
        <v>4.8564551700171004</v>
      </c>
      <c r="F377" s="32">
        <v>1.1950582163107301E-6</v>
      </c>
      <c r="G377" s="31">
        <v>2.21932269587372E-4</v>
      </c>
      <c r="H377" s="33" t="s">
        <v>10</v>
      </c>
      <c r="I377" s="33" t="s">
        <v>10</v>
      </c>
      <c r="J377" s="33" t="s">
        <v>10</v>
      </c>
      <c r="K377" s="30"/>
      <c r="L377" s="31"/>
    </row>
    <row r="378" spans="1:12" x14ac:dyDescent="0.2">
      <c r="A378" s="31" t="s">
        <v>1012</v>
      </c>
      <c r="B378" s="31">
        <v>212.69655650125901</v>
      </c>
      <c r="C378" s="31">
        <v>7.1799667977938197</v>
      </c>
      <c r="D378" s="31">
        <v>1.4790522690864001</v>
      </c>
      <c r="E378" s="31">
        <v>4.85443749883758</v>
      </c>
      <c r="F378" s="32">
        <v>1.20728938429006E-6</v>
      </c>
      <c r="G378" s="31">
        <v>2.22965004935669E-4</v>
      </c>
      <c r="H378" s="33" t="s">
        <v>871</v>
      </c>
      <c r="I378" s="33" t="s">
        <v>872</v>
      </c>
      <c r="J378" s="33" t="s">
        <v>3041</v>
      </c>
      <c r="K378" s="30"/>
      <c r="L378" s="31"/>
    </row>
    <row r="379" spans="1:12" x14ac:dyDescent="0.2">
      <c r="A379" s="31" t="s">
        <v>1016</v>
      </c>
      <c r="B379" s="31">
        <v>117.82699965561</v>
      </c>
      <c r="C379" s="31">
        <v>2.3663113089891401</v>
      </c>
      <c r="D379" s="31">
        <v>0.48887002782745098</v>
      </c>
      <c r="E379" s="31">
        <v>4.8403689616749102</v>
      </c>
      <c r="F379" s="32">
        <v>1.2959828825934799E-6</v>
      </c>
      <c r="G379" s="31">
        <v>2.38030042900514E-4</v>
      </c>
      <c r="H379" s="33" t="s">
        <v>10</v>
      </c>
      <c r="I379" s="33" t="s">
        <v>10</v>
      </c>
      <c r="J379" s="33" t="s">
        <v>10</v>
      </c>
      <c r="K379" s="30"/>
      <c r="L379" s="31"/>
    </row>
    <row r="380" spans="1:12" x14ac:dyDescent="0.2">
      <c r="A380" s="31" t="s">
        <v>1019</v>
      </c>
      <c r="B380" s="31">
        <v>25.550701719566</v>
      </c>
      <c r="C380" s="31">
        <v>7.7775301325224397</v>
      </c>
      <c r="D380" s="31">
        <v>1.60940350648647</v>
      </c>
      <c r="E380" s="31">
        <v>4.8325544844261898</v>
      </c>
      <c r="F380" s="32">
        <v>1.3479220537869699E-6</v>
      </c>
      <c r="G380" s="31">
        <v>2.4689131207103601E-4</v>
      </c>
      <c r="H380" s="33" t="s">
        <v>10</v>
      </c>
      <c r="I380" s="33" t="s">
        <v>10</v>
      </c>
      <c r="J380" s="33" t="s">
        <v>10</v>
      </c>
      <c r="K380" s="30"/>
      <c r="L380" s="31"/>
    </row>
    <row r="381" spans="1:12" x14ac:dyDescent="0.2">
      <c r="A381" s="31" t="s">
        <v>1021</v>
      </c>
      <c r="B381" s="31">
        <v>86.6254607988039</v>
      </c>
      <c r="C381" s="31">
        <v>2.7094502304126902</v>
      </c>
      <c r="D381" s="31">
        <v>0.56077264393331405</v>
      </c>
      <c r="E381" s="31">
        <v>4.8316376694275602</v>
      </c>
      <c r="F381" s="32">
        <v>1.35414531553653E-6</v>
      </c>
      <c r="G381" s="31">
        <v>2.4735351112075001E-4</v>
      </c>
      <c r="H381" s="33" t="s">
        <v>10</v>
      </c>
      <c r="I381" s="33" t="s">
        <v>10</v>
      </c>
      <c r="J381" s="33" t="s">
        <v>10</v>
      </c>
      <c r="K381" s="30"/>
      <c r="L381" s="31"/>
    </row>
    <row r="382" spans="1:12" x14ac:dyDescent="0.2">
      <c r="A382" s="31" t="s">
        <v>1024</v>
      </c>
      <c r="B382" s="31">
        <v>50.287571556667402</v>
      </c>
      <c r="C382" s="31">
        <v>3.0411576229124702</v>
      </c>
      <c r="D382" s="31">
        <v>0.63082024338298803</v>
      </c>
      <c r="E382" s="31">
        <v>4.8209575624955097</v>
      </c>
      <c r="F382" s="32">
        <v>1.4287075144586799E-6</v>
      </c>
      <c r="G382" s="31">
        <v>2.5885160129846902E-4</v>
      </c>
      <c r="H382" s="30" t="s">
        <v>421</v>
      </c>
      <c r="I382" s="33" t="s">
        <v>10</v>
      </c>
      <c r="J382" s="33" t="s">
        <v>10</v>
      </c>
      <c r="K382" s="30"/>
      <c r="L382" s="31"/>
    </row>
    <row r="383" spans="1:12" x14ac:dyDescent="0.2">
      <c r="A383" s="31" t="s">
        <v>1026</v>
      </c>
      <c r="B383" s="31">
        <v>69.5541112727323</v>
      </c>
      <c r="C383" s="31">
        <v>2.7117663426169298</v>
      </c>
      <c r="D383" s="31">
        <v>0.56475161921769401</v>
      </c>
      <c r="E383" s="31">
        <v>4.8016973308962401</v>
      </c>
      <c r="F383" s="32">
        <v>1.5732636699572199E-6</v>
      </c>
      <c r="G383" s="31">
        <v>2.8198536904823002E-4</v>
      </c>
      <c r="H383" s="33" t="s">
        <v>10</v>
      </c>
      <c r="I383" s="33" t="s">
        <v>10</v>
      </c>
      <c r="J383" s="33" t="s">
        <v>10</v>
      </c>
      <c r="K383" s="30"/>
      <c r="L383" s="31"/>
    </row>
    <row r="384" spans="1:12" x14ac:dyDescent="0.2">
      <c r="A384" s="31" t="s">
        <v>1029</v>
      </c>
      <c r="B384" s="31">
        <v>118.718468226677</v>
      </c>
      <c r="C384" s="31">
        <v>2.6594303290099401</v>
      </c>
      <c r="D384" s="31">
        <v>0.55410310542878805</v>
      </c>
      <c r="E384" s="31">
        <v>4.7995225129661803</v>
      </c>
      <c r="F384" s="32">
        <v>1.59044358015629E-6</v>
      </c>
      <c r="G384" s="31">
        <v>2.8430242126029098E-4</v>
      </c>
      <c r="H384" s="33" t="s">
        <v>10</v>
      </c>
      <c r="I384" s="33" t="s">
        <v>10</v>
      </c>
      <c r="J384" s="33" t="s">
        <v>10</v>
      </c>
      <c r="K384" s="30"/>
      <c r="L384" s="31"/>
    </row>
    <row r="385" spans="1:12" x14ac:dyDescent="0.2">
      <c r="A385" s="31" t="s">
        <v>1031</v>
      </c>
      <c r="B385" s="31">
        <v>504.14915362174003</v>
      </c>
      <c r="C385" s="31">
        <v>2.08747460740793</v>
      </c>
      <c r="D385" s="31">
        <v>0.43512681541352699</v>
      </c>
      <c r="E385" s="31">
        <v>4.7973936182813199</v>
      </c>
      <c r="F385" s="32">
        <v>1.60743530375789E-6</v>
      </c>
      <c r="G385" s="31">
        <v>2.8609813796628199E-4</v>
      </c>
      <c r="H385" s="33" t="s">
        <v>1033</v>
      </c>
      <c r="I385" s="33" t="s">
        <v>872</v>
      </c>
      <c r="J385" s="33" t="s">
        <v>3041</v>
      </c>
      <c r="K385" s="30"/>
      <c r="L385" s="31"/>
    </row>
    <row r="386" spans="1:12" x14ac:dyDescent="0.2">
      <c r="A386" s="31" t="s">
        <v>1035</v>
      </c>
      <c r="B386" s="31">
        <v>93.336336094549907</v>
      </c>
      <c r="C386" s="31">
        <v>2.7607883527830301</v>
      </c>
      <c r="D386" s="31">
        <v>0.57556468266839</v>
      </c>
      <c r="E386" s="31">
        <v>4.7966604552309704</v>
      </c>
      <c r="F386" s="32">
        <v>1.6133273205188601E-6</v>
      </c>
      <c r="G386" s="31">
        <v>2.8609813796628199E-4</v>
      </c>
      <c r="H386" s="33" t="s">
        <v>10</v>
      </c>
      <c r="I386" s="33" t="s">
        <v>10</v>
      </c>
      <c r="J386" s="33" t="s">
        <v>10</v>
      </c>
      <c r="K386" s="30"/>
      <c r="L386" s="31"/>
    </row>
    <row r="387" spans="1:12" x14ac:dyDescent="0.2">
      <c r="A387" s="31" t="s">
        <v>1039</v>
      </c>
      <c r="B387" s="31">
        <v>28.866699907254901</v>
      </c>
      <c r="C387" s="31">
        <v>6.6689068657550203</v>
      </c>
      <c r="D387" s="31">
        <v>1.39226927417222</v>
      </c>
      <c r="E387" s="31">
        <v>4.7899547806368501</v>
      </c>
      <c r="F387" s="32">
        <v>1.6681890242302301E-6</v>
      </c>
      <c r="G387" s="31">
        <v>2.9504438416643402E-4</v>
      </c>
      <c r="H387" s="33" t="s">
        <v>10</v>
      </c>
      <c r="I387" s="33" t="s">
        <v>10</v>
      </c>
      <c r="J387" s="33" t="s">
        <v>10</v>
      </c>
      <c r="K387" s="30"/>
      <c r="L387" s="31"/>
    </row>
    <row r="388" spans="1:12" x14ac:dyDescent="0.2">
      <c r="A388" s="31" t="s">
        <v>1041</v>
      </c>
      <c r="B388" s="31">
        <v>101.332995825046</v>
      </c>
      <c r="C388" s="31">
        <v>2.37946162653652</v>
      </c>
      <c r="D388" s="31">
        <v>0.49821459549458202</v>
      </c>
      <c r="E388" s="31">
        <v>4.7759773560515804</v>
      </c>
      <c r="F388" s="32">
        <v>1.78836517322119E-6</v>
      </c>
      <c r="G388" s="31">
        <v>3.1380880224593901E-4</v>
      </c>
      <c r="H388" s="33" t="s">
        <v>10</v>
      </c>
      <c r="I388" s="33" t="s">
        <v>10</v>
      </c>
      <c r="J388" s="33" t="s">
        <v>10</v>
      </c>
      <c r="K388" s="30"/>
      <c r="L388" s="31"/>
    </row>
    <row r="389" spans="1:12" x14ac:dyDescent="0.2">
      <c r="A389" s="31" t="s">
        <v>1043</v>
      </c>
      <c r="B389" s="31">
        <v>64.816014135611297</v>
      </c>
      <c r="C389" s="31">
        <v>2.6643141256937599</v>
      </c>
      <c r="D389" s="31">
        <v>0.55805358968252305</v>
      </c>
      <c r="E389" s="31">
        <v>4.7742979795354303</v>
      </c>
      <c r="F389" s="32">
        <v>1.80335204341428E-6</v>
      </c>
      <c r="G389" s="31">
        <v>3.1561021168183701E-4</v>
      </c>
      <c r="H389" s="33" t="s">
        <v>10</v>
      </c>
      <c r="I389" s="33" t="s">
        <v>10</v>
      </c>
      <c r="J389" s="33" t="s">
        <v>10</v>
      </c>
      <c r="K389" s="30"/>
      <c r="L389" s="31"/>
    </row>
    <row r="390" spans="1:12" x14ac:dyDescent="0.2">
      <c r="A390" s="50" t="s">
        <v>1045</v>
      </c>
      <c r="B390" s="50">
        <v>222.50132116108</v>
      </c>
      <c r="C390" s="50">
        <v>2.31398945097208</v>
      </c>
      <c r="D390" s="50">
        <v>0.48541664425380698</v>
      </c>
      <c r="E390" s="50">
        <v>4.7670171148111304</v>
      </c>
      <c r="F390" s="51">
        <v>1.86973432557621E-6</v>
      </c>
      <c r="G390" s="50">
        <v>3.23837016415537E-4</v>
      </c>
      <c r="H390" s="50" t="s">
        <v>3164</v>
      </c>
      <c r="I390" s="50" t="s">
        <v>815</v>
      </c>
      <c r="J390" s="50" t="s">
        <v>3042</v>
      </c>
      <c r="K390" s="30"/>
      <c r="L390" s="31"/>
    </row>
    <row r="391" spans="1:12" x14ac:dyDescent="0.2">
      <c r="A391" s="31" t="s">
        <v>1047</v>
      </c>
      <c r="B391" s="31">
        <v>78.801681209318701</v>
      </c>
      <c r="C391" s="31">
        <v>2.40671123266387</v>
      </c>
      <c r="D391" s="31">
        <v>0.50518499034377995</v>
      </c>
      <c r="E391" s="31">
        <v>4.7640196733202496</v>
      </c>
      <c r="F391" s="32">
        <v>1.8977399017403799E-6</v>
      </c>
      <c r="G391" s="31">
        <v>3.2783824581615801E-4</v>
      </c>
      <c r="H391" s="33" t="s">
        <v>10</v>
      </c>
      <c r="I391" s="33" t="s">
        <v>10</v>
      </c>
      <c r="J391" s="33" t="s">
        <v>10</v>
      </c>
      <c r="K391" s="30"/>
      <c r="L391" s="31"/>
    </row>
    <row r="392" spans="1:12" x14ac:dyDescent="0.2">
      <c r="A392" s="31" t="s">
        <v>1049</v>
      </c>
      <c r="B392" s="31">
        <v>96.805792220344102</v>
      </c>
      <c r="C392" s="31">
        <v>2.2630192666575799</v>
      </c>
      <c r="D392" s="31">
        <v>0.47556351257003299</v>
      </c>
      <c r="E392" s="31">
        <v>4.7586057526318699</v>
      </c>
      <c r="F392" s="32">
        <v>1.94934754757427E-6</v>
      </c>
      <c r="G392" s="31">
        <v>3.3416315459763602E-4</v>
      </c>
      <c r="H392" s="33" t="s">
        <v>10</v>
      </c>
      <c r="I392" s="33" t="s">
        <v>10</v>
      </c>
      <c r="J392" s="33" t="s">
        <v>10</v>
      </c>
      <c r="K392" s="30"/>
      <c r="L392" s="31"/>
    </row>
    <row r="393" spans="1:12" x14ac:dyDescent="0.2">
      <c r="A393" s="31" t="s">
        <v>1051</v>
      </c>
      <c r="B393" s="31">
        <v>40.577190943052599</v>
      </c>
      <c r="C393" s="31">
        <v>3.92371586335199</v>
      </c>
      <c r="D393" s="31">
        <v>0.82571865051982896</v>
      </c>
      <c r="E393" s="31">
        <v>4.7518799059241603</v>
      </c>
      <c r="F393" s="32">
        <v>2.0153406732919401E-6</v>
      </c>
      <c r="G393" s="31">
        <v>3.4459232918908502E-4</v>
      </c>
      <c r="H393" s="33" t="s">
        <v>10</v>
      </c>
      <c r="I393" s="33" t="s">
        <v>10</v>
      </c>
      <c r="J393" s="33" t="s">
        <v>10</v>
      </c>
      <c r="K393" s="30"/>
      <c r="L393" s="31"/>
    </row>
    <row r="394" spans="1:12" x14ac:dyDescent="0.2">
      <c r="A394" s="31" t="s">
        <v>1054</v>
      </c>
      <c r="B394" s="31">
        <v>42.0433584045849</v>
      </c>
      <c r="C394" s="31">
        <v>3.6248248605720801</v>
      </c>
      <c r="D394" s="31">
        <v>0.76296023479095398</v>
      </c>
      <c r="E394" s="31">
        <v>4.7510010289923601</v>
      </c>
      <c r="F394" s="32">
        <v>2.0241210230393501E-6</v>
      </c>
      <c r="G394" s="31">
        <v>3.4521074233493699E-4</v>
      </c>
      <c r="H394" s="33" t="s">
        <v>10</v>
      </c>
      <c r="I394" s="33" t="s">
        <v>10</v>
      </c>
      <c r="J394" s="33" t="s">
        <v>10</v>
      </c>
      <c r="K394" s="30"/>
      <c r="L394" s="31"/>
    </row>
    <row r="395" spans="1:12" x14ac:dyDescent="0.2">
      <c r="A395" s="31" t="s">
        <v>1056</v>
      </c>
      <c r="B395" s="31">
        <v>391.69992442008902</v>
      </c>
      <c r="C395" s="31">
        <v>2.1964835862312202</v>
      </c>
      <c r="D395" s="31">
        <v>0.462546064577189</v>
      </c>
      <c r="E395" s="31">
        <v>4.7486807356992902</v>
      </c>
      <c r="F395" s="32">
        <v>2.0474786469179399E-6</v>
      </c>
      <c r="G395" s="31">
        <v>3.4830581409592498E-4</v>
      </c>
      <c r="H395" s="33" t="s">
        <v>10</v>
      </c>
      <c r="I395" s="33" t="s">
        <v>1058</v>
      </c>
      <c r="J395" s="33" t="s">
        <v>10</v>
      </c>
      <c r="K395" s="30"/>
      <c r="L395" s="31"/>
    </row>
    <row r="396" spans="1:12" x14ac:dyDescent="0.2">
      <c r="A396" s="31" t="s">
        <v>1059</v>
      </c>
      <c r="B396" s="31">
        <v>29.0599430135142</v>
      </c>
      <c r="C396" s="31">
        <v>4.4634341086888201</v>
      </c>
      <c r="D396" s="31">
        <v>0.94153889135052304</v>
      </c>
      <c r="E396" s="31">
        <v>4.7405732781644003</v>
      </c>
      <c r="F396" s="32">
        <v>2.1311435627354902E-6</v>
      </c>
      <c r="G396" s="31">
        <v>3.6070279211817998E-4</v>
      </c>
      <c r="H396" s="33" t="s">
        <v>10</v>
      </c>
      <c r="I396" s="33" t="s">
        <v>10</v>
      </c>
      <c r="J396" s="33" t="s">
        <v>10</v>
      </c>
      <c r="K396" s="30"/>
      <c r="L396" s="31"/>
    </row>
    <row r="397" spans="1:12" x14ac:dyDescent="0.2">
      <c r="A397" s="31" t="s">
        <v>1062</v>
      </c>
      <c r="B397" s="31">
        <v>89.752491023819999</v>
      </c>
      <c r="C397" s="31">
        <v>2.8326877493541001</v>
      </c>
      <c r="D397" s="31">
        <v>0.59776263242981098</v>
      </c>
      <c r="E397" s="31">
        <v>4.7388170415398401</v>
      </c>
      <c r="F397" s="32">
        <v>2.14969486700976E-6</v>
      </c>
      <c r="G397" s="31">
        <v>3.62923864479641E-4</v>
      </c>
      <c r="H397" s="33" t="s">
        <v>10</v>
      </c>
      <c r="I397" s="33" t="s">
        <v>10</v>
      </c>
      <c r="J397" s="33" t="s">
        <v>10</v>
      </c>
      <c r="K397" s="30"/>
      <c r="L397" s="31"/>
    </row>
    <row r="398" spans="1:12" x14ac:dyDescent="0.2">
      <c r="A398" s="31" t="s">
        <v>1064</v>
      </c>
      <c r="B398" s="31">
        <v>37.540306116028297</v>
      </c>
      <c r="C398" s="31">
        <v>5.5194684913997696</v>
      </c>
      <c r="D398" s="31">
        <v>1.16500575164256</v>
      </c>
      <c r="E398" s="31">
        <v>4.73771780406903</v>
      </c>
      <c r="F398" s="32">
        <v>2.1613850324933299E-6</v>
      </c>
      <c r="G398" s="31">
        <v>3.6331519520248402E-4</v>
      </c>
      <c r="H398" s="33" t="s">
        <v>10</v>
      </c>
      <c r="I398" s="33" t="s">
        <v>10</v>
      </c>
      <c r="J398" s="33" t="s">
        <v>10</v>
      </c>
      <c r="K398" s="30"/>
      <c r="L398" s="31"/>
    </row>
    <row r="399" spans="1:12" x14ac:dyDescent="0.2">
      <c r="A399" s="31" t="s">
        <v>1066</v>
      </c>
      <c r="B399" s="31">
        <v>32.900540201901201</v>
      </c>
      <c r="C399" s="31">
        <v>4.05824972240642</v>
      </c>
      <c r="D399" s="31">
        <v>0.86486005869924298</v>
      </c>
      <c r="E399" s="31">
        <v>4.6923773176784902</v>
      </c>
      <c r="F399" s="32">
        <v>2.7004847774058198E-6</v>
      </c>
      <c r="G399" s="31">
        <v>4.4016305620975298E-4</v>
      </c>
      <c r="H399" s="33" t="s">
        <v>10</v>
      </c>
      <c r="I399" s="33" t="s">
        <v>10</v>
      </c>
      <c r="J399" s="33" t="s">
        <v>10</v>
      </c>
      <c r="K399" s="30"/>
      <c r="L399" s="31"/>
    </row>
    <row r="400" spans="1:12" x14ac:dyDescent="0.2">
      <c r="A400" s="31" t="s">
        <v>1068</v>
      </c>
      <c r="B400" s="31">
        <v>40.700140201202103</v>
      </c>
      <c r="C400" s="31">
        <v>3.4677498435935199</v>
      </c>
      <c r="D400" s="31">
        <v>0.73908294951714104</v>
      </c>
      <c r="E400" s="31">
        <v>4.6919629871844197</v>
      </c>
      <c r="F400" s="32">
        <v>2.7059609019850201E-6</v>
      </c>
      <c r="G400" s="31">
        <v>4.4016305620975298E-4</v>
      </c>
      <c r="H400" s="33" t="s">
        <v>10</v>
      </c>
      <c r="I400" s="33" t="s">
        <v>10</v>
      </c>
      <c r="J400" s="33" t="s">
        <v>10</v>
      </c>
      <c r="K400" s="30"/>
      <c r="L400" s="31"/>
    </row>
    <row r="401" spans="1:12" x14ac:dyDescent="0.2">
      <c r="A401" s="31" t="s">
        <v>1070</v>
      </c>
      <c r="B401" s="31">
        <v>758.12344716374696</v>
      </c>
      <c r="C401" s="31">
        <v>4.4122215866583803</v>
      </c>
      <c r="D401" s="31">
        <v>0.94104730295080696</v>
      </c>
      <c r="E401" s="31">
        <v>4.6886289061380202</v>
      </c>
      <c r="F401" s="32">
        <v>2.75041637095408E-6</v>
      </c>
      <c r="G401" s="31">
        <v>4.4578262689872698E-4</v>
      </c>
      <c r="H401" s="33" t="s">
        <v>10</v>
      </c>
      <c r="I401" s="33" t="s">
        <v>10</v>
      </c>
      <c r="J401" s="33" t="s">
        <v>10</v>
      </c>
      <c r="K401" s="30"/>
      <c r="L401" s="31"/>
    </row>
    <row r="402" spans="1:12" x14ac:dyDescent="0.2">
      <c r="A402" s="31" t="s">
        <v>1072</v>
      </c>
      <c r="B402" s="31">
        <v>43.9433457049551</v>
      </c>
      <c r="C402" s="31">
        <v>4.1731897478960098</v>
      </c>
      <c r="D402" s="31">
        <v>0.89050081625146504</v>
      </c>
      <c r="E402" s="31">
        <v>4.6863401714362496</v>
      </c>
      <c r="F402" s="32">
        <v>2.78133835117501E-6</v>
      </c>
      <c r="G402" s="31">
        <v>4.4761362374004803E-4</v>
      </c>
      <c r="H402" s="30" t="s">
        <v>1004</v>
      </c>
      <c r="I402" s="33" t="s">
        <v>10</v>
      </c>
      <c r="J402" s="33" t="s">
        <v>10</v>
      </c>
      <c r="K402" s="30"/>
      <c r="L402" s="31"/>
    </row>
    <row r="403" spans="1:12" x14ac:dyDescent="0.2">
      <c r="A403" s="31" t="s">
        <v>1074</v>
      </c>
      <c r="B403" s="31">
        <v>163.05515607356801</v>
      </c>
      <c r="C403" s="31">
        <v>2.06869161182874</v>
      </c>
      <c r="D403" s="31">
        <v>0.44214954883236901</v>
      </c>
      <c r="E403" s="31">
        <v>4.6787147409553</v>
      </c>
      <c r="F403" s="32">
        <v>2.8867873057268801E-6</v>
      </c>
      <c r="G403" s="31">
        <v>4.5951467934374001E-4</v>
      </c>
      <c r="H403" s="30" t="s">
        <v>1076</v>
      </c>
      <c r="I403" s="33" t="s">
        <v>10</v>
      </c>
      <c r="J403" s="33" t="s">
        <v>10</v>
      </c>
      <c r="K403" s="30"/>
      <c r="L403" s="31"/>
    </row>
    <row r="404" spans="1:12" x14ac:dyDescent="0.2">
      <c r="A404" s="31" t="s">
        <v>1078</v>
      </c>
      <c r="B404" s="31">
        <v>81.576734178643704</v>
      </c>
      <c r="C404" s="31">
        <v>2.6931163518351502</v>
      </c>
      <c r="D404" s="31">
        <v>0.57715876190022997</v>
      </c>
      <c r="E404" s="31">
        <v>4.6661621197057999</v>
      </c>
      <c r="F404" s="32">
        <v>3.06877608508923E-6</v>
      </c>
      <c r="G404" s="31">
        <v>4.8273652980856599E-4</v>
      </c>
      <c r="H404" s="33" t="s">
        <v>10</v>
      </c>
      <c r="I404" s="33" t="s">
        <v>10</v>
      </c>
      <c r="J404" s="33" t="s">
        <v>10</v>
      </c>
      <c r="K404" s="30"/>
      <c r="L404" s="31"/>
    </row>
    <row r="405" spans="1:12" x14ac:dyDescent="0.2">
      <c r="A405" s="31" t="s">
        <v>1080</v>
      </c>
      <c r="B405" s="31">
        <v>40.311710451304101</v>
      </c>
      <c r="C405" s="31">
        <v>3.6783720628342498</v>
      </c>
      <c r="D405" s="31">
        <v>0.78945712843138305</v>
      </c>
      <c r="E405" s="31">
        <v>4.6593689896030401</v>
      </c>
      <c r="F405" s="32">
        <v>3.17180190129493E-6</v>
      </c>
      <c r="G405" s="31">
        <v>4.9429094664585598E-4</v>
      </c>
      <c r="H405" s="33" t="s">
        <v>10</v>
      </c>
      <c r="I405" s="33" t="s">
        <v>10</v>
      </c>
      <c r="J405" s="33" t="s">
        <v>10</v>
      </c>
      <c r="K405" s="30"/>
      <c r="L405" s="31"/>
    </row>
    <row r="406" spans="1:12" x14ac:dyDescent="0.2">
      <c r="A406" s="31" t="s">
        <v>1083</v>
      </c>
      <c r="B406" s="31">
        <v>145.66327963173899</v>
      </c>
      <c r="C406" s="31">
        <v>2.02711827772647</v>
      </c>
      <c r="D406" s="31">
        <v>0.43580503974792101</v>
      </c>
      <c r="E406" s="31">
        <v>4.6514337670326302</v>
      </c>
      <c r="F406" s="32">
        <v>3.2963514787274E-6</v>
      </c>
      <c r="G406" s="31">
        <v>5.1131688656686804E-4</v>
      </c>
      <c r="H406" s="33" t="s">
        <v>10</v>
      </c>
      <c r="I406" s="33" t="s">
        <v>10</v>
      </c>
      <c r="J406" s="33" t="s">
        <v>10</v>
      </c>
      <c r="K406" s="30"/>
      <c r="L406" s="31"/>
    </row>
    <row r="407" spans="1:12" x14ac:dyDescent="0.2">
      <c r="A407" s="31" t="s">
        <v>1086</v>
      </c>
      <c r="B407" s="31">
        <v>31.937047997001699</v>
      </c>
      <c r="C407" s="31">
        <v>3.83877820460676</v>
      </c>
      <c r="D407" s="31">
        <v>0.82803081430592995</v>
      </c>
      <c r="E407" s="31">
        <v>4.6360330295491403</v>
      </c>
      <c r="F407" s="32">
        <v>3.5515923985694702E-6</v>
      </c>
      <c r="G407" s="31">
        <v>5.4584301104910798E-4</v>
      </c>
      <c r="H407" s="33" t="s">
        <v>10</v>
      </c>
      <c r="I407" s="33" t="s">
        <v>10</v>
      </c>
      <c r="J407" s="33" t="s">
        <v>10</v>
      </c>
      <c r="K407" s="30"/>
      <c r="L407" s="31"/>
    </row>
    <row r="408" spans="1:12" x14ac:dyDescent="0.2">
      <c r="A408" s="31" t="s">
        <v>1087</v>
      </c>
      <c r="B408" s="31">
        <v>50.407774506662903</v>
      </c>
      <c r="C408" s="31">
        <v>3.3026308068393</v>
      </c>
      <c r="D408" s="31">
        <v>0.71262264914903695</v>
      </c>
      <c r="E408" s="31">
        <v>4.6344735334795502</v>
      </c>
      <c r="F408" s="32">
        <v>3.5784701141468699E-6</v>
      </c>
      <c r="G408" s="31">
        <v>5.4871243000295699E-4</v>
      </c>
      <c r="H408" s="33" t="s">
        <v>10</v>
      </c>
      <c r="I408" s="33" t="s">
        <v>10</v>
      </c>
      <c r="J408" s="33" t="s">
        <v>10</v>
      </c>
      <c r="K408" s="30"/>
      <c r="L408" s="31"/>
    </row>
    <row r="409" spans="1:12" x14ac:dyDescent="0.2">
      <c r="A409" s="31" t="s">
        <v>1089</v>
      </c>
      <c r="B409" s="31">
        <v>75.996597136348001</v>
      </c>
      <c r="C409" s="31">
        <v>2.3621186927076701</v>
      </c>
      <c r="D409" s="31">
        <v>0.51062518377202404</v>
      </c>
      <c r="E409" s="31">
        <v>4.6259345754522503</v>
      </c>
      <c r="F409" s="32">
        <v>3.7291300920003599E-6</v>
      </c>
      <c r="G409" s="31">
        <v>5.7050570320522703E-4</v>
      </c>
      <c r="H409" s="33" t="s">
        <v>10</v>
      </c>
      <c r="I409" s="33" t="s">
        <v>1091</v>
      </c>
      <c r="J409" s="33" t="s">
        <v>10</v>
      </c>
      <c r="K409" s="30"/>
      <c r="L409" s="31"/>
    </row>
    <row r="410" spans="1:12" x14ac:dyDescent="0.2">
      <c r="A410" s="31" t="s">
        <v>1092</v>
      </c>
      <c r="B410" s="31">
        <v>62.434077990007701</v>
      </c>
      <c r="C410" s="31">
        <v>2.7006179347892498</v>
      </c>
      <c r="D410" s="31">
        <v>0.584679474488638</v>
      </c>
      <c r="E410" s="31">
        <v>4.6189716804257799</v>
      </c>
      <c r="F410" s="32">
        <v>3.8564648142921602E-6</v>
      </c>
      <c r="G410" s="31">
        <v>5.8387120416046503E-4</v>
      </c>
      <c r="H410" s="33" t="s">
        <v>1093</v>
      </c>
      <c r="I410" s="33" t="s">
        <v>1094</v>
      </c>
      <c r="J410" s="33" t="s">
        <v>3058</v>
      </c>
      <c r="K410" s="30"/>
      <c r="L410" s="31"/>
    </row>
    <row r="411" spans="1:12" x14ac:dyDescent="0.2">
      <c r="A411" s="31" t="s">
        <v>1095</v>
      </c>
      <c r="B411" s="31">
        <v>30.6000539032345</v>
      </c>
      <c r="C411" s="31">
        <v>4.3746841560165599</v>
      </c>
      <c r="D411" s="31">
        <v>0.95134356291646704</v>
      </c>
      <c r="E411" s="31">
        <v>4.5984272417899197</v>
      </c>
      <c r="F411" s="32">
        <v>4.25692327405579E-6</v>
      </c>
      <c r="G411" s="31">
        <v>6.3384544651892997E-4</v>
      </c>
      <c r="H411" s="33" t="s">
        <v>10</v>
      </c>
      <c r="I411" s="33" t="s">
        <v>10</v>
      </c>
      <c r="J411" s="33" t="s">
        <v>10</v>
      </c>
      <c r="K411" s="30"/>
      <c r="L411" s="31"/>
    </row>
    <row r="412" spans="1:12" x14ac:dyDescent="0.2">
      <c r="A412" s="31" t="s">
        <v>1097</v>
      </c>
      <c r="B412" s="31">
        <v>62.011236942730598</v>
      </c>
      <c r="C412" s="31">
        <v>2.8107159801089501</v>
      </c>
      <c r="D412" s="31">
        <v>0.61446186439607697</v>
      </c>
      <c r="E412" s="31">
        <v>4.5742724536232302</v>
      </c>
      <c r="F412" s="32">
        <v>4.77877649453593E-6</v>
      </c>
      <c r="G412" s="31">
        <v>6.9909212810109398E-4</v>
      </c>
      <c r="H412" s="33" t="s">
        <v>10</v>
      </c>
      <c r="I412" s="33" t="s">
        <v>10</v>
      </c>
      <c r="J412" s="33" t="s">
        <v>10</v>
      </c>
      <c r="K412" s="30"/>
      <c r="L412" s="31"/>
    </row>
    <row r="413" spans="1:12" x14ac:dyDescent="0.2">
      <c r="A413" s="31" t="s">
        <v>1099</v>
      </c>
      <c r="B413" s="31">
        <v>107.763126579881</v>
      </c>
      <c r="C413" s="31">
        <v>2.1337107233866801</v>
      </c>
      <c r="D413" s="31">
        <v>0.467253397073913</v>
      </c>
      <c r="E413" s="31">
        <v>4.5664959029696703</v>
      </c>
      <c r="F413" s="32">
        <v>4.9594472654303098E-6</v>
      </c>
      <c r="G413" s="31">
        <v>7.2223736199656101E-4</v>
      </c>
      <c r="H413" s="33" t="s">
        <v>10</v>
      </c>
      <c r="I413" s="33" t="s">
        <v>10</v>
      </c>
      <c r="J413" s="33" t="s">
        <v>10</v>
      </c>
      <c r="K413" s="30"/>
      <c r="L413" s="31"/>
    </row>
    <row r="414" spans="1:12" x14ac:dyDescent="0.2">
      <c r="A414" s="31" t="s">
        <v>1101</v>
      </c>
      <c r="B414" s="31">
        <v>176.78841826394699</v>
      </c>
      <c r="C414" s="31">
        <v>2.0210128301080399</v>
      </c>
      <c r="D414" s="31">
        <v>0.44441650789345999</v>
      </c>
      <c r="E414" s="31">
        <v>4.5475647151085203</v>
      </c>
      <c r="F414" s="32">
        <v>5.4270235209972598E-6</v>
      </c>
      <c r="G414" s="31">
        <v>7.8026593009950895E-4</v>
      </c>
      <c r="H414" s="33" t="s">
        <v>10</v>
      </c>
      <c r="I414" s="33" t="s">
        <v>10</v>
      </c>
      <c r="J414" s="33" t="s">
        <v>10</v>
      </c>
      <c r="K414" s="30"/>
      <c r="L414" s="31"/>
    </row>
    <row r="415" spans="1:12" x14ac:dyDescent="0.2">
      <c r="A415" s="31" t="s">
        <v>1103</v>
      </c>
      <c r="B415" s="31">
        <v>112.159700072128</v>
      </c>
      <c r="C415" s="31">
        <v>2.21870841363212</v>
      </c>
      <c r="D415" s="31">
        <v>0.48866434993486602</v>
      </c>
      <c r="E415" s="31">
        <v>4.5403525219874403</v>
      </c>
      <c r="F415" s="32">
        <v>5.6160250125079798E-6</v>
      </c>
      <c r="G415" s="31">
        <v>8.0398148225100904E-4</v>
      </c>
      <c r="H415" s="33" t="s">
        <v>10</v>
      </c>
      <c r="I415" s="33" t="s">
        <v>10</v>
      </c>
      <c r="J415" s="33" t="s">
        <v>10</v>
      </c>
      <c r="K415" s="30"/>
      <c r="L415" s="31"/>
    </row>
    <row r="416" spans="1:12" x14ac:dyDescent="0.2">
      <c r="A416" s="31" t="s">
        <v>1104</v>
      </c>
      <c r="B416" s="31">
        <v>149.94044839576799</v>
      </c>
      <c r="C416" s="31">
        <v>2.0271623051625198</v>
      </c>
      <c r="D416" s="31">
        <v>0.446606066472156</v>
      </c>
      <c r="E416" s="31">
        <v>4.5390388920946396</v>
      </c>
      <c r="F416" s="32">
        <v>5.6511213322668898E-6</v>
      </c>
      <c r="G416" s="31">
        <v>8.0516865118772905E-4</v>
      </c>
      <c r="H416" s="30" t="s">
        <v>186</v>
      </c>
      <c r="I416" s="33" t="s">
        <v>10</v>
      </c>
      <c r="J416" s="33" t="s">
        <v>10</v>
      </c>
      <c r="K416" s="30"/>
      <c r="L416" s="31"/>
    </row>
    <row r="417" spans="1:12" x14ac:dyDescent="0.2">
      <c r="A417" s="31" t="s">
        <v>1106</v>
      </c>
      <c r="B417" s="31">
        <v>86.743922041363007</v>
      </c>
      <c r="C417" s="31">
        <v>2.4512247882107698</v>
      </c>
      <c r="D417" s="31">
        <v>0.54012640533392497</v>
      </c>
      <c r="E417" s="31">
        <v>4.5382428335369696</v>
      </c>
      <c r="F417" s="32">
        <v>5.6724917314998198E-6</v>
      </c>
      <c r="G417" s="31">
        <v>8.0516865118772905E-4</v>
      </c>
      <c r="H417" s="33" t="s">
        <v>10</v>
      </c>
      <c r="I417" s="33" t="s">
        <v>10</v>
      </c>
      <c r="J417" s="33" t="s">
        <v>10</v>
      </c>
      <c r="K417" s="30"/>
      <c r="L417" s="31"/>
    </row>
    <row r="418" spans="1:12" x14ac:dyDescent="0.2">
      <c r="A418" s="31" t="s">
        <v>1108</v>
      </c>
      <c r="B418" s="31">
        <v>81.840553390425995</v>
      </c>
      <c r="C418" s="31">
        <v>2.5704373589807399</v>
      </c>
      <c r="D418" s="31">
        <v>0.56750760902813102</v>
      </c>
      <c r="E418" s="31">
        <v>4.5293443084977696</v>
      </c>
      <c r="F418" s="32">
        <v>5.9167014084868496E-6</v>
      </c>
      <c r="G418" s="31">
        <v>8.3805312005166995E-4</v>
      </c>
      <c r="H418" s="33" t="s">
        <v>10</v>
      </c>
      <c r="I418" s="33" t="s">
        <v>10</v>
      </c>
      <c r="J418" s="33" t="s">
        <v>10</v>
      </c>
      <c r="K418" s="30"/>
      <c r="L418" s="31"/>
    </row>
    <row r="419" spans="1:12" x14ac:dyDescent="0.2">
      <c r="A419" s="31" t="s">
        <v>1110</v>
      </c>
      <c r="B419" s="31">
        <v>64.509826079748805</v>
      </c>
      <c r="C419" s="31">
        <v>3.39891151824223</v>
      </c>
      <c r="D419" s="31">
        <v>0.75067244202678995</v>
      </c>
      <c r="E419" s="31">
        <v>4.5278224268700802</v>
      </c>
      <c r="F419" s="32">
        <v>5.9594627693448799E-6</v>
      </c>
      <c r="G419" s="31">
        <v>8.4034012763945301E-4</v>
      </c>
      <c r="H419" s="33" t="s">
        <v>1112</v>
      </c>
      <c r="I419" s="33" t="s">
        <v>1113</v>
      </c>
      <c r="J419" s="33" t="s">
        <v>10</v>
      </c>
      <c r="K419" s="30"/>
      <c r="L419" s="31"/>
    </row>
    <row r="420" spans="1:12" x14ac:dyDescent="0.2">
      <c r="A420" s="31" t="s">
        <v>1115</v>
      </c>
      <c r="B420" s="31">
        <v>70.028644104334106</v>
      </c>
      <c r="C420" s="31">
        <v>2.4069058414719802</v>
      </c>
      <c r="D420" s="31">
        <v>0.53201460746211904</v>
      </c>
      <c r="E420" s="31">
        <v>4.5241348784645101</v>
      </c>
      <c r="F420" s="32">
        <v>6.0643043768416597E-6</v>
      </c>
      <c r="G420" s="31">
        <v>8.4640724240866202E-4</v>
      </c>
      <c r="H420" s="33" t="s">
        <v>10</v>
      </c>
      <c r="I420" s="33" t="s">
        <v>10</v>
      </c>
      <c r="J420" s="33" t="s">
        <v>10</v>
      </c>
      <c r="K420" s="30"/>
      <c r="L420" s="31"/>
    </row>
    <row r="421" spans="1:12" x14ac:dyDescent="0.2">
      <c r="A421" s="31" t="s">
        <v>1118</v>
      </c>
      <c r="B421" s="31">
        <v>78.706748306345105</v>
      </c>
      <c r="C421" s="31">
        <v>2.30032864521834</v>
      </c>
      <c r="D421" s="31">
        <v>0.50889605376337799</v>
      </c>
      <c r="E421" s="31">
        <v>4.5202328220213097</v>
      </c>
      <c r="F421" s="32">
        <v>6.1771659288880801E-6</v>
      </c>
      <c r="G421" s="31">
        <v>8.5857469475220897E-4</v>
      </c>
      <c r="H421" s="33" t="s">
        <v>10</v>
      </c>
      <c r="I421" s="33" t="s">
        <v>10</v>
      </c>
      <c r="J421" s="33" t="s">
        <v>10</v>
      </c>
      <c r="K421" s="30"/>
      <c r="L421" s="31"/>
    </row>
    <row r="422" spans="1:12" x14ac:dyDescent="0.2">
      <c r="A422" s="31" t="s">
        <v>1120</v>
      </c>
      <c r="B422" s="31">
        <v>187.99340294325199</v>
      </c>
      <c r="C422" s="31">
        <v>2.26759755454006</v>
      </c>
      <c r="D422" s="31">
        <v>0.50228709871503496</v>
      </c>
      <c r="E422" s="31">
        <v>4.5145446903595499</v>
      </c>
      <c r="F422" s="32">
        <v>6.34529410138475E-6</v>
      </c>
      <c r="G422" s="31">
        <v>8.7647652303321803E-4</v>
      </c>
      <c r="H422" s="33" t="s">
        <v>10</v>
      </c>
      <c r="I422" s="33" t="s">
        <v>10</v>
      </c>
      <c r="J422" s="33" t="s">
        <v>10</v>
      </c>
      <c r="K422" s="30"/>
      <c r="L422" s="31"/>
    </row>
    <row r="423" spans="1:12" x14ac:dyDescent="0.2">
      <c r="A423" s="31" t="s">
        <v>1123</v>
      </c>
      <c r="B423" s="31">
        <v>30.142133955653598</v>
      </c>
      <c r="C423" s="31">
        <v>5.1973508252666099</v>
      </c>
      <c r="D423" s="31">
        <v>1.15153104033061</v>
      </c>
      <c r="E423" s="31">
        <v>4.5134265974927104</v>
      </c>
      <c r="F423" s="32">
        <v>6.3788533151718301E-6</v>
      </c>
      <c r="G423" s="31">
        <v>8.7929533687796399E-4</v>
      </c>
      <c r="H423" s="33" t="s">
        <v>1125</v>
      </c>
      <c r="I423" s="33" t="s">
        <v>1127</v>
      </c>
      <c r="J423" s="33" t="s">
        <v>10</v>
      </c>
      <c r="K423" s="30"/>
      <c r="L423" s="31"/>
    </row>
    <row r="424" spans="1:12" x14ac:dyDescent="0.2">
      <c r="A424" s="31" t="s">
        <v>1128</v>
      </c>
      <c r="B424" s="31">
        <v>26.2031461365107</v>
      </c>
      <c r="C424" s="31">
        <v>6.53313250950705</v>
      </c>
      <c r="D424" s="31">
        <v>1.4478494989594</v>
      </c>
      <c r="E424" s="31">
        <v>4.5123008394191197</v>
      </c>
      <c r="F424" s="32">
        <v>6.4128141318429303E-6</v>
      </c>
      <c r="G424" s="31">
        <v>8.8215105992875897E-4</v>
      </c>
      <c r="H424" s="33" t="s">
        <v>10</v>
      </c>
      <c r="I424" s="33" t="s">
        <v>10</v>
      </c>
      <c r="J424" s="33" t="s">
        <v>10</v>
      </c>
      <c r="K424" s="30"/>
      <c r="L424" s="31"/>
    </row>
    <row r="425" spans="1:12" x14ac:dyDescent="0.2">
      <c r="A425" s="31" t="s">
        <v>1130</v>
      </c>
      <c r="B425" s="31">
        <v>53.129395809908097</v>
      </c>
      <c r="C425" s="31">
        <v>3.3573902822121102</v>
      </c>
      <c r="D425" s="31">
        <v>0.745892978772423</v>
      </c>
      <c r="E425" s="31">
        <v>4.5011689046029701</v>
      </c>
      <c r="F425" s="32">
        <v>6.75807742510947E-6</v>
      </c>
      <c r="G425" s="31">
        <v>9.2394941974579398E-4</v>
      </c>
      <c r="H425" s="33" t="s">
        <v>3165</v>
      </c>
      <c r="I425" s="33" t="s">
        <v>1133</v>
      </c>
      <c r="J425" s="33" t="s">
        <v>3037</v>
      </c>
      <c r="K425" s="30"/>
      <c r="L425" s="31"/>
    </row>
    <row r="426" spans="1:12" x14ac:dyDescent="0.2">
      <c r="A426" s="31" t="s">
        <v>1134</v>
      </c>
      <c r="B426" s="31">
        <v>92.849272654197904</v>
      </c>
      <c r="C426" s="31">
        <v>2.1260930254065502</v>
      </c>
      <c r="D426" s="31">
        <v>0.47270061109788802</v>
      </c>
      <c r="E426" s="31">
        <v>4.4977581485848104</v>
      </c>
      <c r="F426" s="32">
        <v>6.8673752498388701E-6</v>
      </c>
      <c r="G426" s="31">
        <v>9.3697627005709697E-4</v>
      </c>
      <c r="H426" s="33" t="s">
        <v>1136</v>
      </c>
      <c r="I426" s="33" t="s">
        <v>1137</v>
      </c>
      <c r="J426" s="33" t="s">
        <v>3056</v>
      </c>
      <c r="K426" s="30"/>
      <c r="L426" s="31"/>
    </row>
    <row r="427" spans="1:12" x14ac:dyDescent="0.2">
      <c r="A427" s="31" t="s">
        <v>1138</v>
      </c>
      <c r="B427" s="31">
        <v>52.072605533643099</v>
      </c>
      <c r="C427" s="31">
        <v>3.1509070151334799</v>
      </c>
      <c r="D427" s="31">
        <v>0.70084498129084705</v>
      </c>
      <c r="E427" s="31">
        <v>4.4958687002794804</v>
      </c>
      <c r="F427" s="32">
        <v>6.9286483829732303E-6</v>
      </c>
      <c r="G427" s="31">
        <v>9.4149347082047804E-4</v>
      </c>
      <c r="H427" s="33" t="s">
        <v>10</v>
      </c>
      <c r="I427" s="33" t="s">
        <v>10</v>
      </c>
      <c r="J427" s="33" t="s">
        <v>10</v>
      </c>
      <c r="K427" s="30"/>
      <c r="L427" s="31"/>
    </row>
    <row r="428" spans="1:12" x14ac:dyDescent="0.2">
      <c r="A428" s="31" t="s">
        <v>1140</v>
      </c>
      <c r="B428" s="31">
        <v>301.50756870809403</v>
      </c>
      <c r="C428" s="31">
        <v>5.2828060167484603</v>
      </c>
      <c r="D428" s="31">
        <v>1.17712621398117</v>
      </c>
      <c r="E428" s="31">
        <v>4.4878840977310501</v>
      </c>
      <c r="F428" s="32">
        <v>7.1934043070108302E-6</v>
      </c>
      <c r="G428" s="31">
        <v>9.6763590532235203E-4</v>
      </c>
      <c r="H428" s="33" t="s">
        <v>10</v>
      </c>
      <c r="I428" s="33" t="s">
        <v>10</v>
      </c>
      <c r="J428" s="33" t="s">
        <v>10</v>
      </c>
      <c r="K428" s="30"/>
      <c r="L428" s="31"/>
    </row>
    <row r="429" spans="1:12" x14ac:dyDescent="0.2">
      <c r="A429" s="31" t="s">
        <v>1142</v>
      </c>
      <c r="B429" s="31">
        <v>258.34577846901902</v>
      </c>
      <c r="C429" s="31">
        <v>2.01382294404607</v>
      </c>
      <c r="D429" s="31">
        <v>0.44941237267301898</v>
      </c>
      <c r="E429" s="31">
        <v>4.4810135779489997</v>
      </c>
      <c r="F429" s="32">
        <v>7.4289384456147703E-6</v>
      </c>
      <c r="G429" s="31">
        <v>9.9531398753822703E-4</v>
      </c>
      <c r="H429" s="33" t="s">
        <v>3166</v>
      </c>
      <c r="I429" s="33" t="s">
        <v>1144</v>
      </c>
      <c r="J429" s="33" t="s">
        <v>3078</v>
      </c>
      <c r="K429" s="30"/>
      <c r="L429" s="31"/>
    </row>
    <row r="430" spans="1:12" x14ac:dyDescent="0.2">
      <c r="A430" s="31" t="s">
        <v>2918</v>
      </c>
      <c r="B430" s="31">
        <v>84.744039897481102</v>
      </c>
      <c r="C430" s="31">
        <v>2.2321915279215601</v>
      </c>
      <c r="D430" s="31">
        <v>0.50176762928951901</v>
      </c>
      <c r="E430" s="31">
        <v>4.44865590688313</v>
      </c>
      <c r="F430" s="32">
        <v>8.6409316375309999E-6</v>
      </c>
      <c r="G430" s="31">
        <v>1.1305077977047701E-3</v>
      </c>
      <c r="H430" s="33" t="s">
        <v>1136</v>
      </c>
      <c r="I430" s="33" t="s">
        <v>3129</v>
      </c>
      <c r="J430" s="33" t="s">
        <v>3051</v>
      </c>
      <c r="K430" s="30"/>
      <c r="L430" s="31"/>
    </row>
    <row r="431" spans="1:12" x14ac:dyDescent="0.2">
      <c r="A431" s="31" t="s">
        <v>2919</v>
      </c>
      <c r="B431" s="31">
        <v>60.906340505459703</v>
      </c>
      <c r="C431" s="31">
        <v>3.4958625632226101</v>
      </c>
      <c r="D431" s="31">
        <v>0.78623285623552297</v>
      </c>
      <c r="E431" s="31">
        <v>4.4463450433256897</v>
      </c>
      <c r="F431" s="32">
        <v>8.7343618189936196E-6</v>
      </c>
      <c r="G431" s="31">
        <v>1.1382763341302501E-3</v>
      </c>
      <c r="H431" s="33" t="s">
        <v>10</v>
      </c>
      <c r="I431" s="33" t="s">
        <v>10</v>
      </c>
      <c r="J431" s="33" t="s">
        <v>10</v>
      </c>
      <c r="K431" s="30"/>
      <c r="L431" s="31"/>
    </row>
    <row r="432" spans="1:12" x14ac:dyDescent="0.2">
      <c r="A432" s="31" t="s">
        <v>2920</v>
      </c>
      <c r="B432" s="31">
        <v>81.1616990395069</v>
      </c>
      <c r="C432" s="31">
        <v>2.3440258942686398</v>
      </c>
      <c r="D432" s="31">
        <v>0.52767552511439797</v>
      </c>
      <c r="E432" s="31">
        <v>4.4421728556776703</v>
      </c>
      <c r="F432" s="32">
        <v>8.9054971263348504E-6</v>
      </c>
      <c r="G432" s="31">
        <v>1.1538314154672801E-3</v>
      </c>
      <c r="H432" s="33" t="s">
        <v>10</v>
      </c>
      <c r="I432" s="33" t="s">
        <v>10</v>
      </c>
      <c r="J432" s="33" t="s">
        <v>10</v>
      </c>
      <c r="K432" s="30"/>
      <c r="L432" s="31"/>
    </row>
    <row r="433" spans="1:12" x14ac:dyDescent="0.2">
      <c r="A433" s="31" t="s">
        <v>2921</v>
      </c>
      <c r="B433" s="31">
        <v>26.440367349752901</v>
      </c>
      <c r="C433" s="31">
        <v>5.5539600327644196</v>
      </c>
      <c r="D433" s="31">
        <v>1.2512810671497101</v>
      </c>
      <c r="E433" s="31">
        <v>4.4386190909255498</v>
      </c>
      <c r="F433" s="32">
        <v>9.0537883977578698E-6</v>
      </c>
      <c r="G433" s="31">
        <v>1.16626401412737E-3</v>
      </c>
      <c r="H433" s="33" t="s">
        <v>3093</v>
      </c>
      <c r="I433" s="33" t="s">
        <v>3131</v>
      </c>
      <c r="J433" s="33" t="s">
        <v>10</v>
      </c>
      <c r="K433" s="30"/>
      <c r="L433" s="31"/>
    </row>
    <row r="434" spans="1:12" x14ac:dyDescent="0.2">
      <c r="A434" s="31" t="s">
        <v>2922</v>
      </c>
      <c r="B434" s="31">
        <v>102.18613218491799</v>
      </c>
      <c r="C434" s="31">
        <v>2.03910619534805</v>
      </c>
      <c r="D434" s="31">
        <v>0.45956342960704</v>
      </c>
      <c r="E434" s="31">
        <v>4.4370506092959303</v>
      </c>
      <c r="F434" s="32">
        <v>9.1199857244398407E-6</v>
      </c>
      <c r="G434" s="31">
        <v>1.1725320107835099E-3</v>
      </c>
      <c r="H434" s="33">
        <v>0</v>
      </c>
      <c r="I434" s="33" t="s">
        <v>3121</v>
      </c>
      <c r="J434" s="33" t="s">
        <v>3040</v>
      </c>
      <c r="K434" s="30"/>
      <c r="L434" s="31"/>
    </row>
    <row r="435" spans="1:12" x14ac:dyDescent="0.2">
      <c r="A435" s="31" t="s">
        <v>2923</v>
      </c>
      <c r="B435" s="31">
        <v>36.585038124184699</v>
      </c>
      <c r="C435" s="31">
        <v>3.20640549491559</v>
      </c>
      <c r="D435" s="31">
        <v>0.72418456675302301</v>
      </c>
      <c r="E435" s="31">
        <v>4.4276081569812096</v>
      </c>
      <c r="F435" s="32">
        <v>9.5283796928573902E-6</v>
      </c>
      <c r="G435" s="31">
        <v>1.2201098563378299E-3</v>
      </c>
      <c r="H435" s="33" t="s">
        <v>10</v>
      </c>
      <c r="I435" s="33" t="s">
        <v>10</v>
      </c>
      <c r="J435" s="33" t="s">
        <v>10</v>
      </c>
      <c r="K435" s="30"/>
      <c r="L435" s="31"/>
    </row>
    <row r="436" spans="1:12" x14ac:dyDescent="0.2">
      <c r="A436" s="31" t="s">
        <v>2924</v>
      </c>
      <c r="B436" s="31">
        <v>77.949851644888994</v>
      </c>
      <c r="C436" s="31">
        <v>2.2298790306338598</v>
      </c>
      <c r="D436" s="31">
        <v>0.50367287443039299</v>
      </c>
      <c r="E436" s="31">
        <v>4.4272366923782496</v>
      </c>
      <c r="F436" s="32">
        <v>9.5447977692720707E-6</v>
      </c>
      <c r="G436" s="31">
        <v>1.2201098563378299E-3</v>
      </c>
      <c r="H436" s="33" t="s">
        <v>10</v>
      </c>
      <c r="I436" s="33" t="s">
        <v>10</v>
      </c>
      <c r="J436" s="33" t="s">
        <v>10</v>
      </c>
      <c r="K436" s="30"/>
      <c r="L436" s="31"/>
    </row>
    <row r="437" spans="1:12" x14ac:dyDescent="0.2">
      <c r="A437" s="31" t="s">
        <v>2925</v>
      </c>
      <c r="B437" s="31">
        <v>88.962304519177806</v>
      </c>
      <c r="C437" s="31">
        <v>2.1247038406410601</v>
      </c>
      <c r="D437" s="31">
        <v>0.48028940255338198</v>
      </c>
      <c r="E437" s="31">
        <v>4.42379912891146</v>
      </c>
      <c r="F437" s="32">
        <v>9.6980196226550203E-6</v>
      </c>
      <c r="G437" s="31">
        <v>1.23733034708512E-3</v>
      </c>
      <c r="H437" s="33" t="s">
        <v>10</v>
      </c>
      <c r="I437" s="33" t="s">
        <v>10</v>
      </c>
      <c r="J437" s="33" t="s">
        <v>10</v>
      </c>
      <c r="K437" s="30"/>
      <c r="L437" s="31"/>
    </row>
    <row r="438" spans="1:12" x14ac:dyDescent="0.2">
      <c r="A438" s="31" t="s">
        <v>2926</v>
      </c>
      <c r="B438" s="31">
        <v>75.493482555091504</v>
      </c>
      <c r="C438" s="31">
        <v>2.34330492425322</v>
      </c>
      <c r="D438" s="31">
        <v>0.53033273914149304</v>
      </c>
      <c r="E438" s="31">
        <v>4.4185560334189002</v>
      </c>
      <c r="F438" s="32">
        <v>9.9362520812389897E-6</v>
      </c>
      <c r="G438" s="31">
        <v>1.2653107293166301E-3</v>
      </c>
      <c r="H438" s="33" t="s">
        <v>3096</v>
      </c>
      <c r="I438" s="33" t="s">
        <v>3135</v>
      </c>
      <c r="J438" s="33" t="s">
        <v>10</v>
      </c>
      <c r="K438" s="30"/>
      <c r="L438" s="31"/>
    </row>
    <row r="439" spans="1:12" x14ac:dyDescent="0.2">
      <c r="A439" s="31" t="s">
        <v>2927</v>
      </c>
      <c r="B439" s="31">
        <v>27.285049392586998</v>
      </c>
      <c r="C439" s="31">
        <v>6.5939288993070804</v>
      </c>
      <c r="D439" s="31">
        <v>1.4927308193116799</v>
      </c>
      <c r="E439" s="31">
        <v>4.4173596565438702</v>
      </c>
      <c r="F439" s="32">
        <v>9.9913902540897603E-6</v>
      </c>
      <c r="G439" s="31">
        <v>1.2698073665920199E-3</v>
      </c>
      <c r="H439" s="33" t="s">
        <v>10</v>
      </c>
      <c r="I439" s="33" t="s">
        <v>10</v>
      </c>
      <c r="J439" s="33" t="s">
        <v>10</v>
      </c>
      <c r="K439" s="30"/>
      <c r="L439" s="31"/>
    </row>
    <row r="440" spans="1:12" x14ac:dyDescent="0.2">
      <c r="A440" s="31" t="s">
        <v>2928</v>
      </c>
      <c r="B440" s="31">
        <v>45.982718886258397</v>
      </c>
      <c r="C440" s="31">
        <v>3.2191575578486802</v>
      </c>
      <c r="D440" s="31">
        <v>0.72881630186457702</v>
      </c>
      <c r="E440" s="31">
        <v>4.4169670047348104</v>
      </c>
      <c r="F440" s="32">
        <v>1.0009550253444001E-5</v>
      </c>
      <c r="G440" s="31">
        <v>1.2698073665920199E-3</v>
      </c>
      <c r="H440" s="33" t="s">
        <v>10</v>
      </c>
      <c r="I440" s="33" t="s">
        <v>10</v>
      </c>
      <c r="J440" s="33" t="s">
        <v>10</v>
      </c>
      <c r="K440" s="30"/>
      <c r="L440" s="31"/>
    </row>
    <row r="441" spans="1:12" x14ac:dyDescent="0.2">
      <c r="A441" s="31" t="s">
        <v>2929</v>
      </c>
      <c r="B441" s="31">
        <v>99.157400359859196</v>
      </c>
      <c r="C441" s="31">
        <v>2.0511766568317</v>
      </c>
      <c r="D441" s="31">
        <v>0.46452174252082401</v>
      </c>
      <c r="E441" s="31">
        <v>4.41567416349677</v>
      </c>
      <c r="F441" s="32">
        <v>1.00695667249504E-5</v>
      </c>
      <c r="G441" s="31">
        <v>1.2725914619972801E-3</v>
      </c>
      <c r="H441" s="33" t="s">
        <v>10</v>
      </c>
      <c r="I441" s="33" t="s">
        <v>3130</v>
      </c>
      <c r="J441" s="33" t="s">
        <v>10</v>
      </c>
      <c r="K441" s="30"/>
      <c r="L441" s="31"/>
    </row>
    <row r="442" spans="1:12" x14ac:dyDescent="0.2">
      <c r="A442" s="31" t="s">
        <v>2930</v>
      </c>
      <c r="B442" s="31">
        <v>32.689099571394998</v>
      </c>
      <c r="C442" s="31">
        <v>3.8706599016593501</v>
      </c>
      <c r="D442" s="31">
        <v>0.88299246493958905</v>
      </c>
      <c r="E442" s="31">
        <v>4.3835707045633301</v>
      </c>
      <c r="F442" s="32">
        <v>1.16749733115823E-5</v>
      </c>
      <c r="G442" s="31">
        <v>1.4400928796048601E-3</v>
      </c>
      <c r="H442" s="33" t="s">
        <v>10</v>
      </c>
      <c r="I442" s="33" t="s">
        <v>10</v>
      </c>
      <c r="J442" s="33" t="s">
        <v>10</v>
      </c>
      <c r="K442" s="30"/>
      <c r="L442" s="31"/>
    </row>
    <row r="443" spans="1:12" x14ac:dyDescent="0.2">
      <c r="A443" s="31" t="s">
        <v>2931</v>
      </c>
      <c r="B443" s="31">
        <v>52.832215543849003</v>
      </c>
      <c r="C443" s="31">
        <v>2.5792929159940901</v>
      </c>
      <c r="D443" s="31">
        <v>0.58898188743215896</v>
      </c>
      <c r="E443" s="31">
        <v>4.3792397882374301</v>
      </c>
      <c r="F443" s="32">
        <v>1.1909403209935999E-5</v>
      </c>
      <c r="G443" s="31">
        <v>1.46360873455932E-3</v>
      </c>
      <c r="H443" s="33" t="s">
        <v>10</v>
      </c>
      <c r="I443" s="33" t="s">
        <v>10</v>
      </c>
      <c r="J443" s="33" t="s">
        <v>10</v>
      </c>
      <c r="K443" s="30"/>
      <c r="L443" s="31"/>
    </row>
    <row r="444" spans="1:12" x14ac:dyDescent="0.2">
      <c r="A444" s="31" t="s">
        <v>2932</v>
      </c>
      <c r="B444" s="31">
        <v>28.774029225079101</v>
      </c>
      <c r="C444" s="31">
        <v>3.99952439485872</v>
      </c>
      <c r="D444" s="31">
        <v>0.91363893199907797</v>
      </c>
      <c r="E444" s="31">
        <v>4.3775765839001597</v>
      </c>
      <c r="F444" s="32">
        <v>1.20006199326242E-5</v>
      </c>
      <c r="G444" s="31">
        <v>1.47211274421209E-3</v>
      </c>
      <c r="H444" s="33" t="s">
        <v>10</v>
      </c>
      <c r="I444" s="33" t="s">
        <v>10</v>
      </c>
      <c r="J444" s="33" t="s">
        <v>10</v>
      </c>
      <c r="K444" s="30"/>
      <c r="L444" s="31"/>
    </row>
    <row r="445" spans="1:12" x14ac:dyDescent="0.2">
      <c r="A445" s="31" t="s">
        <v>2933</v>
      </c>
      <c r="B445" s="31">
        <v>60.342946362286803</v>
      </c>
      <c r="C445" s="31">
        <v>3.12083686446188</v>
      </c>
      <c r="D445" s="31">
        <v>0.71308787949115804</v>
      </c>
      <c r="E445" s="31">
        <v>4.3765108820652401</v>
      </c>
      <c r="F445" s="32">
        <v>1.2059417337927499E-5</v>
      </c>
      <c r="G445" s="31">
        <v>1.47391653770958E-3</v>
      </c>
      <c r="H445" s="33" t="s">
        <v>10</v>
      </c>
      <c r="I445" s="33" t="s">
        <v>10</v>
      </c>
      <c r="J445" s="33" t="s">
        <v>10</v>
      </c>
      <c r="K445" s="30"/>
      <c r="L445" s="31"/>
    </row>
    <row r="446" spans="1:12" x14ac:dyDescent="0.2">
      <c r="A446" s="31" t="s">
        <v>2934</v>
      </c>
      <c r="B446" s="31">
        <v>79.394555706688095</v>
      </c>
      <c r="C446" s="31">
        <v>2.29782431344612</v>
      </c>
      <c r="D446" s="31">
        <v>0.52642148558011104</v>
      </c>
      <c r="E446" s="31">
        <v>4.3649896069761303</v>
      </c>
      <c r="F446" s="32">
        <v>1.2712880272838299E-5</v>
      </c>
      <c r="G446" s="31">
        <v>1.53415092173395E-3</v>
      </c>
      <c r="H446" s="33" t="s">
        <v>10</v>
      </c>
      <c r="I446" s="33" t="s">
        <v>10</v>
      </c>
      <c r="J446" s="33" t="s">
        <v>10</v>
      </c>
      <c r="K446" s="30"/>
      <c r="L446" s="31"/>
    </row>
    <row r="447" spans="1:12" x14ac:dyDescent="0.2">
      <c r="A447" s="31" t="s">
        <v>2935</v>
      </c>
      <c r="B447" s="31">
        <v>1909.0365474335599</v>
      </c>
      <c r="C447" s="31">
        <v>4.5795315703707997</v>
      </c>
      <c r="D447" s="31">
        <v>1.0538086265015001</v>
      </c>
      <c r="E447" s="31">
        <v>4.3456956559315696</v>
      </c>
      <c r="F447" s="32">
        <v>1.38834955961479E-5</v>
      </c>
      <c r="G447" s="31">
        <v>1.65451176128426E-3</v>
      </c>
      <c r="H447" s="33" t="s">
        <v>10</v>
      </c>
      <c r="I447" s="33" t="s">
        <v>10</v>
      </c>
      <c r="J447" s="33" t="s">
        <v>10</v>
      </c>
      <c r="K447" s="30"/>
      <c r="L447" s="31"/>
    </row>
    <row r="448" spans="1:12" x14ac:dyDescent="0.2">
      <c r="A448" s="31" t="s">
        <v>2936</v>
      </c>
      <c r="B448" s="31">
        <v>50.5990430781874</v>
      </c>
      <c r="C448" s="31">
        <v>3.2687318781396799</v>
      </c>
      <c r="D448" s="31">
        <v>0.75379664338285302</v>
      </c>
      <c r="E448" s="31">
        <v>4.3363576991672703</v>
      </c>
      <c r="F448" s="32">
        <v>1.44863135173276E-5</v>
      </c>
      <c r="G448" s="31">
        <v>1.71716753581726E-3</v>
      </c>
      <c r="H448" s="33" t="s">
        <v>10</v>
      </c>
      <c r="I448" s="33" t="s">
        <v>10</v>
      </c>
      <c r="J448" s="33" t="s">
        <v>10</v>
      </c>
      <c r="K448" s="30"/>
      <c r="L448" s="31"/>
    </row>
    <row r="449" spans="1:12" x14ac:dyDescent="0.2">
      <c r="A449" s="31" t="s">
        <v>2937</v>
      </c>
      <c r="B449" s="31">
        <v>67.209449586137197</v>
      </c>
      <c r="C449" s="31">
        <v>2.4092059146039002</v>
      </c>
      <c r="D449" s="31">
        <v>0.55567009877627005</v>
      </c>
      <c r="E449" s="31">
        <v>4.3356767260098996</v>
      </c>
      <c r="F449" s="32">
        <v>1.45312371737562E-5</v>
      </c>
      <c r="G449" s="31">
        <v>1.71944400221499E-3</v>
      </c>
      <c r="H449" s="33" t="s">
        <v>10</v>
      </c>
      <c r="I449" s="33" t="s">
        <v>10</v>
      </c>
      <c r="J449" s="33" t="s">
        <v>10</v>
      </c>
      <c r="K449" s="30"/>
      <c r="L449" s="31"/>
    </row>
    <row r="450" spans="1:12" x14ac:dyDescent="0.2">
      <c r="A450" s="50" t="s">
        <v>2938</v>
      </c>
      <c r="B450" s="50">
        <v>88.522309054810194</v>
      </c>
      <c r="C450" s="50">
        <v>2.6905983149174602</v>
      </c>
      <c r="D450" s="50">
        <v>0.62095489402607495</v>
      </c>
      <c r="E450" s="50">
        <v>4.3330012224760299</v>
      </c>
      <c r="F450" s="51">
        <v>1.47090292822896E-5</v>
      </c>
      <c r="G450" s="50">
        <v>1.73740663015454E-3</v>
      </c>
      <c r="H450" s="50" t="s">
        <v>504</v>
      </c>
      <c r="I450" s="50" t="s">
        <v>3137</v>
      </c>
      <c r="J450" s="50" t="s">
        <v>10</v>
      </c>
      <c r="K450" s="30"/>
      <c r="L450" s="31"/>
    </row>
    <row r="451" spans="1:12" x14ac:dyDescent="0.2">
      <c r="A451" s="31" t="s">
        <v>2939</v>
      </c>
      <c r="B451" s="31">
        <v>73.243858821616897</v>
      </c>
      <c r="C451" s="31">
        <v>2.54976011419211</v>
      </c>
      <c r="D451" s="31">
        <v>0.58913624858361002</v>
      </c>
      <c r="E451" s="31">
        <v>4.3279633876241501</v>
      </c>
      <c r="F451" s="32">
        <v>1.5049447828456301E-5</v>
      </c>
      <c r="G451" s="31">
        <v>1.7744811897203599E-3</v>
      </c>
      <c r="H451" s="33" t="s">
        <v>10</v>
      </c>
      <c r="I451" s="33" t="s">
        <v>10</v>
      </c>
      <c r="J451" s="33" t="s">
        <v>10</v>
      </c>
      <c r="K451" s="30"/>
      <c r="L451" s="31"/>
    </row>
    <row r="452" spans="1:12" x14ac:dyDescent="0.2">
      <c r="A452" s="31" t="s">
        <v>2940</v>
      </c>
      <c r="B452" s="31">
        <v>67.092956503634198</v>
      </c>
      <c r="C452" s="31">
        <v>3.1458671473425799</v>
      </c>
      <c r="D452" s="31">
        <v>0.72907793599011295</v>
      </c>
      <c r="E452" s="31">
        <v>4.3148571531936204</v>
      </c>
      <c r="F452" s="32">
        <v>1.59706139281491E-5</v>
      </c>
      <c r="G452" s="31">
        <v>1.85689633768071E-3</v>
      </c>
      <c r="H452" s="33" t="s">
        <v>10</v>
      </c>
      <c r="I452" s="33" t="s">
        <v>10</v>
      </c>
      <c r="J452" s="33" t="s">
        <v>10</v>
      </c>
      <c r="K452" s="30"/>
      <c r="L452" s="31"/>
    </row>
    <row r="453" spans="1:12" x14ac:dyDescent="0.2">
      <c r="A453" s="31" t="s">
        <v>2941</v>
      </c>
      <c r="B453" s="31">
        <v>131.965732001204</v>
      </c>
      <c r="C453" s="31">
        <v>2.4204925315098</v>
      </c>
      <c r="D453" s="31">
        <v>0.56178042539873096</v>
      </c>
      <c r="E453" s="31">
        <v>4.3086095956295196</v>
      </c>
      <c r="F453" s="32">
        <v>1.6428406446880702E-5</v>
      </c>
      <c r="G453" s="31">
        <v>1.906807487858E-3</v>
      </c>
      <c r="H453" s="33" t="s">
        <v>10</v>
      </c>
      <c r="I453" s="33" t="s">
        <v>10</v>
      </c>
      <c r="J453" s="33" t="s">
        <v>10</v>
      </c>
      <c r="K453" s="30"/>
      <c r="L453" s="31"/>
    </row>
    <row r="454" spans="1:12" x14ac:dyDescent="0.2">
      <c r="A454" s="31" t="s">
        <v>2942</v>
      </c>
      <c r="B454" s="31">
        <v>48.890652249139897</v>
      </c>
      <c r="C454" s="31">
        <v>3.3497286650040201</v>
      </c>
      <c r="D454" s="31">
        <v>0.77831977740328095</v>
      </c>
      <c r="E454" s="31">
        <v>4.3037948697381996</v>
      </c>
      <c r="F454" s="32">
        <v>1.67897128756917E-5</v>
      </c>
      <c r="G454" s="31">
        <v>1.9413088987352801E-3</v>
      </c>
      <c r="H454" s="33" t="s">
        <v>10</v>
      </c>
      <c r="I454" s="33" t="s">
        <v>10</v>
      </c>
      <c r="J454" s="33" t="s">
        <v>10</v>
      </c>
      <c r="K454" s="30"/>
      <c r="L454" s="31"/>
    </row>
    <row r="455" spans="1:12" x14ac:dyDescent="0.2">
      <c r="A455" s="31" t="s">
        <v>2943</v>
      </c>
      <c r="B455" s="31">
        <v>83.752276610746804</v>
      </c>
      <c r="C455" s="31">
        <v>2.5272844165816299</v>
      </c>
      <c r="D455" s="31">
        <v>0.58808577888990998</v>
      </c>
      <c r="E455" s="31">
        <v>4.2974758229185896</v>
      </c>
      <c r="F455" s="32">
        <v>1.7275409645861801E-5</v>
      </c>
      <c r="G455" s="31">
        <v>1.98104204438094E-3</v>
      </c>
      <c r="H455" s="33" t="s">
        <v>10</v>
      </c>
      <c r="I455" s="33" t="s">
        <v>3118</v>
      </c>
      <c r="J455" s="33" t="s">
        <v>10</v>
      </c>
      <c r="K455" s="30"/>
      <c r="L455" s="31"/>
    </row>
    <row r="456" spans="1:12" x14ac:dyDescent="0.2">
      <c r="A456" s="31" t="s">
        <v>2944</v>
      </c>
      <c r="B456" s="31">
        <v>90.801886306161506</v>
      </c>
      <c r="C456" s="31">
        <v>2.8618212510789802</v>
      </c>
      <c r="D456" s="31">
        <v>0.66687671348906596</v>
      </c>
      <c r="E456" s="31">
        <v>4.2913797905853901</v>
      </c>
      <c r="F456" s="32">
        <v>1.7756631905275001E-5</v>
      </c>
      <c r="G456" s="31">
        <v>2.0200112195512899E-3</v>
      </c>
      <c r="H456" s="33" t="s">
        <v>10</v>
      </c>
      <c r="I456" s="33" t="s">
        <v>10</v>
      </c>
      <c r="J456" s="33" t="s">
        <v>10</v>
      </c>
      <c r="K456" s="30"/>
      <c r="L456" s="31"/>
    </row>
    <row r="457" spans="1:12" x14ac:dyDescent="0.2">
      <c r="A457" s="31" t="s">
        <v>2945</v>
      </c>
      <c r="B457" s="31">
        <v>30.707814062648598</v>
      </c>
      <c r="C457" s="31">
        <v>3.6277720940673999</v>
      </c>
      <c r="D457" s="31">
        <v>0.84537659032965695</v>
      </c>
      <c r="E457" s="31">
        <v>4.2913089096218497</v>
      </c>
      <c r="F457" s="32">
        <v>1.77623016702406E-5</v>
      </c>
      <c r="G457" s="31">
        <v>2.0200112195512899E-3</v>
      </c>
      <c r="H457" s="33" t="s">
        <v>10</v>
      </c>
      <c r="I457" s="33" t="s">
        <v>10</v>
      </c>
      <c r="J457" s="33" t="s">
        <v>10</v>
      </c>
      <c r="K457" s="30"/>
      <c r="L457" s="31"/>
    </row>
    <row r="458" spans="1:12" x14ac:dyDescent="0.2">
      <c r="A458" s="31" t="s">
        <v>2946</v>
      </c>
      <c r="B458" s="31">
        <v>115.575317220594</v>
      </c>
      <c r="C458" s="31">
        <v>2.01150863055424</v>
      </c>
      <c r="D458" s="31">
        <v>0.468745585736209</v>
      </c>
      <c r="E458" s="31">
        <v>4.2912588230457196</v>
      </c>
      <c r="F458" s="32">
        <v>1.77663091331412E-5</v>
      </c>
      <c r="G458" s="31">
        <v>2.0200112195512899E-3</v>
      </c>
      <c r="H458" s="33" t="s">
        <v>10</v>
      </c>
      <c r="I458" s="33" t="s">
        <v>10</v>
      </c>
      <c r="J458" s="33" t="s">
        <v>10</v>
      </c>
      <c r="K458" s="30"/>
      <c r="L458" s="31"/>
    </row>
    <row r="459" spans="1:12" x14ac:dyDescent="0.2">
      <c r="A459" s="31" t="s">
        <v>2947</v>
      </c>
      <c r="B459" s="31">
        <v>55.088541099616798</v>
      </c>
      <c r="C459" s="31">
        <v>2.88282861493026</v>
      </c>
      <c r="D459" s="31">
        <v>0.67203079124377996</v>
      </c>
      <c r="E459" s="31">
        <v>4.2897269775314602</v>
      </c>
      <c r="F459" s="32">
        <v>1.7889290083795398E-5</v>
      </c>
      <c r="G459" s="31">
        <v>2.0270991331392302E-3</v>
      </c>
      <c r="H459" s="33" t="s">
        <v>10</v>
      </c>
      <c r="I459" s="33" t="s">
        <v>10</v>
      </c>
      <c r="J459" s="33" t="s">
        <v>10</v>
      </c>
      <c r="K459" s="30"/>
      <c r="L459" s="31"/>
    </row>
    <row r="460" spans="1:12" x14ac:dyDescent="0.2">
      <c r="A460" s="31" t="s">
        <v>2948</v>
      </c>
      <c r="B460" s="31">
        <v>84.522746596989407</v>
      </c>
      <c r="C460" s="31">
        <v>2.0892188678779</v>
      </c>
      <c r="D460" s="31">
        <v>0.48775364476738398</v>
      </c>
      <c r="E460" s="31">
        <v>4.28334855165311</v>
      </c>
      <c r="F460" s="32">
        <v>1.8410142636561699E-5</v>
      </c>
      <c r="G460" s="31">
        <v>2.07901056454302E-3</v>
      </c>
      <c r="H460" s="33" t="s">
        <v>3098</v>
      </c>
      <c r="I460" s="33" t="s">
        <v>3138</v>
      </c>
      <c r="J460" s="33" t="s">
        <v>10</v>
      </c>
      <c r="K460" s="30"/>
      <c r="L460" s="31"/>
    </row>
    <row r="461" spans="1:12" x14ac:dyDescent="0.2">
      <c r="A461" s="31" t="s">
        <v>2949</v>
      </c>
      <c r="B461" s="31">
        <v>64.315541692014307</v>
      </c>
      <c r="C461" s="31">
        <v>2.4147389785969402</v>
      </c>
      <c r="D461" s="31">
        <v>0.56522054280390299</v>
      </c>
      <c r="E461" s="31">
        <v>4.2722066799237099</v>
      </c>
      <c r="F461" s="32">
        <v>1.9354805645172501E-5</v>
      </c>
      <c r="G461" s="31">
        <v>2.1638219588762599E-3</v>
      </c>
      <c r="H461" s="33" t="s">
        <v>10</v>
      </c>
      <c r="I461" s="33" t="s">
        <v>10</v>
      </c>
      <c r="J461" s="33" t="s">
        <v>10</v>
      </c>
      <c r="K461" s="30"/>
      <c r="L461" s="31"/>
    </row>
    <row r="462" spans="1:12" x14ac:dyDescent="0.2">
      <c r="A462" s="31" t="s">
        <v>2950</v>
      </c>
      <c r="B462" s="31">
        <v>110.714587867822</v>
      </c>
      <c r="C462" s="31">
        <v>2.17259516855861</v>
      </c>
      <c r="D462" s="31">
        <v>0.50882383481550397</v>
      </c>
      <c r="E462" s="31">
        <v>4.26983765284184</v>
      </c>
      <c r="F462" s="32">
        <v>1.95615302345345E-5</v>
      </c>
      <c r="G462" s="31">
        <v>2.1724021658302401E-3</v>
      </c>
      <c r="H462" s="33" t="s">
        <v>10</v>
      </c>
      <c r="I462" s="33" t="s">
        <v>10</v>
      </c>
      <c r="J462" s="33" t="s">
        <v>10</v>
      </c>
      <c r="K462" s="30"/>
      <c r="L462" s="31"/>
    </row>
    <row r="463" spans="1:12" x14ac:dyDescent="0.2">
      <c r="A463" s="31" t="s">
        <v>2951</v>
      </c>
      <c r="B463" s="31">
        <v>53.835460903527299</v>
      </c>
      <c r="C463" s="31">
        <v>2.4866778918338701</v>
      </c>
      <c r="D463" s="31">
        <v>0.58311549507032301</v>
      </c>
      <c r="E463" s="31">
        <v>4.2644688965673598</v>
      </c>
      <c r="F463" s="32">
        <v>2.00378253311169E-5</v>
      </c>
      <c r="G463" s="31">
        <v>2.2216066542484498E-3</v>
      </c>
      <c r="H463" s="33" t="s">
        <v>10</v>
      </c>
      <c r="I463" s="33" t="s">
        <v>10</v>
      </c>
      <c r="J463" s="33" t="s">
        <v>10</v>
      </c>
      <c r="K463" s="30"/>
      <c r="L463" s="31"/>
    </row>
    <row r="464" spans="1:12" x14ac:dyDescent="0.2">
      <c r="A464" s="31" t="s">
        <v>2952</v>
      </c>
      <c r="B464" s="31">
        <v>72.340330218531605</v>
      </c>
      <c r="C464" s="31">
        <v>2.6206021725156399</v>
      </c>
      <c r="D464" s="31">
        <v>0.61473179007762202</v>
      </c>
      <c r="E464" s="31">
        <v>4.2630008970005298</v>
      </c>
      <c r="F464" s="32">
        <v>2.0169970852225499E-5</v>
      </c>
      <c r="G464" s="31">
        <v>2.2325553002078401E-3</v>
      </c>
      <c r="H464" s="33" t="s">
        <v>3089</v>
      </c>
      <c r="I464" s="33" t="s">
        <v>3116</v>
      </c>
      <c r="J464" s="33" t="s">
        <v>10</v>
      </c>
      <c r="K464" s="30"/>
      <c r="L464" s="31"/>
    </row>
    <row r="465" spans="1:12" x14ac:dyDescent="0.2">
      <c r="A465" s="31" t="s">
        <v>2953</v>
      </c>
      <c r="B465" s="31">
        <v>79.8933777276185</v>
      </c>
      <c r="C465" s="31">
        <v>2.3629613257080302</v>
      </c>
      <c r="D465" s="31">
        <v>0.55542219406121296</v>
      </c>
      <c r="E465" s="31">
        <v>4.2543516463218802</v>
      </c>
      <c r="F465" s="32">
        <v>2.0965560485324598E-5</v>
      </c>
      <c r="G465" s="31">
        <v>2.2891929285033599E-3</v>
      </c>
      <c r="H465" s="33" t="s">
        <v>10</v>
      </c>
      <c r="I465" s="33" t="s">
        <v>10</v>
      </c>
      <c r="J465" s="33" t="s">
        <v>10</v>
      </c>
      <c r="K465" s="30"/>
      <c r="L465" s="31"/>
    </row>
    <row r="466" spans="1:12" x14ac:dyDescent="0.2">
      <c r="A466" s="31" t="s">
        <v>2954</v>
      </c>
      <c r="B466" s="31">
        <v>84.289689102508007</v>
      </c>
      <c r="C466" s="31">
        <v>2.1596392227579302</v>
      </c>
      <c r="D466" s="31">
        <v>0.50806052279130198</v>
      </c>
      <c r="E466" s="31">
        <v>4.2507518806869502</v>
      </c>
      <c r="F466" s="32">
        <v>2.13054086423432E-5</v>
      </c>
      <c r="G466" s="31">
        <v>2.31605381265668E-3</v>
      </c>
      <c r="H466" s="33" t="s">
        <v>1136</v>
      </c>
      <c r="I466" s="33" t="s">
        <v>3129</v>
      </c>
      <c r="J466" s="33" t="s">
        <v>3051</v>
      </c>
      <c r="K466" s="30"/>
      <c r="L466" s="31"/>
    </row>
    <row r="467" spans="1:12" x14ac:dyDescent="0.2">
      <c r="A467" s="31" t="s">
        <v>2955</v>
      </c>
      <c r="B467" s="31">
        <v>714.46808302878003</v>
      </c>
      <c r="C467" s="31">
        <v>4.6770408162972998</v>
      </c>
      <c r="D467" s="31">
        <v>1.10312754942796</v>
      </c>
      <c r="E467" s="31">
        <v>4.23980057312742</v>
      </c>
      <c r="F467" s="32">
        <v>2.2371845153394199E-5</v>
      </c>
      <c r="G467" s="31">
        <v>2.4123704963389899E-3</v>
      </c>
      <c r="H467" s="33" t="s">
        <v>10</v>
      </c>
      <c r="I467" s="33" t="s">
        <v>10</v>
      </c>
      <c r="J467" s="33" t="s">
        <v>10</v>
      </c>
      <c r="K467" s="30"/>
      <c r="L467" s="31"/>
    </row>
    <row r="468" spans="1:12" x14ac:dyDescent="0.2">
      <c r="A468" s="31" t="s">
        <v>2956</v>
      </c>
      <c r="B468" s="31">
        <v>61.887783523545501</v>
      </c>
      <c r="C468" s="31">
        <v>2.5296889131553399</v>
      </c>
      <c r="D468" s="31">
        <v>0.59806373853373895</v>
      </c>
      <c r="E468" s="31">
        <v>4.2297981806376201</v>
      </c>
      <c r="F468" s="32">
        <v>2.3390105824394601E-5</v>
      </c>
      <c r="G468" s="31">
        <v>2.5060024437338199E-3</v>
      </c>
      <c r="H468" s="33" t="s">
        <v>10</v>
      </c>
      <c r="I468" s="33" t="s">
        <v>10</v>
      </c>
      <c r="J468" s="33" t="s">
        <v>10</v>
      </c>
      <c r="K468" s="30"/>
      <c r="L468" s="31"/>
    </row>
    <row r="469" spans="1:12" x14ac:dyDescent="0.2">
      <c r="A469" s="31" t="s">
        <v>2957</v>
      </c>
      <c r="B469" s="31">
        <v>110.223111480692</v>
      </c>
      <c r="C469" s="31">
        <v>2.6509183019217999</v>
      </c>
      <c r="D469" s="31">
        <v>0.62731604351912895</v>
      </c>
      <c r="E469" s="31">
        <v>4.2258098279308003</v>
      </c>
      <c r="F469" s="32">
        <v>2.3808299778655898E-5</v>
      </c>
      <c r="G469" s="31">
        <v>2.5435798731728398E-3</v>
      </c>
      <c r="H469" s="33" t="s">
        <v>10</v>
      </c>
      <c r="I469" s="33" t="s">
        <v>10</v>
      </c>
      <c r="J469" s="33" t="s">
        <v>10</v>
      </c>
      <c r="K469" s="30"/>
      <c r="L469" s="31"/>
    </row>
    <row r="470" spans="1:12" x14ac:dyDescent="0.2">
      <c r="A470" s="31" t="s">
        <v>2958</v>
      </c>
      <c r="B470" s="31">
        <v>60.708589309930602</v>
      </c>
      <c r="C470" s="31">
        <v>2.6513664276098101</v>
      </c>
      <c r="D470" s="31">
        <v>0.62777081232458698</v>
      </c>
      <c r="E470" s="31">
        <v>4.2234624094611997</v>
      </c>
      <c r="F470" s="32">
        <v>2.4057751178636299E-5</v>
      </c>
      <c r="G470" s="31">
        <v>2.5570444436370898E-3</v>
      </c>
      <c r="H470" s="33" t="s">
        <v>10</v>
      </c>
      <c r="I470" s="33" t="s">
        <v>10</v>
      </c>
      <c r="J470" s="33" t="s">
        <v>10</v>
      </c>
      <c r="K470" s="30"/>
      <c r="L470" s="31"/>
    </row>
    <row r="471" spans="1:12" x14ac:dyDescent="0.2">
      <c r="A471" s="31" t="s">
        <v>2959</v>
      </c>
      <c r="B471" s="31">
        <v>63.459698221703199</v>
      </c>
      <c r="C471" s="31">
        <v>2.2966845550783401</v>
      </c>
      <c r="D471" s="31">
        <v>0.54434118026135903</v>
      </c>
      <c r="E471" s="31">
        <v>4.2192004543466997</v>
      </c>
      <c r="F471" s="32">
        <v>2.4517022159538499E-5</v>
      </c>
      <c r="G471" s="31">
        <v>2.5934897412594098E-3</v>
      </c>
      <c r="H471" s="33" t="s">
        <v>10</v>
      </c>
      <c r="I471" s="33" t="s">
        <v>10</v>
      </c>
      <c r="J471" s="33" t="s">
        <v>10</v>
      </c>
      <c r="K471" s="30"/>
      <c r="L471" s="31"/>
    </row>
    <row r="472" spans="1:12" x14ac:dyDescent="0.2">
      <c r="A472" s="31" t="s">
        <v>2960</v>
      </c>
      <c r="B472" s="31">
        <v>57.081393521407399</v>
      </c>
      <c r="C472" s="31">
        <v>2.3898745481402499</v>
      </c>
      <c r="D472" s="31">
        <v>0.56744771255326798</v>
      </c>
      <c r="E472" s="31">
        <v>4.2116207278144797</v>
      </c>
      <c r="F472" s="32">
        <v>2.5354498693916099E-5</v>
      </c>
      <c r="G472" s="31">
        <v>2.6652122801600099E-3</v>
      </c>
      <c r="H472" s="33" t="s">
        <v>10</v>
      </c>
      <c r="I472" s="33" t="s">
        <v>10</v>
      </c>
      <c r="J472" s="33" t="s">
        <v>10</v>
      </c>
      <c r="K472" s="30"/>
      <c r="L472" s="31"/>
    </row>
    <row r="473" spans="1:12" x14ac:dyDescent="0.2">
      <c r="A473" s="31" t="s">
        <v>2961</v>
      </c>
      <c r="B473" s="31">
        <v>44.944668546962198</v>
      </c>
      <c r="C473" s="31">
        <v>3.41605474769504</v>
      </c>
      <c r="D473" s="31">
        <v>0.81309297841425099</v>
      </c>
      <c r="E473" s="31">
        <v>4.2013088765780102</v>
      </c>
      <c r="F473" s="32">
        <v>2.65376230088415E-5</v>
      </c>
      <c r="G473" s="31">
        <v>2.7624583264574602E-3</v>
      </c>
      <c r="H473" s="33" t="s">
        <v>10</v>
      </c>
      <c r="I473" s="33" t="s">
        <v>10</v>
      </c>
      <c r="J473" s="33" t="s">
        <v>10</v>
      </c>
      <c r="K473" s="30"/>
      <c r="L473" s="31"/>
    </row>
    <row r="474" spans="1:12" x14ac:dyDescent="0.2">
      <c r="A474" s="31" t="s">
        <v>2962</v>
      </c>
      <c r="B474" s="31">
        <v>65.999851606345899</v>
      </c>
      <c r="C474" s="31">
        <v>2.9006233451707302</v>
      </c>
      <c r="D474" s="31">
        <v>0.69045320201770799</v>
      </c>
      <c r="E474" s="31">
        <v>4.2010426437219097</v>
      </c>
      <c r="F474" s="32">
        <v>2.6568853547410699E-5</v>
      </c>
      <c r="G474" s="31">
        <v>2.7624583264574602E-3</v>
      </c>
      <c r="H474" s="33" t="s">
        <v>10</v>
      </c>
      <c r="I474" s="33" t="s">
        <v>10</v>
      </c>
      <c r="J474" s="33" t="s">
        <v>10</v>
      </c>
      <c r="K474" s="30"/>
      <c r="L474" s="31"/>
    </row>
    <row r="475" spans="1:12" x14ac:dyDescent="0.2">
      <c r="A475" s="31" t="s">
        <v>2963</v>
      </c>
      <c r="B475" s="31">
        <v>54.483760795738199</v>
      </c>
      <c r="C475" s="31">
        <v>2.59107175601708</v>
      </c>
      <c r="D475" s="31">
        <v>0.61738236494097498</v>
      </c>
      <c r="E475" s="31">
        <v>4.1968671331660001</v>
      </c>
      <c r="F475" s="32">
        <v>2.7063259452075399E-5</v>
      </c>
      <c r="G475" s="31">
        <v>2.8007959917468999E-3</v>
      </c>
      <c r="H475" s="33" t="s">
        <v>10</v>
      </c>
      <c r="I475" s="33" t="s">
        <v>10</v>
      </c>
      <c r="J475" s="33" t="s">
        <v>10</v>
      </c>
      <c r="K475" s="30"/>
      <c r="L475" s="31"/>
    </row>
    <row r="476" spans="1:12" x14ac:dyDescent="0.2">
      <c r="A476" s="31" t="s">
        <v>2964</v>
      </c>
      <c r="B476" s="31">
        <v>51.402610175668002</v>
      </c>
      <c r="C476" s="31">
        <v>2.6724712033281</v>
      </c>
      <c r="D476" s="31">
        <v>0.63812168388823498</v>
      </c>
      <c r="E476" s="31">
        <v>4.1880275671625196</v>
      </c>
      <c r="F476" s="32">
        <v>2.8138934357589499E-5</v>
      </c>
      <c r="G476" s="31">
        <v>2.8859977224182901E-3</v>
      </c>
      <c r="H476" s="33" t="s">
        <v>10</v>
      </c>
      <c r="I476" s="33" t="s">
        <v>10</v>
      </c>
      <c r="J476" s="33" t="s">
        <v>10</v>
      </c>
      <c r="K476" s="30"/>
      <c r="L476" s="31"/>
    </row>
    <row r="477" spans="1:12" x14ac:dyDescent="0.2">
      <c r="A477" s="31" t="s">
        <v>2965</v>
      </c>
      <c r="B477" s="31">
        <v>64.210683082283396</v>
      </c>
      <c r="C477" s="31">
        <v>2.3964262076809901</v>
      </c>
      <c r="D477" s="31">
        <v>0.57273533006803701</v>
      </c>
      <c r="E477" s="31">
        <v>4.18417737106651</v>
      </c>
      <c r="F477" s="32">
        <v>2.8620059088038801E-5</v>
      </c>
      <c r="G477" s="31">
        <v>2.92131911640899E-3</v>
      </c>
      <c r="H477" s="33" t="s">
        <v>10</v>
      </c>
      <c r="I477" s="33" t="s">
        <v>10</v>
      </c>
      <c r="J477" s="33" t="s">
        <v>10</v>
      </c>
      <c r="K477" s="30"/>
      <c r="L477" s="31"/>
    </row>
    <row r="478" spans="1:12" x14ac:dyDescent="0.2">
      <c r="A478" s="31" t="s">
        <v>2966</v>
      </c>
      <c r="B478" s="31">
        <v>69.423733181602898</v>
      </c>
      <c r="C478" s="31">
        <v>2.2030458922712501</v>
      </c>
      <c r="D478" s="31">
        <v>0.52772631905141298</v>
      </c>
      <c r="E478" s="31">
        <v>4.1745992434700296</v>
      </c>
      <c r="F478" s="32">
        <v>2.9851106897075799E-5</v>
      </c>
      <c r="G478" s="31">
        <v>3.0287637506157799E-3</v>
      </c>
      <c r="H478" s="33" t="s">
        <v>3094</v>
      </c>
      <c r="I478" s="33" t="s">
        <v>3132</v>
      </c>
      <c r="J478" s="33" t="s">
        <v>3057</v>
      </c>
      <c r="K478" s="30"/>
      <c r="L478" s="31"/>
    </row>
    <row r="479" spans="1:12" x14ac:dyDescent="0.2">
      <c r="A479" s="31" t="s">
        <v>2967</v>
      </c>
      <c r="B479" s="31">
        <v>58.560769172261701</v>
      </c>
      <c r="C479" s="31">
        <v>3.20226594421763</v>
      </c>
      <c r="D479" s="31">
        <v>0.76771953848772101</v>
      </c>
      <c r="E479" s="31">
        <v>4.1711403496719104</v>
      </c>
      <c r="F479" s="32">
        <v>3.03079111844291E-5</v>
      </c>
      <c r="G479" s="31">
        <v>3.0423954988513702E-3</v>
      </c>
      <c r="H479" s="33" t="s">
        <v>10</v>
      </c>
      <c r="I479" s="33" t="s">
        <v>10</v>
      </c>
      <c r="J479" s="33" t="s">
        <v>10</v>
      </c>
      <c r="K479" s="30"/>
      <c r="L479" s="31"/>
    </row>
    <row r="480" spans="1:12" x14ac:dyDescent="0.2">
      <c r="A480" s="31" t="s">
        <v>2968</v>
      </c>
      <c r="B480" s="31">
        <v>50.339531833028097</v>
      </c>
      <c r="C480" s="31">
        <v>2.65682383930206</v>
      </c>
      <c r="D480" s="31">
        <v>0.63735438768586905</v>
      </c>
      <c r="E480" s="31">
        <v>4.1685189443012298</v>
      </c>
      <c r="F480" s="32">
        <v>3.0658528314283201E-5</v>
      </c>
      <c r="G480" s="31">
        <v>3.0683771114542002E-3</v>
      </c>
      <c r="H480" s="33" t="s">
        <v>10</v>
      </c>
      <c r="I480" s="33" t="s">
        <v>10</v>
      </c>
      <c r="J480" s="33" t="s">
        <v>10</v>
      </c>
      <c r="K480" s="30"/>
      <c r="L480" s="31"/>
    </row>
    <row r="481" spans="1:12" x14ac:dyDescent="0.2">
      <c r="A481" s="31" t="s">
        <v>2969</v>
      </c>
      <c r="B481" s="31">
        <v>75.168397358682199</v>
      </c>
      <c r="C481" s="31">
        <v>2.10327322227123</v>
      </c>
      <c r="D481" s="31">
        <v>0.50672014602958904</v>
      </c>
      <c r="E481" s="31">
        <v>4.1507590308998896</v>
      </c>
      <c r="F481" s="32">
        <v>3.3137450280793498E-5</v>
      </c>
      <c r="G481" s="31">
        <v>3.28694990878702E-3</v>
      </c>
      <c r="H481" s="33" t="s">
        <v>3109</v>
      </c>
      <c r="I481" s="33" t="s">
        <v>3147</v>
      </c>
      <c r="J481" s="33" t="s">
        <v>10</v>
      </c>
      <c r="K481" s="30"/>
      <c r="L481" s="31"/>
    </row>
    <row r="482" spans="1:12" x14ac:dyDescent="0.2">
      <c r="A482" s="31" t="s">
        <v>2970</v>
      </c>
      <c r="B482" s="31">
        <v>282.42027213185901</v>
      </c>
      <c r="C482" s="31">
        <v>7.1441228248701698</v>
      </c>
      <c r="D482" s="31">
        <v>1.7231906187872901</v>
      </c>
      <c r="E482" s="31">
        <v>4.1458691493445503</v>
      </c>
      <c r="F482" s="32">
        <v>3.3852712016647499E-5</v>
      </c>
      <c r="G482" s="31">
        <v>3.34301781665136E-3</v>
      </c>
      <c r="H482" s="33" t="s">
        <v>10</v>
      </c>
      <c r="I482" s="33" t="s">
        <v>10</v>
      </c>
      <c r="J482" s="33" t="s">
        <v>10</v>
      </c>
      <c r="K482" s="30"/>
      <c r="L482" s="31"/>
    </row>
    <row r="483" spans="1:12" x14ac:dyDescent="0.2">
      <c r="A483" s="31" t="s">
        <v>2971</v>
      </c>
      <c r="B483" s="31">
        <v>30.975706588074299</v>
      </c>
      <c r="C483" s="31">
        <v>3.6335133650591498</v>
      </c>
      <c r="D483" s="31">
        <v>0.87791807920795395</v>
      </c>
      <c r="E483" s="31">
        <v>4.1387840746339997</v>
      </c>
      <c r="F483" s="32">
        <v>3.4915136199139898E-5</v>
      </c>
      <c r="G483" s="31">
        <v>3.4377782482967602E-3</v>
      </c>
      <c r="H483" s="33" t="s">
        <v>10</v>
      </c>
      <c r="I483" s="33" t="s">
        <v>10</v>
      </c>
      <c r="J483" s="33" t="s">
        <v>10</v>
      </c>
      <c r="K483" s="30"/>
      <c r="L483" s="31"/>
    </row>
    <row r="484" spans="1:12" x14ac:dyDescent="0.2">
      <c r="A484" s="31" t="s">
        <v>2972</v>
      </c>
      <c r="B484" s="31">
        <v>135.766556840785</v>
      </c>
      <c r="C484" s="31">
        <v>2.3998667314164699</v>
      </c>
      <c r="D484" s="31">
        <v>0.58055304406841601</v>
      </c>
      <c r="E484" s="31">
        <v>4.1337596209962397</v>
      </c>
      <c r="F484" s="32">
        <v>3.5687673635906401E-5</v>
      </c>
      <c r="G484" s="31">
        <v>3.5035233787496698E-3</v>
      </c>
      <c r="H484" s="33" t="s">
        <v>10</v>
      </c>
      <c r="I484" s="33" t="s">
        <v>10</v>
      </c>
      <c r="J484" s="33" t="s">
        <v>10</v>
      </c>
      <c r="K484" s="30"/>
      <c r="L484" s="31"/>
    </row>
    <row r="485" spans="1:12" x14ac:dyDescent="0.2">
      <c r="A485" s="31" t="s">
        <v>2973</v>
      </c>
      <c r="B485" s="31">
        <v>69.573222046550498</v>
      </c>
      <c r="C485" s="31">
        <v>2.8356767915927201</v>
      </c>
      <c r="D485" s="31">
        <v>0.68613031554186599</v>
      </c>
      <c r="E485" s="31">
        <v>4.1328545428768404</v>
      </c>
      <c r="F485" s="32">
        <v>3.5828548501501302E-5</v>
      </c>
      <c r="G485" s="31">
        <v>3.51219590919043E-3</v>
      </c>
      <c r="H485" s="33" t="s">
        <v>10</v>
      </c>
      <c r="I485" s="33" t="s">
        <v>10</v>
      </c>
      <c r="J485" s="33" t="s">
        <v>10</v>
      </c>
      <c r="K485" s="30"/>
      <c r="L485" s="31"/>
    </row>
    <row r="486" spans="1:12" x14ac:dyDescent="0.2">
      <c r="A486" s="31" t="s">
        <v>2974</v>
      </c>
      <c r="B486" s="31">
        <v>59.466911638967197</v>
      </c>
      <c r="C486" s="31">
        <v>2.7832325876447501</v>
      </c>
      <c r="D486" s="31">
        <v>0.67420864441168504</v>
      </c>
      <c r="E486" s="31">
        <v>4.1281472889944997</v>
      </c>
      <c r="F486" s="32">
        <v>3.6569785065235498E-5</v>
      </c>
      <c r="G486" s="31">
        <v>3.5743757025384799E-3</v>
      </c>
      <c r="H486" s="33" t="s">
        <v>10</v>
      </c>
      <c r="I486" s="33" t="s">
        <v>10</v>
      </c>
      <c r="J486" s="33" t="s">
        <v>10</v>
      </c>
      <c r="K486" s="30"/>
      <c r="L486" s="31"/>
    </row>
    <row r="487" spans="1:12" x14ac:dyDescent="0.2">
      <c r="A487" s="31" t="s">
        <v>2975</v>
      </c>
      <c r="B487" s="31">
        <v>65.774242948532702</v>
      </c>
      <c r="C487" s="31">
        <v>2.5772212100566398</v>
      </c>
      <c r="D487" s="31">
        <v>0.62468134538388798</v>
      </c>
      <c r="E487" s="31">
        <v>4.1256573917264099</v>
      </c>
      <c r="F487" s="32">
        <v>3.6967725898803699E-5</v>
      </c>
      <c r="G487" s="31">
        <v>3.60799608024017E-3</v>
      </c>
      <c r="H487" s="33" t="s">
        <v>3107</v>
      </c>
      <c r="I487" s="33" t="s">
        <v>3146</v>
      </c>
      <c r="J487" s="33" t="s">
        <v>3074</v>
      </c>
      <c r="K487" s="30"/>
      <c r="L487" s="31"/>
    </row>
    <row r="488" spans="1:12" x14ac:dyDescent="0.2">
      <c r="A488" s="31" t="s">
        <v>2976</v>
      </c>
      <c r="B488" s="31">
        <v>712.51580450780602</v>
      </c>
      <c r="C488" s="31">
        <v>4.2776684560892599</v>
      </c>
      <c r="D488" s="31">
        <v>1.04026487890963</v>
      </c>
      <c r="E488" s="31">
        <v>4.1120954314760398</v>
      </c>
      <c r="F488" s="32">
        <v>3.92084154619277E-5</v>
      </c>
      <c r="G488" s="31">
        <v>3.7608014572556299E-3</v>
      </c>
      <c r="H488" s="33" t="s">
        <v>10</v>
      </c>
      <c r="I488" s="33" t="s">
        <v>10</v>
      </c>
      <c r="J488" s="33" t="s">
        <v>3046</v>
      </c>
      <c r="K488" s="30"/>
      <c r="L488" s="31"/>
    </row>
    <row r="489" spans="1:12" x14ac:dyDescent="0.2">
      <c r="A489" s="31" t="s">
        <v>2977</v>
      </c>
      <c r="B489" s="31">
        <v>44.984421701740899</v>
      </c>
      <c r="C489" s="31">
        <v>3.1179311774005001</v>
      </c>
      <c r="D489" s="31">
        <v>0.75942720598649105</v>
      </c>
      <c r="E489" s="31">
        <v>4.1056353430877204</v>
      </c>
      <c r="F489" s="32">
        <v>4.0320512168975898E-5</v>
      </c>
      <c r="G489" s="31">
        <v>3.8367779541239799E-3</v>
      </c>
      <c r="H489" s="33" t="s">
        <v>10</v>
      </c>
      <c r="I489" s="33" t="s">
        <v>10</v>
      </c>
      <c r="J489" s="33" t="s">
        <v>10</v>
      </c>
      <c r="K489" s="30"/>
      <c r="L489" s="31"/>
    </row>
    <row r="490" spans="1:12" x14ac:dyDescent="0.2">
      <c r="A490" s="31" t="s">
        <v>2978</v>
      </c>
      <c r="B490" s="31">
        <v>1752.35726101145</v>
      </c>
      <c r="C490" s="31">
        <v>4.18557739101841</v>
      </c>
      <c r="D490" s="31">
        <v>1.01966474450117</v>
      </c>
      <c r="E490" s="31">
        <v>4.1048564379520798</v>
      </c>
      <c r="F490" s="32">
        <v>4.0456604243827201E-5</v>
      </c>
      <c r="G490" s="31">
        <v>3.8367779541239799E-3</v>
      </c>
      <c r="H490" s="33" t="s">
        <v>10</v>
      </c>
      <c r="I490" s="33" t="s">
        <v>10</v>
      </c>
      <c r="J490" s="33" t="s">
        <v>10</v>
      </c>
      <c r="K490" s="30"/>
      <c r="L490" s="31"/>
    </row>
    <row r="491" spans="1:12" x14ac:dyDescent="0.2">
      <c r="A491" s="31" t="s">
        <v>2979</v>
      </c>
      <c r="B491" s="31">
        <v>118.527488102482</v>
      </c>
      <c r="C491" s="31">
        <v>2.1692665710094201</v>
      </c>
      <c r="D491" s="31">
        <v>0.52937618465037695</v>
      </c>
      <c r="E491" s="31">
        <v>4.0977789215094704</v>
      </c>
      <c r="F491" s="32">
        <v>4.1713338696404899E-5</v>
      </c>
      <c r="G491" s="31">
        <v>3.9333501531003496E-3</v>
      </c>
      <c r="H491" s="33" t="s">
        <v>10</v>
      </c>
      <c r="I491" s="33" t="s">
        <v>10</v>
      </c>
      <c r="J491" s="33" t="s">
        <v>10</v>
      </c>
      <c r="K491" s="30"/>
      <c r="L491" s="31"/>
    </row>
    <row r="492" spans="1:12" x14ac:dyDescent="0.2">
      <c r="A492" s="31" t="s">
        <v>2980</v>
      </c>
      <c r="B492" s="31">
        <v>82.408697548161797</v>
      </c>
      <c r="C492" s="31">
        <v>2.12323472206175</v>
      </c>
      <c r="D492" s="31">
        <v>0.51819146442640895</v>
      </c>
      <c r="E492" s="31">
        <v>4.0973942409722603</v>
      </c>
      <c r="F492" s="32">
        <v>4.1782695853549899E-5</v>
      </c>
      <c r="G492" s="31">
        <v>3.9343410299846199E-3</v>
      </c>
      <c r="H492" s="33" t="s">
        <v>10</v>
      </c>
      <c r="I492" s="33" t="s">
        <v>10</v>
      </c>
      <c r="J492" s="33" t="s">
        <v>10</v>
      </c>
      <c r="K492" s="30"/>
      <c r="L492" s="31"/>
    </row>
    <row r="493" spans="1:12" x14ac:dyDescent="0.2">
      <c r="A493" s="31" t="s">
        <v>2981</v>
      </c>
      <c r="B493" s="31">
        <v>83.518299355647997</v>
      </c>
      <c r="C493" s="31">
        <v>2.49266571435464</v>
      </c>
      <c r="D493" s="31">
        <v>0.60872807845755705</v>
      </c>
      <c r="E493" s="31">
        <v>4.0948755323900201</v>
      </c>
      <c r="F493" s="32">
        <v>4.2239524868350801E-5</v>
      </c>
      <c r="G493" s="31">
        <v>3.9661845998224697E-3</v>
      </c>
      <c r="H493" s="33" t="s">
        <v>10</v>
      </c>
      <c r="I493" s="33" t="s">
        <v>10</v>
      </c>
      <c r="J493" s="33" t="s">
        <v>10</v>
      </c>
      <c r="K493" s="30"/>
      <c r="L493" s="31"/>
    </row>
    <row r="494" spans="1:12" x14ac:dyDescent="0.2">
      <c r="A494" s="31" t="s">
        <v>2982</v>
      </c>
      <c r="B494" s="31">
        <v>27.700566657031199</v>
      </c>
      <c r="C494" s="31">
        <v>3.4594858991966202</v>
      </c>
      <c r="D494" s="31">
        <v>0.84872450520082898</v>
      </c>
      <c r="E494" s="31">
        <v>4.0760999334855201</v>
      </c>
      <c r="F494" s="32">
        <v>4.5797343024431798E-5</v>
      </c>
      <c r="G494" s="31">
        <v>4.2583885506236301E-3</v>
      </c>
      <c r="H494" s="33" t="s">
        <v>10</v>
      </c>
      <c r="I494" s="33" t="s">
        <v>3114</v>
      </c>
      <c r="J494" s="33" t="s">
        <v>10</v>
      </c>
      <c r="K494" s="30"/>
      <c r="L494" s="31"/>
    </row>
    <row r="495" spans="1:12" x14ac:dyDescent="0.2">
      <c r="A495" s="31" t="s">
        <v>2983</v>
      </c>
      <c r="B495" s="31">
        <v>54.759579870509697</v>
      </c>
      <c r="C495" s="31">
        <v>2.5775605158597901</v>
      </c>
      <c r="D495" s="31">
        <v>0.63592998197773698</v>
      </c>
      <c r="E495" s="31">
        <v>4.0532143300487196</v>
      </c>
      <c r="F495" s="32">
        <v>5.05186792605E-5</v>
      </c>
      <c r="G495" s="31">
        <v>4.59513782579691E-3</v>
      </c>
      <c r="H495" s="33" t="s">
        <v>10</v>
      </c>
      <c r="I495" s="33" t="s">
        <v>10</v>
      </c>
      <c r="J495" s="33" t="s">
        <v>10</v>
      </c>
      <c r="K495" s="30"/>
      <c r="L495" s="31"/>
    </row>
    <row r="496" spans="1:12" x14ac:dyDescent="0.2">
      <c r="A496" s="31" t="s">
        <v>2984</v>
      </c>
      <c r="B496" s="31">
        <v>26.312258870119798</v>
      </c>
      <c r="C496" s="31">
        <v>4.5262075792517003</v>
      </c>
      <c r="D496" s="31">
        <v>1.11679571902751</v>
      </c>
      <c r="E496" s="31">
        <v>4.0528518350635201</v>
      </c>
      <c r="F496" s="32">
        <v>5.0597048858139197E-5</v>
      </c>
      <c r="G496" s="31">
        <v>4.5960131812648004E-3</v>
      </c>
      <c r="H496" s="33" t="s">
        <v>10</v>
      </c>
      <c r="I496" s="33" t="s">
        <v>10</v>
      </c>
      <c r="J496" s="33" t="s">
        <v>10</v>
      </c>
      <c r="K496" s="30"/>
      <c r="L496" s="31"/>
    </row>
    <row r="497" spans="1:12" x14ac:dyDescent="0.2">
      <c r="A497" s="31" t="s">
        <v>2985</v>
      </c>
      <c r="B497" s="31">
        <v>50.328606074550699</v>
      </c>
      <c r="C497" s="31">
        <v>3.3026459231336802</v>
      </c>
      <c r="D497" s="31">
        <v>0.815200022310272</v>
      </c>
      <c r="E497" s="31">
        <v>4.0513319832524104</v>
      </c>
      <c r="F497" s="32">
        <v>5.0926889325948001E-5</v>
      </c>
      <c r="G497" s="31">
        <v>4.6134379212550798E-3</v>
      </c>
      <c r="H497" s="33" t="s">
        <v>609</v>
      </c>
      <c r="I497" s="33" t="s">
        <v>610</v>
      </c>
      <c r="J497" s="33" t="s">
        <v>3061</v>
      </c>
      <c r="K497" s="30"/>
      <c r="L497" s="31"/>
    </row>
    <row r="498" spans="1:12" x14ac:dyDescent="0.2">
      <c r="A498" s="31" t="s">
        <v>2986</v>
      </c>
      <c r="B498" s="31">
        <v>44.351140075677797</v>
      </c>
      <c r="C498" s="31">
        <v>2.7010290407475099</v>
      </c>
      <c r="D498" s="31">
        <v>0.66728083667804405</v>
      </c>
      <c r="E498" s="31">
        <v>4.0478144917126198</v>
      </c>
      <c r="F498" s="32">
        <v>5.16980938009654E-5</v>
      </c>
      <c r="G498" s="31">
        <v>4.6739971322109003E-3</v>
      </c>
      <c r="H498" s="33" t="s">
        <v>10</v>
      </c>
      <c r="I498" s="33" t="s">
        <v>10</v>
      </c>
      <c r="J498" s="33" t="s">
        <v>10</v>
      </c>
      <c r="K498" s="30"/>
      <c r="L498" s="31"/>
    </row>
    <row r="499" spans="1:12" x14ac:dyDescent="0.2">
      <c r="A499" s="31" t="s">
        <v>2987</v>
      </c>
      <c r="B499" s="31">
        <v>38.377336476231399</v>
      </c>
      <c r="C499" s="31">
        <v>3.40185712052374</v>
      </c>
      <c r="D499" s="31">
        <v>0.84122461590095898</v>
      </c>
      <c r="E499" s="31">
        <v>4.0439343502571097</v>
      </c>
      <c r="F499" s="32">
        <v>5.2561642714720597E-5</v>
      </c>
      <c r="G499" s="31">
        <v>4.7358606788310597E-3</v>
      </c>
      <c r="H499" s="33" t="s">
        <v>10</v>
      </c>
      <c r="I499" s="33" t="s">
        <v>3127</v>
      </c>
      <c r="J499" s="33" t="s">
        <v>10</v>
      </c>
      <c r="K499" s="30"/>
      <c r="L499" s="31"/>
    </row>
    <row r="500" spans="1:12" x14ac:dyDescent="0.2">
      <c r="A500" s="31" t="s">
        <v>2988</v>
      </c>
      <c r="B500" s="31">
        <v>77.7622362564111</v>
      </c>
      <c r="C500" s="31">
        <v>2.3391222281749999</v>
      </c>
      <c r="D500" s="31">
        <v>0.57859078542988795</v>
      </c>
      <c r="E500" s="31">
        <v>4.0427920510988704</v>
      </c>
      <c r="F500" s="32">
        <v>5.2818461338161698E-5</v>
      </c>
      <c r="G500" s="31">
        <v>4.7430822329329403E-3</v>
      </c>
      <c r="H500" s="33" t="s">
        <v>10</v>
      </c>
      <c r="I500" s="33" t="s">
        <v>10</v>
      </c>
      <c r="J500" s="33" t="s">
        <v>10</v>
      </c>
      <c r="K500" s="30"/>
      <c r="L500" s="31"/>
    </row>
    <row r="501" spans="1:12" x14ac:dyDescent="0.2">
      <c r="A501" s="31" t="s">
        <v>2989</v>
      </c>
      <c r="B501" s="31">
        <v>65.525370791807603</v>
      </c>
      <c r="C501" s="31">
        <v>2.84381706106225</v>
      </c>
      <c r="D501" s="31">
        <v>0.70398420076304902</v>
      </c>
      <c r="E501" s="31">
        <v>4.0396035280050802</v>
      </c>
      <c r="F501" s="32">
        <v>5.3541630916079398E-5</v>
      </c>
      <c r="G501" s="31">
        <v>4.7982918698317601E-3</v>
      </c>
      <c r="H501" s="33" t="s">
        <v>10</v>
      </c>
      <c r="I501" s="33" t="s">
        <v>10</v>
      </c>
      <c r="J501" s="33" t="s">
        <v>10</v>
      </c>
      <c r="K501" s="30"/>
      <c r="L501" s="31"/>
    </row>
    <row r="502" spans="1:12" x14ac:dyDescent="0.2">
      <c r="A502" s="31" t="s">
        <v>2990</v>
      </c>
      <c r="B502" s="31">
        <v>180.09055075542199</v>
      </c>
      <c r="C502" s="31">
        <v>2.1245294165233202</v>
      </c>
      <c r="D502" s="31">
        <v>0.52732952195796801</v>
      </c>
      <c r="E502" s="31">
        <v>4.0288459645402801</v>
      </c>
      <c r="F502" s="32">
        <v>5.6051327875344397E-5</v>
      </c>
      <c r="G502" s="31">
        <v>4.9991588062720804E-3</v>
      </c>
      <c r="H502" s="33" t="s">
        <v>10</v>
      </c>
      <c r="I502" s="33" t="s">
        <v>10</v>
      </c>
      <c r="J502" s="33" t="s">
        <v>10</v>
      </c>
      <c r="K502" s="30"/>
      <c r="L502" s="31"/>
    </row>
    <row r="503" spans="1:12" x14ac:dyDescent="0.2">
      <c r="A503" s="31" t="s">
        <v>2991</v>
      </c>
      <c r="B503" s="31">
        <v>101.899125234312</v>
      </c>
      <c r="C503" s="31">
        <v>2.0731918024640899</v>
      </c>
      <c r="D503" s="31">
        <v>0.51581513377366905</v>
      </c>
      <c r="E503" s="31">
        <v>4.0192535401137901</v>
      </c>
      <c r="F503" s="32">
        <v>5.8382818076574498E-5</v>
      </c>
      <c r="G503" s="31">
        <v>5.1629408763351698E-3</v>
      </c>
      <c r="H503" s="33" t="s">
        <v>10</v>
      </c>
      <c r="I503" s="33" t="s">
        <v>10</v>
      </c>
      <c r="J503" s="33" t="s">
        <v>10</v>
      </c>
      <c r="K503" s="30"/>
      <c r="L503" s="31"/>
    </row>
    <row r="504" spans="1:12" x14ac:dyDescent="0.2">
      <c r="A504" s="31" t="s">
        <v>2992</v>
      </c>
      <c r="B504" s="31">
        <v>41.584763463380803</v>
      </c>
      <c r="C504" s="31">
        <v>2.6498278201841998</v>
      </c>
      <c r="D504" s="31">
        <v>0.65949017739285098</v>
      </c>
      <c r="E504" s="31">
        <v>4.0179943705298298</v>
      </c>
      <c r="F504" s="32">
        <v>5.8695599119482798E-5</v>
      </c>
      <c r="G504" s="31">
        <v>5.1769053814419803E-3</v>
      </c>
      <c r="H504" s="33" t="s">
        <v>10</v>
      </c>
      <c r="I504" s="33" t="s">
        <v>10</v>
      </c>
      <c r="J504" s="33" t="s">
        <v>10</v>
      </c>
      <c r="K504" s="30"/>
      <c r="L504" s="31"/>
    </row>
    <row r="505" spans="1:12" x14ac:dyDescent="0.2">
      <c r="A505" s="31" t="s">
        <v>2993</v>
      </c>
      <c r="B505" s="31">
        <v>63.015330715568297</v>
      </c>
      <c r="C505" s="31">
        <v>2.36232151871442</v>
      </c>
      <c r="D505" s="31">
        <v>0.58902819831195397</v>
      </c>
      <c r="E505" s="31">
        <v>4.0105406251931504</v>
      </c>
      <c r="F505" s="32">
        <v>6.0579875338110498E-5</v>
      </c>
      <c r="G505" s="31">
        <v>5.3290362706965499E-3</v>
      </c>
      <c r="H505" s="33" t="s">
        <v>10</v>
      </c>
      <c r="I505" s="33" t="s">
        <v>10</v>
      </c>
      <c r="J505" s="33" t="s">
        <v>10</v>
      </c>
      <c r="K505" s="30"/>
      <c r="L505" s="31"/>
    </row>
    <row r="506" spans="1:12" x14ac:dyDescent="0.2">
      <c r="A506" s="31" t="s">
        <v>2994</v>
      </c>
      <c r="B506" s="31">
        <v>64.414198989124998</v>
      </c>
      <c r="C506" s="31">
        <v>2.4230502499924902</v>
      </c>
      <c r="D506" s="31">
        <v>0.60559754512152497</v>
      </c>
      <c r="E506" s="31">
        <v>4.0010899474604997</v>
      </c>
      <c r="F506" s="32">
        <v>6.3051382924643495E-5</v>
      </c>
      <c r="G506" s="31">
        <v>5.5101963469634503E-3</v>
      </c>
      <c r="H506" s="33" t="s">
        <v>10</v>
      </c>
      <c r="I506" s="33" t="s">
        <v>10</v>
      </c>
      <c r="J506" s="33" t="s">
        <v>10</v>
      </c>
      <c r="K506" s="30"/>
      <c r="L506" s="31"/>
    </row>
    <row r="507" spans="1:12" x14ac:dyDescent="0.2">
      <c r="A507" s="31" t="s">
        <v>2995</v>
      </c>
      <c r="B507" s="31">
        <v>101.94934209594</v>
      </c>
      <c r="C507" s="31">
        <v>2.50958543726628</v>
      </c>
      <c r="D507" s="31">
        <v>0.62834580191573097</v>
      </c>
      <c r="E507" s="31">
        <v>3.9939559230203101</v>
      </c>
      <c r="F507" s="32">
        <v>6.4979948298500505E-5</v>
      </c>
      <c r="G507" s="31">
        <v>5.6418629136315004E-3</v>
      </c>
      <c r="H507" s="33" t="s">
        <v>10</v>
      </c>
      <c r="I507" s="33" t="s">
        <v>3150</v>
      </c>
      <c r="J507" s="33" t="s">
        <v>3081</v>
      </c>
      <c r="K507" s="30"/>
      <c r="L507" s="31"/>
    </row>
    <row r="508" spans="1:12" x14ac:dyDescent="0.2">
      <c r="A508" s="31" t="s">
        <v>2996</v>
      </c>
      <c r="B508" s="31">
        <v>110.66672913075</v>
      </c>
      <c r="C508" s="31">
        <v>2.5246242920568398</v>
      </c>
      <c r="D508" s="31">
        <v>0.63240301081945005</v>
      </c>
      <c r="E508" s="31">
        <v>3.9921130179084798</v>
      </c>
      <c r="F508" s="32">
        <v>6.5487146760414698E-5</v>
      </c>
      <c r="G508" s="31">
        <v>5.6747953470943904E-3</v>
      </c>
      <c r="H508" s="33" t="s">
        <v>3112</v>
      </c>
      <c r="I508" s="33" t="s">
        <v>3153</v>
      </c>
      <c r="J508" s="33" t="s">
        <v>10</v>
      </c>
      <c r="K508" s="30"/>
      <c r="L508" s="31"/>
    </row>
    <row r="509" spans="1:12" x14ac:dyDescent="0.2">
      <c r="A509" s="31" t="s">
        <v>2997</v>
      </c>
      <c r="B509" s="31">
        <v>25.2792764675374</v>
      </c>
      <c r="C509" s="31">
        <v>4.6552362572073296</v>
      </c>
      <c r="D509" s="31">
        <v>1.16646665042066</v>
      </c>
      <c r="E509" s="31">
        <v>3.9908867137594899</v>
      </c>
      <c r="F509" s="32">
        <v>6.58267199283753E-5</v>
      </c>
      <c r="G509" s="31">
        <v>5.6932022778933104E-3</v>
      </c>
      <c r="H509" s="33" t="s">
        <v>10</v>
      </c>
      <c r="I509" s="33" t="s">
        <v>10</v>
      </c>
      <c r="J509" s="33" t="s">
        <v>10</v>
      </c>
      <c r="K509" s="30"/>
      <c r="L509" s="31"/>
    </row>
    <row r="510" spans="1:12" x14ac:dyDescent="0.2">
      <c r="A510" s="31" t="s">
        <v>2998</v>
      </c>
      <c r="B510" s="31">
        <v>56.851703349590899</v>
      </c>
      <c r="C510" s="31">
        <v>2.49659171538659</v>
      </c>
      <c r="D510" s="31">
        <v>0.62722214368805396</v>
      </c>
      <c r="E510" s="31">
        <v>3.9803947301775402</v>
      </c>
      <c r="F510" s="32">
        <v>6.8800927720035998E-5</v>
      </c>
      <c r="G510" s="31">
        <v>5.9046033667817799E-3</v>
      </c>
      <c r="H510" s="33" t="s">
        <v>10</v>
      </c>
      <c r="I510" s="33" t="s">
        <v>10</v>
      </c>
      <c r="J510" s="33" t="s">
        <v>10</v>
      </c>
      <c r="K510" s="30"/>
      <c r="L510" s="31"/>
    </row>
    <row r="511" spans="1:12" x14ac:dyDescent="0.2">
      <c r="A511" s="31" t="s">
        <v>2999</v>
      </c>
      <c r="B511" s="31">
        <v>25.479444245741099</v>
      </c>
      <c r="C511" s="31">
        <v>5.1971336478234997</v>
      </c>
      <c r="D511" s="31">
        <v>1.3072620919615701</v>
      </c>
      <c r="E511" s="31">
        <v>3.97558659413516</v>
      </c>
      <c r="F511" s="32">
        <v>7.0205991706526506E-5</v>
      </c>
      <c r="G511" s="31">
        <v>6.0097587394876096E-3</v>
      </c>
      <c r="H511" s="33" t="s">
        <v>10</v>
      </c>
      <c r="I511" s="33" t="s">
        <v>10</v>
      </c>
      <c r="J511" s="33" t="s">
        <v>10</v>
      </c>
      <c r="K511" s="30"/>
      <c r="L511" s="31"/>
    </row>
    <row r="512" spans="1:12" x14ac:dyDescent="0.2">
      <c r="A512" s="31" t="s">
        <v>3000</v>
      </c>
      <c r="B512" s="31">
        <v>34.670679140883202</v>
      </c>
      <c r="C512" s="31">
        <v>2.8426366079675498</v>
      </c>
      <c r="D512" s="31">
        <v>0.71533242826724097</v>
      </c>
      <c r="E512" s="31">
        <v>3.97386794675772</v>
      </c>
      <c r="F512" s="32">
        <v>7.0714779063179502E-5</v>
      </c>
      <c r="G512" s="31">
        <v>6.0378500054519297E-3</v>
      </c>
      <c r="H512" s="33" t="s">
        <v>10</v>
      </c>
      <c r="I512" s="33" t="s">
        <v>10</v>
      </c>
      <c r="J512" s="33" t="s">
        <v>10</v>
      </c>
      <c r="K512" s="30"/>
      <c r="L512" s="31"/>
    </row>
    <row r="513" spans="1:12" x14ac:dyDescent="0.2">
      <c r="A513" s="31" t="s">
        <v>3001</v>
      </c>
      <c r="B513" s="31">
        <v>88.821934177583003</v>
      </c>
      <c r="C513" s="31">
        <v>2.6851372651013898</v>
      </c>
      <c r="D513" s="31">
        <v>0.67647309099467501</v>
      </c>
      <c r="E513" s="31">
        <v>3.9693186629984201</v>
      </c>
      <c r="F513" s="32">
        <v>7.2078435681141104E-5</v>
      </c>
      <c r="G513" s="31">
        <v>6.1074826583810997E-3</v>
      </c>
      <c r="H513" s="33" t="s">
        <v>10</v>
      </c>
      <c r="I513" s="33" t="s">
        <v>10</v>
      </c>
      <c r="J513" s="33" t="s">
        <v>10</v>
      </c>
      <c r="K513" s="30"/>
      <c r="L513" s="31"/>
    </row>
    <row r="514" spans="1:12" x14ac:dyDescent="0.2">
      <c r="A514" s="31" t="s">
        <v>3002</v>
      </c>
      <c r="B514" s="31">
        <v>47.041251631227098</v>
      </c>
      <c r="C514" s="31">
        <v>2.4512339710987199</v>
      </c>
      <c r="D514" s="31">
        <v>0.61764131598196603</v>
      </c>
      <c r="E514" s="31">
        <v>3.9687014253597801</v>
      </c>
      <c r="F514" s="32">
        <v>7.22653588922336E-5</v>
      </c>
      <c r="G514" s="31">
        <v>6.1155703401775596E-3</v>
      </c>
      <c r="H514" s="33" t="s">
        <v>10</v>
      </c>
      <c r="I514" s="33" t="s">
        <v>10</v>
      </c>
      <c r="J514" s="33" t="s">
        <v>10</v>
      </c>
      <c r="K514" s="30"/>
      <c r="L514" s="31"/>
    </row>
    <row r="515" spans="1:12" x14ac:dyDescent="0.2">
      <c r="A515" s="31" t="s">
        <v>3003</v>
      </c>
      <c r="B515" s="31">
        <v>84.897237613901197</v>
      </c>
      <c r="C515" s="31">
        <v>2.44588242728965</v>
      </c>
      <c r="D515" s="31">
        <v>0.61647296411417296</v>
      </c>
      <c r="E515" s="31">
        <v>3.9675420815967199</v>
      </c>
      <c r="F515" s="32">
        <v>7.2617692694966693E-5</v>
      </c>
      <c r="G515" s="31">
        <v>6.13229097832015E-3</v>
      </c>
      <c r="H515" s="33" t="s">
        <v>10</v>
      </c>
      <c r="I515" s="33" t="s">
        <v>3134</v>
      </c>
      <c r="J515" s="33" t="s">
        <v>10</v>
      </c>
      <c r="K515" s="30"/>
      <c r="L515" s="31"/>
    </row>
    <row r="516" spans="1:12" x14ac:dyDescent="0.2">
      <c r="A516" s="31" t="s">
        <v>3004</v>
      </c>
      <c r="B516" s="31">
        <v>82.571798125949798</v>
      </c>
      <c r="C516" s="31">
        <v>2.26307348997336</v>
      </c>
      <c r="D516" s="31">
        <v>0.57041038850311498</v>
      </c>
      <c r="E516" s="31">
        <v>3.9674478859197699</v>
      </c>
      <c r="F516" s="32">
        <v>7.2646390768522299E-5</v>
      </c>
      <c r="G516" s="31">
        <v>6.13229097832015E-3</v>
      </c>
      <c r="H516" s="33" t="s">
        <v>10</v>
      </c>
      <c r="I516" s="33" t="s">
        <v>10</v>
      </c>
      <c r="J516" s="33" t="s">
        <v>10</v>
      </c>
      <c r="K516" s="30"/>
      <c r="L516" s="31"/>
    </row>
    <row r="517" spans="1:12" x14ac:dyDescent="0.2">
      <c r="A517" s="31" t="s">
        <v>3005</v>
      </c>
      <c r="B517" s="31">
        <v>286.06570369631601</v>
      </c>
      <c r="C517" s="31">
        <v>6.6915020127469003</v>
      </c>
      <c r="D517" s="31">
        <v>1.69029004537873</v>
      </c>
      <c r="E517" s="31">
        <v>3.9587892214366001</v>
      </c>
      <c r="F517" s="32">
        <v>7.5330680134558399E-5</v>
      </c>
      <c r="G517" s="31">
        <v>6.3348837992401302E-3</v>
      </c>
      <c r="H517" s="33" t="s">
        <v>10</v>
      </c>
      <c r="I517" s="33" t="s">
        <v>10</v>
      </c>
      <c r="J517" s="33" t="s">
        <v>10</v>
      </c>
      <c r="K517" s="30"/>
      <c r="L517" s="31"/>
    </row>
    <row r="518" spans="1:12" x14ac:dyDescent="0.2">
      <c r="A518" s="31" t="s">
        <v>3006</v>
      </c>
      <c r="B518" s="31">
        <v>57.717931045309797</v>
      </c>
      <c r="C518" s="31">
        <v>2.7822619255491698</v>
      </c>
      <c r="D518" s="31">
        <v>0.70399031437459303</v>
      </c>
      <c r="E518" s="31">
        <v>3.9521309721723399</v>
      </c>
      <c r="F518" s="32">
        <v>7.7458324141128194E-5</v>
      </c>
      <c r="G518" s="31">
        <v>6.4893186221242202E-3</v>
      </c>
      <c r="H518" s="33" t="s">
        <v>3102</v>
      </c>
      <c r="I518" s="33" t="s">
        <v>3143</v>
      </c>
      <c r="J518" s="33" t="s">
        <v>3071</v>
      </c>
      <c r="K518" s="30"/>
      <c r="L518" s="31"/>
    </row>
    <row r="519" spans="1:12" x14ac:dyDescent="0.2">
      <c r="A519" s="31" t="s">
        <v>3007</v>
      </c>
      <c r="B519" s="31">
        <v>59.692227045700101</v>
      </c>
      <c r="C519" s="31">
        <v>2.2909107689343702</v>
      </c>
      <c r="D519" s="31">
        <v>0.58062915523346603</v>
      </c>
      <c r="E519" s="31">
        <v>3.9455661988127599</v>
      </c>
      <c r="F519" s="32">
        <v>7.9611632735198797E-5</v>
      </c>
      <c r="G519" s="31">
        <v>6.6199449085966597E-3</v>
      </c>
      <c r="H519" s="33" t="s">
        <v>3095</v>
      </c>
      <c r="I519" s="33" t="s">
        <v>3133</v>
      </c>
      <c r="J519" s="33" t="s">
        <v>3059</v>
      </c>
      <c r="K519" s="30"/>
      <c r="L519" s="31"/>
    </row>
    <row r="520" spans="1:12" x14ac:dyDescent="0.2">
      <c r="A520" s="50" t="s">
        <v>3008</v>
      </c>
      <c r="B520" s="50">
        <v>77.458083968726598</v>
      </c>
      <c r="C520" s="50">
        <v>2.8311009797009699</v>
      </c>
      <c r="D520" s="50">
        <v>0.717852992869639</v>
      </c>
      <c r="E520" s="50">
        <v>3.9438450599523902</v>
      </c>
      <c r="F520" s="51">
        <v>8.0185475799123603E-5</v>
      </c>
      <c r="G520" s="50">
        <v>6.6593788627955404E-3</v>
      </c>
      <c r="H520" s="50" t="s">
        <v>3105</v>
      </c>
      <c r="I520" s="50" t="s">
        <v>144</v>
      </c>
      <c r="J520" s="50" t="s">
        <v>3080</v>
      </c>
      <c r="K520" s="30"/>
      <c r="L520" s="31"/>
    </row>
    <row r="521" spans="1:12" x14ac:dyDescent="0.2">
      <c r="A521" s="31" t="s">
        <v>3009</v>
      </c>
      <c r="B521" s="31">
        <v>51.8588952916407</v>
      </c>
      <c r="C521" s="31">
        <v>2.40091235472102</v>
      </c>
      <c r="D521" s="31">
        <v>0.61015819939317995</v>
      </c>
      <c r="E521" s="31">
        <v>3.9349014027981499</v>
      </c>
      <c r="F521" s="32">
        <v>8.3230857265739503E-5</v>
      </c>
      <c r="G521" s="31">
        <v>6.81076984394249E-3</v>
      </c>
      <c r="H521" s="33" t="s">
        <v>10</v>
      </c>
      <c r="I521" s="33" t="s">
        <v>10</v>
      </c>
      <c r="J521" s="33" t="s">
        <v>10</v>
      </c>
      <c r="K521" s="30"/>
      <c r="L521" s="31"/>
    </row>
    <row r="522" spans="1:12" x14ac:dyDescent="0.2">
      <c r="A522" s="31" t="s">
        <v>3010</v>
      </c>
      <c r="B522" s="31">
        <v>57.545758602573798</v>
      </c>
      <c r="C522" s="31">
        <v>2.27033114977622</v>
      </c>
      <c r="D522" s="31">
        <v>0.57746205933022599</v>
      </c>
      <c r="E522" s="31">
        <v>3.9315676469021699</v>
      </c>
      <c r="F522" s="32">
        <v>8.4393741442596098E-5</v>
      </c>
      <c r="G522" s="31">
        <v>6.8806629074936098E-3</v>
      </c>
      <c r="H522" s="33" t="s">
        <v>10</v>
      </c>
      <c r="I522" s="33" t="s">
        <v>10</v>
      </c>
      <c r="J522" s="33" t="s">
        <v>10</v>
      </c>
      <c r="K522" s="30"/>
      <c r="L522" s="31"/>
    </row>
    <row r="523" spans="1:12" x14ac:dyDescent="0.2">
      <c r="A523" s="31" t="s">
        <v>3011</v>
      </c>
      <c r="B523" s="31">
        <v>34.001030876733097</v>
      </c>
      <c r="C523" s="31">
        <v>2.8327506891785998</v>
      </c>
      <c r="D523" s="31">
        <v>0.72199199109612899</v>
      </c>
      <c r="E523" s="31">
        <v>3.92352093113653</v>
      </c>
      <c r="F523" s="32">
        <v>8.7264179933589496E-5</v>
      </c>
      <c r="G523" s="31">
        <v>7.0887566822115796E-3</v>
      </c>
      <c r="H523" s="33" t="s">
        <v>10</v>
      </c>
      <c r="I523" s="33" t="s">
        <v>10</v>
      </c>
      <c r="J523" s="33" t="s">
        <v>10</v>
      </c>
      <c r="K523" s="30"/>
      <c r="L523" s="31"/>
    </row>
    <row r="524" spans="1:12" x14ac:dyDescent="0.2">
      <c r="A524" s="31" t="s">
        <v>3012</v>
      </c>
      <c r="B524" s="31">
        <v>46.188233950511403</v>
      </c>
      <c r="C524" s="31">
        <v>3.12855341625878</v>
      </c>
      <c r="D524" s="31">
        <v>0.79858872871132902</v>
      </c>
      <c r="E524" s="31">
        <v>3.9176027707118699</v>
      </c>
      <c r="F524" s="32">
        <v>8.9433921239210102E-5</v>
      </c>
      <c r="G524" s="31">
        <v>7.2561951510283903E-3</v>
      </c>
      <c r="H524" s="33" t="s">
        <v>3087</v>
      </c>
      <c r="I524" s="33" t="s">
        <v>3113</v>
      </c>
      <c r="J524" s="33" t="s">
        <v>3036</v>
      </c>
      <c r="K524" s="30"/>
      <c r="L524" s="31"/>
    </row>
    <row r="525" spans="1:12" x14ac:dyDescent="0.2">
      <c r="A525" s="31" t="s">
        <v>3013</v>
      </c>
      <c r="B525" s="31">
        <v>42.6794227648071</v>
      </c>
      <c r="C525" s="31">
        <v>2.6081739029734301</v>
      </c>
      <c r="D525" s="31">
        <v>0.66635323657409196</v>
      </c>
      <c r="E525" s="31">
        <v>3.9141010500418401</v>
      </c>
      <c r="F525" s="32">
        <v>9.0741631382484006E-5</v>
      </c>
      <c r="G525" s="31">
        <v>7.34250186442394E-3</v>
      </c>
      <c r="H525" s="33" t="s">
        <v>10</v>
      </c>
      <c r="I525" s="33" t="s">
        <v>10</v>
      </c>
      <c r="J525" s="33" t="s">
        <v>10</v>
      </c>
      <c r="K525" s="30"/>
      <c r="L525" s="31"/>
    </row>
    <row r="526" spans="1:12" x14ac:dyDescent="0.2">
      <c r="A526" s="31" t="s">
        <v>3014</v>
      </c>
      <c r="B526" s="31">
        <v>52.623344014230597</v>
      </c>
      <c r="C526" s="31">
        <v>2.6039064224091599</v>
      </c>
      <c r="D526" s="31">
        <v>0.66552194317303004</v>
      </c>
      <c r="E526" s="31">
        <v>3.9125778633149602</v>
      </c>
      <c r="F526" s="32">
        <v>9.1316081007501398E-5</v>
      </c>
      <c r="G526" s="31">
        <v>7.3731118306237997E-3</v>
      </c>
      <c r="H526" s="33" t="s">
        <v>3097</v>
      </c>
      <c r="I526" s="33" t="s">
        <v>3136</v>
      </c>
      <c r="J526" s="33" t="s">
        <v>3065</v>
      </c>
      <c r="K526" s="30"/>
      <c r="L526" s="31"/>
    </row>
    <row r="527" spans="1:12" x14ac:dyDescent="0.2">
      <c r="A527" s="31" t="s">
        <v>3015</v>
      </c>
      <c r="B527" s="31">
        <v>60.111516308715103</v>
      </c>
      <c r="C527" s="31">
        <v>2.6112039866462302</v>
      </c>
      <c r="D527" s="31">
        <v>0.66745346999253297</v>
      </c>
      <c r="E527" s="31">
        <v>3.9121887952360899</v>
      </c>
      <c r="F527" s="32">
        <v>9.1463362651202201E-5</v>
      </c>
      <c r="G527" s="31">
        <v>7.37609542828242E-3</v>
      </c>
      <c r="H527" s="33" t="s">
        <v>10</v>
      </c>
      <c r="I527" s="33" t="s">
        <v>10</v>
      </c>
      <c r="J527" s="33" t="s">
        <v>10</v>
      </c>
      <c r="K527" s="30"/>
      <c r="L527" s="31"/>
    </row>
    <row r="528" spans="1:12" x14ac:dyDescent="0.2">
      <c r="A528" s="31" t="s">
        <v>3016</v>
      </c>
      <c r="B528" s="31">
        <v>29.642699951830501</v>
      </c>
      <c r="C528" s="31">
        <v>3.2056426892552601</v>
      </c>
      <c r="D528" s="31">
        <v>0.82058558628730704</v>
      </c>
      <c r="E528" s="31">
        <v>3.9065305835543702</v>
      </c>
      <c r="F528" s="32">
        <v>9.3630797289682296E-5</v>
      </c>
      <c r="G528" s="31">
        <v>7.4966310811996504E-3</v>
      </c>
      <c r="H528" s="33" t="s">
        <v>10</v>
      </c>
      <c r="I528" s="33" t="s">
        <v>10</v>
      </c>
      <c r="J528" s="33" t="s">
        <v>10</v>
      </c>
      <c r="K528" s="30"/>
      <c r="L528" s="31"/>
    </row>
    <row r="529" spans="1:12" x14ac:dyDescent="0.2">
      <c r="A529" s="31" t="s">
        <v>3017</v>
      </c>
      <c r="B529" s="31">
        <v>33.315456525513802</v>
      </c>
      <c r="C529" s="31">
        <v>3.6986231242596501</v>
      </c>
      <c r="D529" s="31">
        <v>0.947299471311988</v>
      </c>
      <c r="E529" s="31">
        <v>3.9043863490572202</v>
      </c>
      <c r="F529" s="32">
        <v>9.4464770792460005E-5</v>
      </c>
      <c r="G529" s="31">
        <v>7.5453312441217599E-3</v>
      </c>
      <c r="H529" s="33" t="s">
        <v>10</v>
      </c>
      <c r="I529" s="33" t="s">
        <v>10</v>
      </c>
      <c r="J529" s="33" t="s">
        <v>10</v>
      </c>
      <c r="K529" s="30"/>
      <c r="L529" s="31"/>
    </row>
    <row r="530" spans="1:12" x14ac:dyDescent="0.2">
      <c r="A530" s="31" t="s">
        <v>3018</v>
      </c>
      <c r="B530" s="31">
        <v>83.235954719820697</v>
      </c>
      <c r="C530" s="31">
        <v>2.2770520237978098</v>
      </c>
      <c r="D530" s="31">
        <v>0.58334363487796803</v>
      </c>
      <c r="E530" s="31">
        <v>3.9034488209923799</v>
      </c>
      <c r="F530" s="32">
        <v>9.4831610462332201E-5</v>
      </c>
      <c r="G530" s="31">
        <v>7.5655934575885597E-3</v>
      </c>
      <c r="H530" s="33" t="s">
        <v>10</v>
      </c>
      <c r="I530" s="33" t="s">
        <v>10</v>
      </c>
      <c r="J530" s="33" t="s">
        <v>10</v>
      </c>
      <c r="K530" s="30"/>
      <c r="L530" s="31"/>
    </row>
    <row r="531" spans="1:12" x14ac:dyDescent="0.2">
      <c r="A531" s="31" t="s">
        <v>3019</v>
      </c>
      <c r="B531" s="31">
        <v>36.991003224054701</v>
      </c>
      <c r="C531" s="31">
        <v>3.5464401236932801</v>
      </c>
      <c r="D531" s="31">
        <v>0.90886120329670494</v>
      </c>
      <c r="E531" s="31">
        <v>3.9020700969843398</v>
      </c>
      <c r="F531" s="32">
        <v>9.5373527582386994E-5</v>
      </c>
      <c r="G531" s="31">
        <v>7.5997582676048704E-3</v>
      </c>
      <c r="H531" s="33" t="s">
        <v>10</v>
      </c>
      <c r="I531" s="33" t="s">
        <v>10</v>
      </c>
      <c r="J531" s="33" t="s">
        <v>10</v>
      </c>
      <c r="K531" s="30"/>
      <c r="L531" s="31"/>
    </row>
    <row r="532" spans="1:12" x14ac:dyDescent="0.2">
      <c r="A532" s="31" t="s">
        <v>3020</v>
      </c>
      <c r="B532" s="31">
        <v>62.3826592467165</v>
      </c>
      <c r="C532" s="31">
        <v>2.44313635091827</v>
      </c>
      <c r="D532" s="31">
        <v>0.62859076265970504</v>
      </c>
      <c r="E532" s="31">
        <v>3.8866882812289898</v>
      </c>
      <c r="F532" s="31">
        <v>1.01621112389762E-4</v>
      </c>
      <c r="G532" s="31">
        <v>7.9827523445695006E-3</v>
      </c>
      <c r="H532" s="33" t="s">
        <v>10</v>
      </c>
      <c r="I532" s="33" t="s">
        <v>10</v>
      </c>
      <c r="J532" s="33" t="s">
        <v>10</v>
      </c>
      <c r="K532" s="30"/>
      <c r="L532" s="31"/>
    </row>
    <row r="533" spans="1:12" x14ac:dyDescent="0.2">
      <c r="A533" s="31" t="s">
        <v>3021</v>
      </c>
      <c r="B533" s="31">
        <v>44.485785919695097</v>
      </c>
      <c r="C533" s="31">
        <v>2.4719834626620201</v>
      </c>
      <c r="D533" s="31">
        <v>0.63639987333554304</v>
      </c>
      <c r="E533" s="31">
        <v>3.8843242530921498</v>
      </c>
      <c r="F533" s="31">
        <v>1.02614886585509E-4</v>
      </c>
      <c r="G533" s="31">
        <v>8.0331595347473E-3</v>
      </c>
      <c r="H533" s="33" t="s">
        <v>10</v>
      </c>
      <c r="I533" s="33" t="s">
        <v>10</v>
      </c>
      <c r="J533" s="33" t="s">
        <v>10</v>
      </c>
      <c r="K533" s="30"/>
      <c r="L533" s="31"/>
    </row>
    <row r="534" spans="1:12" x14ac:dyDescent="0.2">
      <c r="A534" s="31" t="s">
        <v>3022</v>
      </c>
      <c r="B534" s="31">
        <v>103.841081321845</v>
      </c>
      <c r="C534" s="31">
        <v>2.2583706611410901</v>
      </c>
      <c r="D534" s="31">
        <v>0.58265624624412804</v>
      </c>
      <c r="E534" s="31">
        <v>3.8759915056241399</v>
      </c>
      <c r="F534" s="31">
        <v>1.06191388614475E-4</v>
      </c>
      <c r="G534" s="31">
        <v>8.2359922109289507E-3</v>
      </c>
      <c r="H534" s="33" t="s">
        <v>10</v>
      </c>
      <c r="I534" s="33" t="s">
        <v>10</v>
      </c>
      <c r="J534" s="33" t="s">
        <v>10</v>
      </c>
      <c r="K534" s="30"/>
      <c r="L534" s="31"/>
    </row>
    <row r="535" spans="1:12" x14ac:dyDescent="0.2">
      <c r="A535" s="31" t="s">
        <v>3023</v>
      </c>
      <c r="B535" s="31">
        <v>44.041021128352703</v>
      </c>
      <c r="C535" s="31">
        <v>2.5309623905909899</v>
      </c>
      <c r="D535" s="31">
        <v>0.65342976005171904</v>
      </c>
      <c r="E535" s="31">
        <v>3.8733503512155099</v>
      </c>
      <c r="F535" s="31">
        <v>1.07349333397654E-4</v>
      </c>
      <c r="G535" s="31">
        <v>8.2969244905203802E-3</v>
      </c>
      <c r="H535" s="33" t="s">
        <v>10</v>
      </c>
      <c r="I535" s="33" t="s">
        <v>10</v>
      </c>
      <c r="J535" s="33" t="s">
        <v>10</v>
      </c>
      <c r="K535" s="30"/>
      <c r="L535" s="31"/>
    </row>
    <row r="536" spans="1:12" x14ac:dyDescent="0.2">
      <c r="A536" s="31" t="s">
        <v>3024</v>
      </c>
      <c r="B536" s="31">
        <v>101.279018838166</v>
      </c>
      <c r="C536" s="31">
        <v>2.1829756479503799</v>
      </c>
      <c r="D536" s="31">
        <v>0.56378274882466295</v>
      </c>
      <c r="E536" s="31">
        <v>3.8720156877827598</v>
      </c>
      <c r="F536" s="31">
        <v>1.0793900307385399E-4</v>
      </c>
      <c r="G536" s="31">
        <v>8.3328661091253108E-3</v>
      </c>
      <c r="H536" s="33" t="s">
        <v>10</v>
      </c>
      <c r="I536" s="33" t="s">
        <v>10</v>
      </c>
      <c r="J536" s="33" t="s">
        <v>10</v>
      </c>
      <c r="K536" s="30"/>
      <c r="L536" s="31"/>
    </row>
    <row r="537" spans="1:12" x14ac:dyDescent="0.2">
      <c r="A537" s="31" t="s">
        <v>3025</v>
      </c>
      <c r="B537" s="31">
        <v>122.98665735655599</v>
      </c>
      <c r="C537" s="31">
        <v>2.3879456576451199</v>
      </c>
      <c r="D537" s="31">
        <v>0.61834008940894702</v>
      </c>
      <c r="E537" s="31">
        <v>3.86186452818818</v>
      </c>
      <c r="F537" s="31">
        <v>1.1252496040401099E-4</v>
      </c>
      <c r="G537" s="31">
        <v>8.5708573291923603E-3</v>
      </c>
      <c r="H537" s="33" t="s">
        <v>10</v>
      </c>
      <c r="I537" s="33" t="s">
        <v>10</v>
      </c>
      <c r="J537" s="33" t="s">
        <v>10</v>
      </c>
      <c r="K537" s="30"/>
      <c r="L537" s="31"/>
    </row>
    <row r="538" spans="1:12" x14ac:dyDescent="0.2">
      <c r="A538" s="31" t="s">
        <v>3026</v>
      </c>
      <c r="B538" s="31">
        <v>28.464197963817</v>
      </c>
      <c r="C538" s="31">
        <v>3.8199989263485299</v>
      </c>
      <c r="D538" s="31">
        <v>0.98917192646891905</v>
      </c>
      <c r="E538" s="31">
        <v>3.8618149425094499</v>
      </c>
      <c r="F538" s="31">
        <v>1.12547806103961E-4</v>
      </c>
      <c r="G538" s="31">
        <v>8.5708573291923603E-3</v>
      </c>
      <c r="H538" s="33" t="s">
        <v>10</v>
      </c>
      <c r="I538" s="33" t="s">
        <v>10</v>
      </c>
      <c r="J538" s="33" t="s">
        <v>10</v>
      </c>
      <c r="K538" s="30"/>
      <c r="L538" s="31"/>
    </row>
    <row r="539" spans="1:12" x14ac:dyDescent="0.2">
      <c r="A539" s="31" t="s">
        <v>3027</v>
      </c>
      <c r="B539" s="31">
        <v>150.040039962158</v>
      </c>
      <c r="C539" s="31">
        <v>2.0398647250618098</v>
      </c>
      <c r="D539" s="31">
        <v>0.52918939711761004</v>
      </c>
      <c r="E539" s="31">
        <v>3.8546968933477301</v>
      </c>
      <c r="F539" s="31">
        <v>1.15873098373541E-4</v>
      </c>
      <c r="G539" s="31">
        <v>8.7533288042520498E-3</v>
      </c>
      <c r="H539" s="33" t="s">
        <v>10</v>
      </c>
      <c r="I539" s="33" t="s">
        <v>3120</v>
      </c>
      <c r="J539" s="33" t="s">
        <v>10</v>
      </c>
      <c r="K539" s="30"/>
      <c r="L539" s="31"/>
    </row>
    <row r="540" spans="1:12" x14ac:dyDescent="0.2">
      <c r="A540" s="31" t="s">
        <v>3028</v>
      </c>
      <c r="B540" s="31">
        <v>42.940091128897102</v>
      </c>
      <c r="C540" s="31">
        <v>2.8822485169757002</v>
      </c>
      <c r="D540" s="31">
        <v>0.74922045329375597</v>
      </c>
      <c r="E540" s="31">
        <v>3.8469965739785099</v>
      </c>
      <c r="F540" s="31">
        <v>1.19574640833007E-4</v>
      </c>
      <c r="G540" s="31">
        <v>8.9819720025242598E-3</v>
      </c>
      <c r="H540" s="33" t="s">
        <v>10</v>
      </c>
      <c r="I540" s="33" t="s">
        <v>10</v>
      </c>
      <c r="J540" s="33" t="s">
        <v>10</v>
      </c>
      <c r="K540" s="30"/>
      <c r="L540" s="31"/>
    </row>
    <row r="541" spans="1:12" x14ac:dyDescent="0.2">
      <c r="A541" s="31" t="s">
        <v>3029</v>
      </c>
      <c r="B541" s="31">
        <v>86.111910784737304</v>
      </c>
      <c r="C541" s="31">
        <v>2.0057376810613299</v>
      </c>
      <c r="D541" s="31">
        <v>0.52184978169097096</v>
      </c>
      <c r="E541" s="31">
        <v>3.8435154165669201</v>
      </c>
      <c r="F541" s="31">
        <v>1.2128437667600199E-4</v>
      </c>
      <c r="G541" s="31">
        <v>9.0800302381568894E-3</v>
      </c>
      <c r="H541" s="33" t="s">
        <v>10</v>
      </c>
      <c r="I541" s="33" t="s">
        <v>3125</v>
      </c>
      <c r="J541" s="33" t="s">
        <v>10</v>
      </c>
      <c r="K541" s="30"/>
      <c r="L541" s="31"/>
    </row>
    <row r="542" spans="1:12" x14ac:dyDescent="0.2">
      <c r="A542" s="31" t="s">
        <v>3030</v>
      </c>
      <c r="B542" s="31">
        <v>1113.5857755050499</v>
      </c>
      <c r="C542" s="31">
        <v>3.0805947209855402</v>
      </c>
      <c r="D542" s="31">
        <v>0.804808722174994</v>
      </c>
      <c r="E542" s="31">
        <v>3.8277352569691798</v>
      </c>
      <c r="F542" s="31">
        <v>1.2932775156653599E-4</v>
      </c>
      <c r="G542" s="31">
        <v>9.5117786919480304E-3</v>
      </c>
      <c r="H542" s="33" t="s">
        <v>10</v>
      </c>
      <c r="I542" s="33" t="s">
        <v>10</v>
      </c>
      <c r="J542" s="33" t="s">
        <v>10</v>
      </c>
      <c r="K542" s="30"/>
      <c r="L542" s="31"/>
    </row>
    <row r="543" spans="1:12" x14ac:dyDescent="0.2">
      <c r="A543" s="31" t="s">
        <v>3031</v>
      </c>
      <c r="B543" s="31">
        <v>54.594848064082001</v>
      </c>
      <c r="C543" s="31">
        <v>2.2422038941823299</v>
      </c>
      <c r="D543" s="31">
        <v>0.58622973021496505</v>
      </c>
      <c r="E543" s="31">
        <v>3.8247870734228</v>
      </c>
      <c r="F543" s="31">
        <v>1.3088515636904799E-4</v>
      </c>
      <c r="G543" s="31">
        <v>9.6051889451731105E-3</v>
      </c>
      <c r="H543" s="33" t="s">
        <v>10</v>
      </c>
      <c r="I543" s="33" t="s">
        <v>3049</v>
      </c>
      <c r="J543" s="33" t="s">
        <v>10</v>
      </c>
      <c r="K543" s="30"/>
      <c r="L543" s="31"/>
    </row>
    <row r="544" spans="1:12" x14ac:dyDescent="0.2">
      <c r="A544" s="31" t="s">
        <v>3032</v>
      </c>
      <c r="B544" s="31">
        <v>387.30578319253902</v>
      </c>
      <c r="C544" s="31">
        <v>4.1514478932926302</v>
      </c>
      <c r="D544" s="31">
        <v>1.0866775876538499</v>
      </c>
      <c r="E544" s="31">
        <v>3.8203124279536</v>
      </c>
      <c r="F544" s="31">
        <v>1.33282734481066E-4</v>
      </c>
      <c r="G544" s="31">
        <v>9.7065546990541193E-3</v>
      </c>
      <c r="H544" s="33" t="s">
        <v>10</v>
      </c>
      <c r="I544" s="33" t="s">
        <v>10</v>
      </c>
      <c r="J544" s="33" t="s">
        <v>10</v>
      </c>
      <c r="K544" s="30"/>
      <c r="L544" s="31"/>
    </row>
    <row r="545" spans="1:12" x14ac:dyDescent="0.2">
      <c r="A545" s="31" t="s">
        <v>3033</v>
      </c>
      <c r="B545" s="31">
        <v>30.990744048248999</v>
      </c>
      <c r="C545" s="31">
        <v>3.2892796668368001</v>
      </c>
      <c r="D545" s="31">
        <v>0.86245087262575804</v>
      </c>
      <c r="E545" s="31">
        <v>3.81387482028105</v>
      </c>
      <c r="F545" s="31">
        <v>1.36804781933099E-4</v>
      </c>
      <c r="G545" s="31">
        <v>9.9090830944066292E-3</v>
      </c>
      <c r="H545" s="33" t="s">
        <v>10</v>
      </c>
      <c r="I545" s="33" t="s">
        <v>10</v>
      </c>
      <c r="J545" s="33" t="s">
        <v>10</v>
      </c>
      <c r="K545" s="30"/>
      <c r="L545" s="31"/>
    </row>
    <row r="546" spans="1:12" x14ac:dyDescent="0.2">
      <c r="A546" s="31" t="s">
        <v>3034</v>
      </c>
      <c r="B546" s="31">
        <v>43.950156110372802</v>
      </c>
      <c r="C546" s="31">
        <v>2.56067525369459</v>
      </c>
      <c r="D546" s="31">
        <v>0.67148579613544701</v>
      </c>
      <c r="E546" s="31">
        <v>3.8134466409146102</v>
      </c>
      <c r="F546" s="31">
        <v>1.37042123931933E-4</v>
      </c>
      <c r="G546" s="31">
        <v>9.9155315968283593E-3</v>
      </c>
      <c r="H546" s="33" t="s">
        <v>10</v>
      </c>
      <c r="I546" s="33" t="s">
        <v>10</v>
      </c>
      <c r="J546" s="33" t="s">
        <v>10</v>
      </c>
      <c r="K546" s="30"/>
      <c r="L546" s="31"/>
    </row>
    <row r="547" spans="1:12" x14ac:dyDescent="0.2">
      <c r="A547" s="31" t="s">
        <v>3035</v>
      </c>
      <c r="B547" s="31">
        <v>58.102083825940198</v>
      </c>
      <c r="C547" s="31">
        <v>2.7817121049709299</v>
      </c>
      <c r="D547" s="31">
        <v>0.72977208422515705</v>
      </c>
      <c r="E547" s="31">
        <v>3.8117546081862601</v>
      </c>
      <c r="F547" s="31">
        <v>1.37983826672609E-4</v>
      </c>
      <c r="G547" s="31">
        <v>9.9728743050781308E-3</v>
      </c>
      <c r="H547" s="33" t="s">
        <v>10</v>
      </c>
      <c r="I547" s="33" t="s">
        <v>10</v>
      </c>
      <c r="J547" s="33" t="s">
        <v>10</v>
      </c>
      <c r="K547" s="30"/>
      <c r="L547" s="31"/>
    </row>
    <row r="548" spans="1:12" x14ac:dyDescent="0.2">
      <c r="J548" s="33"/>
      <c r="K548" s="30"/>
      <c r="L548" s="31"/>
    </row>
  </sheetData>
  <mergeCells count="1">
    <mergeCell ref="A1:G1"/>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workbookViewId="0">
      <selection sqref="A1:G1"/>
    </sheetView>
  </sheetViews>
  <sheetFormatPr baseColWidth="10" defaultColWidth="11.28515625" defaultRowHeight="15" customHeight="1" x14ac:dyDescent="0.2"/>
  <cols>
    <col min="1" max="6" width="10.7109375" customWidth="1"/>
    <col min="7" max="7" width="19.28515625" customWidth="1"/>
    <col min="8" max="8" width="10.5703125" style="30" customWidth="1"/>
    <col min="9" max="9" width="41.7109375" customWidth="1"/>
    <col min="10" max="10" width="31.28515625" customWidth="1"/>
    <col min="11" max="26" width="10.5703125" customWidth="1"/>
  </cols>
  <sheetData>
    <row r="1" spans="1:10" ht="31.25" customHeight="1" x14ac:dyDescent="0.2">
      <c r="A1" s="56" t="s">
        <v>5246</v>
      </c>
      <c r="B1" s="55"/>
      <c r="C1" s="55"/>
      <c r="D1" s="55"/>
      <c r="E1" s="55"/>
      <c r="F1" s="55"/>
      <c r="G1" s="55"/>
    </row>
    <row r="2" spans="1:10" ht="15.75" customHeight="1" x14ac:dyDescent="0.2">
      <c r="A2" s="2" t="s">
        <v>0</v>
      </c>
      <c r="B2" s="2" t="s">
        <v>1</v>
      </c>
      <c r="C2" s="2" t="s">
        <v>2</v>
      </c>
      <c r="D2" s="2" t="s">
        <v>3</v>
      </c>
      <c r="E2" s="2" t="s">
        <v>4</v>
      </c>
      <c r="F2" s="2" t="s">
        <v>5</v>
      </c>
      <c r="G2" s="2" t="s">
        <v>6</v>
      </c>
      <c r="H2" s="38" t="s">
        <v>7</v>
      </c>
      <c r="I2" s="7" t="s">
        <v>8</v>
      </c>
      <c r="J2" s="36" t="s">
        <v>3155</v>
      </c>
    </row>
    <row r="3" spans="1:10" ht="15.75" customHeight="1" x14ac:dyDescent="0.2">
      <c r="A3" s="2" t="s">
        <v>11</v>
      </c>
      <c r="B3" s="2">
        <v>146.246511917102</v>
      </c>
      <c r="C3" s="2">
        <v>-10.4703730915975</v>
      </c>
      <c r="D3" s="2">
        <v>1.65058502631017</v>
      </c>
      <c r="E3" s="2">
        <v>-6.3434315256110398</v>
      </c>
      <c r="F3" s="10">
        <v>2.24702870720044E-10</v>
      </c>
      <c r="G3" s="10">
        <v>3.5571712784264698E-7</v>
      </c>
      <c r="H3" s="11" t="s">
        <v>10</v>
      </c>
      <c r="I3" s="11" t="s">
        <v>10</v>
      </c>
      <c r="J3" t="str">
        <f>VLOOKUP(A3,TableS4!A:J,10,FALSE)</f>
        <v>-</v>
      </c>
    </row>
    <row r="4" spans="1:10" ht="15.75" customHeight="1" x14ac:dyDescent="0.2">
      <c r="A4" s="2" t="s">
        <v>18</v>
      </c>
      <c r="B4" s="2">
        <v>125.82010963979501</v>
      </c>
      <c r="C4" s="2">
        <v>-10.252470541143101</v>
      </c>
      <c r="D4" s="2">
        <v>1.9069712578807001</v>
      </c>
      <c r="E4" s="2">
        <v>-5.3763109951311403</v>
      </c>
      <c r="F4" s="10">
        <v>7.6027427405050199E-8</v>
      </c>
      <c r="G4" s="10">
        <v>4.2420683237167801E-5</v>
      </c>
      <c r="H4" s="22" t="s">
        <v>10</v>
      </c>
      <c r="I4" s="13" t="s">
        <v>20</v>
      </c>
      <c r="J4" s="33" t="str">
        <f>VLOOKUP(A4,TableS4!A:J,10,FALSE)</f>
        <v>-</v>
      </c>
    </row>
    <row r="5" spans="1:10" ht="15.75" customHeight="1" x14ac:dyDescent="0.2">
      <c r="A5" s="2" t="s">
        <v>22</v>
      </c>
      <c r="B5" s="2">
        <v>26.951930215694301</v>
      </c>
      <c r="C5" s="2">
        <v>-8.0330008724281008</v>
      </c>
      <c r="D5" s="2">
        <v>1.53288692235789</v>
      </c>
      <c r="E5" s="2">
        <v>-5.2404393013358996</v>
      </c>
      <c r="F5" s="10">
        <v>1.60194775426558E-7</v>
      </c>
      <c r="G5" s="10">
        <v>7.4223579280971794E-5</v>
      </c>
      <c r="H5" s="22" t="s">
        <v>23</v>
      </c>
      <c r="I5" s="15" t="s">
        <v>24</v>
      </c>
      <c r="J5" s="33" t="str">
        <f>VLOOKUP(A5,TableS4!A:J,10,FALSE)</f>
        <v>-</v>
      </c>
    </row>
    <row r="6" spans="1:10" ht="15.75" customHeight="1" x14ac:dyDescent="0.2">
      <c r="A6" s="2" t="s">
        <v>29</v>
      </c>
      <c r="B6" s="2">
        <v>26.953587780424598</v>
      </c>
      <c r="C6" s="2">
        <v>-8.0209479100281307</v>
      </c>
      <c r="D6" s="2">
        <v>1.5334176738622101</v>
      </c>
      <c r="E6" s="2">
        <v>-5.2307652681645598</v>
      </c>
      <c r="F6" s="10">
        <v>1.6880974944869599E-7</v>
      </c>
      <c r="G6" s="10">
        <v>7.7584416299041607E-5</v>
      </c>
      <c r="H6" s="11" t="s">
        <v>10</v>
      </c>
      <c r="I6" s="11" t="s">
        <v>10</v>
      </c>
      <c r="J6" s="33" t="str">
        <f>VLOOKUP(A6,TableS4!A:J,10,FALSE)</f>
        <v>-</v>
      </c>
    </row>
    <row r="7" spans="1:10" ht="15.75" customHeight="1" x14ac:dyDescent="0.2">
      <c r="A7" s="2" t="s">
        <v>32</v>
      </c>
      <c r="B7" s="2">
        <v>24.203105551262801</v>
      </c>
      <c r="C7" s="2">
        <v>-7.89010198711168</v>
      </c>
      <c r="D7" s="2">
        <v>1.55527423870146</v>
      </c>
      <c r="E7" s="2">
        <v>-5.0731258775940002</v>
      </c>
      <c r="F7" s="10">
        <v>3.9133344345457801E-7</v>
      </c>
      <c r="G7" s="2">
        <v>1.5595869190542999E-4</v>
      </c>
      <c r="H7" s="11" t="s">
        <v>10</v>
      </c>
      <c r="I7" s="11" t="s">
        <v>10</v>
      </c>
      <c r="J7" s="33" t="str">
        <f>VLOOKUP(A7,TableS4!A:J,10,FALSE)</f>
        <v>-</v>
      </c>
    </row>
    <row r="8" spans="1:10" ht="15.75" customHeight="1" x14ac:dyDescent="0.2">
      <c r="A8" s="2" t="s">
        <v>37</v>
      </c>
      <c r="B8" s="2">
        <v>24.308711272256701</v>
      </c>
      <c r="C8" s="2">
        <v>-7.8828990622833004</v>
      </c>
      <c r="D8" s="2">
        <v>1.54317753179174</v>
      </c>
      <c r="E8" s="2">
        <v>-5.1082256576990597</v>
      </c>
      <c r="F8" s="10">
        <v>3.2519813699394101E-7</v>
      </c>
      <c r="G8" s="2">
        <v>1.36272366377094E-4</v>
      </c>
      <c r="H8" s="11" t="s">
        <v>10</v>
      </c>
      <c r="I8" s="11" t="s">
        <v>10</v>
      </c>
      <c r="J8" s="33" t="str">
        <f>VLOOKUP(A8,TableS4!A:J,10,FALSE)</f>
        <v>-</v>
      </c>
    </row>
    <row r="9" spans="1:10" ht="15.75" customHeight="1" x14ac:dyDescent="0.2">
      <c r="A9" s="2" t="s">
        <v>40</v>
      </c>
      <c r="B9" s="2">
        <v>23.892918647201999</v>
      </c>
      <c r="C9" s="2">
        <v>-7.8666176568057802</v>
      </c>
      <c r="D9" s="2">
        <v>1.55029671139958</v>
      </c>
      <c r="E9" s="2">
        <v>-5.0742658479252798</v>
      </c>
      <c r="F9" s="10">
        <v>3.8899490082369198E-7</v>
      </c>
      <c r="G9" s="2">
        <v>1.5595869190542999E-4</v>
      </c>
      <c r="H9" s="22" t="s">
        <v>49</v>
      </c>
      <c r="I9" s="15" t="s">
        <v>51</v>
      </c>
      <c r="J9" s="33" t="str">
        <f>VLOOKUP(A9,TableS4!A:J,10,FALSE)</f>
        <v>GO:0000075,GO:0000077,GO:0003674,GO:0003824,GO:0004672,GO:0004674,GO:0004683,GO:0005488,GO:0005515,GO:0005516,GO:0005575,GO:0005622,GO:0005623,GO:0005634,GO:0006139,GO:0006259,GO:0006260,GO:0006261,GO:0006275,GO:0006464,GO:0006468,GO:0006725,GO:0006793,GO:0006796,GO:0006807,GO:0006950,GO:0006974,GO:0006979,GO:0007154,GO:0007165,GO:0008150,GO:0008152,GO:0008156,GO:0009058,GO:0009059,GO:0009889,GO:0009890,GO:0009892,GO:0009987,GO:0010556,GO:0010558,GO:0010605,GO:0016301,GO:0016310,GO:0016740,GO:0016772,GO:0016773,GO:0018105,GO:0018107,GO:0018193,GO:0018209,GO:0018210,GO:0019219,GO:0019222,GO:0019538,GO:0023052,GO:0031323,GO:0031324,GO:0031326,GO:0031327,GO:0031570,GO:0033554,GO:0034599,GO:0034641,GO:0034645,GO:0035556,GO:0036211,GO:0042221,GO:0043170,GO:0043226,GO:0043227,GO:0043229,GO:0043231,GO:0043412,GO:0044237,GO:0044238,GO:0044249,GO:0044260,GO:0044267,GO:0044424,GO:0044464,GO:0045005,GO:0045786,GO:0045934,GO:0046483,GO:0048478,GO:0048519,GO:0048523,GO:0050789,GO:0050794,GO:0050896,GO:0051052,GO:0051053,GO:0051171,GO:0051172,GO:0051716,GO:0051726,GO:0060255,GO:0065007,GO:0070887,GO:0071704,GO:0080090,GO:0090304,GO:0090329,GO:0140096,GO:1901360,GO:1901564,GO:1901576,GO:2000104,GO:2000112,GO:2000113</v>
      </c>
    </row>
    <row r="10" spans="1:10" ht="15.75" customHeight="1" x14ac:dyDescent="0.2">
      <c r="A10" s="2" t="s">
        <v>54</v>
      </c>
      <c r="B10" s="2">
        <v>22.9879305829031</v>
      </c>
      <c r="C10" s="2">
        <v>-7.7945739650704997</v>
      </c>
      <c r="D10" s="2">
        <v>1.5494174909949601</v>
      </c>
      <c r="E10" s="2">
        <v>-5.0306479760114398</v>
      </c>
      <c r="F10" s="10">
        <v>4.8882493988467904E-7</v>
      </c>
      <c r="G10" s="2">
        <v>1.7972989241308299E-4</v>
      </c>
      <c r="H10" s="11" t="s">
        <v>10</v>
      </c>
      <c r="I10" s="11" t="s">
        <v>10</v>
      </c>
      <c r="J10" s="33" t="str">
        <f>VLOOKUP(A10,TableS4!A:J,10,FALSE)</f>
        <v>-</v>
      </c>
    </row>
    <row r="11" spans="1:10" ht="15.75" customHeight="1" x14ac:dyDescent="0.2">
      <c r="A11" s="2" t="s">
        <v>57</v>
      </c>
      <c r="B11" s="2">
        <v>22.340326562167899</v>
      </c>
      <c r="C11" s="2">
        <v>-7.7507057394264596</v>
      </c>
      <c r="D11" s="2">
        <v>1.5537625189153501</v>
      </c>
      <c r="E11" s="2">
        <v>-4.9883464461718798</v>
      </c>
      <c r="F11" s="10">
        <v>6.0898287476141797E-7</v>
      </c>
      <c r="G11" s="2">
        <v>2.18276314670775E-4</v>
      </c>
      <c r="H11" s="11" t="s">
        <v>10</v>
      </c>
      <c r="I11" s="11" t="s">
        <v>10</v>
      </c>
      <c r="J11" s="33" t="str">
        <f>VLOOKUP(A11,TableS4!A:J,10,FALSE)</f>
        <v>-</v>
      </c>
    </row>
    <row r="12" spans="1:10" ht="15.75" customHeight="1" x14ac:dyDescent="0.2">
      <c r="A12" s="2" t="s">
        <v>61</v>
      </c>
      <c r="B12" s="2">
        <v>21.300844999531101</v>
      </c>
      <c r="C12" s="2">
        <v>-7.7054465189396097</v>
      </c>
      <c r="D12" s="2">
        <v>1.57046426792421</v>
      </c>
      <c r="E12" s="2">
        <v>-4.9064768147348099</v>
      </c>
      <c r="F12" s="10">
        <v>9.2726944359098199E-7</v>
      </c>
      <c r="G12" s="2">
        <v>3.0903558824707598E-4</v>
      </c>
      <c r="H12" s="22" t="s">
        <v>63</v>
      </c>
      <c r="I12" s="15" t="s">
        <v>64</v>
      </c>
      <c r="J12" s="33" t="str">
        <f>VLOOKUP(A12,TableS4!A:J,10,FALSE)</f>
        <v>GO:0005575,GO:0005622,GO:0005623,GO:0005737,GO:0005773,GO:0005774,GO:0005886,GO:0005911,GO:0009506,GO:0009507,GO:0009526,GO:0009536,GO:0009941,GO:0016020,GO:0030054,GO:0031090,GO:0031967,GO:0031975,GO:0043226,GO:0043227,GO:0043229,GO:0043231,GO:0044422,GO:0044424,GO:0044434,GO:0044435,GO:0044437,GO:0044444,GO:0044446,GO:0044464,GO:0055044,GO:0071944,GO:0098588,GO:0098805</v>
      </c>
    </row>
    <row r="13" spans="1:10" ht="15.75" customHeight="1" x14ac:dyDescent="0.2">
      <c r="A13" s="2" t="s">
        <v>65</v>
      </c>
      <c r="B13" s="2">
        <v>19.668219841386399</v>
      </c>
      <c r="C13" s="2">
        <v>-7.5908274700380698</v>
      </c>
      <c r="D13" s="2">
        <v>1.58268024993403</v>
      </c>
      <c r="E13" s="2">
        <v>-4.7961851235298401</v>
      </c>
      <c r="F13" s="10">
        <v>1.61715837935975E-6</v>
      </c>
      <c r="G13" s="2">
        <v>4.8252280649063901E-4</v>
      </c>
      <c r="H13" s="11" t="s">
        <v>10</v>
      </c>
      <c r="I13" s="11" t="s">
        <v>10</v>
      </c>
      <c r="J13" s="33" t="str">
        <f>VLOOKUP(A13,TableS4!A:J,10,FALSE)</f>
        <v>-</v>
      </c>
    </row>
    <row r="14" spans="1:10" ht="15.75" customHeight="1" x14ac:dyDescent="0.2">
      <c r="A14" s="2" t="s">
        <v>68</v>
      </c>
      <c r="B14" s="2">
        <v>19.593159462466598</v>
      </c>
      <c r="C14" s="2">
        <v>-7.5613629114043999</v>
      </c>
      <c r="D14" s="2">
        <v>1.57168213252653</v>
      </c>
      <c r="E14" s="2">
        <v>-4.8110001093218804</v>
      </c>
      <c r="F14" s="10">
        <v>1.5017693504517701E-6</v>
      </c>
      <c r="G14" s="2">
        <v>4.60138899366915E-4</v>
      </c>
      <c r="H14" s="11" t="s">
        <v>10</v>
      </c>
      <c r="I14" s="11" t="s">
        <v>10</v>
      </c>
      <c r="J14" s="33" t="str">
        <f>VLOOKUP(A14,TableS4!A:J,10,FALSE)</f>
        <v>-</v>
      </c>
    </row>
    <row r="15" spans="1:10" ht="15.75" customHeight="1" x14ac:dyDescent="0.2">
      <c r="A15" s="2" t="s">
        <v>72</v>
      </c>
      <c r="B15" s="2">
        <v>18.396926883069199</v>
      </c>
      <c r="C15" s="2">
        <v>-7.5032421434102101</v>
      </c>
      <c r="D15" s="2">
        <v>1.6212795232970501</v>
      </c>
      <c r="E15" s="2">
        <v>-4.6279756424429097</v>
      </c>
      <c r="F15" s="10">
        <v>3.6925743357501402E-6</v>
      </c>
      <c r="G15" s="2">
        <v>9.1895114146026298E-4</v>
      </c>
      <c r="H15" s="22"/>
      <c r="I15" t="s">
        <v>77</v>
      </c>
      <c r="J15" s="33" t="str">
        <f>VLOOKUP(A15,TableS4!A:J,10,FALSE)</f>
        <v>-</v>
      </c>
    </row>
    <row r="16" spans="1:10" ht="15.75" customHeight="1" x14ac:dyDescent="0.2">
      <c r="A16" s="2" t="s">
        <v>78</v>
      </c>
      <c r="B16" s="2">
        <v>17.648689835530899</v>
      </c>
      <c r="C16" s="2">
        <v>-7.4181115777576396</v>
      </c>
      <c r="D16" s="2">
        <v>1.58724984255489</v>
      </c>
      <c r="E16" s="2">
        <v>-4.6735626483460297</v>
      </c>
      <c r="F16" s="10">
        <v>2.9601935278112102E-6</v>
      </c>
      <c r="G16" s="2">
        <v>7.5650865089668402E-4</v>
      </c>
      <c r="H16" s="11" t="s">
        <v>10</v>
      </c>
      <c r="I16" s="11" t="s">
        <v>10</v>
      </c>
      <c r="J16" s="33" t="str">
        <f>VLOOKUP(A16,TableS4!A:J,10,FALSE)</f>
        <v>-</v>
      </c>
    </row>
    <row r="17" spans="1:10" ht="15.75" customHeight="1" x14ac:dyDescent="0.2">
      <c r="A17" s="2" t="s">
        <v>81</v>
      </c>
      <c r="B17" s="2">
        <v>17.1834094794397</v>
      </c>
      <c r="C17" s="2">
        <v>-7.3668377891744301</v>
      </c>
      <c r="D17" s="2">
        <v>1.5966878514142</v>
      </c>
      <c r="E17" s="2">
        <v>-4.6138246637560103</v>
      </c>
      <c r="F17" s="10">
        <v>3.9532595725768898E-6</v>
      </c>
      <c r="G17" s="2">
        <v>9.7110458207395195E-4</v>
      </c>
      <c r="H17" s="11" t="s">
        <v>10</v>
      </c>
      <c r="I17" s="11" t="s">
        <v>10</v>
      </c>
      <c r="J17" s="33" t="str">
        <f>VLOOKUP(A17,TableS4!A:J,10,FALSE)</f>
        <v>-</v>
      </c>
    </row>
    <row r="18" spans="1:10" ht="15.75" customHeight="1" x14ac:dyDescent="0.2">
      <c r="A18" s="2" t="s">
        <v>85</v>
      </c>
      <c r="B18" s="2">
        <v>93.407768195246106</v>
      </c>
      <c r="C18" s="2">
        <v>-6.7642649876396703</v>
      </c>
      <c r="D18" s="2">
        <v>0.89161605607902406</v>
      </c>
      <c r="E18" s="2">
        <v>-7.5865221824136304</v>
      </c>
      <c r="F18" s="10">
        <v>3.2860611601297501E-14</v>
      </c>
      <c r="G18" s="10">
        <v>1.3376616108270999E-10</v>
      </c>
      <c r="H18" s="11" t="s">
        <v>10</v>
      </c>
      <c r="I18" s="11" t="s">
        <v>10</v>
      </c>
      <c r="J18" s="33" t="str">
        <f>VLOOKUP(A18,TableS4!A:J,10,FALSE)</f>
        <v>-</v>
      </c>
    </row>
    <row r="19" spans="1:10" ht="15.75" customHeight="1" x14ac:dyDescent="0.2">
      <c r="A19" s="2" t="s">
        <v>87</v>
      </c>
      <c r="B19" s="2">
        <v>34.692740103905102</v>
      </c>
      <c r="C19" s="2">
        <v>-5.9432244236326399</v>
      </c>
      <c r="D19" s="2">
        <v>1.11990635173901</v>
      </c>
      <c r="E19" s="2">
        <v>-5.3068941116405801</v>
      </c>
      <c r="F19" s="10">
        <v>1.1150891030513999E-7</v>
      </c>
      <c r="G19" s="10">
        <v>5.83017687916508E-5</v>
      </c>
      <c r="H19" s="11" t="s">
        <v>10</v>
      </c>
      <c r="I19" s="11" t="s">
        <v>10</v>
      </c>
      <c r="J19" s="33" t="str">
        <f>VLOOKUP(A19,TableS4!A:J,10,FALSE)</f>
        <v>-</v>
      </c>
    </row>
    <row r="20" spans="1:10" ht="15.75" customHeight="1" x14ac:dyDescent="0.2">
      <c r="A20" s="2" t="s">
        <v>90</v>
      </c>
      <c r="B20" s="2">
        <v>24.885835337099</v>
      </c>
      <c r="C20" s="2">
        <v>-4.39316388294636</v>
      </c>
      <c r="D20" s="2">
        <v>0.92089393135166997</v>
      </c>
      <c r="E20" s="2">
        <v>-4.7705427665248701</v>
      </c>
      <c r="F20" s="10">
        <v>1.8373017055616799E-6</v>
      </c>
      <c r="G20" s="2">
        <v>5.3151179796934005E-4</v>
      </c>
      <c r="H20" s="11" t="s">
        <v>10</v>
      </c>
      <c r="I20" s="11" t="s">
        <v>10</v>
      </c>
      <c r="J20" s="33" t="str">
        <f>VLOOKUP(A20,TableS4!A:J,10,FALSE)</f>
        <v>-</v>
      </c>
    </row>
    <row r="21" spans="1:10" ht="15.75" customHeight="1" x14ac:dyDescent="0.2">
      <c r="A21" s="2" t="s">
        <v>94</v>
      </c>
      <c r="B21" s="2">
        <v>65.500199824790698</v>
      </c>
      <c r="C21" s="2">
        <v>-3.7640987952776999</v>
      </c>
      <c r="D21" s="2">
        <v>0.48227976770110098</v>
      </c>
      <c r="E21" s="2">
        <v>-7.8048034509516304</v>
      </c>
      <c r="F21" s="10">
        <v>5.95943482083783E-15</v>
      </c>
      <c r="G21" s="10">
        <v>3.4876628224169202E-11</v>
      </c>
      <c r="H21" s="22" t="s">
        <v>96</v>
      </c>
      <c r="I21" t="s">
        <v>97</v>
      </c>
      <c r="J21" s="33" t="str">
        <f>VLOOKUP(A21,TableS4!A:J,10,FALSE)</f>
        <v>-</v>
      </c>
    </row>
    <row r="22" spans="1:10" ht="15.75" customHeight="1" x14ac:dyDescent="0.2">
      <c r="A22" s="2" t="s">
        <v>98</v>
      </c>
      <c r="B22" s="2">
        <v>33.226877033975498</v>
      </c>
      <c r="C22" s="2">
        <v>-3.1357023560721702</v>
      </c>
      <c r="D22" s="2">
        <v>0.61249216279031304</v>
      </c>
      <c r="E22" s="2">
        <v>-5.1195795580255998</v>
      </c>
      <c r="F22" s="10">
        <v>3.0621756965366101E-7</v>
      </c>
      <c r="G22" s="2">
        <v>1.3023387533255299E-4</v>
      </c>
      <c r="H22" s="11" t="s">
        <v>10</v>
      </c>
      <c r="I22" s="11" t="s">
        <v>10</v>
      </c>
      <c r="J22" s="33" t="str">
        <f>VLOOKUP(A22,TableS4!A:J,10,FALSE)</f>
        <v>-</v>
      </c>
    </row>
    <row r="23" spans="1:10" ht="15.75" customHeight="1" x14ac:dyDescent="0.2">
      <c r="A23" s="2" t="s">
        <v>103</v>
      </c>
      <c r="B23" s="2">
        <v>62.960565198457999</v>
      </c>
      <c r="C23" s="2">
        <v>-3.1256838398469999</v>
      </c>
      <c r="D23" s="2">
        <v>0.52047758982938197</v>
      </c>
      <c r="E23" s="2">
        <v>-6.0054148361539204</v>
      </c>
      <c r="F23" s="10">
        <v>1.9084331871096702E-9</v>
      </c>
      <c r="G23" s="10">
        <v>1.9774837696978201E-6</v>
      </c>
      <c r="H23" s="11" t="s">
        <v>10</v>
      </c>
      <c r="I23" s="11" t="s">
        <v>10</v>
      </c>
      <c r="J23" s="33" t="str">
        <f>VLOOKUP(A23,TableS4!A:J,10,FALSE)</f>
        <v>-</v>
      </c>
    </row>
    <row r="24" spans="1:10" ht="15.75" customHeight="1" x14ac:dyDescent="0.2">
      <c r="A24" s="2" t="s">
        <v>109</v>
      </c>
      <c r="B24" s="2">
        <v>32.350527120707</v>
      </c>
      <c r="C24" s="2">
        <v>-2.9733214717840601</v>
      </c>
      <c r="D24" s="2">
        <v>0.62704335782826104</v>
      </c>
      <c r="E24" s="2">
        <v>-4.7418116062692004</v>
      </c>
      <c r="F24" s="10">
        <v>2.1181555107360501E-6</v>
      </c>
      <c r="G24" s="2">
        <v>5.91733738023762E-4</v>
      </c>
      <c r="H24" s="11" t="s">
        <v>10</v>
      </c>
      <c r="I24" s="11" t="s">
        <v>10</v>
      </c>
      <c r="J24" s="33" t="str">
        <f>VLOOKUP(A24,TableS4!A:J,10,FALSE)</f>
        <v>-</v>
      </c>
    </row>
    <row r="25" spans="1:10" ht="15.75" customHeight="1" x14ac:dyDescent="0.2">
      <c r="A25" s="2" t="s">
        <v>116</v>
      </c>
      <c r="B25" s="2">
        <v>70.737752167397005</v>
      </c>
      <c r="C25" s="2">
        <v>-2.8462987537002702</v>
      </c>
      <c r="D25" s="2">
        <v>0.40867228907594799</v>
      </c>
      <c r="E25" s="2">
        <v>-6.9647461542745104</v>
      </c>
      <c r="F25" s="10">
        <v>3.2899642398616401E-12</v>
      </c>
      <c r="G25" s="10">
        <v>8.92833628712928E-9</v>
      </c>
      <c r="H25" s="22" t="s">
        <v>122</v>
      </c>
      <c r="I25" t="s">
        <v>123</v>
      </c>
      <c r="J25" s="33" t="str">
        <f>VLOOKUP(A25,TableS4!A:J,10,FALSE)</f>
        <v>-</v>
      </c>
    </row>
    <row r="26" spans="1:10" ht="15.75" customHeight="1" x14ac:dyDescent="0.2">
      <c r="A26" s="2" t="s">
        <v>126</v>
      </c>
      <c r="B26" s="2">
        <v>58.617121589335198</v>
      </c>
      <c r="C26" s="2">
        <v>-2.8365077534260301</v>
      </c>
      <c r="D26" s="2">
        <v>0.46035759116015801</v>
      </c>
      <c r="E26" s="2">
        <v>-6.1615314005742396</v>
      </c>
      <c r="F26" s="10">
        <v>7.2044780712829805E-10</v>
      </c>
      <c r="G26" s="10">
        <v>9.3314364836912897E-7</v>
      </c>
      <c r="H26" s="11" t="s">
        <v>10</v>
      </c>
      <c r="I26" s="11" t="s">
        <v>10</v>
      </c>
      <c r="J26" s="33" t="str">
        <f>VLOOKUP(A26,TableS4!A:J,10,FALSE)</f>
        <v>-</v>
      </c>
    </row>
    <row r="27" spans="1:10" ht="15.75" customHeight="1" x14ac:dyDescent="0.2">
      <c r="A27" s="2" t="s">
        <v>133</v>
      </c>
      <c r="B27" s="2">
        <v>41.209388429918803</v>
      </c>
      <c r="C27" s="2">
        <v>-2.6863577651575699</v>
      </c>
      <c r="D27" s="2">
        <v>0.57002662233847201</v>
      </c>
      <c r="E27" s="2">
        <v>-4.7126882497822198</v>
      </c>
      <c r="F27" s="10">
        <v>2.4447005896844801E-6</v>
      </c>
      <c r="G27" s="2">
        <v>6.6344517431484904E-4</v>
      </c>
      <c r="H27" s="22"/>
      <c r="I27" t="s">
        <v>142</v>
      </c>
      <c r="J27" s="33" t="str">
        <f>VLOOKUP(A27,TableS4!A:J,10,FALSE)</f>
        <v>-</v>
      </c>
    </row>
    <row r="28" spans="1:10" ht="15.75" customHeight="1" x14ac:dyDescent="0.2">
      <c r="A28" s="2" t="s">
        <v>145</v>
      </c>
      <c r="B28" s="2">
        <v>71.384812453055204</v>
      </c>
      <c r="C28" s="2">
        <v>-2.6797981249415699</v>
      </c>
      <c r="D28" s="2">
        <v>0.41695692391498701</v>
      </c>
      <c r="E28" s="2">
        <v>-6.4270383131662498</v>
      </c>
      <c r="F28" s="10">
        <v>1.3011403614063901E-10</v>
      </c>
      <c r="G28" s="10">
        <v>2.1809408587220699E-7</v>
      </c>
      <c r="H28" s="11" t="s">
        <v>10</v>
      </c>
      <c r="I28" s="11" t="s">
        <v>10</v>
      </c>
      <c r="J28" s="33" t="str">
        <f>VLOOKUP(A28,TableS4!A:J,10,FALSE)</f>
        <v>-</v>
      </c>
    </row>
    <row r="29" spans="1:10" ht="15.75" customHeight="1" x14ac:dyDescent="0.2">
      <c r="A29" s="2" t="s">
        <v>152</v>
      </c>
      <c r="B29" s="2">
        <v>43.3642477054469</v>
      </c>
      <c r="C29" s="2">
        <v>-2.6703417747098599</v>
      </c>
      <c r="D29" s="2">
        <v>0.49714701599236799</v>
      </c>
      <c r="E29" s="2">
        <v>-5.3713321991474103</v>
      </c>
      <c r="F29" s="10">
        <v>7.8157075625594299E-8</v>
      </c>
      <c r="G29" s="10">
        <v>4.2420683237167801E-5</v>
      </c>
      <c r="H29" s="11" t="s">
        <v>10</v>
      </c>
      <c r="I29" s="11" t="s">
        <v>10</v>
      </c>
      <c r="J29" s="33" t="str">
        <f>VLOOKUP(A29,TableS4!A:J,10,FALSE)</f>
        <v>-</v>
      </c>
    </row>
    <row r="30" spans="1:10" ht="15.75" customHeight="1" x14ac:dyDescent="0.2">
      <c r="A30" s="2" t="s">
        <v>163</v>
      </c>
      <c r="B30" s="2">
        <v>127.31891797110799</v>
      </c>
      <c r="C30" s="2">
        <v>-2.6466205437003101</v>
      </c>
      <c r="D30" s="2">
        <v>0.31571970364299501</v>
      </c>
      <c r="E30" s="2">
        <v>-8.3828171417930104</v>
      </c>
      <c r="F30" s="10">
        <v>5.1675723686261101E-17</v>
      </c>
      <c r="G30" s="10">
        <v>4.9083324881333701E-13</v>
      </c>
      <c r="H30" s="22" t="s">
        <v>168</v>
      </c>
      <c r="I30" t="s">
        <v>170</v>
      </c>
      <c r="J30" s="33" t="str">
        <f>VLOOKUP(A30,TableS4!A:J,10,FALSE)</f>
        <v>-</v>
      </c>
    </row>
    <row r="31" spans="1:10" ht="15.75" customHeight="1" x14ac:dyDescent="0.2">
      <c r="A31" s="2" t="s">
        <v>172</v>
      </c>
      <c r="B31" s="2">
        <v>42.542187140550197</v>
      </c>
      <c r="C31" s="2">
        <v>-2.5762214796179199</v>
      </c>
      <c r="D31" s="2">
        <v>0.50356781283815399</v>
      </c>
      <c r="E31" s="2">
        <v>-5.1159375439389301</v>
      </c>
      <c r="F31" s="10">
        <v>3.1218635641436598E-7</v>
      </c>
      <c r="G31" s="2">
        <v>1.31788892237442E-4</v>
      </c>
      <c r="H31" s="11" t="s">
        <v>10</v>
      </c>
      <c r="I31" s="11" t="s">
        <v>10</v>
      </c>
      <c r="J31" s="33" t="str">
        <f>VLOOKUP(A31,TableS4!A:J,10,FALSE)</f>
        <v>-</v>
      </c>
    </row>
    <row r="32" spans="1:10" ht="15.75" customHeight="1" x14ac:dyDescent="0.2">
      <c r="A32" s="2" t="s">
        <v>178</v>
      </c>
      <c r="B32" s="2">
        <v>76.905348331433203</v>
      </c>
      <c r="C32" s="2">
        <v>-2.5252777484610198</v>
      </c>
      <c r="D32" s="2">
        <v>0.418377721141103</v>
      </c>
      <c r="E32" s="2">
        <v>-6.0358800692672103</v>
      </c>
      <c r="F32" s="10">
        <v>1.58098644211157E-9</v>
      </c>
      <c r="G32" s="10">
        <v>1.76667484972428E-6</v>
      </c>
      <c r="H32" s="22"/>
      <c r="I32" t="s">
        <v>180</v>
      </c>
      <c r="J32" s="33" t="str">
        <f>VLOOKUP(A32,TableS4!A:J,10,FALSE)</f>
        <v>GO:0000165,GO:0000187,GO:0001817,GO:0001932,GO:0001934,GO:0002218,GO:0002221,GO:0002224,GO:0002237,GO:0002253,GO:0002376,GO:0002682,GO:0002684,GO:0002757,GO:0002758,GO:0002764,GO:0003674,GO:0003824,GO:0004672,GO:0004674,GO:0004683,GO:0005488,GO:0005515,GO:0005516,GO:0005575,GO:0005622,GO:0005623,GO:0005634,GO:0005654,GO:0005737,GO:0005813,GO:0005815,GO:0005829,GO:0005856,GO:0006082,GO:0006464,GO:0006468,GO:0006690,GO:0006691,GO:0006793,GO:0006796,GO:0006807,GO:0006810,GO:0006897,GO:0006907,GO:0006950,GO:0006952,GO:0006954,GO:0006974,GO:0007154,GO:0007165,GO:0007166,GO:0007167,GO:0007169,GO:0008150,GO:0008152,GO:0009605,GO:0009607,GO:0009617,GO:0009892,GO:0009893,GO:0009894,GO:0009895,GO:0009931,GO:0009966,GO:0009967,GO:0009987,GO:0010033,GO:0010468,GO:0010562,GO:0010604,GO:0010605,GO:0010608,GO:0010628,GO:0010646,GO:0010647,GO:0010857,GO:0015630,GO:0016192,GO:0016301,GO:0016310,GO:0016740,GO:0016772,GO:0016773,GO:0018105,GO:0018193,GO:0018209,GO:0019219,GO:0019220,GO:0019222,GO:0019538,GO:0019752,GO:0019899,GO:0019900,GO:0019901,GO:0023014,GO:0023051,GO:0023052,GO:0023056,GO:0031323,GO:0031324,GO:0031325,GO:0031329,GO:0031330,GO:0031347,GO:0031349,GO:0031399,GO:0031401,GO:0031974,GO:0031981,GO:0032147,GO:0032268,GO:0032270,GO:0032496,GO:0032675,GO:0032680,GO:0033554,GO:0033674,GO:0033993,GO:0034097,GO:0035556,GO:0035924,GO:0036211,GO:0042221,GO:0042325,GO:0042327,GO:0043085,GO:0043170,GO:0043207,GO:0043226,GO:0043227,GO:0043228,GO:0043229,GO:0043231,GO:0043232,GO:0043233,GO:0043405,GO:0043406,GO:0043408,GO:0043410,GO:0043412,GO:0043436,GO:0043487,GO:0043488,GO:0043489,GO:0043549,GO:0044093,GO:0044237,GO:0044238,GO:0044260,GO:0044267,GO:0044281,GO:0044351,GO:0044422,GO:0044424,GO:0044428,GO:0044430,GO:0044444,GO:0044446,GO:0044464,GO:0045088,GO:0045089,GO:0045859,GO:0045860,GO:0045934,GO:0045937,GO:0046777,GO:0048010,GO:0048255,GO:0048518,GO:0048519,GO:0048522,GO:0048523,GO:0048583,GO:0048584,GO:0050776,GO:0050778,GO:0050789,GO:0050790,GO:0050794,GO:0050896,GO:0051019,GO:0051171,GO:0051172,GO:0051173,GO:0051174,GO:0051179,GO:0051234,GO:0051239,GO:0051246,GO:0051247,GO:0051252,GO:0051253,GO:0051338,GO:0051347,GO:0051704,GO:0051707,GO:0051716,GO:0060255,GO:0061013,GO:0065007,GO:0065008,GO:0065009,GO:0070013,GO:0070848,GO:0070887,GO:0070935,GO:0071310,GO:0071363,GO:0071704,GO:0071900,GO:0071902,GO:0080090,GO:0080134,GO:0080135,GO:0098657,GO:0140096,GO:1900034,GO:1901564,GO:1901568,GO:1901700,GO:1902369,GO:1902373,GO:1902531,GO:1902533,GO:1903311,GO:1903312,GO:1903555</v>
      </c>
    </row>
    <row r="33" spans="1:10" ht="15.75" customHeight="1" x14ac:dyDescent="0.2">
      <c r="A33" s="2" t="s">
        <v>184</v>
      </c>
      <c r="B33" s="2">
        <v>53.720589957925597</v>
      </c>
      <c r="C33" s="2">
        <v>-2.5162583408538799</v>
      </c>
      <c r="D33" s="2">
        <v>0.48224582145887002</v>
      </c>
      <c r="E33" s="2">
        <v>-5.2177918996618802</v>
      </c>
      <c r="F33" s="10">
        <v>1.81068731594126E-7</v>
      </c>
      <c r="G33" s="10">
        <v>8.1252811130309106E-5</v>
      </c>
      <c r="H33" s="11" t="s">
        <v>10</v>
      </c>
      <c r="I33" s="11" t="s">
        <v>10</v>
      </c>
      <c r="J33" s="33" t="str">
        <f>VLOOKUP(A33,TableS4!A:J,10,FALSE)</f>
        <v>-</v>
      </c>
    </row>
    <row r="34" spans="1:10" ht="15.75" customHeight="1" x14ac:dyDescent="0.2">
      <c r="A34" s="2" t="s">
        <v>190</v>
      </c>
      <c r="B34" s="2">
        <v>54.2517765934397</v>
      </c>
      <c r="C34" s="2">
        <v>-2.3887517572980199</v>
      </c>
      <c r="D34" s="2">
        <v>0.453229648676793</v>
      </c>
      <c r="E34" s="2">
        <v>-5.2705107979409496</v>
      </c>
      <c r="F34" s="10">
        <v>1.3604462182865501E-7</v>
      </c>
      <c r="G34" s="10">
        <v>6.6590328870010405E-5</v>
      </c>
      <c r="H34" s="22" t="s">
        <v>199</v>
      </c>
      <c r="I34" t="s">
        <v>201</v>
      </c>
      <c r="J34" s="33" t="str">
        <f>VLOOKUP(A34,TableS4!A:J,10,FALSE)</f>
        <v>-</v>
      </c>
    </row>
    <row r="35" spans="1:10" ht="15.75" customHeight="1" x14ac:dyDescent="0.2">
      <c r="A35" s="2" t="s">
        <v>204</v>
      </c>
      <c r="B35" s="2">
        <v>80.222132643457101</v>
      </c>
      <c r="C35" s="2">
        <v>-2.2494151237399098</v>
      </c>
      <c r="D35" s="2">
        <v>0.37675203852936201</v>
      </c>
      <c r="E35" s="2">
        <v>-5.9705453287536896</v>
      </c>
      <c r="F35" s="10">
        <v>2.36461872776306E-9</v>
      </c>
      <c r="G35" s="10">
        <v>2.3234417464692602E-6</v>
      </c>
      <c r="H35" s="11" t="s">
        <v>10</v>
      </c>
      <c r="I35" s="11" t="s">
        <v>10</v>
      </c>
      <c r="J35" s="33" t="str">
        <f>VLOOKUP(A35,TableS4!A:J,10,FALSE)</f>
        <v>-</v>
      </c>
    </row>
    <row r="36" spans="1:10" ht="15.75" customHeight="1" x14ac:dyDescent="0.2">
      <c r="A36" s="2" t="s">
        <v>211</v>
      </c>
      <c r="B36" s="2">
        <v>91.5531691676794</v>
      </c>
      <c r="C36" s="2">
        <v>-2.2223886017573502</v>
      </c>
      <c r="D36" s="2">
        <v>0.35640205714651502</v>
      </c>
      <c r="E36" s="2">
        <v>-6.2356222619773796</v>
      </c>
      <c r="F36" s="10">
        <v>4.4998574018567001E-10</v>
      </c>
      <c r="G36" s="10">
        <v>6.5755608546618799E-7</v>
      </c>
      <c r="H36" s="11" t="s">
        <v>10</v>
      </c>
      <c r="I36" s="11" t="s">
        <v>10</v>
      </c>
      <c r="J36" s="33" t="str">
        <f>VLOOKUP(A36,TableS4!A:J,10,FALSE)</f>
        <v>-</v>
      </c>
    </row>
    <row r="37" spans="1:10" ht="15.75" customHeight="1" x14ac:dyDescent="0.2">
      <c r="A37" s="2" t="s">
        <v>218</v>
      </c>
      <c r="B37" s="2">
        <v>53.615691817481803</v>
      </c>
      <c r="C37" s="2">
        <v>-2.2218169841604101</v>
      </c>
      <c r="D37" s="2">
        <v>0.43946866888333302</v>
      </c>
      <c r="E37" s="2">
        <v>-5.0556891571040401</v>
      </c>
      <c r="F37" s="10">
        <v>4.2883933530695801E-7</v>
      </c>
      <c r="G37" s="2">
        <v>1.65945700499047E-4</v>
      </c>
      <c r="H37" s="11" t="s">
        <v>10</v>
      </c>
      <c r="I37" s="11" t="s">
        <v>10</v>
      </c>
      <c r="J37" s="33" t="str">
        <f>VLOOKUP(A37,TableS4!A:J,10,FALSE)</f>
        <v>-</v>
      </c>
    </row>
    <row r="38" spans="1:10" ht="15.75" customHeight="1" x14ac:dyDescent="0.2">
      <c r="A38" s="2" t="s">
        <v>226</v>
      </c>
      <c r="B38" s="2">
        <v>87.136358407754301</v>
      </c>
      <c r="C38" s="2">
        <v>-2.2130123001461599</v>
      </c>
      <c r="D38" s="2">
        <v>0.368219750454785</v>
      </c>
      <c r="E38" s="2">
        <v>-6.0100315026906896</v>
      </c>
      <c r="F38" s="10">
        <v>1.85487280128465E-9</v>
      </c>
      <c r="G38" s="10">
        <v>1.9575777952817102E-6</v>
      </c>
      <c r="H38" s="22" t="s">
        <v>236</v>
      </c>
      <c r="I38" t="s">
        <v>238</v>
      </c>
      <c r="J38" s="33" t="str">
        <f>VLOOKUP(A38,TableS4!A:J,10,FALSE)</f>
        <v>-</v>
      </c>
    </row>
    <row r="39" spans="1:10" ht="15.75" customHeight="1" x14ac:dyDescent="0.2">
      <c r="A39" s="2" t="s">
        <v>241</v>
      </c>
      <c r="B39" s="2">
        <v>63.550701742509503</v>
      </c>
      <c r="C39" s="2">
        <v>-2.2115628656012101</v>
      </c>
      <c r="D39" s="2">
        <v>0.473487062083357</v>
      </c>
      <c r="E39" s="2">
        <v>-4.6707989356040001</v>
      </c>
      <c r="F39" s="10">
        <v>3.0003050700798098E-6</v>
      </c>
      <c r="G39" s="2">
        <v>7.6171631442167897E-4</v>
      </c>
      <c r="H39" s="22"/>
      <c r="I39" t="s">
        <v>251</v>
      </c>
      <c r="J39" s="33" t="str">
        <f>VLOOKUP(A39,TableS4!A:J,10,FALSE)</f>
        <v>-</v>
      </c>
    </row>
    <row r="40" spans="1:10" ht="15.75" customHeight="1" x14ac:dyDescent="0.2">
      <c r="A40" s="2" t="s">
        <v>255</v>
      </c>
      <c r="B40" s="2">
        <v>184.39497298191799</v>
      </c>
      <c r="C40" s="2">
        <v>-2.1467490797168498</v>
      </c>
      <c r="D40" s="2">
        <v>0.27766063497257498</v>
      </c>
      <c r="E40" s="2">
        <v>-7.7315571936543703</v>
      </c>
      <c r="F40" s="10">
        <v>1.06238926428773E-14</v>
      </c>
      <c r="G40" s="10">
        <v>5.0454636809798102E-11</v>
      </c>
      <c r="H40" s="22"/>
      <c r="I40" s="13"/>
      <c r="J40" s="33" t="str">
        <f>VLOOKUP(A40,TableS4!A:J,10,FALSE)</f>
        <v>-</v>
      </c>
    </row>
    <row r="41" spans="1:10" ht="15.75" customHeight="1" x14ac:dyDescent="0.2">
      <c r="A41" s="2" t="s">
        <v>266</v>
      </c>
      <c r="B41" s="2">
        <v>59.324853443653303</v>
      </c>
      <c r="C41" s="2">
        <v>-2.0251131717742998</v>
      </c>
      <c r="D41" s="2">
        <v>0.42745428343476299</v>
      </c>
      <c r="E41" s="2">
        <v>-4.7376134717886504</v>
      </c>
      <c r="F41" s="10">
        <v>2.1624977518578801E-6</v>
      </c>
      <c r="G41" s="2">
        <v>5.9536592694869796E-4</v>
      </c>
      <c r="H41" s="22"/>
      <c r="I41" t="s">
        <v>273</v>
      </c>
      <c r="J41" s="33" t="str">
        <f>VLOOKUP(A41,TableS4!A:J,10,FALSE)</f>
        <v>-</v>
      </c>
    </row>
    <row r="42" spans="1:10" ht="15.75" customHeight="1" x14ac:dyDescent="0.2">
      <c r="A42" s="2" t="s">
        <v>274</v>
      </c>
      <c r="B42" s="2">
        <v>79.043754982868094</v>
      </c>
      <c r="C42" s="2">
        <v>-2.00730686296802</v>
      </c>
      <c r="D42" s="2">
        <v>0.353777994952435</v>
      </c>
      <c r="E42" s="2">
        <v>-5.6739166697971299</v>
      </c>
      <c r="F42" s="10">
        <v>1.3956904326908101E-8</v>
      </c>
      <c r="G42" s="10">
        <v>9.9425497198811308E-6</v>
      </c>
      <c r="H42" s="11" t="s">
        <v>10</v>
      </c>
      <c r="I42" s="11" t="s">
        <v>10</v>
      </c>
      <c r="J42" s="33" t="str">
        <f>VLOOKUP(A42,TableS4!A:J,10,FALSE)</f>
        <v>-</v>
      </c>
    </row>
    <row r="43" spans="1:10" ht="15.75" customHeight="1" x14ac:dyDescent="0.2">
      <c r="A43" s="2" t="s">
        <v>283</v>
      </c>
      <c r="B43" s="2">
        <v>228.256945641935</v>
      </c>
      <c r="C43" s="2">
        <v>2.06068195865168</v>
      </c>
      <c r="D43" s="2">
        <v>0.29125636121430798</v>
      </c>
      <c r="E43" s="2">
        <v>7.0751483334484604</v>
      </c>
      <c r="F43" s="10">
        <v>1.49288985207274E-12</v>
      </c>
      <c r="G43" s="10">
        <v>4.2539896334812797E-9</v>
      </c>
      <c r="H43" s="11" t="s">
        <v>10</v>
      </c>
      <c r="I43" s="11" t="s">
        <v>10</v>
      </c>
      <c r="J43" s="33" t="str">
        <f>VLOOKUP(A43,TableS4!A:J,10,FALSE)</f>
        <v>-</v>
      </c>
    </row>
    <row r="44" spans="1:10" ht="15.75" customHeight="1" x14ac:dyDescent="0.2">
      <c r="A44" s="2" t="s">
        <v>295</v>
      </c>
      <c r="B44" s="2">
        <v>125.297662915695</v>
      </c>
      <c r="C44" s="2">
        <v>2.0677380588655998</v>
      </c>
      <c r="D44" s="2">
        <v>0.39138241435862098</v>
      </c>
      <c r="E44" s="2">
        <v>5.2831654744991798</v>
      </c>
      <c r="F44" s="10">
        <v>1.2697060714818199E-7</v>
      </c>
      <c r="G44" s="10">
        <v>6.4607633047990303E-5</v>
      </c>
      <c r="H44" s="11" t="s">
        <v>10</v>
      </c>
      <c r="I44" s="11" t="s">
        <v>10</v>
      </c>
      <c r="J44" s="33" t="str">
        <f>VLOOKUP(A44,TableS4!A:J,10,FALSE)</f>
        <v>-</v>
      </c>
    </row>
    <row r="45" spans="1:10" ht="15.75" customHeight="1" x14ac:dyDescent="0.2">
      <c r="A45" s="2" t="s">
        <v>306</v>
      </c>
      <c r="B45" s="2">
        <v>46.317357682861598</v>
      </c>
      <c r="C45" s="2">
        <v>2.1248449491484598</v>
      </c>
      <c r="D45" s="2">
        <v>0.442456634895809</v>
      </c>
      <c r="E45" s="2">
        <v>4.8023801239839496</v>
      </c>
      <c r="F45" s="10">
        <v>1.5679068620801299E-6</v>
      </c>
      <c r="G45" s="2">
        <v>4.70351811748753E-4</v>
      </c>
      <c r="H45" s="22" t="s">
        <v>317</v>
      </c>
      <c r="I45" t="s">
        <v>320</v>
      </c>
      <c r="J45" s="33" t="str">
        <f>VLOOKUP(A45,TableS4!A:J,10,FALSE)</f>
        <v>-</v>
      </c>
    </row>
    <row r="46" spans="1:10" ht="15.75" customHeight="1" x14ac:dyDescent="0.2">
      <c r="A46" s="2" t="s">
        <v>321</v>
      </c>
      <c r="B46" s="2">
        <v>53.5230879953141</v>
      </c>
      <c r="C46" s="2">
        <v>2.1292122851746802</v>
      </c>
      <c r="D46" s="2">
        <v>0.40918494465760702</v>
      </c>
      <c r="E46" s="2">
        <v>5.2035450301240598</v>
      </c>
      <c r="F46" s="10">
        <v>1.9552234771875501E-7</v>
      </c>
      <c r="G46" s="10">
        <v>8.7053270285092601E-5</v>
      </c>
      <c r="H46" s="11" t="s">
        <v>10</v>
      </c>
      <c r="I46" s="11" t="s">
        <v>10</v>
      </c>
      <c r="J46" s="33" t="str">
        <f>VLOOKUP(A46,TableS4!A:J,10,FALSE)</f>
        <v>-</v>
      </c>
    </row>
    <row r="47" spans="1:10" ht="15.75" customHeight="1" x14ac:dyDescent="0.2">
      <c r="A47" s="2" t="s">
        <v>333</v>
      </c>
      <c r="B47" s="2">
        <v>85.2678246903386</v>
      </c>
      <c r="C47" s="2">
        <v>2.1760809468628901</v>
      </c>
      <c r="D47" s="2">
        <v>0.36532713635400299</v>
      </c>
      <c r="E47" s="2">
        <v>5.95652698723773</v>
      </c>
      <c r="F47" s="10">
        <v>2.5765458182850699E-9</v>
      </c>
      <c r="G47" s="10">
        <v>2.48876857939095E-6</v>
      </c>
      <c r="H47" s="11" t="s">
        <v>10</v>
      </c>
      <c r="I47" s="11" t="s">
        <v>10</v>
      </c>
      <c r="J47" s="33" t="str">
        <f>VLOOKUP(A47,TableS4!A:J,10,FALSE)</f>
        <v>-</v>
      </c>
    </row>
    <row r="48" spans="1:10" ht="15.75" customHeight="1" x14ac:dyDescent="0.2">
      <c r="A48" s="2" t="s">
        <v>346</v>
      </c>
      <c r="B48" s="2">
        <v>251.85330715052601</v>
      </c>
      <c r="C48" s="2">
        <v>2.1779419225050898</v>
      </c>
      <c r="D48" s="2">
        <v>0.32651897198568097</v>
      </c>
      <c r="E48" s="2">
        <v>6.6701849183838604</v>
      </c>
      <c r="F48" s="10">
        <v>2.5548131021456999E-11</v>
      </c>
      <c r="G48" s="10">
        <v>5.0206482307339097E-8</v>
      </c>
      <c r="H48" s="11" t="s">
        <v>10</v>
      </c>
      <c r="I48" s="11" t="s">
        <v>10</v>
      </c>
      <c r="J48" s="33" t="str">
        <f>VLOOKUP(A48,TableS4!A:J,10,FALSE)</f>
        <v>-</v>
      </c>
    </row>
    <row r="49" spans="1:10" ht="15.75" customHeight="1" x14ac:dyDescent="0.2">
      <c r="A49" s="2" t="s">
        <v>354</v>
      </c>
      <c r="B49" s="2">
        <v>85.855696324015696</v>
      </c>
      <c r="C49" s="2">
        <v>2.2125195985127402</v>
      </c>
      <c r="D49" s="2">
        <v>0.347127459346112</v>
      </c>
      <c r="E49" s="2">
        <v>6.3737959615194102</v>
      </c>
      <c r="F49" s="10">
        <v>1.8440589265029801E-10</v>
      </c>
      <c r="G49" s="10">
        <v>3.0026548063258601E-7</v>
      </c>
      <c r="H49" s="11" t="s">
        <v>10</v>
      </c>
      <c r="I49" s="11" t="s">
        <v>10</v>
      </c>
      <c r="J49" s="33" t="str">
        <f>VLOOKUP(A49,TableS4!A:J,10,FALSE)</f>
        <v>-</v>
      </c>
    </row>
    <row r="50" spans="1:10" ht="15.75" customHeight="1" x14ac:dyDescent="0.2">
      <c r="A50" s="2" t="s">
        <v>375</v>
      </c>
      <c r="B50" s="2">
        <v>69.295612823659297</v>
      </c>
      <c r="C50" s="2">
        <v>2.2455862302231502</v>
      </c>
      <c r="D50" s="2">
        <v>0.44499409705936999</v>
      </c>
      <c r="E50" s="2">
        <v>5.0463281312325998</v>
      </c>
      <c r="F50" s="10">
        <v>4.5038165651183899E-7</v>
      </c>
      <c r="G50" s="2">
        <v>1.7132286254277799E-4</v>
      </c>
      <c r="H50" s="22"/>
      <c r="I50" t="s">
        <v>386</v>
      </c>
      <c r="J50" s="33" t="str">
        <f>VLOOKUP(A50,TableS4!A:J,10,FALSE)</f>
        <v>-</v>
      </c>
    </row>
    <row r="51" spans="1:10" ht="15.75" customHeight="1" x14ac:dyDescent="0.2">
      <c r="A51" s="2" t="s">
        <v>388</v>
      </c>
      <c r="B51" s="2">
        <v>74.535852852314605</v>
      </c>
      <c r="C51" s="2">
        <v>2.2469669921708499</v>
      </c>
      <c r="D51" s="2">
        <v>0.397386204494666</v>
      </c>
      <c r="E51" s="2">
        <v>5.6543658706728204</v>
      </c>
      <c r="F51" s="10">
        <v>1.56422693581535E-8</v>
      </c>
      <c r="G51" s="10">
        <v>1.10055917372983E-5</v>
      </c>
      <c r="H51" s="11" t="s">
        <v>10</v>
      </c>
      <c r="I51" s="11" t="s">
        <v>10</v>
      </c>
      <c r="J51" s="33" t="str">
        <f>VLOOKUP(A51,TableS4!A:J,10,FALSE)</f>
        <v>-</v>
      </c>
    </row>
    <row r="52" spans="1:10" ht="15.75" customHeight="1" x14ac:dyDescent="0.2">
      <c r="A52" s="2" t="s">
        <v>400</v>
      </c>
      <c r="B52" s="2">
        <v>54.388233973191703</v>
      </c>
      <c r="C52" s="2">
        <v>2.2634354927028602</v>
      </c>
      <c r="D52" s="2">
        <v>0.41114428199300701</v>
      </c>
      <c r="E52" s="2">
        <v>5.5052097082098204</v>
      </c>
      <c r="F52" s="10">
        <v>3.6872907945668699E-8</v>
      </c>
      <c r="G52" s="10">
        <v>2.2841163302431101E-5</v>
      </c>
      <c r="H52" s="11" t="s">
        <v>10</v>
      </c>
      <c r="I52" s="11" t="s">
        <v>10</v>
      </c>
      <c r="J52" s="33" t="str">
        <f>VLOOKUP(A52,TableS4!A:J,10,FALSE)</f>
        <v>-</v>
      </c>
    </row>
    <row r="53" spans="1:10" ht="15.75" customHeight="1" x14ac:dyDescent="0.2">
      <c r="A53" s="2" t="s">
        <v>417</v>
      </c>
      <c r="B53" s="2">
        <v>44.410935091643097</v>
      </c>
      <c r="C53" s="2">
        <v>2.2826490188503499</v>
      </c>
      <c r="D53" s="2">
        <v>0.45780007291882902</v>
      </c>
      <c r="E53" s="2">
        <v>4.9861263767318702</v>
      </c>
      <c r="F53" s="10">
        <v>6.1601858800657297E-7</v>
      </c>
      <c r="G53" s="2">
        <v>2.1934706429674799E-4</v>
      </c>
      <c r="H53" s="11" t="s">
        <v>10</v>
      </c>
      <c r="I53" s="11" t="s">
        <v>10</v>
      </c>
      <c r="J53" s="33" t="str">
        <f>VLOOKUP(A53,TableS4!A:J,10,FALSE)</f>
        <v>-</v>
      </c>
    </row>
    <row r="54" spans="1:10" ht="15.75" customHeight="1" x14ac:dyDescent="0.2">
      <c r="A54" s="2" t="s">
        <v>426</v>
      </c>
      <c r="B54" s="2">
        <v>81.039136765393906</v>
      </c>
      <c r="C54" s="2">
        <v>2.3679340803401998</v>
      </c>
      <c r="D54" s="2">
        <v>0.39306401298287003</v>
      </c>
      <c r="E54" s="2">
        <v>6.0242963032166301</v>
      </c>
      <c r="F54" s="10">
        <v>1.6984696081948499E-9</v>
      </c>
      <c r="G54" s="10">
        <v>1.8614573648274E-6</v>
      </c>
      <c r="H54" s="22" t="s">
        <v>436</v>
      </c>
      <c r="I54" s="15" t="s">
        <v>438</v>
      </c>
      <c r="J54" s="33" t="str">
        <f>VLOOKUP(A54,TableS4!A:J,10,FALSE)</f>
        <v>GO:0000154,GO:0000455,GO:0001522,GO:0003674,GO:0003824,GO:0005575,GO:0005622,GO:0005623,GO:0005737,GO:0005829,GO:0006139,GO:0006364,GO:0006396,GO:0006399,GO:0006400,GO:0006725,GO:0006807,GO:0008033,GO:0008150,GO:0008152,GO:0009451,GO:0009982,GO:0009987,GO:0010467,GO:0016070,GO:0016072,GO:0016853,GO:0016866,GO:0022613,GO:0031118,GO:0031119,GO:0034470,GO:0034641,GO:0034660,GO:0042254,GO:0043170,GO:0043412,GO:0044085,GO:0044237,GO:0044238,GO:0044424,GO:0044444,GO:0044464,GO:0046483,GO:0071704,GO:0071840,GO:0090304,GO:1901360</v>
      </c>
    </row>
    <row r="55" spans="1:10" ht="15.75" customHeight="1" x14ac:dyDescent="0.2">
      <c r="A55" s="2" t="s">
        <v>442</v>
      </c>
      <c r="B55" s="2">
        <v>484.88701689121001</v>
      </c>
      <c r="C55" s="2">
        <v>2.3905935349634202</v>
      </c>
      <c r="D55" s="2">
        <v>0.51186927436716401</v>
      </c>
      <c r="E55" s="2">
        <v>4.6703204405440601</v>
      </c>
      <c r="F55" s="10">
        <v>3.0073025222824698E-6</v>
      </c>
      <c r="G55" s="2">
        <v>7.6171631442167897E-4</v>
      </c>
      <c r="H55" s="11" t="s">
        <v>10</v>
      </c>
      <c r="I55" s="11" t="s">
        <v>10</v>
      </c>
      <c r="J55" s="33" t="str">
        <f>VLOOKUP(A55,TableS4!A:J,10,FALSE)</f>
        <v>-</v>
      </c>
    </row>
    <row r="56" spans="1:10" ht="15.75" customHeight="1" x14ac:dyDescent="0.2">
      <c r="A56" s="2" t="s">
        <v>454</v>
      </c>
      <c r="B56" s="2">
        <v>39.874292543082099</v>
      </c>
      <c r="C56" s="2">
        <v>2.40918328340139</v>
      </c>
      <c r="D56" s="2">
        <v>0.50456930681955403</v>
      </c>
      <c r="E56" s="2">
        <v>4.7747321345944798</v>
      </c>
      <c r="F56" s="10">
        <v>1.7994660881780401E-6</v>
      </c>
      <c r="G56" s="2">
        <v>5.2322230798605501E-4</v>
      </c>
      <c r="H56" s="11" t="s">
        <v>10</v>
      </c>
      <c r="I56" s="11" t="s">
        <v>10</v>
      </c>
      <c r="J56" s="33" t="str">
        <f>VLOOKUP(A56,TableS4!A:J,10,FALSE)</f>
        <v>-</v>
      </c>
    </row>
    <row r="57" spans="1:10" ht="15.75" customHeight="1" x14ac:dyDescent="0.2">
      <c r="A57" s="2" t="s">
        <v>463</v>
      </c>
      <c r="B57" s="2">
        <v>55.268351811280901</v>
      </c>
      <c r="C57" s="2">
        <v>2.4385771955598399</v>
      </c>
      <c r="D57" s="2">
        <v>0.41716598099857499</v>
      </c>
      <c r="E57" s="2">
        <v>5.8455801926192201</v>
      </c>
      <c r="F57" s="10">
        <v>5.0480567244324501E-9</v>
      </c>
      <c r="G57" s="10">
        <v>4.6401411729904099E-6</v>
      </c>
      <c r="H57" s="11" t="s">
        <v>10</v>
      </c>
      <c r="I57" s="11" t="s">
        <v>10</v>
      </c>
      <c r="J57" s="33" t="str">
        <f>VLOOKUP(A57,TableS4!A:J,10,FALSE)</f>
        <v>-</v>
      </c>
    </row>
    <row r="58" spans="1:10" ht="15.75" customHeight="1" x14ac:dyDescent="0.2">
      <c r="A58" s="2" t="s">
        <v>472</v>
      </c>
      <c r="B58" s="2">
        <v>41.043171401831401</v>
      </c>
      <c r="C58" s="2">
        <v>2.4439330654957501</v>
      </c>
      <c r="D58" s="2">
        <v>0.49825130781920102</v>
      </c>
      <c r="E58" s="2">
        <v>4.9050208742905603</v>
      </c>
      <c r="F58" s="10">
        <v>9.3417404061521099E-7</v>
      </c>
      <c r="G58" s="2">
        <v>3.0952661962012102E-4</v>
      </c>
      <c r="H58" s="22"/>
      <c r="I58" t="s">
        <v>86</v>
      </c>
      <c r="J58" s="33" t="str">
        <f>VLOOKUP(A58,TableS4!A:J,10,FALSE)</f>
        <v>-</v>
      </c>
    </row>
    <row r="59" spans="1:10" ht="15.75" customHeight="1" x14ac:dyDescent="0.2">
      <c r="A59" s="2" t="s">
        <v>484</v>
      </c>
      <c r="B59" s="2">
        <v>36.950123858020604</v>
      </c>
      <c r="C59" s="2">
        <v>2.4440199588827101</v>
      </c>
      <c r="D59" s="2">
        <v>0.51638982836342195</v>
      </c>
      <c r="E59" s="2">
        <v>4.7328971731075002</v>
      </c>
      <c r="F59" s="10">
        <v>2.2133763257519999E-6</v>
      </c>
      <c r="G59" s="2">
        <v>6.0354218566797296E-4</v>
      </c>
      <c r="H59" s="11" t="s">
        <v>10</v>
      </c>
      <c r="I59" s="11" t="s">
        <v>10</v>
      </c>
      <c r="J59" s="33" t="str">
        <f>VLOOKUP(A59,TableS4!A:J,10,FALSE)</f>
        <v>-</v>
      </c>
    </row>
    <row r="60" spans="1:10" ht="15.75" customHeight="1" x14ac:dyDescent="0.2">
      <c r="A60" s="2" t="s">
        <v>492</v>
      </c>
      <c r="B60" s="2">
        <v>60.577350135706403</v>
      </c>
      <c r="C60" s="2">
        <v>2.4728666261397101</v>
      </c>
      <c r="D60" s="2">
        <v>0.43932512743969598</v>
      </c>
      <c r="E60" s="2">
        <v>5.62878486043153</v>
      </c>
      <c r="F60" s="10">
        <v>1.8148358849551001E-8</v>
      </c>
      <c r="G60" s="10">
        <v>1.2461144226938701E-5</v>
      </c>
      <c r="H60" s="11" t="s">
        <v>10</v>
      </c>
      <c r="I60" s="11" t="s">
        <v>10</v>
      </c>
      <c r="J60" s="33" t="str">
        <f>VLOOKUP(A60,TableS4!A:J,10,FALSE)</f>
        <v>-</v>
      </c>
    </row>
    <row r="61" spans="1:10" ht="15.75" customHeight="1" x14ac:dyDescent="0.2">
      <c r="A61" s="2" t="s">
        <v>503</v>
      </c>
      <c r="B61" s="2">
        <v>35.331865824687902</v>
      </c>
      <c r="C61" s="2">
        <v>2.5268050123749499</v>
      </c>
      <c r="D61" s="2">
        <v>0.54441397783302603</v>
      </c>
      <c r="E61" s="2">
        <v>4.6413301554684496</v>
      </c>
      <c r="F61" s="10">
        <v>3.4617349842435699E-6</v>
      </c>
      <c r="G61" s="2">
        <v>8.65281915579128E-4</v>
      </c>
      <c r="H61" s="11" t="s">
        <v>10</v>
      </c>
      <c r="I61" s="11" t="s">
        <v>10</v>
      </c>
      <c r="J61" s="33" t="str">
        <f>VLOOKUP(A61,TableS4!A:J,10,FALSE)</f>
        <v>-</v>
      </c>
    </row>
    <row r="62" spans="1:10" ht="15.75" customHeight="1" x14ac:dyDescent="0.2">
      <c r="A62" s="2" t="s">
        <v>516</v>
      </c>
      <c r="B62" s="2">
        <v>46.877547896245503</v>
      </c>
      <c r="C62" s="2">
        <v>2.54719090991563</v>
      </c>
      <c r="D62" s="2">
        <v>0.45655644586100302</v>
      </c>
      <c r="E62" s="2">
        <v>5.5791368909751702</v>
      </c>
      <c r="F62" s="10">
        <v>2.4171496295247599E-8</v>
      </c>
      <c r="G62" s="10">
        <v>1.62062773396019E-5</v>
      </c>
      <c r="H62" s="11" t="s">
        <v>10</v>
      </c>
      <c r="I62" s="11" t="s">
        <v>10</v>
      </c>
      <c r="J62" s="33" t="str">
        <f>VLOOKUP(A62,TableS4!A:J,10,FALSE)</f>
        <v>-</v>
      </c>
    </row>
    <row r="63" spans="1:10" ht="15.75" customHeight="1" x14ac:dyDescent="0.2">
      <c r="A63" s="2" t="s">
        <v>526</v>
      </c>
      <c r="B63" s="2">
        <v>38.673914221765898</v>
      </c>
      <c r="C63" s="2">
        <v>2.5886393904105498</v>
      </c>
      <c r="D63" s="2">
        <v>0.53428446510648397</v>
      </c>
      <c r="E63" s="2">
        <v>4.8450583153201601</v>
      </c>
      <c r="F63" s="10">
        <v>1.2657449602922201E-6</v>
      </c>
      <c r="G63" s="2">
        <v>3.9853483584007503E-4</v>
      </c>
      <c r="H63" s="11" t="s">
        <v>10</v>
      </c>
      <c r="I63" s="11" t="s">
        <v>10</v>
      </c>
      <c r="J63" s="33" t="str">
        <f>VLOOKUP(A63,TableS4!A:J,10,FALSE)</f>
        <v>-</v>
      </c>
    </row>
    <row r="64" spans="1:10" ht="15.75" customHeight="1" x14ac:dyDescent="0.2">
      <c r="A64" s="2" t="s">
        <v>535</v>
      </c>
      <c r="B64" s="2">
        <v>39.948638110069503</v>
      </c>
      <c r="C64" s="2">
        <v>2.6232454634003002</v>
      </c>
      <c r="D64" s="2">
        <v>0.49887159823479998</v>
      </c>
      <c r="E64" s="2">
        <v>5.2583580077165299</v>
      </c>
      <c r="F64" s="10">
        <v>1.45347348918472E-7</v>
      </c>
      <c r="G64" s="10">
        <v>6.9277862854404294E-5</v>
      </c>
      <c r="H64" s="11" t="s">
        <v>10</v>
      </c>
      <c r="I64" s="11" t="s">
        <v>10</v>
      </c>
      <c r="J64" s="33" t="str">
        <f>VLOOKUP(A64,TableS4!A:J,10,FALSE)</f>
        <v>-</v>
      </c>
    </row>
    <row r="65" spans="1:10" ht="15.75" customHeight="1" x14ac:dyDescent="0.2">
      <c r="A65" s="2" t="s">
        <v>549</v>
      </c>
      <c r="B65" s="2">
        <v>41.769276026661899</v>
      </c>
      <c r="C65" s="2">
        <v>2.8217018463788599</v>
      </c>
      <c r="D65" s="2">
        <v>0.51138631297341697</v>
      </c>
      <c r="E65" s="2">
        <v>5.51775003513937</v>
      </c>
      <c r="F65" s="10">
        <v>3.43367353235454E-8</v>
      </c>
      <c r="G65" s="10">
        <v>2.1742783845431701E-5</v>
      </c>
      <c r="H65" s="11" t="s">
        <v>10</v>
      </c>
      <c r="I65" s="11" t="s">
        <v>10</v>
      </c>
      <c r="J65" s="33" t="str">
        <f>VLOOKUP(A65,TableS4!A:J,10,FALSE)</f>
        <v>-</v>
      </c>
    </row>
    <row r="66" spans="1:10" ht="15.75" customHeight="1" x14ac:dyDescent="0.2">
      <c r="A66" s="2" t="s">
        <v>559</v>
      </c>
      <c r="B66" s="2">
        <v>79.075723726931997</v>
      </c>
      <c r="C66" s="2">
        <v>2.8482588306592498</v>
      </c>
      <c r="D66" s="2">
        <v>0.38402000414089299</v>
      </c>
      <c r="E66" s="2">
        <v>7.4169543251560599</v>
      </c>
      <c r="F66" s="10">
        <v>1.1984425255834599E-13</v>
      </c>
      <c r="G66" s="10">
        <v>4.2687024708125999E-10</v>
      </c>
      <c r="H66" s="11" t="s">
        <v>10</v>
      </c>
      <c r="I66" s="11" t="s">
        <v>10</v>
      </c>
      <c r="J66" s="33" t="str">
        <f>VLOOKUP(A66,TableS4!A:J,10,FALSE)</f>
        <v>-</v>
      </c>
    </row>
    <row r="67" spans="1:10" ht="15.75" customHeight="1" x14ac:dyDescent="0.2">
      <c r="A67" s="2" t="s">
        <v>566</v>
      </c>
      <c r="B67" s="2">
        <v>37.360663658060403</v>
      </c>
      <c r="C67" s="2">
        <v>2.8839762266876101</v>
      </c>
      <c r="D67" s="2">
        <v>0.53823598721403598</v>
      </c>
      <c r="E67" s="2">
        <v>5.3582002972624796</v>
      </c>
      <c r="F67" s="10">
        <v>8.4055025945803903E-8</v>
      </c>
      <c r="G67" s="10">
        <v>4.4769120828517403E-5</v>
      </c>
      <c r="H67" s="22"/>
      <c r="I67" t="s">
        <v>573</v>
      </c>
      <c r="J67" s="33" t="str">
        <f>VLOOKUP(A67,TableS4!A:J,10,FALSE)</f>
        <v>-</v>
      </c>
    </row>
    <row r="68" spans="1:10" ht="15.75" customHeight="1" x14ac:dyDescent="0.2">
      <c r="A68" s="2" t="s">
        <v>576</v>
      </c>
      <c r="B68" s="2">
        <v>35.950134996712201</v>
      </c>
      <c r="C68" s="2">
        <v>2.8989313429379799</v>
      </c>
      <c r="D68" s="2">
        <v>0.59222631811316695</v>
      </c>
      <c r="E68" s="2">
        <v>4.8949721656645897</v>
      </c>
      <c r="F68" s="10">
        <v>9.8319643380007709E-7</v>
      </c>
      <c r="G68" s="2">
        <v>3.22025084840612E-4</v>
      </c>
      <c r="H68" s="22" t="s">
        <v>586</v>
      </c>
      <c r="I68" s="13" t="s">
        <v>587</v>
      </c>
      <c r="J68" s="33" t="str">
        <f>VLOOKUP(A68,TableS4!A:J,10,FALSE)</f>
        <v>-</v>
      </c>
    </row>
    <row r="69" spans="1:10" ht="15.75" customHeight="1" x14ac:dyDescent="0.2">
      <c r="A69" s="2" t="s">
        <v>591</v>
      </c>
      <c r="B69" s="2">
        <v>37.883234770278101</v>
      </c>
      <c r="C69" s="2">
        <v>2.9528592521815602</v>
      </c>
      <c r="D69" s="2">
        <v>0.52644147511646699</v>
      </c>
      <c r="E69" s="2">
        <v>5.6090931124457599</v>
      </c>
      <c r="F69" s="10">
        <v>2.0338958018947499E-8</v>
      </c>
      <c r="G69" s="10">
        <v>1.37990144940455E-5</v>
      </c>
      <c r="H69" s="22"/>
      <c r="I69" t="s">
        <v>599</v>
      </c>
      <c r="J69" s="33" t="str">
        <f>VLOOKUP(A69,TableS4!A:J,10,FALSE)</f>
        <v>-</v>
      </c>
    </row>
    <row r="70" spans="1:10" ht="15.75" customHeight="1" x14ac:dyDescent="0.2">
      <c r="A70" s="2" t="s">
        <v>601</v>
      </c>
      <c r="B70" s="2">
        <v>38.0949449887665</v>
      </c>
      <c r="C70" s="2">
        <v>3.0322298815829098</v>
      </c>
      <c r="D70" s="2">
        <v>0.63793067955788296</v>
      </c>
      <c r="E70" s="2">
        <v>4.7532278643259396</v>
      </c>
      <c r="F70" s="10">
        <v>2.00194505343872E-6</v>
      </c>
      <c r="G70" s="2">
        <v>5.6761616216653005E-4</v>
      </c>
      <c r="H70" s="22"/>
      <c r="I70" s="13"/>
      <c r="J70" s="33" t="str">
        <f>VLOOKUP(A70,TableS4!A:J,10,FALSE)</f>
        <v>-</v>
      </c>
    </row>
    <row r="71" spans="1:10" ht="15.75" customHeight="1" x14ac:dyDescent="0.2">
      <c r="A71" s="2" t="s">
        <v>612</v>
      </c>
      <c r="B71" s="2">
        <v>42.438593830742903</v>
      </c>
      <c r="C71" s="2">
        <v>3.0992475034309002</v>
      </c>
      <c r="D71" s="2">
        <v>0.51765842469972201</v>
      </c>
      <c r="E71" s="2">
        <v>5.9870512205585698</v>
      </c>
      <c r="F71" s="10">
        <v>2.1367950762787298E-9</v>
      </c>
      <c r="G71" s="10">
        <v>2.1745705606629399E-6</v>
      </c>
      <c r="H71" s="11" t="s">
        <v>10</v>
      </c>
      <c r="I71" s="11" t="s">
        <v>10</v>
      </c>
      <c r="J71" s="33" t="str">
        <f>VLOOKUP(A71,TableS4!A:J,10,FALSE)</f>
        <v>-</v>
      </c>
    </row>
    <row r="72" spans="1:10" ht="15.75" customHeight="1" x14ac:dyDescent="0.2">
      <c r="A72" s="2" t="s">
        <v>626</v>
      </c>
      <c r="B72" s="2">
        <v>41.161326488921297</v>
      </c>
      <c r="C72" s="2">
        <v>3.1060547008413</v>
      </c>
      <c r="D72" s="2">
        <v>0.51207814006021102</v>
      </c>
      <c r="E72" s="2">
        <v>6.0655873739818098</v>
      </c>
      <c r="F72" s="10">
        <v>1.3147227186723599E-9</v>
      </c>
      <c r="G72" s="10">
        <v>1.5609593278570399E-6</v>
      </c>
      <c r="H72" s="11" t="s">
        <v>10</v>
      </c>
      <c r="I72" s="11" t="s">
        <v>10</v>
      </c>
      <c r="J72" s="33" t="str">
        <f>VLOOKUP(A72,TableS4!A:J,10,FALSE)</f>
        <v>-</v>
      </c>
    </row>
    <row r="73" spans="1:10" ht="15.75" customHeight="1" x14ac:dyDescent="0.2">
      <c r="A73" s="2" t="s">
        <v>635</v>
      </c>
      <c r="B73" s="2">
        <v>37.800159467148902</v>
      </c>
      <c r="C73" s="2">
        <v>3.12787120570558</v>
      </c>
      <c r="D73" s="2">
        <v>0.57091285953179405</v>
      </c>
      <c r="E73" s="2">
        <v>5.4787191310960299</v>
      </c>
      <c r="F73" s="10">
        <v>4.2841578418974602E-8</v>
      </c>
      <c r="G73" s="10">
        <v>2.6253134990294199E-5</v>
      </c>
      <c r="H73" s="11" t="s">
        <v>10</v>
      </c>
      <c r="I73" s="11" t="s">
        <v>10</v>
      </c>
      <c r="J73" s="33" t="str">
        <f>VLOOKUP(A73,TableS4!A:J,10,FALSE)</f>
        <v>-</v>
      </c>
    </row>
    <row r="74" spans="1:10" ht="15.75" customHeight="1" x14ac:dyDescent="0.2">
      <c r="A74" s="2" t="s">
        <v>643</v>
      </c>
      <c r="B74" s="2">
        <v>55.121538475393201</v>
      </c>
      <c r="C74" s="2">
        <v>3.1336012276470901</v>
      </c>
      <c r="D74" s="2">
        <v>0.45279120410426599</v>
      </c>
      <c r="E74" s="2">
        <v>6.9206318480636897</v>
      </c>
      <c r="F74" s="10">
        <v>4.4963360897087903E-12</v>
      </c>
      <c r="G74" s="10">
        <v>1.11411388588045E-8</v>
      </c>
      <c r="H74" s="11" t="s">
        <v>10</v>
      </c>
      <c r="I74" s="11" t="s">
        <v>10</v>
      </c>
      <c r="J74" s="33" t="str">
        <f>VLOOKUP(A74,TableS4!A:J,10,FALSE)</f>
        <v>-</v>
      </c>
    </row>
    <row r="75" spans="1:10" ht="15.75" customHeight="1" x14ac:dyDescent="0.2">
      <c r="A75" s="2" t="s">
        <v>647</v>
      </c>
      <c r="B75" s="2">
        <v>33.814536990728698</v>
      </c>
      <c r="C75" s="2">
        <v>3.23868260526296</v>
      </c>
      <c r="D75" s="2">
        <v>0.60072765442373399</v>
      </c>
      <c r="E75" s="2">
        <v>5.3912660444603002</v>
      </c>
      <c r="F75" s="10">
        <v>6.9963003461948198E-8</v>
      </c>
      <c r="G75" s="10">
        <v>3.9871915672964303E-5</v>
      </c>
      <c r="H75" s="11" t="s">
        <v>10</v>
      </c>
      <c r="I75" s="11" t="s">
        <v>10</v>
      </c>
      <c r="J75" s="33" t="str">
        <f>VLOOKUP(A75,TableS4!A:J,10,FALSE)</f>
        <v>-</v>
      </c>
    </row>
    <row r="76" spans="1:10" ht="15.75" customHeight="1" x14ac:dyDescent="0.2">
      <c r="A76" s="2" t="s">
        <v>658</v>
      </c>
      <c r="B76" s="2">
        <v>58.7078075380293</v>
      </c>
      <c r="C76" s="2">
        <v>3.2609132340335698</v>
      </c>
      <c r="D76" s="2">
        <v>0.52703299630189004</v>
      </c>
      <c r="E76" s="2">
        <v>6.1873037493191099</v>
      </c>
      <c r="F76" s="10">
        <v>6.1201967037141702E-10</v>
      </c>
      <c r="G76" s="10">
        <v>8.3045240510635903E-7</v>
      </c>
      <c r="H76" s="22"/>
      <c r="I76" t="s">
        <v>666</v>
      </c>
      <c r="J76" s="33" t="str">
        <f>VLOOKUP(A76,TableS4!A:J,10,FALSE)</f>
        <v>-</v>
      </c>
    </row>
    <row r="77" spans="1:10" ht="15.75" customHeight="1" x14ac:dyDescent="0.2">
      <c r="A77" s="2" t="s">
        <v>669</v>
      </c>
      <c r="B77" s="2">
        <v>115.88808343090599</v>
      </c>
      <c r="C77" s="2">
        <v>3.2780236043976099</v>
      </c>
      <c r="D77" s="2">
        <v>0.35230755253347801</v>
      </c>
      <c r="E77" s="2">
        <v>9.3044375030424806</v>
      </c>
      <c r="F77" s="10">
        <v>1.3470343791053701E-20</v>
      </c>
      <c r="G77" s="10">
        <v>2.5589163088404999E-16</v>
      </c>
      <c r="H77" s="11" t="s">
        <v>10</v>
      </c>
      <c r="I77" s="11" t="s">
        <v>10</v>
      </c>
      <c r="J77" s="33" t="str">
        <f>VLOOKUP(A77,TableS4!A:J,10,FALSE)</f>
        <v>-</v>
      </c>
    </row>
    <row r="78" spans="1:10" ht="15.75" customHeight="1" x14ac:dyDescent="0.2">
      <c r="A78" s="2" t="s">
        <v>678</v>
      </c>
      <c r="B78" s="2">
        <v>57.566461792342103</v>
      </c>
      <c r="C78" s="2">
        <v>3.30876436551568</v>
      </c>
      <c r="D78" s="2">
        <v>0.53686213192580701</v>
      </c>
      <c r="E78" s="2">
        <v>6.1631546886099704</v>
      </c>
      <c r="F78" s="10">
        <v>7.1309783597690405E-10</v>
      </c>
      <c r="G78" s="10">
        <v>9.3314364836912897E-7</v>
      </c>
      <c r="H78" s="11" t="s">
        <v>10</v>
      </c>
      <c r="I78" s="11" t="s">
        <v>10</v>
      </c>
      <c r="J78" s="33" t="str">
        <f>VLOOKUP(A78,TableS4!A:J,10,FALSE)</f>
        <v>-</v>
      </c>
    </row>
    <row r="79" spans="1:10" ht="15.75" customHeight="1" x14ac:dyDescent="0.2">
      <c r="A79" s="2" t="s">
        <v>685</v>
      </c>
      <c r="B79" s="2">
        <v>44.089313216256301</v>
      </c>
      <c r="C79" s="2">
        <v>3.40536188402025</v>
      </c>
      <c r="D79" s="2">
        <v>0.58754652799829798</v>
      </c>
      <c r="E79" s="2">
        <v>5.79590163798927</v>
      </c>
      <c r="F79" s="10">
        <v>6.7955085899861099E-9</v>
      </c>
      <c r="G79" s="10">
        <v>5.6952358021074802E-6</v>
      </c>
      <c r="H79" s="11" t="s">
        <v>10</v>
      </c>
      <c r="I79" s="11" t="s">
        <v>10</v>
      </c>
      <c r="J79" s="33" t="str">
        <f>VLOOKUP(A79,TableS4!A:J,10,FALSE)</f>
        <v>-</v>
      </c>
    </row>
    <row r="80" spans="1:10" ht="15.75" customHeight="1" x14ac:dyDescent="0.2">
      <c r="A80" s="2" t="s">
        <v>691</v>
      </c>
      <c r="B80" s="2">
        <v>46.880601009133798</v>
      </c>
      <c r="C80" s="2">
        <v>3.4099397953808399</v>
      </c>
      <c r="D80" s="2">
        <v>0.50488009033078995</v>
      </c>
      <c r="E80" s="2">
        <v>6.7539597236775499</v>
      </c>
      <c r="F80" s="10">
        <v>1.4386370217538899E-11</v>
      </c>
      <c r="G80" s="10">
        <v>3.0830791757064002E-8</v>
      </c>
      <c r="H80" s="11" t="s">
        <v>10</v>
      </c>
      <c r="I80" s="11" t="s">
        <v>10</v>
      </c>
      <c r="J80" s="33" t="str">
        <f>VLOOKUP(A80,TableS4!A:J,10,FALSE)</f>
        <v>-</v>
      </c>
    </row>
    <row r="81" spans="1:10" ht="15.75" customHeight="1" x14ac:dyDescent="0.2">
      <c r="A81" s="2" t="s">
        <v>695</v>
      </c>
      <c r="B81" s="2">
        <v>47.003814571254701</v>
      </c>
      <c r="C81" s="2">
        <v>3.4444988520873601</v>
      </c>
      <c r="D81" s="2">
        <v>0.56628921331327198</v>
      </c>
      <c r="E81" s="2">
        <v>6.0825789563147898</v>
      </c>
      <c r="F81" s="10">
        <v>1.1826462374266201E-9</v>
      </c>
      <c r="G81" s="10">
        <v>1.4508086631005499E-6</v>
      </c>
      <c r="H81" s="11" t="s">
        <v>10</v>
      </c>
      <c r="I81" s="11" t="s">
        <v>10</v>
      </c>
      <c r="J81" s="33" t="str">
        <f>VLOOKUP(A81,TableS4!A:J,10,FALSE)</f>
        <v>-</v>
      </c>
    </row>
    <row r="82" spans="1:10" ht="15.75" customHeight="1" x14ac:dyDescent="0.2">
      <c r="A82" s="2" t="s">
        <v>698</v>
      </c>
      <c r="B82" s="2">
        <v>22.699158901568499</v>
      </c>
      <c r="C82" s="2">
        <v>3.4941604996890701</v>
      </c>
      <c r="D82" s="2">
        <v>0.73752822910721205</v>
      </c>
      <c r="E82" s="2">
        <v>4.7376634029571996</v>
      </c>
      <c r="F82" s="10">
        <v>2.1619651598572199E-6</v>
      </c>
      <c r="G82" s="2">
        <v>5.9536592694869796E-4</v>
      </c>
      <c r="H82" s="11" t="s">
        <v>10</v>
      </c>
      <c r="I82" s="11" t="s">
        <v>10</v>
      </c>
      <c r="J82" s="33" t="str">
        <f>VLOOKUP(A82,TableS4!A:J,10,FALSE)</f>
        <v>-</v>
      </c>
    </row>
    <row r="83" spans="1:10" ht="15.75" customHeight="1" x14ac:dyDescent="0.2">
      <c r="A83" s="2" t="s">
        <v>702</v>
      </c>
      <c r="B83" s="2">
        <v>24.479805340332099</v>
      </c>
      <c r="C83" s="2">
        <v>3.61524879577351</v>
      </c>
      <c r="D83" s="2">
        <v>0.75130109329996297</v>
      </c>
      <c r="E83" s="2">
        <v>4.8119839409445602</v>
      </c>
      <c r="F83" s="10">
        <v>1.4943936429286899E-6</v>
      </c>
      <c r="G83" s="2">
        <v>4.60138899366915E-4</v>
      </c>
      <c r="H83" s="11" t="s">
        <v>10</v>
      </c>
      <c r="I83" s="11" t="s">
        <v>10</v>
      </c>
      <c r="J83" s="33" t="str">
        <f>VLOOKUP(A83,TableS4!A:J,10,FALSE)</f>
        <v>-</v>
      </c>
    </row>
    <row r="84" spans="1:10" ht="15.75" customHeight="1" x14ac:dyDescent="0.2">
      <c r="A84" s="2" t="s">
        <v>710</v>
      </c>
      <c r="B84" s="2">
        <v>58.6531595093753</v>
      </c>
      <c r="C84" s="2">
        <v>3.6757836475989198</v>
      </c>
      <c r="D84" s="2">
        <v>0.50349073372589104</v>
      </c>
      <c r="E84" s="2">
        <v>7.3005984050544104</v>
      </c>
      <c r="F84" s="10">
        <v>2.8649066973426698E-13</v>
      </c>
      <c r="G84" s="10">
        <v>9.6041783930328601E-10</v>
      </c>
      <c r="H84" s="22" t="s">
        <v>718</v>
      </c>
      <c r="I84" s="15" t="s">
        <v>719</v>
      </c>
      <c r="J84" s="33" t="str">
        <f>VLOOKUP(A84,TableS4!A:J,10,FALSE)</f>
        <v>GO:0003674,GO:0003824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0032991,GO:0033178,GO:0034220,GO:0034641,GO:0034654,GO:0036442,GO:0042623,GO:0042625,GO:0042626,GO:0043492,GO:0044237,GO:0044238,GO:0044249,GO:0044271,GO:0044281,GO:0044424,GO:0044425,GO:0044459,GO:0044464,GO:0044769,GO:0045259,GO:0045260,GO:0045261,GO:0045262,GO:0046034,GO:0046390,GO:0046483,GO:0046933,GO:0046961,GO:0051179,GO:0051234,GO:0055085,GO:0055086,GO:0071704,GO:0071944,GO:0072521,GO:0072522,GO:0090407,GO:0090662,GO:0098655,GO:0098660,GO:0098662,GO:0098796,GO:0098797,GO:0099131,GO:0099132,GO:1901135,GO:1901137,GO:1901293,GO:1901360,GO:1901362,GO:1901564,GO:1901566,GO:1901576,GO:1902600</v>
      </c>
    </row>
    <row r="85" spans="1:10" ht="15.75" customHeight="1" x14ac:dyDescent="0.2">
      <c r="A85" s="2" t="s">
        <v>722</v>
      </c>
      <c r="B85" s="2">
        <v>35.490275993859299</v>
      </c>
      <c r="C85" s="2">
        <v>3.75388356049032</v>
      </c>
      <c r="D85" s="2">
        <v>0.60150060097302704</v>
      </c>
      <c r="E85" s="2">
        <v>6.24086418935872</v>
      </c>
      <c r="F85" s="10">
        <v>4.3515995548900398E-10</v>
      </c>
      <c r="G85" s="10">
        <v>6.52625417455745E-7</v>
      </c>
      <c r="H85" s="11" t="s">
        <v>10</v>
      </c>
      <c r="I85" s="11" t="s">
        <v>10</v>
      </c>
      <c r="J85" s="33" t="str">
        <f>VLOOKUP(A85,TableS4!A:J,10,FALSE)</f>
        <v>-</v>
      </c>
    </row>
    <row r="86" spans="1:10" ht="15.75" customHeight="1" x14ac:dyDescent="0.2">
      <c r="A86" s="2" t="s">
        <v>733</v>
      </c>
      <c r="B86" s="2">
        <v>66.971659985808699</v>
      </c>
      <c r="C86" s="2">
        <v>3.7756930202796002</v>
      </c>
      <c r="D86" s="2">
        <v>0.46387676171280201</v>
      </c>
      <c r="E86" s="2">
        <v>8.1394312712246393</v>
      </c>
      <c r="F86" s="10">
        <v>3.9713896231137702E-16</v>
      </c>
      <c r="G86" s="10">
        <v>3.2332784945893402E-12</v>
      </c>
      <c r="H86" s="22" t="s">
        <v>741</v>
      </c>
      <c r="I86" t="s">
        <v>742</v>
      </c>
      <c r="J86" s="33" t="str">
        <f>VLOOKUP(A86,TableS4!A:J,10,FALSE)</f>
        <v>-</v>
      </c>
    </row>
    <row r="87" spans="1:10" ht="15.75" customHeight="1" x14ac:dyDescent="0.2">
      <c r="A87" s="2" t="s">
        <v>744</v>
      </c>
      <c r="B87" s="2">
        <v>56.390343821638503</v>
      </c>
      <c r="C87" s="2">
        <v>3.8553088201930898</v>
      </c>
      <c r="D87" s="2">
        <v>0.56281330765140203</v>
      </c>
      <c r="E87" s="2">
        <v>6.8500669187819003</v>
      </c>
      <c r="F87" s="10">
        <v>7.3815450548340594E-12</v>
      </c>
      <c r="G87" s="10">
        <v>1.6826970106999699E-8</v>
      </c>
      <c r="H87" s="11" t="s">
        <v>10</v>
      </c>
      <c r="I87" s="11" t="s">
        <v>10</v>
      </c>
      <c r="J87" s="33" t="str">
        <f>VLOOKUP(A87,TableS4!A:J,10,FALSE)</f>
        <v>-</v>
      </c>
    </row>
    <row r="88" spans="1:10" ht="15.75" customHeight="1" x14ac:dyDescent="0.2">
      <c r="A88" s="2" t="s">
        <v>752</v>
      </c>
      <c r="B88" s="2">
        <v>374.82285016510298</v>
      </c>
      <c r="C88" s="2">
        <v>4.0427465370675399</v>
      </c>
      <c r="D88" s="2">
        <v>0.24217718300814101</v>
      </c>
      <c r="E88" s="2">
        <v>16.693341985614001</v>
      </c>
      <c r="F88" s="10">
        <v>1.4653355578849699E-62</v>
      </c>
      <c r="G88" s="10">
        <v>8.3509473443864499E-58</v>
      </c>
      <c r="H88" s="11" t="s">
        <v>10</v>
      </c>
      <c r="I88" s="11" t="s">
        <v>10</v>
      </c>
      <c r="J88" s="33" t="str">
        <f>VLOOKUP(A88,TableS4!A:J,10,FALSE)</f>
        <v>-</v>
      </c>
    </row>
    <row r="89" spans="1:10" ht="15.75" customHeight="1" x14ac:dyDescent="0.2">
      <c r="A89" s="2" t="s">
        <v>759</v>
      </c>
      <c r="B89" s="2">
        <v>44.004461999238998</v>
      </c>
      <c r="C89" s="2">
        <v>4.1248548278899904</v>
      </c>
      <c r="D89" s="2">
        <v>0.57970240095575398</v>
      </c>
      <c r="E89" s="2">
        <v>7.1154696290533899</v>
      </c>
      <c r="F89" s="10">
        <v>1.11532405019527E-12</v>
      </c>
      <c r="G89" s="10">
        <v>3.3453851379278001E-9</v>
      </c>
      <c r="H89" s="11" t="s">
        <v>10</v>
      </c>
      <c r="I89" s="11" t="s">
        <v>10</v>
      </c>
      <c r="J89" s="33" t="str">
        <f>VLOOKUP(A89,TableS4!A:J,10,FALSE)</f>
        <v>-</v>
      </c>
    </row>
    <row r="90" spans="1:10" ht="15.75" customHeight="1" x14ac:dyDescent="0.2">
      <c r="A90" s="2" t="s">
        <v>768</v>
      </c>
      <c r="B90" s="2">
        <v>20.579945853089999</v>
      </c>
      <c r="C90" s="2">
        <v>4.1394081439585504</v>
      </c>
      <c r="D90" s="2">
        <v>0.85533350083168302</v>
      </c>
      <c r="E90" s="2">
        <v>4.8395253312697299</v>
      </c>
      <c r="F90" s="10">
        <v>1.30149602566622E-6</v>
      </c>
      <c r="G90" s="2">
        <v>4.0753988188306403E-4</v>
      </c>
      <c r="H90" s="11" t="s">
        <v>10</v>
      </c>
      <c r="I90" s="11" t="s">
        <v>10</v>
      </c>
      <c r="J90" s="33" t="str">
        <f>VLOOKUP(A90,TableS4!A:J,10,FALSE)</f>
        <v>-</v>
      </c>
    </row>
    <row r="91" spans="1:10" ht="15.75" customHeight="1" x14ac:dyDescent="0.2">
      <c r="A91" s="2" t="s">
        <v>776</v>
      </c>
      <c r="B91" s="2">
        <v>22.872822084339699</v>
      </c>
      <c r="C91" s="2">
        <v>4.1780454169120098</v>
      </c>
      <c r="D91" s="2">
        <v>0.85022178035681095</v>
      </c>
      <c r="E91" s="2">
        <v>4.9140653808687604</v>
      </c>
      <c r="F91" s="10">
        <v>8.9206979185601097E-7</v>
      </c>
      <c r="G91" s="2">
        <v>3.0082282507617802E-4</v>
      </c>
      <c r="H91" s="11" t="s">
        <v>10</v>
      </c>
      <c r="I91" s="11" t="s">
        <v>10</v>
      </c>
      <c r="J91" s="33" t="str">
        <f>VLOOKUP(A91,TableS4!A:J,10,FALSE)</f>
        <v>-</v>
      </c>
    </row>
    <row r="92" spans="1:10" ht="15.75" customHeight="1" x14ac:dyDescent="0.2">
      <c r="A92" s="2" t="s">
        <v>781</v>
      </c>
      <c r="B92" s="2">
        <v>79.236780759888504</v>
      </c>
      <c r="C92" s="2">
        <v>4.3810257124810903</v>
      </c>
      <c r="D92" s="2">
        <v>0.50903594285300602</v>
      </c>
      <c r="E92" s="2">
        <v>8.6065154612199795</v>
      </c>
      <c r="F92" s="10">
        <v>7.5314994922649598E-18</v>
      </c>
      <c r="G92" s="10">
        <v>8.5844031212836001E-14</v>
      </c>
      <c r="H92" s="11" t="s">
        <v>10</v>
      </c>
      <c r="I92" s="11" t="s">
        <v>10</v>
      </c>
      <c r="J92" s="33" t="str">
        <f>VLOOKUP(A92,TableS4!A:J,10,FALSE)</f>
        <v>-</v>
      </c>
    </row>
    <row r="93" spans="1:10" ht="15.75" customHeight="1" x14ac:dyDescent="0.2">
      <c r="A93" s="2" t="s">
        <v>787</v>
      </c>
      <c r="B93" s="2">
        <v>25.393387242479601</v>
      </c>
      <c r="C93" s="2">
        <v>5.1053779263270798</v>
      </c>
      <c r="D93" s="2">
        <v>0.94508055849827399</v>
      </c>
      <c r="E93" s="2">
        <v>5.4020558146275803</v>
      </c>
      <c r="F93" s="10">
        <v>6.5881442480849905E-8</v>
      </c>
      <c r="G93" s="10">
        <v>3.7925084919026597E-5</v>
      </c>
      <c r="H93" s="11" t="s">
        <v>10</v>
      </c>
      <c r="I93" s="11" t="s">
        <v>10</v>
      </c>
      <c r="J93" s="33" t="str">
        <f>VLOOKUP(A93,TableS4!A:J,10,FALSE)</f>
        <v>-</v>
      </c>
    </row>
    <row r="94" spans="1:10" ht="15.75" customHeight="1" x14ac:dyDescent="0.2">
      <c r="A94" s="2" t="s">
        <v>793</v>
      </c>
      <c r="B94" s="2">
        <v>5582.3759696544903</v>
      </c>
      <c r="C94" s="2">
        <v>6.1479265092337601</v>
      </c>
      <c r="D94" s="2">
        <v>0.656965121096732</v>
      </c>
      <c r="E94" s="2">
        <v>9.3580713980225596</v>
      </c>
      <c r="F94" s="10">
        <v>8.1205365712210703E-21</v>
      </c>
      <c r="G94" s="10">
        <v>2.3139468959694502E-16</v>
      </c>
      <c r="H94" s="11" t="s">
        <v>10</v>
      </c>
      <c r="I94" s="11" t="s">
        <v>10</v>
      </c>
      <c r="J94" s="33" t="str">
        <f>VLOOKUP(A94,TableS4!A:J,10,FALSE)</f>
        <v>-</v>
      </c>
    </row>
    <row r="95" spans="1:10" ht="15.75" customHeight="1" x14ac:dyDescent="0.2">
      <c r="A95" s="2" t="s">
        <v>800</v>
      </c>
      <c r="B95" s="2">
        <v>15.148144351959299</v>
      </c>
      <c r="C95" s="2">
        <v>7.5690489292861702</v>
      </c>
      <c r="D95" s="2">
        <v>1.61870877247917</v>
      </c>
      <c r="E95" s="2">
        <v>4.6759794337146996</v>
      </c>
      <c r="F95" s="10">
        <v>2.9255392756904001E-6</v>
      </c>
      <c r="G95" s="2">
        <v>7.5146108063898402E-4</v>
      </c>
      <c r="H95" s="22" t="s">
        <v>806</v>
      </c>
      <c r="I95" t="s">
        <v>807</v>
      </c>
      <c r="J95" s="33" t="str">
        <f>VLOOKUP(A95,TableS4!A:J,10,FALSE)</f>
        <v>GO:0000139,GO:0000295,GO:0003674,GO:0005215,GO:0005346,GO:0005575,GO:0005622,GO:0005623,GO:0005737,GO:0005783,GO:0005789,GO:0005794,GO:0006810,GO:0006811,GO:0006820,GO:0006862,GO:0008150,GO:0008509,GO:0008514,GO:0012505,GO:0015075,GO:0015215,GO:0015216,GO:0015605,GO:0015711,GO:0015748,GO:0015865,GO:0015868,GO:0015931,GO:0015932,GO:0016020,GO:0016021,GO:0022857,GO:0030173,GO:0030176,GO:0031090,GO:0031224,GO:0031227,GO:0031228,GO:0031300,GO:0031301,GO:0031984,GO:0034220,GO:0042175,GO:0043226,GO:0043227,GO:0043229,GO:0043231,GO:0044422,GO:0044424,GO:0044425,GO:0044431,GO:0044432,GO:0044444,GO:0044446,GO:0044464,GO:0046963,GO:0046964,GO:0051179,GO:0051234,GO:0051503,GO:0055085,GO:0071702,GO:0071705,GO:0072348,GO:0072530,GO:0098588,GO:0098656,GO:0098791,GO:0098827,GO:1901264,GO:1901505,GO:1901679,GO:1901682,GO:1902559</v>
      </c>
    </row>
    <row r="96" spans="1:10" ht="15.75" customHeight="1" x14ac:dyDescent="0.2">
      <c r="A96" s="2" t="s">
        <v>809</v>
      </c>
      <c r="B96" s="2">
        <v>15.1729737559052</v>
      </c>
      <c r="C96" s="2">
        <v>7.5710968074250697</v>
      </c>
      <c r="D96" s="2">
        <v>1.61881131989478</v>
      </c>
      <c r="E96" s="2">
        <v>4.6769482733276098</v>
      </c>
      <c r="F96" s="10">
        <v>2.9117566783242298E-6</v>
      </c>
      <c r="G96" s="2">
        <v>7.5146108063898402E-4</v>
      </c>
      <c r="H96" s="22"/>
      <c r="I96" t="s">
        <v>818</v>
      </c>
      <c r="J96" s="33" t="str">
        <f>VLOOKUP(A96,TableS4!A:J,10,FALSE)</f>
        <v>-</v>
      </c>
    </row>
    <row r="97" spans="1:10" ht="15.75" customHeight="1" x14ac:dyDescent="0.2">
      <c r="A97" s="2" t="s">
        <v>819</v>
      </c>
      <c r="B97" s="2">
        <v>15.585959323189099</v>
      </c>
      <c r="C97" s="2">
        <v>7.6116288453273304</v>
      </c>
      <c r="D97" s="2">
        <v>1.6199555465361899</v>
      </c>
      <c r="E97" s="2">
        <v>4.6986652575761196</v>
      </c>
      <c r="F97" s="10">
        <v>2.61867250224801E-6</v>
      </c>
      <c r="G97" s="2">
        <v>6.9737451356595404E-4</v>
      </c>
      <c r="H97" s="22"/>
      <c r="I97" s="13"/>
      <c r="J97" s="33" t="str">
        <f>VLOOKUP(A97,TableS4!A:J,10,FALSE)</f>
        <v>-</v>
      </c>
    </row>
    <row r="98" spans="1:10" ht="15.75" customHeight="1" x14ac:dyDescent="0.2">
      <c r="A98" s="2" t="s">
        <v>823</v>
      </c>
      <c r="B98" s="2">
        <v>15.883912170540199</v>
      </c>
      <c r="C98" s="2">
        <v>7.6355122656219701</v>
      </c>
      <c r="D98" s="2">
        <v>1.6247902262019001</v>
      </c>
      <c r="E98" s="2">
        <v>4.6993834296201502</v>
      </c>
      <c r="F98" s="10">
        <v>2.6094811906668198E-6</v>
      </c>
      <c r="G98" s="2">
        <v>6.9737451356595404E-4</v>
      </c>
      <c r="H98" s="22" t="s">
        <v>829</v>
      </c>
      <c r="I98" s="15" t="s">
        <v>830</v>
      </c>
      <c r="J98" s="33" t="str">
        <f>VLOOKUP(A98,TableS4!A:J,10,FALSE)</f>
        <v>GO:0000827,GO:0000828,GO:0000829,GO:0003674,GO:0003824,GO:0005575,GO:0005622,GO:0005623,GO:0005737,GO:0006066,GO:0006109,GO:0006793,GO:0006796,GO:0008150,GO:0008152,GO:0009058,GO:0009889,GO:0009987,GO:0010675,GO:0010919,GO:0016301,GO:0016310,GO:0016740,GO:0016772,GO:0016776,GO:0019220,GO:0019222,GO:0019637,GO:0019751,GO:0023052,GO:0031323,GO:0031326,GO:0032958,GO:0033200,GO:0043255,GO:0043647,GO:0044237,GO:0044281,GO:0044283,GO:0044424,GO:0044464,GO:0046165,GO:0046173,GO:0050789,GO:0050794,GO:0051174,GO:0062012,GO:0065007,GO:0071704,GO:0080090,GO:0090407,GO:1901576,GO:1901615,GO:1901617,GO:1902930</v>
      </c>
    </row>
    <row r="99" spans="1:10" ht="15.75" customHeight="1" x14ac:dyDescent="0.2">
      <c r="A99" s="2" t="s">
        <v>833</v>
      </c>
      <c r="B99" s="2">
        <v>16.028331444317299</v>
      </c>
      <c r="C99" s="2">
        <v>7.6500624080425101</v>
      </c>
      <c r="D99" s="2">
        <v>1.6079960857606601</v>
      </c>
      <c r="E99" s="2">
        <v>4.7575130784125399</v>
      </c>
      <c r="F99" s="10">
        <v>1.9599256249220498E-6</v>
      </c>
      <c r="G99" s="2">
        <v>5.6128724303672101E-4</v>
      </c>
      <c r="H99" s="22" t="s">
        <v>839</v>
      </c>
      <c r="I99" t="s">
        <v>840</v>
      </c>
      <c r="J99" s="33" t="str">
        <f>VLOOKUP(A99,TableS4!A:J,10,FALSE)</f>
        <v>-</v>
      </c>
    </row>
    <row r="100" spans="1:10" ht="15.75" customHeight="1" x14ac:dyDescent="0.2">
      <c r="A100" s="2" t="s">
        <v>842</v>
      </c>
      <c r="B100" s="2">
        <v>16.102819656155098</v>
      </c>
      <c r="C100" s="2">
        <v>7.6558980856780599</v>
      </c>
      <c r="D100" s="2">
        <v>1.6128803861725001</v>
      </c>
      <c r="E100" s="2">
        <v>4.7467240294527597</v>
      </c>
      <c r="F100" s="10">
        <v>2.0673771848463601E-6</v>
      </c>
      <c r="G100" s="2">
        <v>5.8326646418017003E-4</v>
      </c>
      <c r="H100" s="22" t="s">
        <v>849</v>
      </c>
      <c r="I100" t="s">
        <v>851</v>
      </c>
      <c r="J100" s="33" t="str">
        <f>VLOOKUP(A100,TableS4!A:J,10,FALSE)</f>
        <v>-</v>
      </c>
    </row>
    <row r="101" spans="1:10" ht="15.75" customHeight="1" x14ac:dyDescent="0.2">
      <c r="A101" s="2" t="s">
        <v>853</v>
      </c>
      <c r="B101" s="2">
        <v>16.7144404550064</v>
      </c>
      <c r="C101" s="2">
        <v>7.7092091760390797</v>
      </c>
      <c r="D101" s="2">
        <v>1.6116855798237499</v>
      </c>
      <c r="E101" s="2">
        <v>4.7833208117939101</v>
      </c>
      <c r="F101" s="10">
        <v>1.7242260100223501E-6</v>
      </c>
      <c r="G101" s="2">
        <v>5.0391610415986496E-4</v>
      </c>
      <c r="H101" s="22" t="s">
        <v>858</v>
      </c>
      <c r="I101" t="s">
        <v>859</v>
      </c>
      <c r="J101" s="33" t="str">
        <f>VLOOKUP(A101,TableS4!A:J,10,FALSE)</f>
        <v>-</v>
      </c>
    </row>
    <row r="102" spans="1:10" ht="15.75" customHeight="1" x14ac:dyDescent="0.2">
      <c r="A102" s="2" t="s">
        <v>861</v>
      </c>
      <c r="B102" s="2">
        <v>47.9028908400525</v>
      </c>
      <c r="C102" s="2">
        <v>7.8817712091430803</v>
      </c>
      <c r="D102" s="2">
        <v>1.3880540247439199</v>
      </c>
      <c r="E102" s="2">
        <v>5.6782885022052199</v>
      </c>
      <c r="F102" s="10">
        <v>1.36049113235548E-8</v>
      </c>
      <c r="G102" s="10">
        <v>9.8144797003720197E-6</v>
      </c>
      <c r="H102" s="11" t="s">
        <v>10</v>
      </c>
      <c r="I102" s="11" t="s">
        <v>10</v>
      </c>
      <c r="J102" s="33" t="str">
        <f>VLOOKUP(A102,TableS4!A:J,10,FALSE)</f>
        <v>-</v>
      </c>
    </row>
    <row r="103" spans="1:10" ht="15.75" customHeight="1" x14ac:dyDescent="0.2">
      <c r="A103" s="2" t="s">
        <v>874</v>
      </c>
      <c r="B103" s="2">
        <v>18.883243057108</v>
      </c>
      <c r="C103" s="2">
        <v>7.8889163230615802</v>
      </c>
      <c r="D103" s="2">
        <v>1.5899882252548101</v>
      </c>
      <c r="E103" s="2">
        <v>4.9616193363930696</v>
      </c>
      <c r="F103" s="10">
        <v>6.9907898608071198E-7</v>
      </c>
      <c r="G103" s="2">
        <v>2.4442031544012099E-4</v>
      </c>
      <c r="H103" s="22"/>
      <c r="I103" s="13"/>
      <c r="J103" s="33" t="str">
        <f>VLOOKUP(A103,TableS4!A:J,10,FALSE)</f>
        <v>-</v>
      </c>
    </row>
    <row r="104" spans="1:10" ht="15.75" customHeight="1" x14ac:dyDescent="0.2">
      <c r="A104" s="2" t="s">
        <v>880</v>
      </c>
      <c r="B104" s="2">
        <v>19.086435438573901</v>
      </c>
      <c r="C104" s="2">
        <v>7.8999060726844004</v>
      </c>
      <c r="D104" s="2">
        <v>1.60623777669829</v>
      </c>
      <c r="E104" s="2">
        <v>4.9182668888059</v>
      </c>
      <c r="F104" s="10">
        <v>8.73138144077634E-7</v>
      </c>
      <c r="G104" s="2">
        <v>2.9796492713164301E-4</v>
      </c>
      <c r="H104" s="11" t="s">
        <v>10</v>
      </c>
      <c r="I104" s="11" t="s">
        <v>10</v>
      </c>
      <c r="J104" s="33" t="str">
        <f>VLOOKUP(A104,TableS4!A:J,10,FALSE)</f>
        <v>-</v>
      </c>
    </row>
    <row r="105" spans="1:10" ht="15.75" customHeight="1" x14ac:dyDescent="0.2">
      <c r="A105" s="2" t="s">
        <v>884</v>
      </c>
      <c r="B105" s="2">
        <v>19.081878288675401</v>
      </c>
      <c r="C105" s="2">
        <v>7.9020393021133</v>
      </c>
      <c r="D105" s="2">
        <v>1.5763523614438799</v>
      </c>
      <c r="E105" s="2">
        <v>5.0128635547418696</v>
      </c>
      <c r="F105" s="10">
        <v>5.36259245768039E-7</v>
      </c>
      <c r="G105" s="2">
        <v>1.94658690549812E-4</v>
      </c>
      <c r="H105" s="22"/>
      <c r="I105" t="s">
        <v>890</v>
      </c>
      <c r="J105" s="33" t="str">
        <f>VLOOKUP(A105,TableS4!A:J,10,FALSE)</f>
        <v>-</v>
      </c>
    </row>
    <row r="106" spans="1:10" ht="15.75" customHeight="1" x14ac:dyDescent="0.2">
      <c r="A106" s="2" t="s">
        <v>891</v>
      </c>
      <c r="B106" s="2">
        <v>19.539965513952701</v>
      </c>
      <c r="C106" s="2">
        <v>7.9392975065943503</v>
      </c>
      <c r="D106" s="2">
        <v>1.6169269033999001</v>
      </c>
      <c r="E106" s="2">
        <v>4.91011528715394</v>
      </c>
      <c r="F106" s="10">
        <v>9.1022863778801095E-7</v>
      </c>
      <c r="G106" s="2">
        <v>3.0514076510316899E-4</v>
      </c>
      <c r="H106" s="22"/>
      <c r="I106" t="s">
        <v>898</v>
      </c>
      <c r="J106" s="33" t="str">
        <f>VLOOKUP(A106,TableS4!A:J,10,FALSE)</f>
        <v>-</v>
      </c>
    </row>
    <row r="107" spans="1:10" ht="15.75" customHeight="1" x14ac:dyDescent="0.2">
      <c r="A107" s="2" t="s">
        <v>903</v>
      </c>
      <c r="B107" s="2">
        <v>19.813088957357898</v>
      </c>
      <c r="C107" s="2">
        <v>7.9574106068603303</v>
      </c>
      <c r="D107" s="2">
        <v>1.57361929888768</v>
      </c>
      <c r="E107" s="2">
        <v>5.0567571282870398</v>
      </c>
      <c r="F107" s="10">
        <v>4.2644576788949398E-7</v>
      </c>
      <c r="G107" s="2">
        <v>1.65945700499047E-4</v>
      </c>
      <c r="H107" s="11" t="s">
        <v>10</v>
      </c>
      <c r="I107" s="11" t="s">
        <v>10</v>
      </c>
      <c r="J107" s="33" t="str">
        <f>VLOOKUP(A107,TableS4!A:J,10,FALSE)</f>
        <v>-</v>
      </c>
    </row>
    <row r="108" spans="1:10" ht="15.75" customHeight="1" x14ac:dyDescent="0.2">
      <c r="A108" s="2" t="s">
        <v>909</v>
      </c>
      <c r="B108" s="2">
        <v>20.052268697020299</v>
      </c>
      <c r="C108" s="2">
        <v>7.9767539092817898</v>
      </c>
      <c r="D108" s="2">
        <v>1.6226274752616301</v>
      </c>
      <c r="E108" s="2">
        <v>4.9159489968550103</v>
      </c>
      <c r="F108" s="10">
        <v>8.8353400006454399E-7</v>
      </c>
      <c r="G108" s="2">
        <v>2.99717872998086E-4</v>
      </c>
      <c r="H108" s="11" t="s">
        <v>10</v>
      </c>
      <c r="I108" s="11" t="s">
        <v>10</v>
      </c>
      <c r="J108" s="33" t="str">
        <f>VLOOKUP(A108,TableS4!A:J,10,FALSE)</f>
        <v>-</v>
      </c>
    </row>
    <row r="109" spans="1:10" ht="15.75" customHeight="1" x14ac:dyDescent="0.2">
      <c r="A109" s="2" t="s">
        <v>915</v>
      </c>
      <c r="B109" s="2">
        <v>20.618787837878202</v>
      </c>
      <c r="C109" s="2">
        <v>8.0152104725229503</v>
      </c>
      <c r="D109" s="2">
        <v>1.5700130693177401</v>
      </c>
      <c r="E109" s="2">
        <v>5.1051871026819002</v>
      </c>
      <c r="F109" s="10">
        <v>3.3046737575955999E-7</v>
      </c>
      <c r="G109" s="2">
        <v>1.3647344742418301E-4</v>
      </c>
      <c r="H109" s="11" t="s">
        <v>10</v>
      </c>
      <c r="I109" s="11" t="s">
        <v>10</v>
      </c>
      <c r="J109" s="33" t="str">
        <f>VLOOKUP(A109,TableS4!A:J,10,FALSE)</f>
        <v>-</v>
      </c>
    </row>
    <row r="110" spans="1:10" ht="15.75" customHeight="1" x14ac:dyDescent="0.2">
      <c r="A110" s="2" t="s">
        <v>922</v>
      </c>
      <c r="B110" s="2">
        <v>21.429043868296901</v>
      </c>
      <c r="C110" s="2">
        <v>8.0684393808590702</v>
      </c>
      <c r="D110" s="2">
        <v>1.5631790072379099</v>
      </c>
      <c r="E110" s="2">
        <v>5.1615581731204196</v>
      </c>
      <c r="F110" s="10">
        <v>2.4490276026380702E-7</v>
      </c>
      <c r="G110" s="2">
        <v>1.0654204814835399E-4</v>
      </c>
      <c r="H110" s="11" t="s">
        <v>10</v>
      </c>
      <c r="I110" s="11" t="s">
        <v>10</v>
      </c>
      <c r="J110" s="33" t="str">
        <f>VLOOKUP(A110,TableS4!A:J,10,FALSE)</f>
        <v>-</v>
      </c>
    </row>
    <row r="111" spans="1:10" ht="15.75" customHeight="1" x14ac:dyDescent="0.2">
      <c r="A111" s="2" t="s">
        <v>928</v>
      </c>
      <c r="B111" s="2">
        <v>22.2504578529662</v>
      </c>
      <c r="C111" s="2">
        <v>8.1267824900604708</v>
      </c>
      <c r="D111" s="2">
        <v>1.6077512310208899</v>
      </c>
      <c r="E111" s="2">
        <v>5.0547512160199801</v>
      </c>
      <c r="F111" s="10">
        <v>4.3095216132407299E-7</v>
      </c>
      <c r="G111" s="2">
        <v>1.65945700499047E-4</v>
      </c>
      <c r="H111" s="22" t="s">
        <v>933</v>
      </c>
      <c r="I111" t="s">
        <v>934</v>
      </c>
      <c r="J111" s="33" t="str">
        <f>VLOOKUP(A111,TableS4!A:J,10,FALSE)</f>
        <v>-</v>
      </c>
    </row>
    <row r="112" spans="1:10" ht="15.75" customHeight="1" x14ac:dyDescent="0.2">
      <c r="A112" s="2" t="s">
        <v>936</v>
      </c>
      <c r="B112" s="2">
        <v>27.6896711305872</v>
      </c>
      <c r="C112" s="2">
        <v>8.4366165774309998</v>
      </c>
      <c r="D112" s="2">
        <v>1.56809825864262</v>
      </c>
      <c r="E112" s="2">
        <v>5.3801581188757304</v>
      </c>
      <c r="F112" s="10">
        <v>7.44204440305428E-8</v>
      </c>
      <c r="G112" s="10">
        <v>4.1992288171293401E-5</v>
      </c>
      <c r="H112" s="22" t="s">
        <v>236</v>
      </c>
      <c r="I112" t="s">
        <v>238</v>
      </c>
      <c r="J112" s="33" t="str">
        <f>VLOOKUP(A112,TableS4!A:J,10,FALSE)</f>
        <v>-</v>
      </c>
    </row>
    <row r="113" spans="1:10" ht="15.75" customHeight="1" x14ac:dyDescent="0.2">
      <c r="A113" s="2" t="s">
        <v>943</v>
      </c>
      <c r="B113" s="2">
        <v>27.7008290848377</v>
      </c>
      <c r="C113" s="2">
        <v>8.4421088286241908</v>
      </c>
      <c r="D113" s="2">
        <v>1.5492131274914001</v>
      </c>
      <c r="E113" s="2">
        <v>5.4492882088433303</v>
      </c>
      <c r="F113" s="10">
        <v>5.0571805208018102E-8</v>
      </c>
      <c r="G113" s="10">
        <v>3.0337759776894198E-5</v>
      </c>
      <c r="H113" s="22" t="s">
        <v>950</v>
      </c>
      <c r="I113" s="15" t="s">
        <v>951</v>
      </c>
      <c r="J113" s="33" t="str">
        <f>VLOOKUP(A113,TableS4!A:J,10,FALSE)</f>
        <v>GO:0000139,GO:0000938,GO:0005575,GO:0005622,GO:0005623,GO:0005737,GO:0005739,GO:0005794,GO:0006810,GO:0006890,GO:0006950,GO:0006970,GO:0007009,GO:0008150,GO:0009266,GO:0009408,GO:0009628,GO:0009987,GO:0010256,GO:0010286,GO:0012505,GO:0016020,GO:0016043,GO:0016192,GO:0016197,GO:0016482,GO:0031090,GO:0031410,GO:0031982,GO:0031984,GO:0032991,GO:0042147,GO:0043226,GO:0043227,GO:0043229,GO:0043231,GO:0044422,GO:0044424,GO:0044431,GO:0044433,GO:0044444,GO:0044446,GO:0044464,GO:0046907,GO:0048193,GO:0050896,GO:0051179,GO:0051234,GO:0051641,GO:0051649,GO:0061024,GO:0071840,GO:0097708,GO:0098588,GO:0098791,GO:0099023</v>
      </c>
    </row>
    <row r="114" spans="1:10" ht="15.75" customHeight="1" x14ac:dyDescent="0.2">
      <c r="A114" s="2" t="s">
        <v>952</v>
      </c>
      <c r="B114" s="2">
        <v>41.610016734945297</v>
      </c>
      <c r="C114" s="2">
        <v>9.0263425705450206</v>
      </c>
      <c r="D114" s="2">
        <v>1.5009491374869599</v>
      </c>
      <c r="E114" s="2">
        <v>6.0137564592347399</v>
      </c>
      <c r="F114" s="10">
        <v>1.81272783016512E-9</v>
      </c>
      <c r="G114" s="10">
        <v>1.94919545360586E-6</v>
      </c>
      <c r="H114" s="22" t="s">
        <v>959</v>
      </c>
      <c r="I114" s="15" t="s">
        <v>961</v>
      </c>
      <c r="J114" s="33" t="str">
        <f>VLOOKUP(A114,TableS4!A:J,10,FALSE)</f>
        <v>-</v>
      </c>
    </row>
    <row r="115" spans="1:10" ht="15.75" customHeight="1" x14ac:dyDescent="0.2">
      <c r="A115" s="2" t="s">
        <v>963</v>
      </c>
      <c r="B115" s="2">
        <v>44.1421460964389</v>
      </c>
      <c r="C115" s="2">
        <v>9.1139698775261699</v>
      </c>
      <c r="D115" s="2">
        <v>1.5090977995616801</v>
      </c>
      <c r="E115" s="2">
        <v>6.03935005416702</v>
      </c>
      <c r="F115" s="10">
        <v>1.5473622874825701E-9</v>
      </c>
      <c r="G115" s="10">
        <v>1.76368353527264E-6</v>
      </c>
      <c r="H115" s="11" t="s">
        <v>10</v>
      </c>
      <c r="I115" s="11" t="s">
        <v>10</v>
      </c>
      <c r="J115" s="33" t="str">
        <f>VLOOKUP(A115,TableS4!A:J,10,FALSE)</f>
        <v>-</v>
      </c>
    </row>
    <row r="116" spans="1:10" ht="15.75" customHeight="1" x14ac:dyDescent="0.2">
      <c r="A116" s="2" t="s">
        <v>970</v>
      </c>
      <c r="B116" s="2">
        <v>51.513025890952598</v>
      </c>
      <c r="C116" s="2">
        <v>9.3355081866706904</v>
      </c>
      <c r="D116" s="2">
        <v>1.74208502111532</v>
      </c>
      <c r="E116" s="2">
        <v>5.3588131885169998</v>
      </c>
      <c r="F116" s="10">
        <v>8.3770418768667506E-8</v>
      </c>
      <c r="G116" s="10">
        <v>4.4769120828517403E-5</v>
      </c>
      <c r="H116" s="22"/>
      <c r="I116" s="13"/>
      <c r="J116" s="33" t="str">
        <f>VLOOKUP(A116,TableS4!A:J,10,FALSE)</f>
        <v>-</v>
      </c>
    </row>
    <row r="117" spans="1:10" ht="15.75" customHeight="1" x14ac:dyDescent="0.2">
      <c r="A117" s="2" t="s">
        <v>976</v>
      </c>
      <c r="B117" s="2">
        <v>79.062834897661105</v>
      </c>
      <c r="C117" s="2">
        <v>9.9530193762775205</v>
      </c>
      <c r="D117" s="2">
        <v>1.4741378603955599</v>
      </c>
      <c r="E117" s="2">
        <v>6.7517561577360397</v>
      </c>
      <c r="F117" s="10">
        <v>1.4606621818577501E-11</v>
      </c>
      <c r="G117" s="10">
        <v>3.0830791757064002E-8</v>
      </c>
      <c r="H117" s="11" t="s">
        <v>10</v>
      </c>
      <c r="I117" s="11" t="s">
        <v>10</v>
      </c>
      <c r="J117" s="33" t="str">
        <f>VLOOKUP(A117,TableS4!A:J,10,FALSE)</f>
        <v>-</v>
      </c>
    </row>
    <row r="118" spans="1:10" ht="15.75" customHeight="1" x14ac:dyDescent="0.2">
      <c r="A118" s="2" t="s">
        <v>981</v>
      </c>
      <c r="B118" s="2">
        <v>144.64407884417599</v>
      </c>
      <c r="C118" s="2">
        <v>23.674317716034601</v>
      </c>
      <c r="D118" s="2">
        <v>4.7851585306687703</v>
      </c>
      <c r="E118" s="2">
        <v>4.9474468952914403</v>
      </c>
      <c r="F118" s="10">
        <v>7.51932086714073E-7</v>
      </c>
      <c r="G118" s="2">
        <v>2.6129640013314E-4</v>
      </c>
      <c r="H118" s="11" t="s">
        <v>10</v>
      </c>
      <c r="I118" s="11" t="s">
        <v>10</v>
      </c>
      <c r="J118" s="33" t="str">
        <f>VLOOKUP(A118,TableS4!A:J,10,FALSE)</f>
        <v>-</v>
      </c>
    </row>
    <row r="119" spans="1:10" ht="15.75" customHeight="1" x14ac:dyDescent="0.2">
      <c r="A119" s="2" t="s">
        <v>985</v>
      </c>
      <c r="B119" s="2">
        <v>254.08067399403001</v>
      </c>
      <c r="C119" s="2">
        <v>24.391141463465999</v>
      </c>
      <c r="D119" s="2">
        <v>4.7849765467969299</v>
      </c>
      <c r="E119" s="2">
        <v>5.0974422183518104</v>
      </c>
      <c r="F119" s="10">
        <v>3.4427344991566402E-7</v>
      </c>
      <c r="G119" s="2">
        <v>1.40143885076384E-4</v>
      </c>
      <c r="H119" s="11" t="s">
        <v>10</v>
      </c>
      <c r="I119" s="11" t="s">
        <v>10</v>
      </c>
      <c r="J119" s="33" t="str">
        <f>VLOOKUP(A119,TableS4!A:J,10,FALSE)</f>
        <v>-</v>
      </c>
    </row>
    <row r="120" spans="1:10" ht="15.75" customHeight="1" x14ac:dyDescent="0.2">
      <c r="A120" s="2" t="s">
        <v>990</v>
      </c>
      <c r="B120" s="2">
        <v>620.82529580989296</v>
      </c>
      <c r="C120" s="2">
        <v>25.706539520890999</v>
      </c>
      <c r="D120" s="2">
        <v>4.7848344464844397</v>
      </c>
      <c r="E120" s="2">
        <v>5.3725034394405098</v>
      </c>
      <c r="F120" s="10">
        <v>7.7650948023847202E-8</v>
      </c>
      <c r="G120" s="10">
        <v>4.2420683237167801E-5</v>
      </c>
      <c r="H120" s="11" t="s">
        <v>10</v>
      </c>
      <c r="I120" s="11" t="s">
        <v>10</v>
      </c>
      <c r="J120" s="33" t="str">
        <f>VLOOKUP(A120,TableS4!A:J,10,FALSE)</f>
        <v>-</v>
      </c>
    </row>
    <row r="121" spans="1:10" ht="15.75" customHeight="1" x14ac:dyDescent="0.2">
      <c r="A121" s="2" t="s">
        <v>995</v>
      </c>
      <c r="B121" s="2">
        <v>3379.0382475626402</v>
      </c>
      <c r="C121" s="2">
        <v>28.0727878569285</v>
      </c>
      <c r="D121" s="2">
        <v>4.78475408665253</v>
      </c>
      <c r="E121" s="2">
        <v>5.8671328449752398</v>
      </c>
      <c r="F121" s="10">
        <v>4.4339541989006601E-9</v>
      </c>
      <c r="G121" s="10">
        <v>4.14247622615325E-6</v>
      </c>
      <c r="H121" s="11" t="s">
        <v>10</v>
      </c>
      <c r="I121" s="11" t="s">
        <v>10</v>
      </c>
      <c r="J121" s="33" t="str">
        <f>VLOOKUP(A121,TableS4!A:J,10,FALSE)</f>
        <v>-</v>
      </c>
    </row>
    <row r="122" spans="1:10" ht="15.75" customHeight="1" x14ac:dyDescent="0.2">
      <c r="A122" s="2"/>
      <c r="B122" s="2"/>
      <c r="C122" s="2"/>
      <c r="D122" s="2"/>
      <c r="E122" s="2"/>
      <c r="F122" s="2"/>
      <c r="G122" s="2"/>
    </row>
    <row r="123" spans="1:10" ht="15.75" customHeight="1" x14ac:dyDescent="0.2">
      <c r="A123" s="2"/>
      <c r="B123" s="2"/>
      <c r="C123" s="2"/>
      <c r="D123" s="2"/>
      <c r="E123" s="2"/>
      <c r="F123" s="2"/>
      <c r="G123" s="2"/>
    </row>
    <row r="124" spans="1:10" ht="15.75" customHeight="1" x14ac:dyDescent="0.2">
      <c r="A124" s="2"/>
      <c r="B124" s="2"/>
      <c r="C124" s="2"/>
      <c r="D124" s="2"/>
      <c r="E124" s="2"/>
      <c r="F124" s="2"/>
      <c r="G124" s="2"/>
    </row>
    <row r="125" spans="1:10" ht="15.75" customHeight="1" x14ac:dyDescent="0.2">
      <c r="A125" s="2"/>
      <c r="B125" s="2"/>
      <c r="C125" s="2"/>
      <c r="D125" s="2"/>
      <c r="E125" s="2"/>
      <c r="F125" s="2"/>
      <c r="G125" s="2"/>
    </row>
    <row r="126" spans="1:10" ht="15.75" customHeight="1" x14ac:dyDescent="0.2">
      <c r="A126" s="2"/>
      <c r="B126" s="2"/>
      <c r="C126" s="2"/>
      <c r="D126" s="2"/>
      <c r="E126" s="2"/>
      <c r="F126" s="2"/>
      <c r="G126" s="2"/>
    </row>
    <row r="127" spans="1:10" ht="15.75" customHeight="1" x14ac:dyDescent="0.2">
      <c r="A127" s="2"/>
      <c r="B127" s="2"/>
      <c r="C127" s="2"/>
      <c r="D127" s="2"/>
      <c r="E127" s="2"/>
      <c r="F127" s="2"/>
      <c r="G127" s="2"/>
    </row>
    <row r="128" spans="1:10" ht="15.75" customHeight="1" x14ac:dyDescent="0.2">
      <c r="A128" s="2"/>
      <c r="B128" s="2"/>
      <c r="C128" s="2"/>
      <c r="D128" s="2"/>
      <c r="E128" s="2"/>
      <c r="F128" s="2"/>
      <c r="G128" s="2"/>
    </row>
    <row r="129" spans="1:7" ht="15.75" customHeight="1" x14ac:dyDescent="0.2">
      <c r="A129" s="2"/>
      <c r="B129" s="2"/>
      <c r="C129" s="2"/>
      <c r="D129" s="2"/>
      <c r="E129" s="2"/>
      <c r="F129" s="2"/>
      <c r="G129" s="2"/>
    </row>
    <row r="130" spans="1:7" ht="15.75" customHeight="1" x14ac:dyDescent="0.2">
      <c r="A130" s="2"/>
      <c r="B130" s="2"/>
      <c r="C130" s="2"/>
      <c r="D130" s="2"/>
      <c r="E130" s="2"/>
      <c r="F130" s="2"/>
      <c r="G130" s="2"/>
    </row>
    <row r="131" spans="1:7" ht="15.75" customHeight="1" x14ac:dyDescent="0.2">
      <c r="A131" s="2"/>
      <c r="B131" s="2"/>
      <c r="C131" s="2"/>
      <c r="D131" s="2"/>
      <c r="E131" s="2"/>
      <c r="F131" s="2"/>
      <c r="G131" s="2"/>
    </row>
    <row r="132" spans="1:7" ht="15.75" customHeight="1" x14ac:dyDescent="0.2">
      <c r="A132" s="2"/>
      <c r="B132" s="2"/>
      <c r="C132" s="2"/>
      <c r="D132" s="2"/>
      <c r="E132" s="2"/>
      <c r="F132" s="2"/>
      <c r="G132" s="2"/>
    </row>
    <row r="133" spans="1:7" ht="15.75" customHeight="1" x14ac:dyDescent="0.2">
      <c r="A133" s="2"/>
      <c r="B133" s="2"/>
      <c r="C133" s="2"/>
      <c r="D133" s="2"/>
      <c r="E133" s="2"/>
      <c r="F133" s="2"/>
      <c r="G133" s="2"/>
    </row>
    <row r="134" spans="1:7" ht="15.75" customHeight="1" x14ac:dyDescent="0.2">
      <c r="A134" s="2"/>
      <c r="B134" s="2"/>
      <c r="C134" s="2"/>
      <c r="D134" s="2"/>
      <c r="E134" s="2"/>
      <c r="F134" s="2"/>
      <c r="G134" s="2"/>
    </row>
    <row r="135" spans="1:7" ht="15.75" customHeight="1" x14ac:dyDescent="0.2">
      <c r="A135" s="2"/>
      <c r="B135" s="2"/>
      <c r="C135" s="2"/>
      <c r="D135" s="2"/>
      <c r="E135" s="2"/>
      <c r="F135" s="2"/>
      <c r="G135" s="2"/>
    </row>
    <row r="136" spans="1:7" ht="15.75" customHeight="1" x14ac:dyDescent="0.2">
      <c r="A136" s="2"/>
      <c r="B136" s="2"/>
      <c r="C136" s="2"/>
      <c r="D136" s="2"/>
      <c r="E136" s="2"/>
      <c r="F136" s="2"/>
      <c r="G136" s="2"/>
    </row>
    <row r="137" spans="1:7" ht="15.75" customHeight="1" x14ac:dyDescent="0.2">
      <c r="A137" s="2"/>
      <c r="B137" s="2"/>
      <c r="C137" s="2"/>
      <c r="D137" s="2"/>
      <c r="E137" s="2"/>
      <c r="F137" s="2"/>
      <c r="G137" s="2"/>
    </row>
    <row r="138" spans="1:7" ht="15.75" customHeight="1" x14ac:dyDescent="0.2">
      <c r="A138" s="2"/>
      <c r="B138" s="2"/>
      <c r="C138" s="2"/>
      <c r="D138" s="2"/>
      <c r="E138" s="2"/>
      <c r="F138" s="2"/>
      <c r="G138" s="2"/>
    </row>
    <row r="139" spans="1:7" ht="15.75" customHeight="1" x14ac:dyDescent="0.2">
      <c r="A139" s="2"/>
      <c r="B139" s="2"/>
      <c r="C139" s="2"/>
      <c r="D139" s="2"/>
      <c r="E139" s="2"/>
      <c r="F139" s="2"/>
      <c r="G139" s="2"/>
    </row>
    <row r="140" spans="1:7" ht="15.75" customHeight="1" x14ac:dyDescent="0.2">
      <c r="A140" s="2"/>
      <c r="B140" s="2"/>
      <c r="C140" s="2"/>
      <c r="D140" s="2"/>
      <c r="E140" s="2"/>
      <c r="F140" s="2"/>
      <c r="G140" s="2"/>
    </row>
    <row r="141" spans="1:7" ht="15.75" customHeight="1" x14ac:dyDescent="0.2">
      <c r="A141" s="2"/>
      <c r="B141" s="2"/>
      <c r="C141" s="2"/>
      <c r="D141" s="2"/>
      <c r="E141" s="2"/>
      <c r="F141" s="2"/>
      <c r="G141" s="2"/>
    </row>
    <row r="142" spans="1:7" ht="15.75" customHeight="1" x14ac:dyDescent="0.2">
      <c r="A142" s="2"/>
      <c r="B142" s="2"/>
      <c r="C142" s="2"/>
      <c r="D142" s="2"/>
      <c r="E142" s="2"/>
      <c r="F142" s="2"/>
      <c r="G142" s="2"/>
    </row>
    <row r="143" spans="1:7" ht="15.75" customHeight="1" x14ac:dyDescent="0.2">
      <c r="A143" s="2"/>
      <c r="B143" s="2"/>
      <c r="C143" s="2"/>
      <c r="D143" s="2"/>
      <c r="E143" s="2"/>
      <c r="F143" s="2"/>
      <c r="G143" s="2"/>
    </row>
    <row r="144" spans="1:7" ht="15.75" customHeight="1" x14ac:dyDescent="0.2">
      <c r="A144" s="2"/>
      <c r="B144" s="2"/>
      <c r="C144" s="2"/>
      <c r="D144" s="2"/>
      <c r="E144" s="2"/>
      <c r="F144" s="2"/>
      <c r="G144" s="2"/>
    </row>
    <row r="145" spans="1:7" ht="15.75" customHeight="1" x14ac:dyDescent="0.2">
      <c r="A145" s="2"/>
      <c r="B145" s="2"/>
      <c r="C145" s="2"/>
      <c r="D145" s="2"/>
      <c r="E145" s="2"/>
      <c r="F145" s="2"/>
      <c r="G145" s="2"/>
    </row>
    <row r="146" spans="1:7" ht="15.75" customHeight="1" x14ac:dyDescent="0.2">
      <c r="A146" s="2"/>
      <c r="B146" s="2"/>
      <c r="C146" s="2"/>
      <c r="D146" s="2"/>
      <c r="E146" s="2"/>
      <c r="F146" s="2"/>
      <c r="G146" s="2"/>
    </row>
    <row r="147" spans="1:7" ht="15.75" customHeight="1" x14ac:dyDescent="0.2">
      <c r="A147" s="2"/>
      <c r="B147" s="2"/>
      <c r="C147" s="2"/>
      <c r="D147" s="2"/>
      <c r="E147" s="2"/>
      <c r="F147" s="2"/>
      <c r="G147" s="2"/>
    </row>
    <row r="148" spans="1:7" ht="15.75" customHeight="1" x14ac:dyDescent="0.2">
      <c r="A148" s="2"/>
      <c r="B148" s="2"/>
      <c r="C148" s="2"/>
      <c r="D148" s="2"/>
      <c r="E148" s="2"/>
      <c r="F148" s="2"/>
      <c r="G148" s="2"/>
    </row>
    <row r="149" spans="1:7" ht="15.75" customHeight="1" x14ac:dyDescent="0.2">
      <c r="A149" s="2"/>
      <c r="B149" s="2"/>
      <c r="C149" s="2"/>
      <c r="D149" s="2"/>
      <c r="E149" s="2"/>
      <c r="F149" s="2"/>
      <c r="G149" s="2"/>
    </row>
    <row r="150" spans="1:7" ht="15.75" customHeight="1" x14ac:dyDescent="0.2">
      <c r="A150" s="2"/>
      <c r="B150" s="2"/>
      <c r="C150" s="2"/>
      <c r="D150" s="2"/>
      <c r="E150" s="2"/>
      <c r="F150" s="2"/>
      <c r="G150" s="2"/>
    </row>
    <row r="151" spans="1:7" ht="15.75" customHeight="1" x14ac:dyDescent="0.2">
      <c r="A151" s="2"/>
      <c r="B151" s="2"/>
      <c r="C151" s="2"/>
      <c r="D151" s="2"/>
      <c r="E151" s="2"/>
      <c r="F151" s="2"/>
      <c r="G151" s="2"/>
    </row>
    <row r="152" spans="1:7" ht="15.75" customHeight="1" x14ac:dyDescent="0.2">
      <c r="A152" s="2"/>
      <c r="B152" s="2"/>
      <c r="C152" s="2"/>
      <c r="D152" s="2"/>
      <c r="E152" s="2"/>
      <c r="F152" s="2"/>
      <c r="G152" s="2"/>
    </row>
    <row r="153" spans="1:7" ht="15.75" customHeight="1" x14ac:dyDescent="0.2">
      <c r="A153" s="2"/>
      <c r="B153" s="2"/>
      <c r="C153" s="2"/>
      <c r="D153" s="2"/>
      <c r="E153" s="2"/>
      <c r="F153" s="2"/>
      <c r="G153" s="2"/>
    </row>
    <row r="154" spans="1:7" ht="15.75" customHeight="1" x14ac:dyDescent="0.2">
      <c r="A154" s="2"/>
      <c r="B154" s="2"/>
      <c r="C154" s="2"/>
      <c r="D154" s="2"/>
      <c r="E154" s="2"/>
      <c r="F154" s="2"/>
      <c r="G154" s="2"/>
    </row>
    <row r="155" spans="1:7" ht="15.75" customHeight="1" x14ac:dyDescent="0.2">
      <c r="A155" s="2"/>
      <c r="B155" s="2"/>
      <c r="C155" s="2"/>
      <c r="D155" s="2"/>
      <c r="E155" s="2"/>
      <c r="F155" s="2"/>
      <c r="G155" s="2"/>
    </row>
    <row r="156" spans="1:7" ht="15.75" customHeight="1" x14ac:dyDescent="0.2">
      <c r="A156" s="2"/>
      <c r="B156" s="2"/>
      <c r="C156" s="2"/>
      <c r="D156" s="2"/>
      <c r="E156" s="2"/>
      <c r="F156" s="2"/>
      <c r="G156" s="2"/>
    </row>
    <row r="157" spans="1:7" ht="15.75" customHeight="1" x14ac:dyDescent="0.2">
      <c r="A157" s="2"/>
      <c r="B157" s="2"/>
      <c r="C157" s="2"/>
      <c r="D157" s="2"/>
      <c r="E157" s="2"/>
      <c r="F157" s="2"/>
      <c r="G157" s="2"/>
    </row>
    <row r="158" spans="1:7" ht="15.75" customHeight="1" x14ac:dyDescent="0.2">
      <c r="A158" s="2"/>
      <c r="B158" s="2"/>
      <c r="C158" s="2"/>
      <c r="D158" s="2"/>
      <c r="E158" s="2"/>
      <c r="F158" s="2"/>
      <c r="G158" s="2"/>
    </row>
    <row r="159" spans="1:7" ht="15.75" customHeight="1" x14ac:dyDescent="0.2">
      <c r="A159" s="2"/>
      <c r="B159" s="2"/>
      <c r="C159" s="2"/>
      <c r="D159" s="2"/>
      <c r="E159" s="2"/>
      <c r="F159" s="2"/>
      <c r="G159" s="2"/>
    </row>
    <row r="160" spans="1:7" ht="15.75" customHeight="1" x14ac:dyDescent="0.2">
      <c r="A160" s="2"/>
      <c r="B160" s="2"/>
      <c r="C160" s="2"/>
      <c r="D160" s="2"/>
      <c r="E160" s="2"/>
      <c r="F160" s="2"/>
      <c r="G160" s="2"/>
    </row>
    <row r="161" spans="1:7" ht="15.75" customHeight="1" x14ac:dyDescent="0.2">
      <c r="A161" s="2"/>
      <c r="B161" s="2"/>
      <c r="C161" s="2"/>
      <c r="D161" s="2"/>
      <c r="E161" s="2"/>
      <c r="F161" s="2"/>
      <c r="G161" s="2"/>
    </row>
    <row r="162" spans="1:7" ht="15.75" customHeight="1" x14ac:dyDescent="0.2">
      <c r="A162" s="2"/>
      <c r="B162" s="2"/>
      <c r="C162" s="2"/>
      <c r="D162" s="2"/>
      <c r="E162" s="2"/>
      <c r="F162" s="2"/>
      <c r="G162" s="2"/>
    </row>
    <row r="163" spans="1:7" ht="15.75" customHeight="1" x14ac:dyDescent="0.2">
      <c r="A163" s="2"/>
      <c r="B163" s="2"/>
      <c r="C163" s="2"/>
      <c r="D163" s="2"/>
      <c r="E163" s="2"/>
      <c r="F163" s="2"/>
      <c r="G163" s="2"/>
    </row>
    <row r="164" spans="1:7" ht="15.75" customHeight="1" x14ac:dyDescent="0.2">
      <c r="A164" s="2"/>
      <c r="B164" s="2"/>
      <c r="C164" s="2"/>
      <c r="D164" s="2"/>
      <c r="E164" s="2"/>
      <c r="F164" s="2"/>
      <c r="G164" s="2"/>
    </row>
    <row r="165" spans="1:7" ht="15.75" customHeight="1" x14ac:dyDescent="0.2">
      <c r="A165" s="2"/>
      <c r="B165" s="2"/>
      <c r="C165" s="2"/>
      <c r="D165" s="2"/>
      <c r="E165" s="2"/>
      <c r="F165" s="2"/>
      <c r="G165" s="2"/>
    </row>
    <row r="166" spans="1:7" ht="15.75" customHeight="1" x14ac:dyDescent="0.2">
      <c r="A166" s="2"/>
      <c r="B166" s="2"/>
      <c r="C166" s="2"/>
      <c r="D166" s="2"/>
      <c r="E166" s="2"/>
      <c r="F166" s="2"/>
      <c r="G166" s="2"/>
    </row>
    <row r="167" spans="1:7" ht="15.75" customHeight="1" x14ac:dyDescent="0.2">
      <c r="A167" s="2"/>
      <c r="B167" s="2"/>
      <c r="C167" s="2"/>
      <c r="D167" s="2"/>
      <c r="E167" s="2"/>
      <c r="F167" s="2"/>
      <c r="G167" s="2"/>
    </row>
    <row r="168" spans="1:7" ht="15.75" customHeight="1" x14ac:dyDescent="0.2">
      <c r="A168" s="2"/>
      <c r="B168" s="2"/>
      <c r="C168" s="2"/>
      <c r="D168" s="2"/>
      <c r="E168" s="2"/>
      <c r="F168" s="2"/>
      <c r="G168" s="2"/>
    </row>
    <row r="169" spans="1:7" ht="15.75" customHeight="1" x14ac:dyDescent="0.2">
      <c r="A169" s="2"/>
      <c r="B169" s="2"/>
      <c r="C169" s="2"/>
      <c r="D169" s="2"/>
      <c r="E169" s="2"/>
      <c r="F169" s="2"/>
      <c r="G169" s="2"/>
    </row>
    <row r="170" spans="1:7" ht="15.75" customHeight="1" x14ac:dyDescent="0.2">
      <c r="A170" s="2"/>
      <c r="B170" s="2"/>
      <c r="C170" s="2"/>
      <c r="D170" s="2"/>
      <c r="E170" s="2"/>
      <c r="F170" s="2"/>
      <c r="G170" s="2"/>
    </row>
    <row r="171" spans="1:7" ht="15.75" customHeight="1" x14ac:dyDescent="0.2">
      <c r="A171" s="2"/>
      <c r="B171" s="2"/>
      <c r="C171" s="2"/>
      <c r="D171" s="2"/>
      <c r="E171" s="2"/>
      <c r="F171" s="2"/>
      <c r="G171" s="2"/>
    </row>
    <row r="172" spans="1:7" ht="15.75" customHeight="1" x14ac:dyDescent="0.2">
      <c r="A172" s="2"/>
      <c r="B172" s="2"/>
      <c r="C172" s="2"/>
      <c r="D172" s="2"/>
      <c r="E172" s="2"/>
      <c r="F172" s="2"/>
      <c r="G172" s="2"/>
    </row>
    <row r="173" spans="1:7" ht="15.75" customHeight="1" x14ac:dyDescent="0.2">
      <c r="A173" s="2"/>
      <c r="B173" s="2"/>
      <c r="C173" s="2"/>
      <c r="D173" s="2"/>
      <c r="E173" s="2"/>
      <c r="F173" s="2"/>
      <c r="G173" s="2"/>
    </row>
    <row r="174" spans="1:7" ht="15.75" customHeight="1" x14ac:dyDescent="0.2">
      <c r="A174" s="2"/>
      <c r="B174" s="2"/>
      <c r="C174" s="2"/>
      <c r="D174" s="2"/>
      <c r="E174" s="2"/>
      <c r="F174" s="2"/>
      <c r="G174" s="2"/>
    </row>
    <row r="175" spans="1:7" ht="15.75" customHeight="1" x14ac:dyDescent="0.2">
      <c r="A175" s="2"/>
      <c r="B175" s="2"/>
      <c r="C175" s="2"/>
      <c r="D175" s="2"/>
      <c r="E175" s="2"/>
      <c r="F175" s="2"/>
      <c r="G175" s="2"/>
    </row>
    <row r="176" spans="1:7" ht="15.75" customHeight="1" x14ac:dyDescent="0.2">
      <c r="A176" s="2"/>
      <c r="B176" s="2"/>
      <c r="C176" s="2"/>
      <c r="D176" s="2"/>
      <c r="E176" s="2"/>
      <c r="F176" s="2"/>
      <c r="G176" s="2"/>
    </row>
    <row r="177" spans="1:7" ht="15.75" customHeight="1" x14ac:dyDescent="0.2">
      <c r="A177" s="2"/>
      <c r="B177" s="2"/>
      <c r="C177" s="2"/>
      <c r="D177" s="2"/>
      <c r="E177" s="2"/>
      <c r="F177" s="2"/>
      <c r="G177" s="2"/>
    </row>
    <row r="178" spans="1:7" ht="15.75" customHeight="1" x14ac:dyDescent="0.2">
      <c r="A178" s="2"/>
      <c r="B178" s="2"/>
      <c r="C178" s="2"/>
      <c r="D178" s="2"/>
      <c r="E178" s="2"/>
      <c r="F178" s="2"/>
      <c r="G178" s="2"/>
    </row>
    <row r="179" spans="1:7" ht="15.75" customHeight="1" x14ac:dyDescent="0.2">
      <c r="A179" s="2"/>
      <c r="B179" s="2"/>
      <c r="C179" s="2"/>
      <c r="D179" s="2"/>
      <c r="E179" s="2"/>
      <c r="F179" s="2"/>
      <c r="G179" s="2"/>
    </row>
    <row r="180" spans="1:7" ht="15.75" customHeight="1" x14ac:dyDescent="0.2">
      <c r="A180" s="2"/>
      <c r="B180" s="2"/>
      <c r="C180" s="2"/>
      <c r="D180" s="2"/>
      <c r="E180" s="2"/>
      <c r="F180" s="2"/>
      <c r="G180" s="2"/>
    </row>
    <row r="181" spans="1:7" ht="15.75" customHeight="1" x14ac:dyDescent="0.2">
      <c r="A181" s="2"/>
      <c r="B181" s="2"/>
      <c r="C181" s="2"/>
      <c r="D181" s="2"/>
      <c r="E181" s="2"/>
      <c r="F181" s="2"/>
      <c r="G181" s="2"/>
    </row>
    <row r="182" spans="1:7" ht="15.75" customHeight="1" x14ac:dyDescent="0.2">
      <c r="A182" s="2"/>
      <c r="B182" s="2"/>
      <c r="C182" s="2"/>
      <c r="D182" s="2"/>
      <c r="E182" s="2"/>
      <c r="F182" s="2"/>
      <c r="G182" s="2"/>
    </row>
    <row r="183" spans="1:7" ht="15.75" customHeight="1" x14ac:dyDescent="0.2">
      <c r="A183" s="2"/>
      <c r="B183" s="2"/>
      <c r="C183" s="2"/>
      <c r="D183" s="2"/>
      <c r="E183" s="2"/>
      <c r="F183" s="2"/>
      <c r="G183" s="2"/>
    </row>
    <row r="184" spans="1:7" ht="15.75" customHeight="1" x14ac:dyDescent="0.2">
      <c r="A184" s="2"/>
      <c r="B184" s="2"/>
      <c r="C184" s="2"/>
      <c r="D184" s="2"/>
      <c r="E184" s="2"/>
      <c r="F184" s="2"/>
      <c r="G184" s="2"/>
    </row>
    <row r="185" spans="1:7" ht="15.75" customHeight="1" x14ac:dyDescent="0.2">
      <c r="A185" s="2"/>
      <c r="B185" s="2"/>
      <c r="C185" s="2"/>
      <c r="D185" s="2"/>
      <c r="E185" s="2"/>
      <c r="F185" s="2"/>
      <c r="G185" s="2"/>
    </row>
    <row r="186" spans="1:7" ht="15.75" customHeight="1" x14ac:dyDescent="0.2">
      <c r="A186" s="2"/>
      <c r="B186" s="2"/>
      <c r="C186" s="2"/>
      <c r="D186" s="2"/>
      <c r="E186" s="2"/>
      <c r="F186" s="2"/>
      <c r="G186" s="2"/>
    </row>
    <row r="187" spans="1:7" ht="15.75" customHeight="1" x14ac:dyDescent="0.2">
      <c r="A187" s="2"/>
      <c r="B187" s="2"/>
      <c r="C187" s="2"/>
      <c r="D187" s="2"/>
      <c r="E187" s="2"/>
      <c r="F187" s="2"/>
      <c r="G187" s="2"/>
    </row>
    <row r="188" spans="1:7" ht="15.75" customHeight="1" x14ac:dyDescent="0.2">
      <c r="A188" s="2"/>
      <c r="B188" s="2"/>
      <c r="C188" s="2"/>
      <c r="D188" s="2"/>
      <c r="E188" s="2"/>
      <c r="F188" s="2"/>
      <c r="G188" s="2"/>
    </row>
    <row r="189" spans="1:7" ht="15.75" customHeight="1" x14ac:dyDescent="0.2">
      <c r="A189" s="2"/>
      <c r="B189" s="2"/>
      <c r="C189" s="2"/>
      <c r="D189" s="2"/>
      <c r="E189" s="2"/>
      <c r="F189" s="2"/>
      <c r="G189" s="2"/>
    </row>
    <row r="190" spans="1:7" ht="15.75" customHeight="1" x14ac:dyDescent="0.2">
      <c r="A190" s="2"/>
      <c r="B190" s="2"/>
      <c r="C190" s="2"/>
      <c r="D190" s="2"/>
      <c r="E190" s="2"/>
      <c r="F190" s="2"/>
      <c r="G190" s="2"/>
    </row>
    <row r="191" spans="1:7" ht="15.75" customHeight="1" x14ac:dyDescent="0.2">
      <c r="A191" s="2"/>
      <c r="B191" s="2"/>
      <c r="C191" s="2"/>
      <c r="D191" s="2"/>
      <c r="E191" s="2"/>
      <c r="F191" s="2"/>
      <c r="G191" s="2"/>
    </row>
    <row r="192" spans="1:7" ht="15.75" customHeight="1" x14ac:dyDescent="0.2">
      <c r="A192" s="2"/>
      <c r="B192" s="2"/>
      <c r="C192" s="2"/>
      <c r="D192" s="2"/>
      <c r="E192" s="2"/>
      <c r="F192" s="2"/>
      <c r="G192" s="2"/>
    </row>
    <row r="193" spans="1:7" ht="15.75" customHeight="1" x14ac:dyDescent="0.2">
      <c r="A193" s="2"/>
      <c r="B193" s="2"/>
      <c r="C193" s="2"/>
      <c r="D193" s="2"/>
      <c r="E193" s="2"/>
      <c r="F193" s="2"/>
      <c r="G193" s="2"/>
    </row>
    <row r="194" spans="1:7" ht="15.75" customHeight="1" x14ac:dyDescent="0.2">
      <c r="A194" s="2"/>
      <c r="B194" s="2"/>
      <c r="C194" s="2"/>
      <c r="D194" s="2"/>
      <c r="E194" s="2"/>
      <c r="F194" s="2"/>
      <c r="G194" s="2"/>
    </row>
    <row r="195" spans="1:7" ht="15.75" customHeight="1" x14ac:dyDescent="0.2">
      <c r="A195" s="2"/>
      <c r="B195" s="2"/>
      <c r="C195" s="2"/>
      <c r="D195" s="2"/>
      <c r="E195" s="2"/>
      <c r="F195" s="2"/>
      <c r="G195" s="2"/>
    </row>
    <row r="196" spans="1:7" ht="15.75" customHeight="1" x14ac:dyDescent="0.2">
      <c r="A196" s="2"/>
      <c r="B196" s="2"/>
      <c r="C196" s="2"/>
      <c r="D196" s="2"/>
      <c r="E196" s="2"/>
      <c r="F196" s="2"/>
      <c r="G196" s="2"/>
    </row>
    <row r="197" spans="1:7" ht="15.75" customHeight="1" x14ac:dyDescent="0.2">
      <c r="A197" s="2"/>
      <c r="B197" s="2"/>
      <c r="C197" s="2"/>
      <c r="D197" s="2"/>
      <c r="E197" s="2"/>
      <c r="F197" s="2"/>
      <c r="G197" s="2"/>
    </row>
    <row r="198" spans="1:7" ht="15.75" customHeight="1" x14ac:dyDescent="0.2">
      <c r="A198" s="2"/>
      <c r="B198" s="2"/>
      <c r="C198" s="2"/>
      <c r="D198" s="2"/>
      <c r="E198" s="2"/>
      <c r="F198" s="2"/>
      <c r="G198" s="2"/>
    </row>
    <row r="199" spans="1:7" ht="15.75" customHeight="1" x14ac:dyDescent="0.2">
      <c r="A199" s="2"/>
      <c r="B199" s="2"/>
      <c r="C199" s="2"/>
      <c r="D199" s="2"/>
      <c r="E199" s="2"/>
      <c r="F199" s="2"/>
      <c r="G199" s="2"/>
    </row>
    <row r="200" spans="1:7" ht="15.75" customHeight="1" x14ac:dyDescent="0.2">
      <c r="A200" s="2"/>
      <c r="B200" s="2"/>
      <c r="C200" s="2"/>
      <c r="D200" s="2"/>
      <c r="E200" s="2"/>
      <c r="F200" s="2"/>
      <c r="G200" s="2"/>
    </row>
    <row r="201" spans="1:7" ht="15.75" customHeight="1" x14ac:dyDescent="0.2">
      <c r="A201" s="2"/>
      <c r="B201" s="2"/>
      <c r="C201" s="2"/>
      <c r="D201" s="2"/>
      <c r="E201" s="2"/>
      <c r="F201" s="2"/>
      <c r="G201" s="2"/>
    </row>
    <row r="202" spans="1:7" ht="15.75" customHeight="1" x14ac:dyDescent="0.2">
      <c r="A202" s="2"/>
      <c r="B202" s="2"/>
      <c r="C202" s="2"/>
      <c r="D202" s="2"/>
      <c r="E202" s="2"/>
      <c r="F202" s="2"/>
      <c r="G202" s="2"/>
    </row>
    <row r="203" spans="1:7" ht="15.75" customHeight="1" x14ac:dyDescent="0.2">
      <c r="A203" s="2"/>
      <c r="B203" s="2"/>
      <c r="C203" s="2"/>
      <c r="D203" s="2"/>
      <c r="E203" s="2"/>
      <c r="F203" s="2"/>
      <c r="G203" s="2"/>
    </row>
    <row r="204" spans="1:7" ht="15.75" customHeight="1" x14ac:dyDescent="0.2">
      <c r="A204" s="2"/>
      <c r="B204" s="2"/>
      <c r="C204" s="2"/>
      <c r="D204" s="2"/>
      <c r="E204" s="2"/>
      <c r="F204" s="2"/>
      <c r="G204" s="2"/>
    </row>
    <row r="205" spans="1:7" ht="15.75" customHeight="1" x14ac:dyDescent="0.2">
      <c r="A205" s="2"/>
      <c r="B205" s="2"/>
      <c r="C205" s="2"/>
      <c r="D205" s="2"/>
      <c r="E205" s="2"/>
      <c r="F205" s="2"/>
      <c r="G205" s="2"/>
    </row>
    <row r="206" spans="1:7" ht="15.75" customHeight="1" x14ac:dyDescent="0.2">
      <c r="A206" s="2"/>
      <c r="B206" s="2"/>
      <c r="C206" s="2"/>
      <c r="D206" s="2"/>
      <c r="E206" s="2"/>
      <c r="F206" s="2"/>
      <c r="G206" s="2"/>
    </row>
    <row r="207" spans="1:7" ht="15.75" customHeight="1" x14ac:dyDescent="0.2">
      <c r="A207" s="2"/>
      <c r="B207" s="2"/>
      <c r="C207" s="2"/>
      <c r="D207" s="2"/>
      <c r="E207" s="2"/>
      <c r="F207" s="2"/>
      <c r="G207" s="2"/>
    </row>
    <row r="208" spans="1:7" ht="15.75" customHeight="1" x14ac:dyDescent="0.2">
      <c r="A208" s="2"/>
      <c r="B208" s="2"/>
      <c r="C208" s="2"/>
      <c r="D208" s="2"/>
      <c r="E208" s="2"/>
      <c r="F208" s="2"/>
      <c r="G208" s="2"/>
    </row>
    <row r="209" spans="1:7" ht="15.75" customHeight="1" x14ac:dyDescent="0.2">
      <c r="A209" s="2"/>
      <c r="B209" s="2"/>
      <c r="C209" s="2"/>
      <c r="D209" s="2"/>
      <c r="E209" s="2"/>
      <c r="F209" s="2"/>
      <c r="G209" s="2"/>
    </row>
    <row r="210" spans="1:7" ht="15.75" customHeight="1" x14ac:dyDescent="0.2">
      <c r="A210" s="2"/>
      <c r="B210" s="2"/>
      <c r="C210" s="2"/>
      <c r="D210" s="2"/>
      <c r="E210" s="2"/>
      <c r="F210" s="2"/>
      <c r="G210" s="2"/>
    </row>
    <row r="211" spans="1:7" ht="15.75" customHeight="1" x14ac:dyDescent="0.2">
      <c r="A211" s="2"/>
      <c r="B211" s="2"/>
      <c r="C211" s="2"/>
      <c r="D211" s="2"/>
      <c r="E211" s="2"/>
      <c r="F211" s="2"/>
      <c r="G211" s="2"/>
    </row>
    <row r="212" spans="1:7" ht="15.75" customHeight="1" x14ac:dyDescent="0.2">
      <c r="A212" s="2"/>
      <c r="B212" s="2"/>
      <c r="C212" s="2"/>
      <c r="D212" s="2"/>
      <c r="E212" s="2"/>
      <c r="F212" s="2"/>
      <c r="G212" s="2"/>
    </row>
    <row r="213" spans="1:7" ht="15.75" customHeight="1" x14ac:dyDescent="0.2">
      <c r="A213" s="2"/>
      <c r="B213" s="2"/>
      <c r="C213" s="2"/>
      <c r="D213" s="2"/>
      <c r="E213" s="2"/>
      <c r="F213" s="2"/>
      <c r="G213" s="2"/>
    </row>
    <row r="214" spans="1:7" ht="15.75" customHeight="1" x14ac:dyDescent="0.2">
      <c r="A214" s="2"/>
      <c r="B214" s="2"/>
      <c r="C214" s="2"/>
      <c r="D214" s="2"/>
      <c r="E214" s="2"/>
      <c r="F214" s="2"/>
      <c r="G214" s="2"/>
    </row>
    <row r="215" spans="1:7" ht="15.75" customHeight="1" x14ac:dyDescent="0.2">
      <c r="A215" s="2"/>
      <c r="B215" s="2"/>
      <c r="C215" s="2"/>
      <c r="D215" s="2"/>
      <c r="E215" s="2"/>
      <c r="F215" s="2"/>
      <c r="G215" s="2"/>
    </row>
    <row r="216" spans="1:7" ht="15.75" customHeight="1" x14ac:dyDescent="0.2">
      <c r="A216" s="2"/>
      <c r="B216" s="2"/>
      <c r="C216" s="2"/>
      <c r="D216" s="2"/>
      <c r="E216" s="2"/>
      <c r="F216" s="2"/>
      <c r="G216" s="2"/>
    </row>
    <row r="217" spans="1:7" ht="15.75" customHeight="1" x14ac:dyDescent="0.2">
      <c r="A217" s="2"/>
      <c r="B217" s="2"/>
      <c r="C217" s="2"/>
      <c r="D217" s="2"/>
      <c r="E217" s="2"/>
      <c r="F217" s="2"/>
      <c r="G217" s="2"/>
    </row>
    <row r="218" spans="1:7" ht="15.75" customHeight="1" x14ac:dyDescent="0.2">
      <c r="A218" s="2"/>
      <c r="B218" s="2"/>
      <c r="C218" s="2"/>
      <c r="D218" s="2"/>
      <c r="E218" s="2"/>
      <c r="F218" s="2"/>
      <c r="G218" s="2"/>
    </row>
    <row r="219" spans="1:7" ht="15.75" customHeight="1" x14ac:dyDescent="0.2">
      <c r="A219" s="2"/>
      <c r="B219" s="2"/>
      <c r="C219" s="2"/>
      <c r="D219" s="2"/>
      <c r="E219" s="2"/>
      <c r="F219" s="2"/>
      <c r="G219" s="2"/>
    </row>
    <row r="220" spans="1:7" ht="15.75" customHeight="1" x14ac:dyDescent="0.2">
      <c r="A220" s="2"/>
      <c r="B220" s="2"/>
      <c r="C220" s="2"/>
      <c r="D220" s="2"/>
      <c r="E220" s="2"/>
      <c r="F220" s="2"/>
      <c r="G220" s="2"/>
    </row>
    <row r="221" spans="1:7" ht="15.75" customHeight="1" x14ac:dyDescent="0.2">
      <c r="A221" s="2"/>
      <c r="B221" s="2"/>
      <c r="C221" s="2"/>
      <c r="D221" s="2"/>
      <c r="E221" s="2"/>
      <c r="F221" s="2"/>
      <c r="G221" s="2"/>
    </row>
    <row r="222" spans="1:7" ht="15.75" customHeight="1" x14ac:dyDescent="0.2">
      <c r="A222" s="2"/>
      <c r="B222" s="2"/>
      <c r="C222" s="2"/>
      <c r="D222" s="2"/>
      <c r="E222" s="2"/>
      <c r="F222" s="2"/>
      <c r="G222" s="2"/>
    </row>
    <row r="223" spans="1:7" ht="15.75" customHeight="1" x14ac:dyDescent="0.2">
      <c r="A223" s="2"/>
      <c r="B223" s="2"/>
      <c r="C223" s="2"/>
      <c r="D223" s="2"/>
      <c r="E223" s="2"/>
      <c r="F223" s="2"/>
      <c r="G223" s="2"/>
    </row>
    <row r="224" spans="1:7" ht="15.75" customHeight="1" x14ac:dyDescent="0.2">
      <c r="A224" s="2"/>
      <c r="B224" s="2"/>
      <c r="C224" s="2"/>
      <c r="D224" s="2"/>
      <c r="E224" s="2"/>
      <c r="F224" s="2"/>
      <c r="G224" s="2"/>
    </row>
    <row r="225" spans="1:7" ht="15.75" customHeight="1" x14ac:dyDescent="0.2">
      <c r="A225" s="2"/>
      <c r="B225" s="2"/>
      <c r="C225" s="2"/>
      <c r="D225" s="2"/>
      <c r="E225" s="2"/>
      <c r="F225" s="2"/>
      <c r="G225" s="2"/>
    </row>
    <row r="226" spans="1:7" ht="15.75" customHeight="1" x14ac:dyDescent="0.2">
      <c r="A226" s="2"/>
      <c r="B226" s="2"/>
      <c r="C226" s="2"/>
      <c r="D226" s="2"/>
      <c r="E226" s="2"/>
      <c r="F226" s="2"/>
      <c r="G226" s="2"/>
    </row>
    <row r="227" spans="1:7" ht="15.75" customHeight="1" x14ac:dyDescent="0.2">
      <c r="A227" s="2"/>
      <c r="B227" s="2"/>
      <c r="C227" s="2"/>
      <c r="D227" s="2"/>
      <c r="E227" s="2"/>
      <c r="F227" s="2"/>
      <c r="G227" s="2"/>
    </row>
    <row r="228" spans="1:7" ht="15.75" customHeight="1" x14ac:dyDescent="0.2">
      <c r="A228" s="2"/>
      <c r="B228" s="2"/>
      <c r="C228" s="2"/>
      <c r="D228" s="2"/>
      <c r="E228" s="2"/>
      <c r="F228" s="2"/>
      <c r="G228" s="2"/>
    </row>
    <row r="229" spans="1:7" ht="15.75" customHeight="1" x14ac:dyDescent="0.2">
      <c r="A229" s="2"/>
      <c r="B229" s="2"/>
      <c r="C229" s="2"/>
      <c r="D229" s="2"/>
      <c r="E229" s="2"/>
      <c r="F229" s="2"/>
      <c r="G229" s="2"/>
    </row>
    <row r="230" spans="1:7" ht="15.75" customHeight="1" x14ac:dyDescent="0.2">
      <c r="A230" s="2"/>
      <c r="B230" s="2"/>
      <c r="C230" s="2"/>
      <c r="D230" s="2"/>
      <c r="E230" s="2"/>
      <c r="F230" s="2"/>
      <c r="G230" s="2"/>
    </row>
    <row r="231" spans="1:7" ht="15.75" customHeight="1" x14ac:dyDescent="0.2">
      <c r="A231" s="2"/>
      <c r="B231" s="2"/>
      <c r="C231" s="2"/>
      <c r="D231" s="2"/>
      <c r="E231" s="2"/>
      <c r="F231" s="2"/>
      <c r="G231" s="2"/>
    </row>
    <row r="232" spans="1:7" ht="15.75" customHeight="1" x14ac:dyDescent="0.2">
      <c r="A232" s="2"/>
      <c r="B232" s="2"/>
      <c r="C232" s="2"/>
      <c r="D232" s="2"/>
      <c r="E232" s="2"/>
      <c r="F232" s="2"/>
      <c r="G232" s="2"/>
    </row>
    <row r="233" spans="1:7" ht="15.75" customHeight="1" x14ac:dyDescent="0.2">
      <c r="A233" s="2"/>
      <c r="B233" s="2"/>
      <c r="C233" s="2"/>
      <c r="D233" s="2"/>
      <c r="E233" s="2"/>
      <c r="F233" s="2"/>
      <c r="G233" s="2"/>
    </row>
    <row r="234" spans="1:7" ht="15.75" customHeight="1" x14ac:dyDescent="0.2">
      <c r="A234" s="2"/>
      <c r="B234" s="2"/>
      <c r="C234" s="2"/>
      <c r="D234" s="2"/>
      <c r="E234" s="2"/>
      <c r="F234" s="2"/>
      <c r="G234" s="2"/>
    </row>
    <row r="235" spans="1:7" ht="15.75" customHeight="1" x14ac:dyDescent="0.2">
      <c r="A235" s="2"/>
      <c r="B235" s="2"/>
      <c r="C235" s="2"/>
      <c r="D235" s="2"/>
      <c r="E235" s="2"/>
      <c r="F235" s="2"/>
      <c r="G235" s="2"/>
    </row>
    <row r="236" spans="1:7" ht="15.75" customHeight="1" x14ac:dyDescent="0.2">
      <c r="A236" s="2"/>
      <c r="B236" s="2"/>
      <c r="C236" s="2"/>
      <c r="D236" s="2"/>
      <c r="E236" s="2"/>
      <c r="F236" s="2"/>
      <c r="G236" s="2"/>
    </row>
    <row r="237" spans="1:7" ht="15.75" customHeight="1" x14ac:dyDescent="0.2">
      <c r="A237" s="2"/>
      <c r="B237" s="2"/>
      <c r="C237" s="2"/>
      <c r="D237" s="2"/>
      <c r="E237" s="2"/>
      <c r="F237" s="2"/>
      <c r="G237" s="2"/>
    </row>
    <row r="238" spans="1:7" ht="15.75" customHeight="1" x14ac:dyDescent="0.2">
      <c r="A238" s="2"/>
      <c r="B238" s="2"/>
      <c r="C238" s="2"/>
      <c r="D238" s="2"/>
      <c r="E238" s="2"/>
      <c r="F238" s="2"/>
      <c r="G238" s="2"/>
    </row>
    <row r="239" spans="1:7" ht="15.75" customHeight="1" x14ac:dyDescent="0.2">
      <c r="A239" s="2"/>
      <c r="B239" s="2"/>
      <c r="C239" s="2"/>
      <c r="D239" s="2"/>
      <c r="E239" s="2"/>
      <c r="F239" s="2"/>
      <c r="G239" s="2"/>
    </row>
    <row r="240" spans="1:7" ht="15.75" customHeight="1" x14ac:dyDescent="0.2">
      <c r="A240" s="2"/>
      <c r="B240" s="2"/>
      <c r="C240" s="2"/>
      <c r="D240" s="2"/>
      <c r="E240" s="2"/>
      <c r="F240" s="2"/>
      <c r="G240" s="2"/>
    </row>
    <row r="241" spans="1:7" ht="15.75" customHeight="1" x14ac:dyDescent="0.2">
      <c r="A241" s="2"/>
      <c r="B241" s="2"/>
      <c r="C241" s="2"/>
      <c r="D241" s="2"/>
      <c r="E241" s="2"/>
      <c r="F241" s="2"/>
      <c r="G241" s="2"/>
    </row>
    <row r="242" spans="1:7" ht="15.75" customHeight="1" x14ac:dyDescent="0.2">
      <c r="A242" s="2"/>
      <c r="B242" s="2"/>
      <c r="C242" s="2"/>
      <c r="D242" s="2"/>
      <c r="E242" s="2"/>
      <c r="F242" s="2"/>
      <c r="G242" s="2"/>
    </row>
    <row r="243" spans="1:7" ht="15.75" customHeight="1" x14ac:dyDescent="0.2">
      <c r="A243" s="2"/>
      <c r="B243" s="2"/>
      <c r="C243" s="2"/>
      <c r="D243" s="2"/>
      <c r="E243" s="2"/>
      <c r="F243" s="2"/>
      <c r="G243" s="2"/>
    </row>
    <row r="244" spans="1:7" ht="15.75" customHeight="1" x14ac:dyDescent="0.2">
      <c r="A244" s="2"/>
      <c r="B244" s="2"/>
      <c r="C244" s="2"/>
      <c r="D244" s="2"/>
      <c r="E244" s="2"/>
      <c r="F244" s="2"/>
      <c r="G244" s="2"/>
    </row>
    <row r="245" spans="1:7" ht="15.75" customHeight="1" x14ac:dyDescent="0.2">
      <c r="A245" s="2"/>
      <c r="B245" s="2"/>
      <c r="C245" s="2"/>
      <c r="D245" s="2"/>
      <c r="E245" s="2"/>
      <c r="F245" s="2"/>
      <c r="G245" s="2"/>
    </row>
    <row r="246" spans="1:7" ht="15.75" customHeight="1" x14ac:dyDescent="0.2">
      <c r="A246" s="2"/>
      <c r="B246" s="2"/>
      <c r="C246" s="2"/>
      <c r="D246" s="2"/>
      <c r="E246" s="2"/>
      <c r="F246" s="2"/>
      <c r="G246" s="2"/>
    </row>
    <row r="247" spans="1:7" ht="15.75" customHeight="1" x14ac:dyDescent="0.2">
      <c r="A247" s="2"/>
      <c r="B247" s="2"/>
      <c r="C247" s="2"/>
      <c r="D247" s="2"/>
      <c r="E247" s="2"/>
      <c r="F247" s="2"/>
      <c r="G247" s="2"/>
    </row>
    <row r="248" spans="1:7" ht="15.75" customHeight="1" x14ac:dyDescent="0.2">
      <c r="A248" s="2"/>
      <c r="B248" s="2"/>
      <c r="C248" s="2"/>
      <c r="D248" s="2"/>
      <c r="E248" s="2"/>
      <c r="F248" s="2"/>
      <c r="G248" s="2"/>
    </row>
    <row r="249" spans="1:7" ht="15.75" customHeight="1" x14ac:dyDescent="0.2">
      <c r="A249" s="2"/>
      <c r="B249" s="2"/>
      <c r="C249" s="2"/>
      <c r="D249" s="2"/>
      <c r="E249" s="2"/>
      <c r="F249" s="2"/>
      <c r="G249" s="2"/>
    </row>
    <row r="250" spans="1:7" ht="15.75" customHeight="1" x14ac:dyDescent="0.2">
      <c r="A250" s="2"/>
      <c r="B250" s="2"/>
      <c r="C250" s="2"/>
      <c r="D250" s="2"/>
      <c r="E250" s="2"/>
      <c r="F250" s="2"/>
      <c r="G250" s="2"/>
    </row>
    <row r="251" spans="1:7" ht="15.75" customHeight="1" x14ac:dyDescent="0.2">
      <c r="A251" s="2"/>
      <c r="B251" s="2"/>
      <c r="C251" s="2"/>
      <c r="D251" s="2"/>
      <c r="E251" s="2"/>
      <c r="F251" s="2"/>
      <c r="G251" s="2"/>
    </row>
    <row r="252" spans="1:7" ht="15.75" customHeight="1" x14ac:dyDescent="0.2">
      <c r="A252" s="2"/>
      <c r="B252" s="2"/>
      <c r="C252" s="2"/>
      <c r="D252" s="2"/>
      <c r="E252" s="2"/>
      <c r="F252" s="2"/>
      <c r="G252" s="2"/>
    </row>
    <row r="253" spans="1:7" ht="15.75" customHeight="1" x14ac:dyDescent="0.2">
      <c r="A253" s="2"/>
      <c r="B253" s="2"/>
      <c r="C253" s="2"/>
      <c r="D253" s="2"/>
      <c r="E253" s="2"/>
      <c r="F253" s="2"/>
      <c r="G253" s="2"/>
    </row>
    <row r="254" spans="1:7" ht="15.75" customHeight="1" x14ac:dyDescent="0.2">
      <c r="A254" s="2"/>
      <c r="B254" s="2"/>
      <c r="C254" s="2"/>
      <c r="D254" s="2"/>
      <c r="E254" s="2"/>
      <c r="F254" s="2"/>
      <c r="G254" s="2"/>
    </row>
    <row r="255" spans="1:7" ht="15.75" customHeight="1" x14ac:dyDescent="0.2">
      <c r="A255" s="2"/>
      <c r="B255" s="2"/>
      <c r="C255" s="2"/>
      <c r="D255" s="2"/>
      <c r="E255" s="2"/>
      <c r="F255" s="2"/>
      <c r="G255" s="2"/>
    </row>
    <row r="256" spans="1:7" ht="15.75" customHeight="1" x14ac:dyDescent="0.2">
      <c r="A256" s="2"/>
      <c r="B256" s="2"/>
      <c r="C256" s="2"/>
      <c r="D256" s="2"/>
      <c r="E256" s="2"/>
      <c r="F256" s="2"/>
      <c r="G256" s="2"/>
    </row>
    <row r="257" spans="1:7" ht="15.75" customHeight="1" x14ac:dyDescent="0.2">
      <c r="A257" s="2"/>
      <c r="B257" s="2"/>
      <c r="C257" s="2"/>
      <c r="D257" s="2"/>
      <c r="E257" s="2"/>
      <c r="F257" s="2"/>
      <c r="G257" s="2"/>
    </row>
    <row r="258" spans="1:7" ht="15.75" customHeight="1" x14ac:dyDescent="0.2">
      <c r="A258" s="2"/>
      <c r="B258" s="2"/>
      <c r="C258" s="2"/>
      <c r="D258" s="2"/>
      <c r="E258" s="2"/>
      <c r="F258" s="2"/>
      <c r="G258" s="2"/>
    </row>
    <row r="259" spans="1:7" ht="15.75" customHeight="1" x14ac:dyDescent="0.2">
      <c r="A259" s="2"/>
      <c r="B259" s="2"/>
      <c r="C259" s="2"/>
      <c r="D259" s="2"/>
      <c r="E259" s="2"/>
      <c r="F259" s="2"/>
      <c r="G259" s="2"/>
    </row>
    <row r="260" spans="1:7" ht="15.75" customHeight="1" x14ac:dyDescent="0.2">
      <c r="A260" s="2"/>
      <c r="B260" s="2"/>
      <c r="C260" s="2"/>
      <c r="D260" s="2"/>
      <c r="E260" s="2"/>
      <c r="F260" s="2"/>
      <c r="G260" s="2"/>
    </row>
    <row r="261" spans="1:7" ht="15.75" customHeight="1" x14ac:dyDescent="0.2">
      <c r="A261" s="2"/>
      <c r="B261" s="2"/>
      <c r="C261" s="2"/>
      <c r="D261" s="2"/>
      <c r="E261" s="2"/>
      <c r="F261" s="2"/>
      <c r="G261" s="2"/>
    </row>
    <row r="262" spans="1:7" ht="15.75" customHeight="1" x14ac:dyDescent="0.2">
      <c r="A262" s="2"/>
      <c r="B262" s="2"/>
      <c r="C262" s="2"/>
      <c r="D262" s="2"/>
      <c r="E262" s="2"/>
      <c r="F262" s="2"/>
      <c r="G262" s="2"/>
    </row>
    <row r="263" spans="1:7" ht="15.75" customHeight="1" x14ac:dyDescent="0.2">
      <c r="A263" s="2"/>
      <c r="B263" s="2"/>
      <c r="C263" s="2"/>
      <c r="D263" s="2"/>
      <c r="E263" s="2"/>
      <c r="F263" s="2"/>
      <c r="G263" s="2"/>
    </row>
    <row r="264" spans="1:7" ht="15.75" customHeight="1" x14ac:dyDescent="0.2">
      <c r="A264" s="2"/>
      <c r="B264" s="2"/>
      <c r="C264" s="2"/>
      <c r="D264" s="2"/>
      <c r="E264" s="2"/>
      <c r="F264" s="2"/>
      <c r="G264" s="2"/>
    </row>
    <row r="265" spans="1:7" ht="15.75" customHeight="1" x14ac:dyDescent="0.2">
      <c r="A265" s="2"/>
      <c r="B265" s="2"/>
      <c r="C265" s="2"/>
      <c r="D265" s="2"/>
      <c r="E265" s="2"/>
      <c r="F265" s="2"/>
      <c r="G265" s="2"/>
    </row>
    <row r="266" spans="1:7" ht="15.75" customHeight="1" x14ac:dyDescent="0.2">
      <c r="A266" s="2"/>
      <c r="B266" s="2"/>
      <c r="C266" s="2"/>
      <c r="D266" s="2"/>
      <c r="E266" s="2"/>
      <c r="F266" s="2"/>
      <c r="G266" s="2"/>
    </row>
    <row r="267" spans="1:7" ht="15.75" customHeight="1" x14ac:dyDescent="0.2">
      <c r="A267" s="2"/>
      <c r="B267" s="2"/>
      <c r="C267" s="2"/>
      <c r="D267" s="2"/>
      <c r="E267" s="2"/>
      <c r="F267" s="2"/>
      <c r="G267" s="2"/>
    </row>
    <row r="268" spans="1:7" ht="15.75" customHeight="1" x14ac:dyDescent="0.2">
      <c r="A268" s="2"/>
      <c r="B268" s="2"/>
      <c r="C268" s="2"/>
      <c r="D268" s="2"/>
      <c r="E268" s="2"/>
      <c r="F268" s="2"/>
      <c r="G268" s="2"/>
    </row>
    <row r="269" spans="1:7" ht="15.75" customHeight="1" x14ac:dyDescent="0.2">
      <c r="A269" s="2"/>
      <c r="B269" s="2"/>
      <c r="C269" s="2"/>
      <c r="D269" s="2"/>
      <c r="E269" s="2"/>
      <c r="F269" s="2"/>
      <c r="G269" s="2"/>
    </row>
    <row r="270" spans="1:7" ht="15.75" customHeight="1" x14ac:dyDescent="0.2">
      <c r="A270" s="2"/>
      <c r="B270" s="2"/>
      <c r="C270" s="2"/>
      <c r="D270" s="2"/>
      <c r="E270" s="2"/>
      <c r="F270" s="2"/>
      <c r="G270" s="2"/>
    </row>
    <row r="271" spans="1:7" ht="15.75" customHeight="1" x14ac:dyDescent="0.2">
      <c r="A271" s="2"/>
      <c r="B271" s="2"/>
      <c r="C271" s="2"/>
      <c r="D271" s="2"/>
      <c r="E271" s="2"/>
      <c r="F271" s="2"/>
      <c r="G271" s="2"/>
    </row>
    <row r="272" spans="1:7" ht="15.75" customHeight="1" x14ac:dyDescent="0.2">
      <c r="A272" s="2"/>
      <c r="B272" s="2"/>
      <c r="C272" s="2"/>
      <c r="D272" s="2"/>
      <c r="E272" s="2"/>
      <c r="F272" s="2"/>
      <c r="G272" s="2"/>
    </row>
    <row r="273" spans="1:7" ht="15.75" customHeight="1" x14ac:dyDescent="0.2">
      <c r="A273" s="2"/>
      <c r="B273" s="2"/>
      <c r="C273" s="2"/>
      <c r="D273" s="2"/>
      <c r="E273" s="2"/>
      <c r="F273" s="2"/>
      <c r="G273" s="2"/>
    </row>
    <row r="274" spans="1:7" ht="15.75" customHeight="1" x14ac:dyDescent="0.2">
      <c r="A274" s="2"/>
      <c r="B274" s="2"/>
      <c r="C274" s="2"/>
      <c r="D274" s="2"/>
      <c r="E274" s="2"/>
      <c r="F274" s="2"/>
      <c r="G274" s="2"/>
    </row>
    <row r="275" spans="1:7" ht="15.75" customHeight="1" x14ac:dyDescent="0.2">
      <c r="A275" s="2"/>
      <c r="B275" s="2"/>
      <c r="C275" s="2"/>
      <c r="D275" s="2"/>
      <c r="E275" s="2"/>
      <c r="F275" s="2"/>
      <c r="G275" s="2"/>
    </row>
    <row r="276" spans="1:7" ht="15.75" customHeight="1" x14ac:dyDescent="0.2">
      <c r="A276" s="2"/>
      <c r="B276" s="2"/>
      <c r="C276" s="2"/>
      <c r="D276" s="2"/>
      <c r="E276" s="2"/>
      <c r="F276" s="2"/>
      <c r="G276" s="2"/>
    </row>
    <row r="277" spans="1:7" ht="15.75" customHeight="1" x14ac:dyDescent="0.2">
      <c r="A277" s="2"/>
      <c r="B277" s="2"/>
      <c r="C277" s="2"/>
      <c r="D277" s="2"/>
      <c r="E277" s="2"/>
      <c r="F277" s="2"/>
      <c r="G277" s="2"/>
    </row>
    <row r="278" spans="1:7" ht="15.75" customHeight="1" x14ac:dyDescent="0.2">
      <c r="A278" s="2"/>
      <c r="B278" s="2"/>
      <c r="C278" s="2"/>
      <c r="D278" s="2"/>
      <c r="E278" s="2"/>
      <c r="F278" s="2"/>
      <c r="G278" s="2"/>
    </row>
    <row r="279" spans="1:7" ht="15.75" customHeight="1" x14ac:dyDescent="0.2">
      <c r="A279" s="2"/>
      <c r="B279" s="2"/>
      <c r="C279" s="2"/>
      <c r="D279" s="2"/>
      <c r="E279" s="2"/>
      <c r="F279" s="2"/>
      <c r="G279" s="2"/>
    </row>
    <row r="280" spans="1:7" ht="15.75" customHeight="1" x14ac:dyDescent="0.2">
      <c r="A280" s="2"/>
      <c r="B280" s="2"/>
      <c r="C280" s="2"/>
      <c r="D280" s="2"/>
      <c r="E280" s="2"/>
      <c r="F280" s="2"/>
      <c r="G280" s="2"/>
    </row>
    <row r="281" spans="1:7" ht="15.75" customHeight="1" x14ac:dyDescent="0.2">
      <c r="A281" s="2"/>
      <c r="B281" s="2"/>
      <c r="C281" s="2"/>
      <c r="D281" s="2"/>
      <c r="E281" s="2"/>
      <c r="F281" s="2"/>
      <c r="G281" s="2"/>
    </row>
    <row r="282" spans="1:7" ht="15.75" customHeight="1" x14ac:dyDescent="0.2">
      <c r="A282" s="2"/>
      <c r="B282" s="2"/>
      <c r="C282" s="2"/>
      <c r="D282" s="2"/>
      <c r="E282" s="2"/>
      <c r="F282" s="2"/>
      <c r="G282" s="2"/>
    </row>
    <row r="283" spans="1:7" ht="15.75" customHeight="1" x14ac:dyDescent="0.2">
      <c r="A283" s="2"/>
      <c r="B283" s="2"/>
      <c r="C283" s="2"/>
      <c r="D283" s="2"/>
      <c r="E283" s="2"/>
      <c r="F283" s="2"/>
      <c r="G283" s="2"/>
    </row>
    <row r="284" spans="1:7" ht="15.75" customHeight="1" x14ac:dyDescent="0.2">
      <c r="A284" s="2"/>
      <c r="B284" s="2"/>
      <c r="C284" s="2"/>
      <c r="D284" s="2"/>
      <c r="E284" s="2"/>
      <c r="F284" s="2"/>
      <c r="G284" s="2"/>
    </row>
    <row r="285" spans="1:7" ht="15.75" customHeight="1" x14ac:dyDescent="0.2">
      <c r="A285" s="2"/>
      <c r="B285" s="2"/>
      <c r="C285" s="2"/>
      <c r="D285" s="2"/>
      <c r="E285" s="2"/>
      <c r="F285" s="2"/>
      <c r="G285" s="2"/>
    </row>
    <row r="286" spans="1:7" ht="15.75" customHeight="1" x14ac:dyDescent="0.2">
      <c r="A286" s="2"/>
      <c r="B286" s="2"/>
      <c r="C286" s="2"/>
      <c r="D286" s="2"/>
      <c r="E286" s="2"/>
      <c r="F286" s="2"/>
      <c r="G286" s="2"/>
    </row>
    <row r="287" spans="1:7" ht="15.75" customHeight="1" x14ac:dyDescent="0.2">
      <c r="A287" s="2"/>
      <c r="B287" s="2"/>
      <c r="C287" s="2"/>
      <c r="D287" s="2"/>
      <c r="E287" s="2"/>
      <c r="F287" s="2"/>
      <c r="G287" s="2"/>
    </row>
    <row r="288" spans="1:7" ht="15.75" customHeight="1" x14ac:dyDescent="0.2">
      <c r="A288" s="2"/>
      <c r="B288" s="2"/>
      <c r="C288" s="2"/>
      <c r="D288" s="2"/>
      <c r="E288" s="2"/>
      <c r="F288" s="2"/>
      <c r="G288" s="2"/>
    </row>
    <row r="289" spans="1:7" ht="15.75" customHeight="1" x14ac:dyDescent="0.2">
      <c r="A289" s="2"/>
      <c r="B289" s="2"/>
      <c r="C289" s="2"/>
      <c r="D289" s="2"/>
      <c r="E289" s="2"/>
      <c r="F289" s="2"/>
      <c r="G289" s="2"/>
    </row>
    <row r="290" spans="1:7" ht="15.75" customHeight="1" x14ac:dyDescent="0.2">
      <c r="A290" s="2"/>
      <c r="B290" s="2"/>
      <c r="C290" s="2"/>
      <c r="D290" s="2"/>
      <c r="E290" s="2"/>
      <c r="F290" s="2"/>
      <c r="G290" s="2"/>
    </row>
    <row r="291" spans="1:7" ht="15.75" customHeight="1" x14ac:dyDescent="0.2">
      <c r="A291" s="2"/>
      <c r="B291" s="2"/>
      <c r="C291" s="2"/>
      <c r="D291" s="2"/>
      <c r="E291" s="2"/>
      <c r="F291" s="2"/>
      <c r="G291" s="2"/>
    </row>
    <row r="292" spans="1:7" ht="15.75" customHeight="1" x14ac:dyDescent="0.2">
      <c r="A292" s="2"/>
      <c r="B292" s="2"/>
      <c r="C292" s="2"/>
      <c r="D292" s="2"/>
      <c r="E292" s="2"/>
      <c r="F292" s="2"/>
      <c r="G292" s="2"/>
    </row>
    <row r="293" spans="1:7" ht="15.75" customHeight="1" x14ac:dyDescent="0.2">
      <c r="A293" s="2"/>
      <c r="B293" s="2"/>
      <c r="C293" s="2"/>
      <c r="D293" s="2"/>
      <c r="E293" s="2"/>
      <c r="F293" s="2"/>
      <c r="G293" s="2"/>
    </row>
    <row r="294" spans="1:7" ht="15.75" customHeight="1" x14ac:dyDescent="0.2">
      <c r="A294" s="2"/>
      <c r="B294" s="2"/>
      <c r="C294" s="2"/>
      <c r="D294" s="2"/>
      <c r="E294" s="2"/>
      <c r="F294" s="2"/>
      <c r="G294" s="2"/>
    </row>
    <row r="295" spans="1:7" ht="15.75" customHeight="1" x14ac:dyDescent="0.2">
      <c r="A295" s="2"/>
      <c r="B295" s="2"/>
      <c r="C295" s="2"/>
      <c r="D295" s="2"/>
      <c r="E295" s="2"/>
      <c r="F295" s="2"/>
      <c r="G295" s="2"/>
    </row>
    <row r="296" spans="1:7" ht="15.75" customHeight="1" x14ac:dyDescent="0.2">
      <c r="A296" s="2"/>
      <c r="B296" s="2"/>
      <c r="C296" s="2"/>
      <c r="D296" s="2"/>
      <c r="E296" s="2"/>
      <c r="F296" s="2"/>
      <c r="G296" s="2"/>
    </row>
    <row r="297" spans="1:7" ht="15.75" customHeight="1" x14ac:dyDescent="0.2">
      <c r="A297" s="2"/>
      <c r="B297" s="2"/>
      <c r="C297" s="2"/>
      <c r="D297" s="2"/>
      <c r="E297" s="2"/>
      <c r="F297" s="2"/>
      <c r="G297" s="2"/>
    </row>
    <row r="298" spans="1:7" ht="15.75" customHeight="1" x14ac:dyDescent="0.2">
      <c r="A298" s="2"/>
      <c r="B298" s="2"/>
      <c r="C298" s="2"/>
      <c r="D298" s="2"/>
      <c r="E298" s="2"/>
      <c r="F298" s="2"/>
      <c r="G298" s="2"/>
    </row>
    <row r="299" spans="1:7" ht="15.75" customHeight="1" x14ac:dyDescent="0.2">
      <c r="A299" s="2"/>
      <c r="B299" s="2"/>
      <c r="C299" s="2"/>
      <c r="D299" s="2"/>
      <c r="E299" s="2"/>
      <c r="F299" s="2"/>
      <c r="G299" s="2"/>
    </row>
    <row r="300" spans="1:7" ht="15.75" customHeight="1" x14ac:dyDescent="0.2">
      <c r="A300" s="2"/>
      <c r="B300" s="2"/>
      <c r="C300" s="2"/>
      <c r="D300" s="2"/>
      <c r="E300" s="2"/>
      <c r="F300" s="2"/>
      <c r="G300" s="2"/>
    </row>
    <row r="301" spans="1:7" ht="15.75" customHeight="1" x14ac:dyDescent="0.2">
      <c r="A301" s="2"/>
      <c r="B301" s="2"/>
      <c r="C301" s="2"/>
      <c r="D301" s="2"/>
      <c r="E301" s="2"/>
      <c r="F301" s="2"/>
      <c r="G301" s="2"/>
    </row>
    <row r="302" spans="1:7" ht="15.75" customHeight="1" x14ac:dyDescent="0.2">
      <c r="A302" s="2"/>
      <c r="B302" s="2"/>
      <c r="C302" s="2"/>
      <c r="D302" s="2"/>
      <c r="E302" s="2"/>
      <c r="F302" s="2"/>
      <c r="G302" s="2"/>
    </row>
    <row r="303" spans="1:7" ht="15.75" customHeight="1" x14ac:dyDescent="0.2">
      <c r="A303" s="2"/>
      <c r="B303" s="2"/>
      <c r="C303" s="2"/>
      <c r="D303" s="2"/>
      <c r="E303" s="2"/>
      <c r="F303" s="2"/>
      <c r="G303" s="2"/>
    </row>
    <row r="304" spans="1:7" ht="15.75" customHeight="1" x14ac:dyDescent="0.2">
      <c r="A304" s="2"/>
      <c r="B304" s="2"/>
      <c r="C304" s="2"/>
      <c r="D304" s="2"/>
      <c r="E304" s="2"/>
      <c r="F304" s="2"/>
      <c r="G304" s="2"/>
    </row>
    <row r="305" spans="1:7" ht="15.75" customHeight="1" x14ac:dyDescent="0.2">
      <c r="A305" s="2"/>
      <c r="B305" s="2"/>
      <c r="C305" s="2"/>
      <c r="D305" s="2"/>
      <c r="E305" s="2"/>
      <c r="F305" s="2"/>
      <c r="G305" s="2"/>
    </row>
    <row r="306" spans="1:7" ht="15.75" customHeight="1" x14ac:dyDescent="0.2">
      <c r="A306" s="2"/>
      <c r="B306" s="2"/>
      <c r="C306" s="2"/>
      <c r="D306" s="2"/>
      <c r="E306" s="2"/>
      <c r="F306" s="2"/>
      <c r="G306" s="2"/>
    </row>
    <row r="307" spans="1:7" ht="15.75" customHeight="1" x14ac:dyDescent="0.2">
      <c r="A307" s="2"/>
      <c r="B307" s="2"/>
      <c r="C307" s="2"/>
      <c r="D307" s="2"/>
      <c r="E307" s="2"/>
      <c r="F307" s="2"/>
      <c r="G307" s="2"/>
    </row>
    <row r="308" spans="1:7" ht="15.75" customHeight="1" x14ac:dyDescent="0.2">
      <c r="A308" s="2"/>
      <c r="B308" s="2"/>
      <c r="C308" s="2"/>
      <c r="D308" s="2"/>
      <c r="E308" s="2"/>
      <c r="F308" s="2"/>
      <c r="G308" s="2"/>
    </row>
    <row r="309" spans="1:7" ht="15.75" customHeight="1" x14ac:dyDescent="0.2">
      <c r="A309" s="2"/>
      <c r="B309" s="2"/>
      <c r="C309" s="2"/>
      <c r="D309" s="2"/>
      <c r="E309" s="2"/>
      <c r="F309" s="2"/>
      <c r="G309" s="2"/>
    </row>
    <row r="310" spans="1:7" ht="15.75" customHeight="1" x14ac:dyDescent="0.2">
      <c r="A310" s="2"/>
      <c r="B310" s="2"/>
      <c r="C310" s="2"/>
      <c r="D310" s="2"/>
      <c r="E310" s="2"/>
      <c r="F310" s="2"/>
      <c r="G310" s="2"/>
    </row>
    <row r="311" spans="1:7" ht="15.75" customHeight="1" x14ac:dyDescent="0.2">
      <c r="A311" s="2"/>
      <c r="B311" s="2"/>
      <c r="C311" s="2"/>
      <c r="D311" s="2"/>
      <c r="E311" s="2"/>
      <c r="F311" s="2"/>
      <c r="G311" s="2"/>
    </row>
    <row r="312" spans="1:7" ht="15.75" customHeight="1" x14ac:dyDescent="0.2">
      <c r="A312" s="2"/>
      <c r="B312" s="2"/>
      <c r="C312" s="2"/>
      <c r="D312" s="2"/>
      <c r="E312" s="2"/>
      <c r="F312" s="2"/>
      <c r="G312" s="2"/>
    </row>
    <row r="313" spans="1:7" ht="15.75" customHeight="1" x14ac:dyDescent="0.2">
      <c r="A313" s="2"/>
      <c r="B313" s="2"/>
      <c r="C313" s="2"/>
      <c r="D313" s="2"/>
      <c r="E313" s="2"/>
      <c r="F313" s="2"/>
      <c r="G313" s="2"/>
    </row>
    <row r="314" spans="1:7" ht="15.75" customHeight="1" x14ac:dyDescent="0.2">
      <c r="A314" s="2"/>
      <c r="B314" s="2"/>
      <c r="C314" s="2"/>
      <c r="D314" s="2"/>
      <c r="E314" s="2"/>
      <c r="F314" s="2"/>
      <c r="G314" s="2"/>
    </row>
    <row r="315" spans="1:7" ht="15.75" customHeight="1" x14ac:dyDescent="0.2">
      <c r="A315" s="2"/>
      <c r="B315" s="2"/>
      <c r="C315" s="2"/>
      <c r="D315" s="2"/>
      <c r="E315" s="2"/>
      <c r="F315" s="2"/>
      <c r="G315" s="2"/>
    </row>
    <row r="316" spans="1:7" ht="15.75" customHeight="1" x14ac:dyDescent="0.2">
      <c r="A316" s="2"/>
      <c r="B316" s="2"/>
      <c r="C316" s="2"/>
      <c r="D316" s="2"/>
      <c r="E316" s="2"/>
      <c r="F316" s="2"/>
      <c r="G316" s="2"/>
    </row>
    <row r="317" spans="1:7" ht="15.75" customHeight="1" x14ac:dyDescent="0.2">
      <c r="A317" s="2"/>
      <c r="B317" s="2"/>
      <c r="C317" s="2"/>
      <c r="D317" s="2"/>
      <c r="E317" s="2"/>
      <c r="F317" s="2"/>
      <c r="G317" s="2"/>
    </row>
    <row r="318" spans="1:7" ht="15.75" customHeight="1" x14ac:dyDescent="0.2">
      <c r="A318" s="2"/>
      <c r="B318" s="2"/>
      <c r="C318" s="2"/>
      <c r="D318" s="2"/>
      <c r="E318" s="2"/>
      <c r="F318" s="2"/>
      <c r="G318" s="2"/>
    </row>
    <row r="319" spans="1:7" ht="15.75" customHeight="1" x14ac:dyDescent="0.2">
      <c r="A319" s="2"/>
      <c r="B319" s="2"/>
      <c r="C319" s="2"/>
      <c r="D319" s="2"/>
      <c r="E319" s="2"/>
      <c r="F319" s="2"/>
      <c r="G319" s="2"/>
    </row>
    <row r="320" spans="1:7" ht="15.75" customHeight="1" x14ac:dyDescent="0.2">
      <c r="A320" s="2"/>
      <c r="B320" s="2"/>
      <c r="C320" s="2"/>
      <c r="D320" s="2"/>
      <c r="E320" s="2"/>
      <c r="F320" s="2"/>
      <c r="G320" s="2"/>
    </row>
    <row r="321" spans="1:7" ht="15.75" customHeight="1" x14ac:dyDescent="0.2">
      <c r="A321" s="2"/>
      <c r="B321" s="2"/>
      <c r="C321" s="2"/>
      <c r="D321" s="2"/>
      <c r="E321" s="2"/>
      <c r="F321" s="2"/>
      <c r="G321" s="2"/>
    </row>
    <row r="322" spans="1:7" ht="15.75" customHeight="1" x14ac:dyDescent="0.2">
      <c r="A322" s="2"/>
      <c r="B322" s="2"/>
      <c r="C322" s="2"/>
      <c r="D322" s="2"/>
      <c r="E322" s="2"/>
      <c r="F322" s="2"/>
      <c r="G322" s="2"/>
    </row>
    <row r="323" spans="1:7" ht="15.75" customHeight="1" x14ac:dyDescent="0.2">
      <c r="A323" s="2"/>
      <c r="B323" s="2"/>
      <c r="C323" s="2"/>
      <c r="D323" s="2"/>
      <c r="E323" s="2"/>
      <c r="F323" s="2"/>
      <c r="G323" s="2"/>
    </row>
    <row r="324" spans="1:7" ht="15.75" customHeight="1" x14ac:dyDescent="0.2">
      <c r="A324" s="2"/>
      <c r="B324" s="2"/>
      <c r="C324" s="2"/>
      <c r="D324" s="2"/>
      <c r="E324" s="2"/>
      <c r="F324" s="2"/>
      <c r="G324" s="2"/>
    </row>
    <row r="325" spans="1:7" ht="15.75" customHeight="1" x14ac:dyDescent="0.2">
      <c r="A325" s="2"/>
      <c r="B325" s="2"/>
      <c r="C325" s="2"/>
      <c r="D325" s="2"/>
      <c r="E325" s="2"/>
      <c r="F325" s="2"/>
      <c r="G325" s="2"/>
    </row>
    <row r="326" spans="1:7" ht="15.75" customHeight="1" x14ac:dyDescent="0.2">
      <c r="A326" s="2"/>
      <c r="B326" s="2"/>
      <c r="C326" s="2"/>
      <c r="D326" s="2"/>
      <c r="E326" s="2"/>
      <c r="F326" s="2"/>
      <c r="G326" s="2"/>
    </row>
    <row r="327" spans="1:7" ht="15.75" customHeight="1" x14ac:dyDescent="0.2">
      <c r="A327" s="2"/>
      <c r="B327" s="2"/>
      <c r="C327" s="2"/>
      <c r="D327" s="2"/>
      <c r="E327" s="2"/>
      <c r="F327" s="2"/>
      <c r="G327" s="2"/>
    </row>
    <row r="328" spans="1:7" ht="15.75" customHeight="1" x14ac:dyDescent="0.2">
      <c r="A328" s="2"/>
      <c r="B328" s="2"/>
      <c r="C328" s="2"/>
      <c r="D328" s="2"/>
      <c r="E328" s="2"/>
      <c r="F328" s="2"/>
      <c r="G328" s="2"/>
    </row>
    <row r="329" spans="1:7" ht="15.75" customHeight="1" x14ac:dyDescent="0.2">
      <c r="A329" s="2"/>
      <c r="B329" s="2"/>
      <c r="C329" s="2"/>
      <c r="D329" s="2"/>
      <c r="E329" s="2"/>
      <c r="F329" s="2"/>
      <c r="G329" s="2"/>
    </row>
    <row r="330" spans="1:7" ht="15.75" customHeight="1" x14ac:dyDescent="0.2">
      <c r="A330" s="2"/>
      <c r="B330" s="2"/>
      <c r="C330" s="2"/>
      <c r="D330" s="2"/>
      <c r="E330" s="2"/>
      <c r="F330" s="2"/>
      <c r="G330" s="2"/>
    </row>
    <row r="331" spans="1:7" ht="15.75" customHeight="1" x14ac:dyDescent="0.2">
      <c r="A331" s="2"/>
      <c r="B331" s="2"/>
      <c r="C331" s="2"/>
      <c r="D331" s="2"/>
      <c r="E331" s="2"/>
      <c r="F331" s="2"/>
      <c r="G331" s="2"/>
    </row>
    <row r="332" spans="1:7" ht="15.75" customHeight="1" x14ac:dyDescent="0.2">
      <c r="A332" s="2"/>
      <c r="B332" s="2"/>
      <c r="C332" s="2"/>
      <c r="D332" s="2"/>
      <c r="E332" s="2"/>
      <c r="F332" s="2"/>
      <c r="G332" s="2"/>
    </row>
    <row r="333" spans="1:7" ht="15.75" customHeight="1" x14ac:dyDescent="0.2">
      <c r="A333" s="2"/>
      <c r="B333" s="2"/>
      <c r="C333" s="2"/>
      <c r="D333" s="2"/>
      <c r="E333" s="2"/>
      <c r="F333" s="2"/>
      <c r="G333" s="2"/>
    </row>
    <row r="334" spans="1:7" ht="15.75" customHeight="1" x14ac:dyDescent="0.2">
      <c r="A334" s="2"/>
      <c r="B334" s="2"/>
      <c r="C334" s="2"/>
      <c r="D334" s="2"/>
      <c r="E334" s="2"/>
      <c r="F334" s="2"/>
      <c r="G334" s="2"/>
    </row>
    <row r="335" spans="1:7" ht="15.75" customHeight="1" x14ac:dyDescent="0.2">
      <c r="A335" s="2"/>
      <c r="B335" s="2"/>
      <c r="C335" s="2"/>
      <c r="D335" s="2"/>
      <c r="E335" s="2"/>
      <c r="F335" s="2"/>
      <c r="G335" s="2"/>
    </row>
    <row r="336" spans="1:7" ht="15.75" customHeight="1" x14ac:dyDescent="0.2">
      <c r="A336" s="2"/>
      <c r="B336" s="2"/>
      <c r="C336" s="2"/>
      <c r="D336" s="2"/>
      <c r="E336" s="2"/>
      <c r="F336" s="2"/>
      <c r="G336" s="2"/>
    </row>
    <row r="337" spans="1:7" ht="15.75" customHeight="1" x14ac:dyDescent="0.2">
      <c r="A337" s="2"/>
      <c r="B337" s="2"/>
      <c r="C337" s="2"/>
      <c r="D337" s="2"/>
      <c r="E337" s="2"/>
      <c r="F337" s="2"/>
      <c r="G337" s="2"/>
    </row>
    <row r="338" spans="1:7" ht="15.75" customHeight="1" x14ac:dyDescent="0.2">
      <c r="A338" s="2"/>
      <c r="B338" s="2"/>
      <c r="C338" s="2"/>
      <c r="D338" s="2"/>
      <c r="E338" s="2"/>
      <c r="F338" s="2"/>
      <c r="G338" s="2"/>
    </row>
    <row r="339" spans="1:7" ht="15.75" customHeight="1" x14ac:dyDescent="0.2">
      <c r="A339" s="2"/>
      <c r="B339" s="2"/>
      <c r="C339" s="2"/>
      <c r="D339" s="2"/>
      <c r="E339" s="2"/>
      <c r="F339" s="2"/>
      <c r="G339" s="2"/>
    </row>
    <row r="340" spans="1:7" ht="15.75" customHeight="1" x14ac:dyDescent="0.2">
      <c r="A340" s="2"/>
      <c r="B340" s="2"/>
      <c r="C340" s="2"/>
      <c r="D340" s="2"/>
      <c r="E340" s="2"/>
      <c r="F340" s="2"/>
      <c r="G340" s="2"/>
    </row>
    <row r="341" spans="1:7" ht="15.75" customHeight="1" x14ac:dyDescent="0.2">
      <c r="A341" s="2"/>
      <c r="B341" s="2"/>
      <c r="C341" s="2"/>
      <c r="D341" s="2"/>
      <c r="E341" s="2"/>
      <c r="F341" s="2"/>
      <c r="G341" s="2"/>
    </row>
    <row r="342" spans="1:7" ht="15.75" customHeight="1" x14ac:dyDescent="0.2">
      <c r="A342" s="2"/>
      <c r="B342" s="2"/>
      <c r="C342" s="2"/>
      <c r="D342" s="2"/>
      <c r="E342" s="2"/>
      <c r="F342" s="2"/>
      <c r="G342" s="2"/>
    </row>
    <row r="343" spans="1:7" ht="15.75" customHeight="1" x14ac:dyDescent="0.2">
      <c r="A343" s="2"/>
      <c r="B343" s="2"/>
      <c r="C343" s="2"/>
      <c r="D343" s="2"/>
      <c r="E343" s="2"/>
      <c r="F343" s="2"/>
      <c r="G343" s="2"/>
    </row>
    <row r="344" spans="1:7" ht="15.75" customHeight="1" x14ac:dyDescent="0.2">
      <c r="A344" s="2"/>
      <c r="B344" s="2"/>
      <c r="C344" s="2"/>
      <c r="D344" s="2"/>
      <c r="E344" s="2"/>
      <c r="F344" s="2"/>
      <c r="G344" s="2"/>
    </row>
    <row r="345" spans="1:7" ht="15.75" customHeight="1" x14ac:dyDescent="0.2">
      <c r="A345" s="2"/>
      <c r="B345" s="2"/>
      <c r="C345" s="2"/>
      <c r="D345" s="2"/>
      <c r="E345" s="2"/>
      <c r="F345" s="2"/>
      <c r="G345" s="2"/>
    </row>
    <row r="346" spans="1:7" ht="15.75" customHeight="1" x14ac:dyDescent="0.2">
      <c r="A346" s="2"/>
      <c r="B346" s="2"/>
      <c r="C346" s="2"/>
      <c r="D346" s="2"/>
      <c r="E346" s="2"/>
      <c r="F346" s="2"/>
      <c r="G346" s="2"/>
    </row>
    <row r="347" spans="1:7" ht="15.75" customHeight="1" x14ac:dyDescent="0.2">
      <c r="A347" s="2"/>
      <c r="B347" s="2"/>
      <c r="C347" s="2"/>
      <c r="D347" s="2"/>
      <c r="E347" s="2"/>
      <c r="F347" s="2"/>
      <c r="G347" s="2"/>
    </row>
    <row r="348" spans="1:7" ht="15.75" customHeight="1" x14ac:dyDescent="0.2">
      <c r="A348" s="2"/>
      <c r="B348" s="2"/>
      <c r="C348" s="2"/>
      <c r="D348" s="2"/>
      <c r="E348" s="2"/>
      <c r="F348" s="2"/>
      <c r="G348" s="2"/>
    </row>
    <row r="349" spans="1:7" ht="15.75" customHeight="1" x14ac:dyDescent="0.2">
      <c r="A349" s="2"/>
      <c r="B349" s="2"/>
      <c r="C349" s="2"/>
      <c r="D349" s="2"/>
      <c r="E349" s="2"/>
      <c r="F349" s="2"/>
      <c r="G349" s="2"/>
    </row>
    <row r="350" spans="1:7" ht="15.75" customHeight="1" x14ac:dyDescent="0.2">
      <c r="A350" s="2"/>
      <c r="B350" s="2"/>
      <c r="C350" s="2"/>
      <c r="D350" s="2"/>
      <c r="E350" s="2"/>
      <c r="F350" s="2"/>
      <c r="G350" s="2"/>
    </row>
    <row r="351" spans="1:7" ht="15.75" customHeight="1" x14ac:dyDescent="0.2">
      <c r="A351" s="2"/>
      <c r="B351" s="2"/>
      <c r="C351" s="2"/>
      <c r="D351" s="2"/>
      <c r="E351" s="2"/>
      <c r="F351" s="2"/>
      <c r="G351" s="2"/>
    </row>
    <row r="352" spans="1:7" ht="15.75" customHeight="1" x14ac:dyDescent="0.2">
      <c r="A352" s="2"/>
      <c r="B352" s="2"/>
      <c r="C352" s="2"/>
      <c r="D352" s="2"/>
      <c r="E352" s="2"/>
      <c r="F352" s="2"/>
      <c r="G352" s="2"/>
    </row>
    <row r="353" spans="1:7" ht="15.75" customHeight="1" x14ac:dyDescent="0.2">
      <c r="A353" s="2"/>
      <c r="B353" s="2"/>
      <c r="C353" s="2"/>
      <c r="D353" s="2"/>
      <c r="E353" s="2"/>
      <c r="F353" s="2"/>
      <c r="G353" s="2"/>
    </row>
    <row r="354" spans="1:7" ht="15.75" customHeight="1" x14ac:dyDescent="0.2">
      <c r="A354" s="2"/>
      <c r="B354" s="2"/>
      <c r="C354" s="2"/>
      <c r="D354" s="2"/>
      <c r="E354" s="2"/>
      <c r="F354" s="2"/>
      <c r="G354" s="2"/>
    </row>
    <row r="355" spans="1:7" ht="15.75" customHeight="1" x14ac:dyDescent="0.2">
      <c r="A355" s="2"/>
      <c r="B355" s="2"/>
      <c r="C355" s="2"/>
      <c r="D355" s="2"/>
      <c r="E355" s="2"/>
      <c r="F355" s="2"/>
      <c r="G355" s="2"/>
    </row>
    <row r="356" spans="1:7" ht="15.75" customHeight="1" x14ac:dyDescent="0.2">
      <c r="A356" s="2"/>
      <c r="B356" s="2"/>
      <c r="C356" s="2"/>
      <c r="D356" s="2"/>
      <c r="E356" s="2"/>
      <c r="F356" s="2"/>
      <c r="G356" s="2"/>
    </row>
    <row r="357" spans="1:7" ht="15.75" customHeight="1" x14ac:dyDescent="0.2">
      <c r="A357" s="2"/>
      <c r="B357" s="2"/>
      <c r="C357" s="2"/>
      <c r="D357" s="2"/>
      <c r="E357" s="2"/>
      <c r="F357" s="2"/>
      <c r="G357" s="2"/>
    </row>
    <row r="358" spans="1:7" ht="15.75" customHeight="1" x14ac:dyDescent="0.2">
      <c r="A358" s="2"/>
      <c r="B358" s="2"/>
      <c r="C358" s="2"/>
      <c r="D358" s="2"/>
      <c r="E358" s="2"/>
      <c r="F358" s="2"/>
      <c r="G358" s="2"/>
    </row>
    <row r="359" spans="1:7" ht="15.75" customHeight="1" x14ac:dyDescent="0.2">
      <c r="A359" s="2"/>
      <c r="B359" s="2"/>
      <c r="C359" s="2"/>
      <c r="D359" s="2"/>
      <c r="E359" s="2"/>
      <c r="F359" s="2"/>
      <c r="G359" s="2"/>
    </row>
    <row r="360" spans="1:7" ht="15.75" customHeight="1" x14ac:dyDescent="0.2">
      <c r="A360" s="2"/>
      <c r="B360" s="2"/>
      <c r="C360" s="2"/>
      <c r="D360" s="2"/>
      <c r="E360" s="2"/>
      <c r="F360" s="2"/>
      <c r="G360" s="2"/>
    </row>
    <row r="361" spans="1:7" ht="15.75" customHeight="1" x14ac:dyDescent="0.2">
      <c r="A361" s="2"/>
      <c r="B361" s="2"/>
      <c r="C361" s="2"/>
      <c r="D361" s="2"/>
      <c r="E361" s="2"/>
      <c r="F361" s="2"/>
      <c r="G361" s="2"/>
    </row>
    <row r="362" spans="1:7" ht="15.75" customHeight="1" x14ac:dyDescent="0.2">
      <c r="A362" s="2"/>
      <c r="B362" s="2"/>
      <c r="C362" s="2"/>
      <c r="D362" s="2"/>
      <c r="E362" s="2"/>
      <c r="F362" s="2"/>
      <c r="G362" s="2"/>
    </row>
    <row r="363" spans="1:7" ht="15.75" customHeight="1" x14ac:dyDescent="0.2">
      <c r="A363" s="2"/>
      <c r="B363" s="2"/>
      <c r="C363" s="2"/>
      <c r="D363" s="2"/>
      <c r="E363" s="2"/>
      <c r="F363" s="2"/>
      <c r="G363" s="2"/>
    </row>
    <row r="364" spans="1:7" ht="15.75" customHeight="1" x14ac:dyDescent="0.2">
      <c r="A364" s="2"/>
      <c r="B364" s="2"/>
      <c r="C364" s="2"/>
      <c r="D364" s="2"/>
      <c r="E364" s="2"/>
      <c r="F364" s="2"/>
      <c r="G364" s="2"/>
    </row>
    <row r="365" spans="1:7" ht="15.75" customHeight="1" x14ac:dyDescent="0.2">
      <c r="A365" s="2"/>
      <c r="B365" s="2"/>
      <c r="C365" s="2"/>
      <c r="D365" s="2"/>
      <c r="E365" s="2"/>
      <c r="F365" s="2"/>
      <c r="G365" s="2"/>
    </row>
    <row r="366" spans="1:7" ht="15.75" customHeight="1" x14ac:dyDescent="0.2">
      <c r="A366" s="2"/>
      <c r="B366" s="2"/>
      <c r="C366" s="2"/>
      <c r="D366" s="2"/>
      <c r="E366" s="2"/>
      <c r="F366" s="2"/>
      <c r="G366" s="2"/>
    </row>
    <row r="367" spans="1:7" ht="15.75" customHeight="1" x14ac:dyDescent="0.2">
      <c r="A367" s="2"/>
      <c r="B367" s="2"/>
      <c r="C367" s="2"/>
      <c r="D367" s="2"/>
      <c r="E367" s="2"/>
      <c r="F367" s="2"/>
      <c r="G367" s="2"/>
    </row>
    <row r="368" spans="1:7" ht="15.75" customHeight="1" x14ac:dyDescent="0.2">
      <c r="A368" s="2"/>
      <c r="B368" s="2"/>
      <c r="C368" s="2"/>
      <c r="D368" s="2"/>
      <c r="E368" s="2"/>
      <c r="F368" s="2"/>
      <c r="G368" s="2"/>
    </row>
    <row r="369" spans="1:7" ht="15.75" customHeight="1" x14ac:dyDescent="0.2">
      <c r="A369" s="2"/>
      <c r="B369" s="2"/>
      <c r="C369" s="2"/>
      <c r="D369" s="2"/>
      <c r="E369" s="2"/>
      <c r="F369" s="2"/>
      <c r="G369" s="2"/>
    </row>
    <row r="370" spans="1:7" ht="15.75" customHeight="1" x14ac:dyDescent="0.2">
      <c r="A370" s="2"/>
      <c r="B370" s="2"/>
      <c r="C370" s="2"/>
      <c r="D370" s="2"/>
      <c r="E370" s="2"/>
      <c r="F370" s="2"/>
      <c r="G370" s="2"/>
    </row>
    <row r="371" spans="1:7" ht="15.75" customHeight="1" x14ac:dyDescent="0.2">
      <c r="A371" s="2"/>
      <c r="B371" s="2"/>
      <c r="C371" s="2"/>
      <c r="D371" s="2"/>
      <c r="E371" s="2"/>
      <c r="F371" s="2"/>
      <c r="G371" s="2"/>
    </row>
    <row r="372" spans="1:7" ht="15.75" customHeight="1" x14ac:dyDescent="0.2">
      <c r="A372" s="2"/>
      <c r="B372" s="2"/>
      <c r="C372" s="2"/>
      <c r="D372" s="2"/>
      <c r="E372" s="2"/>
      <c r="F372" s="2"/>
      <c r="G372" s="2"/>
    </row>
    <row r="373" spans="1:7" ht="15.75" customHeight="1" x14ac:dyDescent="0.2">
      <c r="A373" s="2"/>
      <c r="B373" s="2"/>
      <c r="C373" s="2"/>
      <c r="D373" s="2"/>
      <c r="E373" s="2"/>
      <c r="F373" s="2"/>
      <c r="G373" s="2"/>
    </row>
    <row r="374" spans="1:7" ht="15.75" customHeight="1" x14ac:dyDescent="0.2">
      <c r="A374" s="2"/>
      <c r="B374" s="2"/>
      <c r="C374" s="2"/>
      <c r="D374" s="2"/>
      <c r="E374" s="2"/>
      <c r="F374" s="2"/>
      <c r="G374" s="2"/>
    </row>
    <row r="375" spans="1:7" ht="15.75" customHeight="1" x14ac:dyDescent="0.2">
      <c r="A375" s="2"/>
      <c r="B375" s="2"/>
      <c r="C375" s="2"/>
      <c r="D375" s="2"/>
      <c r="E375" s="2"/>
      <c r="F375" s="2"/>
      <c r="G375" s="2"/>
    </row>
    <row r="376" spans="1:7" ht="15.75" customHeight="1" x14ac:dyDescent="0.2">
      <c r="A376" s="2"/>
      <c r="B376" s="2"/>
      <c r="C376" s="2"/>
      <c r="D376" s="2"/>
      <c r="E376" s="2"/>
      <c r="F376" s="2"/>
      <c r="G376" s="2"/>
    </row>
    <row r="377" spans="1:7" ht="15.75" customHeight="1" x14ac:dyDescent="0.2">
      <c r="A377" s="2"/>
      <c r="B377" s="2"/>
      <c r="C377" s="2"/>
      <c r="D377" s="2"/>
      <c r="E377" s="2"/>
      <c r="F377" s="2"/>
      <c r="G377" s="2"/>
    </row>
    <row r="378" spans="1:7" ht="15.75" customHeight="1" x14ac:dyDescent="0.2">
      <c r="A378" s="2"/>
      <c r="B378" s="2"/>
      <c r="C378" s="2"/>
      <c r="D378" s="2"/>
      <c r="E378" s="2"/>
      <c r="F378" s="2"/>
      <c r="G378" s="2"/>
    </row>
    <row r="379" spans="1:7" ht="15.75" customHeight="1" x14ac:dyDescent="0.2">
      <c r="A379" s="2"/>
      <c r="B379" s="2"/>
      <c r="C379" s="2"/>
      <c r="D379" s="2"/>
      <c r="E379" s="2"/>
      <c r="F379" s="2"/>
      <c r="G379" s="2"/>
    </row>
    <row r="380" spans="1:7" ht="15.75" customHeight="1" x14ac:dyDescent="0.2">
      <c r="A380" s="2"/>
      <c r="B380" s="2"/>
      <c r="C380" s="2"/>
      <c r="D380" s="2"/>
      <c r="E380" s="2"/>
      <c r="F380" s="2"/>
      <c r="G380" s="2"/>
    </row>
    <row r="381" spans="1:7" ht="15.75" customHeight="1" x14ac:dyDescent="0.2">
      <c r="A381" s="2"/>
      <c r="B381" s="2"/>
      <c r="C381" s="2"/>
      <c r="D381" s="2"/>
      <c r="E381" s="2"/>
      <c r="F381" s="2"/>
      <c r="G381" s="2"/>
    </row>
    <row r="382" spans="1:7" ht="15.75" customHeight="1" x14ac:dyDescent="0.2">
      <c r="A382" s="2"/>
      <c r="B382" s="2"/>
      <c r="C382" s="2"/>
      <c r="D382" s="2"/>
      <c r="E382" s="2"/>
      <c r="F382" s="2"/>
      <c r="G382" s="2"/>
    </row>
    <row r="383" spans="1:7" ht="15.75" customHeight="1" x14ac:dyDescent="0.2">
      <c r="A383" s="2"/>
      <c r="B383" s="2"/>
      <c r="C383" s="2"/>
      <c r="D383" s="2"/>
      <c r="E383" s="2"/>
      <c r="F383" s="2"/>
      <c r="G383" s="2"/>
    </row>
    <row r="384" spans="1:7" ht="15.75" customHeight="1" x14ac:dyDescent="0.2">
      <c r="A384" s="2"/>
      <c r="B384" s="2"/>
      <c r="C384" s="2"/>
      <c r="D384" s="2"/>
      <c r="E384" s="2"/>
      <c r="F384" s="2"/>
      <c r="G384" s="2"/>
    </row>
    <row r="385" spans="1:7" ht="15.75" customHeight="1" x14ac:dyDescent="0.2">
      <c r="A385" s="2"/>
      <c r="B385" s="2"/>
      <c r="C385" s="2"/>
      <c r="D385" s="2"/>
      <c r="E385" s="2"/>
      <c r="F385" s="2"/>
      <c r="G385" s="2"/>
    </row>
    <row r="386" spans="1:7" ht="15.75" customHeight="1" x14ac:dyDescent="0.2">
      <c r="A386" s="2"/>
      <c r="B386" s="2"/>
      <c r="C386" s="2"/>
      <c r="D386" s="2"/>
      <c r="E386" s="2"/>
      <c r="F386" s="2"/>
      <c r="G386" s="2"/>
    </row>
    <row r="387" spans="1:7" ht="15.75" customHeight="1" x14ac:dyDescent="0.2">
      <c r="A387" s="2"/>
      <c r="B387" s="2"/>
      <c r="C387" s="2"/>
      <c r="D387" s="2"/>
      <c r="E387" s="2"/>
      <c r="F387" s="2"/>
      <c r="G387" s="2"/>
    </row>
    <row r="388" spans="1:7" ht="15.75" customHeight="1" x14ac:dyDescent="0.2">
      <c r="A388" s="2"/>
      <c r="B388" s="2"/>
      <c r="C388" s="2"/>
      <c r="D388" s="2"/>
      <c r="E388" s="2"/>
      <c r="F388" s="2"/>
      <c r="G388" s="2"/>
    </row>
    <row r="389" spans="1:7" ht="15.75" customHeight="1" x14ac:dyDescent="0.2">
      <c r="A389" s="2"/>
      <c r="B389" s="2"/>
      <c r="C389" s="2"/>
      <c r="D389" s="2"/>
      <c r="E389" s="2"/>
      <c r="F389" s="2"/>
      <c r="G389" s="2"/>
    </row>
    <row r="390" spans="1:7" ht="15.75" customHeight="1" x14ac:dyDescent="0.2">
      <c r="A390" s="2"/>
      <c r="B390" s="2"/>
      <c r="C390" s="2"/>
      <c r="D390" s="2"/>
      <c r="E390" s="2"/>
      <c r="F390" s="2"/>
      <c r="G390" s="2"/>
    </row>
    <row r="391" spans="1:7" ht="15.75" customHeight="1" x14ac:dyDescent="0.2">
      <c r="A391" s="2"/>
      <c r="B391" s="2"/>
      <c r="C391" s="2"/>
      <c r="D391" s="2"/>
      <c r="E391" s="2"/>
      <c r="F391" s="2"/>
      <c r="G391" s="2"/>
    </row>
    <row r="392" spans="1:7" ht="15.75" customHeight="1" x14ac:dyDescent="0.2">
      <c r="A392" s="2"/>
      <c r="B392" s="2"/>
      <c r="C392" s="2"/>
      <c r="D392" s="2"/>
      <c r="E392" s="2"/>
      <c r="F392" s="2"/>
      <c r="G392" s="2"/>
    </row>
    <row r="393" spans="1:7" ht="15.75" customHeight="1" x14ac:dyDescent="0.2">
      <c r="A393" s="2"/>
      <c r="B393" s="2"/>
      <c r="C393" s="2"/>
      <c r="D393" s="2"/>
      <c r="E393" s="2"/>
      <c r="F393" s="2"/>
      <c r="G393" s="2"/>
    </row>
    <row r="394" spans="1:7" ht="15.75" customHeight="1" x14ac:dyDescent="0.2">
      <c r="A394" s="2"/>
      <c r="B394" s="2"/>
      <c r="C394" s="2"/>
      <c r="D394" s="2"/>
      <c r="E394" s="2"/>
      <c r="F394" s="2"/>
      <c r="G394" s="2"/>
    </row>
    <row r="395" spans="1:7" ht="15.75" customHeight="1" x14ac:dyDescent="0.2">
      <c r="A395" s="2"/>
      <c r="B395" s="2"/>
      <c r="C395" s="2"/>
      <c r="D395" s="2"/>
      <c r="E395" s="2"/>
      <c r="F395" s="2"/>
      <c r="G395" s="2"/>
    </row>
    <row r="396" spans="1:7" ht="15.75" customHeight="1" x14ac:dyDescent="0.2">
      <c r="A396" s="2"/>
      <c r="B396" s="2"/>
      <c r="C396" s="2"/>
      <c r="D396" s="2"/>
      <c r="E396" s="2"/>
      <c r="F396" s="2"/>
      <c r="G396" s="2"/>
    </row>
    <row r="397" spans="1:7" ht="15.75" customHeight="1" x14ac:dyDescent="0.2">
      <c r="A397" s="2"/>
      <c r="B397" s="2"/>
      <c r="C397" s="2"/>
      <c r="D397" s="2"/>
      <c r="E397" s="2"/>
      <c r="F397" s="2"/>
      <c r="G397" s="2"/>
    </row>
    <row r="398" spans="1:7" ht="15.75" customHeight="1" x14ac:dyDescent="0.2">
      <c r="A398" s="2"/>
      <c r="B398" s="2"/>
      <c r="C398" s="2"/>
      <c r="D398" s="2"/>
      <c r="E398" s="2"/>
      <c r="F398" s="2"/>
      <c r="G398" s="2"/>
    </row>
    <row r="399" spans="1:7" ht="15.75" customHeight="1" x14ac:dyDescent="0.2">
      <c r="A399" s="2"/>
      <c r="B399" s="2"/>
      <c r="C399" s="2"/>
      <c r="D399" s="2"/>
      <c r="E399" s="2"/>
      <c r="F399" s="2"/>
      <c r="G399" s="2"/>
    </row>
    <row r="400" spans="1:7" ht="15.75" customHeight="1" x14ac:dyDescent="0.2">
      <c r="A400" s="2"/>
      <c r="B400" s="2"/>
      <c r="C400" s="2"/>
      <c r="D400" s="2"/>
      <c r="E400" s="2"/>
      <c r="F400" s="2"/>
      <c r="G400" s="2"/>
    </row>
    <row r="401" spans="1:7" ht="15.75" customHeight="1" x14ac:dyDescent="0.2">
      <c r="A401" s="2"/>
      <c r="B401" s="2"/>
      <c r="C401" s="2"/>
      <c r="D401" s="2"/>
      <c r="E401" s="2"/>
      <c r="F401" s="2"/>
      <c r="G401" s="2"/>
    </row>
    <row r="402" spans="1:7" ht="15.75" customHeight="1" x14ac:dyDescent="0.2">
      <c r="A402" s="2"/>
      <c r="B402" s="2"/>
      <c r="C402" s="2"/>
      <c r="D402" s="2"/>
      <c r="E402" s="2"/>
      <c r="F402" s="2"/>
      <c r="G402" s="2"/>
    </row>
    <row r="403" spans="1:7" ht="15.75" customHeight="1" x14ac:dyDescent="0.2">
      <c r="A403" s="2"/>
      <c r="B403" s="2"/>
      <c r="C403" s="2"/>
      <c r="D403" s="2"/>
      <c r="E403" s="2"/>
      <c r="F403" s="2"/>
      <c r="G403" s="2"/>
    </row>
    <row r="404" spans="1:7" ht="15.75" customHeight="1" x14ac:dyDescent="0.2">
      <c r="A404" s="2"/>
      <c r="B404" s="2"/>
      <c r="C404" s="2"/>
      <c r="D404" s="2"/>
      <c r="E404" s="2"/>
      <c r="F404" s="2"/>
      <c r="G404" s="2"/>
    </row>
    <row r="405" spans="1:7" ht="15.75" customHeight="1" x14ac:dyDescent="0.2">
      <c r="A405" s="2"/>
      <c r="B405" s="2"/>
      <c r="C405" s="2"/>
      <c r="D405" s="2"/>
      <c r="E405" s="2"/>
      <c r="F405" s="2"/>
      <c r="G405" s="2"/>
    </row>
    <row r="406" spans="1:7" ht="15.75" customHeight="1" x14ac:dyDescent="0.2">
      <c r="A406" s="2"/>
      <c r="B406" s="2"/>
      <c r="C406" s="2"/>
      <c r="D406" s="2"/>
      <c r="E406" s="2"/>
      <c r="F406" s="2"/>
      <c r="G406" s="2"/>
    </row>
    <row r="407" spans="1:7" ht="15.75" customHeight="1" x14ac:dyDescent="0.2">
      <c r="A407" s="2"/>
      <c r="B407" s="2"/>
      <c r="C407" s="2"/>
      <c r="D407" s="2"/>
      <c r="E407" s="2"/>
      <c r="F407" s="2"/>
      <c r="G407" s="2"/>
    </row>
    <row r="408" spans="1:7" ht="15.75" customHeight="1" x14ac:dyDescent="0.2">
      <c r="A408" s="2"/>
      <c r="B408" s="2"/>
      <c r="C408" s="2"/>
      <c r="D408" s="2"/>
      <c r="E408" s="2"/>
      <c r="F408" s="2"/>
      <c r="G408" s="2"/>
    </row>
    <row r="409" spans="1:7" ht="15.75" customHeight="1" x14ac:dyDescent="0.2">
      <c r="A409" s="2"/>
      <c r="B409" s="2"/>
      <c r="C409" s="2"/>
      <c r="D409" s="2"/>
      <c r="E409" s="2"/>
      <c r="F409" s="2"/>
      <c r="G409" s="2"/>
    </row>
    <row r="410" spans="1:7" ht="15.75" customHeight="1" x14ac:dyDescent="0.2">
      <c r="A410" s="2"/>
      <c r="B410" s="2"/>
      <c r="C410" s="2"/>
      <c r="D410" s="2"/>
      <c r="E410" s="2"/>
      <c r="F410" s="2"/>
      <c r="G410" s="2"/>
    </row>
    <row r="411" spans="1:7" ht="15.75" customHeight="1" x14ac:dyDescent="0.2">
      <c r="A411" s="2"/>
      <c r="B411" s="2"/>
      <c r="C411" s="2"/>
      <c r="D411" s="2"/>
      <c r="E411" s="2"/>
      <c r="F411" s="2"/>
      <c r="G411" s="2"/>
    </row>
    <row r="412" spans="1:7" ht="15.75" customHeight="1" x14ac:dyDescent="0.2">
      <c r="A412" s="2"/>
      <c r="B412" s="2"/>
      <c r="C412" s="2"/>
      <c r="D412" s="2"/>
      <c r="E412" s="2"/>
      <c r="F412" s="2"/>
      <c r="G412" s="2"/>
    </row>
    <row r="413" spans="1:7" ht="15.75" customHeight="1" x14ac:dyDescent="0.2">
      <c r="A413" s="2"/>
      <c r="B413" s="2"/>
      <c r="C413" s="2"/>
      <c r="D413" s="2"/>
      <c r="E413" s="2"/>
      <c r="F413" s="2"/>
      <c r="G413" s="2"/>
    </row>
    <row r="414" spans="1:7" ht="15.75" customHeight="1" x14ac:dyDescent="0.2">
      <c r="A414" s="2"/>
      <c r="B414" s="2"/>
      <c r="C414" s="2"/>
      <c r="D414" s="2"/>
      <c r="E414" s="2"/>
      <c r="F414" s="2"/>
      <c r="G414" s="2"/>
    </row>
    <row r="415" spans="1:7" ht="15.75" customHeight="1" x14ac:dyDescent="0.2">
      <c r="A415" s="2"/>
      <c r="B415" s="2"/>
      <c r="C415" s="2"/>
      <c r="D415" s="2"/>
      <c r="E415" s="2"/>
      <c r="F415" s="2"/>
      <c r="G415" s="2"/>
    </row>
    <row r="416" spans="1:7" ht="15.75" customHeight="1" x14ac:dyDescent="0.2">
      <c r="A416" s="2"/>
      <c r="B416" s="2"/>
      <c r="C416" s="2"/>
      <c r="D416" s="2"/>
      <c r="E416" s="2"/>
      <c r="F416" s="2"/>
      <c r="G416" s="2"/>
    </row>
    <row r="417" spans="1:7" ht="15.75" customHeight="1" x14ac:dyDescent="0.2">
      <c r="A417" s="2"/>
      <c r="B417" s="2"/>
      <c r="C417" s="2"/>
      <c r="D417" s="2"/>
      <c r="E417" s="2"/>
      <c r="F417" s="2"/>
      <c r="G417" s="2"/>
    </row>
    <row r="418" spans="1:7" ht="15.75" customHeight="1" x14ac:dyDescent="0.2">
      <c r="A418" s="2"/>
      <c r="B418" s="2"/>
      <c r="C418" s="2"/>
      <c r="D418" s="2"/>
      <c r="E418" s="2"/>
      <c r="F418" s="2"/>
      <c r="G418" s="2"/>
    </row>
    <row r="419" spans="1:7" ht="15.75" customHeight="1" x14ac:dyDescent="0.2">
      <c r="A419" s="2"/>
      <c r="B419" s="2"/>
      <c r="C419" s="2"/>
      <c r="D419" s="2"/>
      <c r="E419" s="2"/>
      <c r="F419" s="2"/>
      <c r="G419" s="2"/>
    </row>
    <row r="420" spans="1:7" ht="15.75" customHeight="1" x14ac:dyDescent="0.2">
      <c r="A420" s="2"/>
      <c r="B420" s="2"/>
      <c r="C420" s="2"/>
      <c r="D420" s="2"/>
      <c r="E420" s="2"/>
      <c r="F420" s="2"/>
      <c r="G420" s="2"/>
    </row>
    <row r="421" spans="1:7" ht="15.75" customHeight="1" x14ac:dyDescent="0.2">
      <c r="A421" s="2"/>
      <c r="B421" s="2"/>
      <c r="C421" s="2"/>
      <c r="D421" s="2"/>
      <c r="E421" s="2"/>
      <c r="F421" s="2"/>
      <c r="G421" s="2"/>
    </row>
    <row r="422" spans="1:7" ht="15.75" customHeight="1" x14ac:dyDescent="0.2">
      <c r="A422" s="2"/>
      <c r="B422" s="2"/>
      <c r="C422" s="2"/>
      <c r="D422" s="2"/>
      <c r="E422" s="2"/>
      <c r="F422" s="2"/>
      <c r="G422" s="2"/>
    </row>
    <row r="423" spans="1:7" ht="15.75" customHeight="1" x14ac:dyDescent="0.2">
      <c r="A423" s="2"/>
      <c r="B423" s="2"/>
      <c r="C423" s="2"/>
      <c r="D423" s="2"/>
      <c r="E423" s="2"/>
      <c r="F423" s="2"/>
      <c r="G423" s="2"/>
    </row>
    <row r="424" spans="1:7" ht="15.75" customHeight="1" x14ac:dyDescent="0.2">
      <c r="A424" s="2"/>
      <c r="B424" s="2"/>
      <c r="C424" s="2"/>
      <c r="D424" s="2"/>
      <c r="E424" s="2"/>
      <c r="F424" s="2"/>
      <c r="G424" s="2"/>
    </row>
    <row r="425" spans="1:7" ht="15.75" customHeight="1" x14ac:dyDescent="0.2">
      <c r="A425" s="2"/>
      <c r="B425" s="2"/>
      <c r="C425" s="2"/>
      <c r="D425" s="2"/>
      <c r="E425" s="2"/>
      <c r="F425" s="2"/>
      <c r="G425" s="2"/>
    </row>
    <row r="426" spans="1:7" ht="15.75" customHeight="1" x14ac:dyDescent="0.2">
      <c r="A426" s="2"/>
      <c r="B426" s="2"/>
      <c r="C426" s="2"/>
      <c r="D426" s="2"/>
      <c r="E426" s="2"/>
      <c r="F426" s="2"/>
      <c r="G426" s="2"/>
    </row>
    <row r="427" spans="1:7" ht="15.75" customHeight="1" x14ac:dyDescent="0.2">
      <c r="A427" s="2"/>
      <c r="B427" s="2"/>
      <c r="C427" s="2"/>
      <c r="D427" s="2"/>
      <c r="E427" s="2"/>
      <c r="F427" s="2"/>
      <c r="G427" s="2"/>
    </row>
    <row r="428" spans="1:7" ht="15.75" customHeight="1" x14ac:dyDescent="0.2">
      <c r="A428" s="2"/>
      <c r="B428" s="2"/>
      <c r="C428" s="2"/>
      <c r="D428" s="2"/>
      <c r="E428" s="2"/>
      <c r="F428" s="2"/>
      <c r="G428" s="2"/>
    </row>
    <row r="429" spans="1:7" ht="15.75" customHeight="1" x14ac:dyDescent="0.2">
      <c r="A429" s="2"/>
      <c r="B429" s="2"/>
      <c r="C429" s="2"/>
      <c r="D429" s="2"/>
      <c r="E429" s="2"/>
      <c r="F429" s="2"/>
      <c r="G429" s="2"/>
    </row>
    <row r="430" spans="1:7" ht="15.75" customHeight="1" x14ac:dyDescent="0.2">
      <c r="A430" s="2"/>
      <c r="B430" s="2"/>
      <c r="C430" s="2"/>
      <c r="D430" s="2"/>
      <c r="E430" s="2"/>
      <c r="F430" s="2"/>
      <c r="G430" s="2"/>
    </row>
    <row r="431" spans="1:7" ht="15.75" customHeight="1" x14ac:dyDescent="0.2">
      <c r="A431" s="2"/>
      <c r="B431" s="2"/>
      <c r="C431" s="2"/>
      <c r="D431" s="2"/>
      <c r="E431" s="2"/>
      <c r="F431" s="2"/>
      <c r="G431" s="2"/>
    </row>
    <row r="432" spans="1:7" ht="15.75" customHeight="1" x14ac:dyDescent="0.2">
      <c r="A432" s="2"/>
      <c r="B432" s="2"/>
      <c r="C432" s="2"/>
      <c r="D432" s="2"/>
      <c r="E432" s="2"/>
      <c r="F432" s="2"/>
      <c r="G432" s="2"/>
    </row>
    <row r="433" spans="1:7" ht="15.75" customHeight="1" x14ac:dyDescent="0.2">
      <c r="A433" s="2"/>
      <c r="B433" s="2"/>
      <c r="C433" s="2"/>
      <c r="D433" s="2"/>
      <c r="E433" s="2"/>
      <c r="F433" s="2"/>
      <c r="G433" s="2"/>
    </row>
    <row r="434" spans="1:7" ht="15.75" customHeight="1" x14ac:dyDescent="0.2">
      <c r="A434" s="2"/>
      <c r="B434" s="2"/>
      <c r="C434" s="2"/>
      <c r="D434" s="2"/>
      <c r="E434" s="2"/>
      <c r="F434" s="2"/>
      <c r="G434" s="2"/>
    </row>
    <row r="435" spans="1:7" ht="15.75" customHeight="1" x14ac:dyDescent="0.2">
      <c r="A435" s="2"/>
      <c r="B435" s="2"/>
      <c r="C435" s="2"/>
      <c r="D435" s="2"/>
      <c r="E435" s="2"/>
      <c r="F435" s="2"/>
      <c r="G435" s="2"/>
    </row>
    <row r="436" spans="1:7" ht="15.75" customHeight="1" x14ac:dyDescent="0.2">
      <c r="A436" s="2"/>
      <c r="B436" s="2"/>
      <c r="C436" s="2"/>
      <c r="D436" s="2"/>
      <c r="E436" s="2"/>
      <c r="F436" s="2"/>
      <c r="G436" s="2"/>
    </row>
    <row r="437" spans="1:7" ht="15.75" customHeight="1" x14ac:dyDescent="0.2">
      <c r="A437" s="2"/>
      <c r="B437" s="2"/>
      <c r="C437" s="2"/>
      <c r="D437" s="2"/>
      <c r="E437" s="2"/>
      <c r="F437" s="2"/>
      <c r="G437" s="2"/>
    </row>
    <row r="438" spans="1:7" ht="15.75" customHeight="1" x14ac:dyDescent="0.2">
      <c r="A438" s="2"/>
      <c r="B438" s="2"/>
      <c r="C438" s="2"/>
      <c r="D438" s="2"/>
      <c r="E438" s="2"/>
      <c r="F438" s="2"/>
      <c r="G438" s="2"/>
    </row>
    <row r="439" spans="1:7" ht="15.75" customHeight="1" x14ac:dyDescent="0.2">
      <c r="A439" s="2"/>
      <c r="B439" s="2"/>
      <c r="C439" s="2"/>
      <c r="D439" s="2"/>
      <c r="E439" s="2"/>
      <c r="F439" s="2"/>
      <c r="G439" s="2"/>
    </row>
    <row r="440" spans="1:7" ht="15.75" customHeight="1" x14ac:dyDescent="0.2">
      <c r="A440" s="2"/>
      <c r="B440" s="2"/>
      <c r="C440" s="2"/>
      <c r="D440" s="2"/>
      <c r="E440" s="2"/>
      <c r="F440" s="2"/>
      <c r="G440" s="2"/>
    </row>
    <row r="441" spans="1:7" ht="15.75" customHeight="1" x14ac:dyDescent="0.2">
      <c r="A441" s="2"/>
      <c r="B441" s="2"/>
      <c r="C441" s="2"/>
      <c r="D441" s="2"/>
      <c r="E441" s="2"/>
      <c r="F441" s="2"/>
      <c r="G441" s="2"/>
    </row>
    <row r="442" spans="1:7" ht="15.75" customHeight="1" x14ac:dyDescent="0.2">
      <c r="A442" s="2"/>
      <c r="B442" s="2"/>
      <c r="C442" s="2"/>
      <c r="D442" s="2"/>
      <c r="E442" s="2"/>
      <c r="F442" s="2"/>
      <c r="G442" s="2"/>
    </row>
    <row r="443" spans="1:7" ht="15.75" customHeight="1" x14ac:dyDescent="0.2">
      <c r="A443" s="2"/>
      <c r="B443" s="2"/>
      <c r="C443" s="2"/>
      <c r="D443" s="2"/>
      <c r="E443" s="2"/>
      <c r="F443" s="2"/>
      <c r="G443" s="2"/>
    </row>
    <row r="444" spans="1:7" ht="15.75" customHeight="1" x14ac:dyDescent="0.2">
      <c r="A444" s="2"/>
      <c r="B444" s="2"/>
      <c r="C444" s="2"/>
      <c r="D444" s="2"/>
      <c r="E444" s="2"/>
      <c r="F444" s="2"/>
      <c r="G444" s="2"/>
    </row>
    <row r="445" spans="1:7" ht="15.75" customHeight="1" x14ac:dyDescent="0.2">
      <c r="A445" s="2"/>
      <c r="B445" s="2"/>
      <c r="C445" s="2"/>
      <c r="D445" s="2"/>
      <c r="E445" s="2"/>
      <c r="F445" s="2"/>
      <c r="G445" s="2"/>
    </row>
    <row r="446" spans="1:7" ht="15.75" customHeight="1" x14ac:dyDescent="0.2">
      <c r="A446" s="2"/>
      <c r="B446" s="2"/>
      <c r="C446" s="2"/>
      <c r="D446" s="2"/>
      <c r="E446" s="2"/>
      <c r="F446" s="2"/>
      <c r="G446" s="2"/>
    </row>
    <row r="447" spans="1:7" ht="15.75" customHeight="1" x14ac:dyDescent="0.2">
      <c r="A447" s="2"/>
      <c r="B447" s="2"/>
      <c r="C447" s="2"/>
      <c r="D447" s="2"/>
      <c r="E447" s="2"/>
      <c r="F447" s="2"/>
      <c r="G447" s="2"/>
    </row>
    <row r="448" spans="1:7" ht="15.75" customHeight="1" x14ac:dyDescent="0.2">
      <c r="A448" s="2"/>
      <c r="B448" s="2"/>
      <c r="C448" s="2"/>
      <c r="D448" s="2"/>
      <c r="E448" s="2"/>
      <c r="F448" s="2"/>
      <c r="G448" s="2"/>
    </row>
    <row r="449" spans="1:7" ht="15.75" customHeight="1" x14ac:dyDescent="0.2">
      <c r="A449" s="2"/>
      <c r="B449" s="2"/>
      <c r="C449" s="2"/>
      <c r="D449" s="2"/>
      <c r="E449" s="2"/>
      <c r="F449" s="2"/>
      <c r="G449" s="2"/>
    </row>
    <row r="450" spans="1:7" ht="15.75" customHeight="1" x14ac:dyDescent="0.2">
      <c r="A450" s="2"/>
      <c r="B450" s="2"/>
      <c r="C450" s="2"/>
      <c r="D450" s="2"/>
      <c r="E450" s="2"/>
      <c r="F450" s="2"/>
      <c r="G450" s="2"/>
    </row>
    <row r="451" spans="1:7" ht="15.75" customHeight="1" x14ac:dyDescent="0.2">
      <c r="A451" s="2"/>
      <c r="B451" s="2"/>
      <c r="C451" s="2"/>
      <c r="D451" s="2"/>
      <c r="E451" s="2"/>
      <c r="F451" s="2"/>
      <c r="G451" s="2"/>
    </row>
    <row r="452" spans="1:7" ht="15.75" customHeight="1" x14ac:dyDescent="0.2">
      <c r="A452" s="2"/>
      <c r="B452" s="2"/>
      <c r="C452" s="2"/>
      <c r="D452" s="2"/>
      <c r="E452" s="2"/>
      <c r="F452" s="2"/>
      <c r="G452" s="2"/>
    </row>
    <row r="453" spans="1:7" ht="15.75" customHeight="1" x14ac:dyDescent="0.2">
      <c r="A453" s="2"/>
      <c r="B453" s="2"/>
      <c r="C453" s="2"/>
      <c r="D453" s="2"/>
      <c r="E453" s="2"/>
      <c r="F453" s="2"/>
      <c r="G453" s="2"/>
    </row>
    <row r="454" spans="1:7" ht="15.75" customHeight="1" x14ac:dyDescent="0.2">
      <c r="A454" s="2"/>
      <c r="B454" s="2"/>
      <c r="C454" s="2"/>
      <c r="D454" s="2"/>
      <c r="E454" s="2"/>
      <c r="F454" s="2"/>
      <c r="G454" s="2"/>
    </row>
    <row r="455" spans="1:7" ht="15.75" customHeight="1" x14ac:dyDescent="0.2">
      <c r="A455" s="2"/>
      <c r="B455" s="2"/>
      <c r="C455" s="2"/>
      <c r="D455" s="2"/>
      <c r="E455" s="2"/>
      <c r="F455" s="2"/>
      <c r="G455" s="2"/>
    </row>
    <row r="456" spans="1:7" ht="15.75" customHeight="1" x14ac:dyDescent="0.2">
      <c r="A456" s="2"/>
      <c r="B456" s="2"/>
      <c r="C456" s="2"/>
      <c r="D456" s="2"/>
      <c r="E456" s="2"/>
      <c r="F456" s="2"/>
      <c r="G456" s="2"/>
    </row>
    <row r="457" spans="1:7" ht="15.75" customHeight="1" x14ac:dyDescent="0.2">
      <c r="A457" s="2"/>
      <c r="B457" s="2"/>
      <c r="C457" s="2"/>
      <c r="D457" s="2"/>
      <c r="E457" s="2"/>
      <c r="F457" s="2"/>
      <c r="G457" s="2"/>
    </row>
    <row r="458" spans="1:7" ht="15.75" customHeight="1" x14ac:dyDescent="0.2">
      <c r="A458" s="2"/>
      <c r="B458" s="2"/>
      <c r="C458" s="2"/>
      <c r="D458" s="2"/>
      <c r="E458" s="2"/>
      <c r="F458" s="2"/>
      <c r="G458" s="2"/>
    </row>
    <row r="459" spans="1:7" ht="15.75" customHeight="1" x14ac:dyDescent="0.2">
      <c r="A459" s="2"/>
      <c r="B459" s="2"/>
      <c r="C459" s="2"/>
      <c r="D459" s="2"/>
      <c r="E459" s="2"/>
      <c r="F459" s="2"/>
      <c r="G459" s="2"/>
    </row>
    <row r="460" spans="1:7" ht="15.75" customHeight="1" x14ac:dyDescent="0.2">
      <c r="A460" s="2"/>
      <c r="B460" s="2"/>
      <c r="C460" s="2"/>
      <c r="D460" s="2"/>
      <c r="E460" s="2"/>
      <c r="F460" s="2"/>
      <c r="G460" s="2"/>
    </row>
    <row r="461" spans="1:7" ht="15.75" customHeight="1" x14ac:dyDescent="0.2">
      <c r="A461" s="2"/>
      <c r="B461" s="2"/>
      <c r="C461" s="2"/>
      <c r="D461" s="2"/>
      <c r="E461" s="2"/>
      <c r="F461" s="2"/>
      <c r="G461" s="2"/>
    </row>
    <row r="462" spans="1:7" ht="15.75" customHeight="1" x14ac:dyDescent="0.2">
      <c r="A462" s="2"/>
      <c r="B462" s="2"/>
      <c r="C462" s="2"/>
      <c r="D462" s="2"/>
      <c r="E462" s="2"/>
      <c r="F462" s="2"/>
      <c r="G462" s="2"/>
    </row>
    <row r="463" spans="1:7" ht="15.75" customHeight="1" x14ac:dyDescent="0.2">
      <c r="A463" s="2"/>
      <c r="B463" s="2"/>
      <c r="C463" s="2"/>
      <c r="D463" s="2"/>
      <c r="E463" s="2"/>
      <c r="F463" s="2"/>
      <c r="G463" s="2"/>
    </row>
    <row r="464" spans="1:7" ht="15.75" customHeight="1" x14ac:dyDescent="0.2">
      <c r="A464" s="2"/>
      <c r="B464" s="2"/>
      <c r="C464" s="2"/>
      <c r="D464" s="2"/>
      <c r="E464" s="2"/>
      <c r="F464" s="2"/>
      <c r="G464" s="2"/>
    </row>
    <row r="465" spans="1:7" ht="15.75" customHeight="1" x14ac:dyDescent="0.2">
      <c r="A465" s="2"/>
      <c r="B465" s="2"/>
      <c r="C465" s="2"/>
      <c r="D465" s="2"/>
      <c r="E465" s="2"/>
      <c r="F465" s="2"/>
      <c r="G465" s="2"/>
    </row>
    <row r="466" spans="1:7" ht="15.75" customHeight="1" x14ac:dyDescent="0.2">
      <c r="A466" s="2"/>
      <c r="B466" s="2"/>
      <c r="C466" s="2"/>
      <c r="D466" s="2"/>
      <c r="E466" s="2"/>
      <c r="F466" s="2"/>
      <c r="G466" s="2"/>
    </row>
    <row r="467" spans="1:7" ht="15.75" customHeight="1" x14ac:dyDescent="0.2">
      <c r="A467" s="2"/>
      <c r="B467" s="2"/>
      <c r="C467" s="2"/>
      <c r="D467" s="2"/>
      <c r="E467" s="2"/>
      <c r="F467" s="2"/>
      <c r="G467" s="2"/>
    </row>
    <row r="468" spans="1:7" ht="15.75" customHeight="1" x14ac:dyDescent="0.2">
      <c r="A468" s="2"/>
      <c r="B468" s="2"/>
      <c r="C468" s="2"/>
      <c r="D468" s="2"/>
      <c r="E468" s="2"/>
      <c r="F468" s="2"/>
      <c r="G468" s="2"/>
    </row>
    <row r="469" spans="1:7" ht="15.75" customHeight="1" x14ac:dyDescent="0.2">
      <c r="A469" s="2"/>
      <c r="B469" s="2"/>
      <c r="C469" s="2"/>
      <c r="D469" s="2"/>
      <c r="E469" s="2"/>
      <c r="F469" s="2"/>
      <c r="G469" s="2"/>
    </row>
    <row r="470" spans="1:7" ht="15.75" customHeight="1" x14ac:dyDescent="0.2">
      <c r="A470" s="2"/>
      <c r="B470" s="2"/>
      <c r="C470" s="2"/>
      <c r="D470" s="2"/>
      <c r="E470" s="2"/>
      <c r="F470" s="2"/>
      <c r="G470" s="2"/>
    </row>
    <row r="471" spans="1:7" ht="15.75" customHeight="1" x14ac:dyDescent="0.2">
      <c r="A471" s="2"/>
      <c r="B471" s="2"/>
      <c r="C471" s="2"/>
      <c r="D471" s="2"/>
      <c r="E471" s="2"/>
      <c r="F471" s="2"/>
      <c r="G471" s="2"/>
    </row>
    <row r="472" spans="1:7" ht="15.75" customHeight="1" x14ac:dyDescent="0.2">
      <c r="A472" s="2"/>
      <c r="B472" s="2"/>
      <c r="C472" s="2"/>
      <c r="D472" s="2"/>
      <c r="E472" s="2"/>
      <c r="F472" s="2"/>
      <c r="G472" s="2"/>
    </row>
    <row r="473" spans="1:7" ht="15.75" customHeight="1" x14ac:dyDescent="0.2">
      <c r="A473" s="2"/>
      <c r="B473" s="2"/>
      <c r="C473" s="2"/>
      <c r="D473" s="2"/>
      <c r="E473" s="2"/>
      <c r="F473" s="2"/>
      <c r="G473" s="2"/>
    </row>
    <row r="474" spans="1:7" ht="15.75" customHeight="1" x14ac:dyDescent="0.2">
      <c r="A474" s="2"/>
      <c r="B474" s="2"/>
      <c r="C474" s="2"/>
      <c r="D474" s="2"/>
      <c r="E474" s="2"/>
      <c r="F474" s="2"/>
      <c r="G474" s="2"/>
    </row>
    <row r="475" spans="1:7" ht="15.75" customHeight="1" x14ac:dyDescent="0.2">
      <c r="A475" s="2"/>
      <c r="B475" s="2"/>
      <c r="C475" s="2"/>
      <c r="D475" s="2"/>
      <c r="E475" s="2"/>
      <c r="F475" s="2"/>
      <c r="G475" s="2"/>
    </row>
    <row r="476" spans="1:7" ht="15.75" customHeight="1" x14ac:dyDescent="0.2">
      <c r="A476" s="2"/>
      <c r="B476" s="2"/>
      <c r="C476" s="2"/>
      <c r="D476" s="2"/>
      <c r="E476" s="2"/>
      <c r="F476" s="2"/>
      <c r="G476" s="2"/>
    </row>
    <row r="477" spans="1:7" ht="15.75" customHeight="1" x14ac:dyDescent="0.2">
      <c r="A477" s="2"/>
      <c r="B477" s="2"/>
      <c r="C477" s="2"/>
      <c r="D477" s="2"/>
      <c r="E477" s="2"/>
      <c r="F477" s="2"/>
      <c r="G477" s="2"/>
    </row>
    <row r="478" spans="1:7" ht="15.75" customHeight="1" x14ac:dyDescent="0.2">
      <c r="A478" s="2"/>
      <c r="B478" s="2"/>
      <c r="C478" s="2"/>
      <c r="D478" s="2"/>
      <c r="E478" s="2"/>
      <c r="F478" s="2"/>
      <c r="G478" s="2"/>
    </row>
    <row r="479" spans="1:7" ht="15.75" customHeight="1" x14ac:dyDescent="0.2">
      <c r="A479" s="2"/>
      <c r="B479" s="2"/>
      <c r="C479" s="2"/>
      <c r="D479" s="2"/>
      <c r="E479" s="2"/>
      <c r="F479" s="2"/>
      <c r="G479" s="2"/>
    </row>
    <row r="480" spans="1:7" ht="15.75" customHeight="1" x14ac:dyDescent="0.2">
      <c r="A480" s="2"/>
      <c r="B480" s="2"/>
      <c r="C480" s="2"/>
      <c r="D480" s="2"/>
      <c r="E480" s="2"/>
      <c r="F480" s="2"/>
      <c r="G480" s="2"/>
    </row>
    <row r="481" spans="1:7" ht="15.75" customHeight="1" x14ac:dyDescent="0.2">
      <c r="A481" s="2"/>
      <c r="B481" s="2"/>
      <c r="C481" s="2"/>
      <c r="D481" s="2"/>
      <c r="E481" s="2"/>
      <c r="F481" s="2"/>
      <c r="G481" s="2"/>
    </row>
    <row r="482" spans="1:7" ht="15.75" customHeight="1" x14ac:dyDescent="0.2">
      <c r="A482" s="2"/>
      <c r="B482" s="2"/>
      <c r="C482" s="2"/>
      <c r="D482" s="2"/>
      <c r="E482" s="2"/>
      <c r="F482" s="2"/>
      <c r="G482" s="2"/>
    </row>
    <row r="483" spans="1:7" ht="15.75" customHeight="1" x14ac:dyDescent="0.2">
      <c r="A483" s="2"/>
      <c r="B483" s="2"/>
      <c r="C483" s="2"/>
      <c r="D483" s="2"/>
      <c r="E483" s="2"/>
      <c r="F483" s="2"/>
      <c r="G483" s="2"/>
    </row>
    <row r="484" spans="1:7" ht="15.75" customHeight="1" x14ac:dyDescent="0.2">
      <c r="A484" s="2"/>
      <c r="B484" s="2"/>
      <c r="C484" s="2"/>
      <c r="D484" s="2"/>
      <c r="E484" s="2"/>
      <c r="F484" s="2"/>
      <c r="G484" s="2"/>
    </row>
    <row r="485" spans="1:7" ht="15.75" customHeight="1" x14ac:dyDescent="0.2">
      <c r="A485" s="2"/>
      <c r="B485" s="2"/>
      <c r="C485" s="2"/>
      <c r="D485" s="2"/>
      <c r="E485" s="2"/>
      <c r="F485" s="2"/>
      <c r="G485" s="2"/>
    </row>
    <row r="486" spans="1:7" ht="15.75" customHeight="1" x14ac:dyDescent="0.2">
      <c r="A486" s="2"/>
      <c r="B486" s="2"/>
      <c r="C486" s="2"/>
      <c r="D486" s="2"/>
      <c r="E486" s="2"/>
      <c r="F486" s="2"/>
      <c r="G486" s="2"/>
    </row>
    <row r="487" spans="1:7" ht="15.75" customHeight="1" x14ac:dyDescent="0.2">
      <c r="A487" s="2"/>
      <c r="B487" s="2"/>
      <c r="C487" s="2"/>
      <c r="D487" s="2"/>
      <c r="E487" s="2"/>
      <c r="F487" s="2"/>
      <c r="G487" s="2"/>
    </row>
    <row r="488" spans="1:7" ht="15.75" customHeight="1" x14ac:dyDescent="0.2">
      <c r="A488" s="2"/>
      <c r="B488" s="2"/>
      <c r="C488" s="2"/>
      <c r="D488" s="2"/>
      <c r="E488" s="2"/>
      <c r="F488" s="2"/>
      <c r="G488" s="2"/>
    </row>
    <row r="489" spans="1:7" ht="15.75" customHeight="1" x14ac:dyDescent="0.2">
      <c r="A489" s="2"/>
      <c r="B489" s="2"/>
      <c r="C489" s="2"/>
      <c r="D489" s="2"/>
      <c r="E489" s="2"/>
      <c r="F489" s="2"/>
      <c r="G489" s="2"/>
    </row>
    <row r="490" spans="1:7" ht="15.75" customHeight="1" x14ac:dyDescent="0.2">
      <c r="A490" s="2"/>
      <c r="B490" s="2"/>
      <c r="C490" s="2"/>
      <c r="D490" s="2"/>
      <c r="E490" s="2"/>
      <c r="F490" s="2"/>
      <c r="G490" s="2"/>
    </row>
    <row r="491" spans="1:7" ht="15.75" customHeight="1" x14ac:dyDescent="0.2">
      <c r="A491" s="2"/>
      <c r="B491" s="2"/>
      <c r="C491" s="2"/>
      <c r="D491" s="2"/>
      <c r="E491" s="2"/>
      <c r="F491" s="2"/>
      <c r="G491" s="2"/>
    </row>
    <row r="492" spans="1:7" ht="15.75" customHeight="1" x14ac:dyDescent="0.2">
      <c r="A492" s="2"/>
      <c r="B492" s="2"/>
      <c r="C492" s="2"/>
      <c r="D492" s="2"/>
      <c r="E492" s="2"/>
      <c r="F492" s="2"/>
      <c r="G492" s="2"/>
    </row>
    <row r="493" spans="1:7" ht="15.75" customHeight="1" x14ac:dyDescent="0.2">
      <c r="A493" s="2"/>
      <c r="B493" s="2"/>
      <c r="C493" s="2"/>
      <c r="D493" s="2"/>
      <c r="E493" s="2"/>
      <c r="F493" s="2"/>
      <c r="G493" s="2"/>
    </row>
    <row r="494" spans="1:7" ht="15.75" customHeight="1" x14ac:dyDescent="0.2">
      <c r="A494" s="2"/>
      <c r="B494" s="2"/>
      <c r="C494" s="2"/>
      <c r="D494" s="2"/>
      <c r="E494" s="2"/>
      <c r="F494" s="2"/>
      <c r="G494" s="2"/>
    </row>
    <row r="495" spans="1:7" ht="15.75" customHeight="1" x14ac:dyDescent="0.2">
      <c r="A495" s="2"/>
      <c r="B495" s="2"/>
      <c r="C495" s="2"/>
      <c r="D495" s="2"/>
      <c r="E495" s="2"/>
      <c r="F495" s="2"/>
      <c r="G495" s="2"/>
    </row>
    <row r="496" spans="1:7" ht="15.75" customHeight="1" x14ac:dyDescent="0.2">
      <c r="A496" s="2"/>
      <c r="B496" s="2"/>
      <c r="C496" s="2"/>
      <c r="D496" s="2"/>
      <c r="E496" s="2"/>
      <c r="F496" s="2"/>
      <c r="G496" s="2"/>
    </row>
    <row r="497" spans="1:7" ht="15.75" customHeight="1" x14ac:dyDescent="0.2">
      <c r="A497" s="2"/>
      <c r="B497" s="2"/>
      <c r="C497" s="2"/>
      <c r="D497" s="2"/>
      <c r="E497" s="2"/>
      <c r="F497" s="2"/>
      <c r="G497" s="2"/>
    </row>
    <row r="498" spans="1:7" ht="15.75" customHeight="1" x14ac:dyDescent="0.2">
      <c r="A498" s="2"/>
      <c r="B498" s="2"/>
      <c r="C498" s="2"/>
      <c r="D498" s="2"/>
      <c r="E498" s="2"/>
      <c r="F498" s="2"/>
      <c r="G498" s="2"/>
    </row>
    <row r="499" spans="1:7" ht="15.75" customHeight="1" x14ac:dyDescent="0.2">
      <c r="A499" s="2"/>
      <c r="B499" s="2"/>
      <c r="C499" s="2"/>
      <c r="D499" s="2"/>
      <c r="E499" s="2"/>
      <c r="F499" s="2"/>
      <c r="G499" s="2"/>
    </row>
    <row r="500" spans="1:7" ht="15.75" customHeight="1" x14ac:dyDescent="0.2">
      <c r="A500" s="2"/>
      <c r="B500" s="2"/>
      <c r="C500" s="2"/>
      <c r="D500" s="2"/>
      <c r="E500" s="2"/>
      <c r="F500" s="2"/>
      <c r="G500" s="2"/>
    </row>
    <row r="501" spans="1:7" ht="15.75" customHeight="1" x14ac:dyDescent="0.2">
      <c r="A501" s="2"/>
      <c r="B501" s="2"/>
      <c r="C501" s="2"/>
      <c r="D501" s="2"/>
      <c r="E501" s="2"/>
      <c r="F501" s="2"/>
      <c r="G501" s="2"/>
    </row>
    <row r="502" spans="1:7" ht="15.75" customHeight="1" x14ac:dyDescent="0.2">
      <c r="A502" s="2"/>
      <c r="B502" s="2"/>
      <c r="C502" s="2"/>
      <c r="D502" s="2"/>
      <c r="E502" s="2"/>
      <c r="F502" s="2"/>
      <c r="G502" s="2"/>
    </row>
    <row r="503" spans="1:7" ht="15.75" customHeight="1" x14ac:dyDescent="0.2">
      <c r="A503" s="2"/>
      <c r="B503" s="2"/>
      <c r="C503" s="2"/>
      <c r="D503" s="2"/>
      <c r="E503" s="2"/>
      <c r="F503" s="2"/>
      <c r="G503" s="2"/>
    </row>
    <row r="504" spans="1:7" ht="15.75" customHeight="1" x14ac:dyDescent="0.2">
      <c r="A504" s="2"/>
      <c r="B504" s="2"/>
      <c r="C504" s="2"/>
      <c r="D504" s="2"/>
      <c r="E504" s="2"/>
      <c r="F504" s="2"/>
      <c r="G504" s="2"/>
    </row>
    <row r="505" spans="1:7" ht="15.75" customHeight="1" x14ac:dyDescent="0.2">
      <c r="A505" s="2"/>
      <c r="B505" s="2"/>
      <c r="C505" s="2"/>
      <c r="D505" s="2"/>
      <c r="E505" s="2"/>
      <c r="F505" s="2"/>
      <c r="G505" s="2"/>
    </row>
    <row r="506" spans="1:7" ht="15.75" customHeight="1" x14ac:dyDescent="0.2">
      <c r="A506" s="2"/>
      <c r="B506" s="2"/>
      <c r="C506" s="2"/>
      <c r="D506" s="2"/>
      <c r="E506" s="2"/>
      <c r="F506" s="2"/>
      <c r="G506" s="2"/>
    </row>
    <row r="507" spans="1:7" ht="15.75" customHeight="1" x14ac:dyDescent="0.2">
      <c r="A507" s="2"/>
      <c r="B507" s="2"/>
      <c r="C507" s="2"/>
      <c r="D507" s="2"/>
      <c r="E507" s="2"/>
      <c r="F507" s="2"/>
      <c r="G507" s="2"/>
    </row>
    <row r="508" spans="1:7" ht="15.75" customHeight="1" x14ac:dyDescent="0.2">
      <c r="A508" s="2"/>
      <c r="B508" s="2"/>
      <c r="C508" s="2"/>
      <c r="D508" s="2"/>
      <c r="E508" s="2"/>
      <c r="F508" s="2"/>
      <c r="G508" s="2"/>
    </row>
    <row r="509" spans="1:7" ht="15.75" customHeight="1" x14ac:dyDescent="0.2">
      <c r="A509" s="2"/>
      <c r="B509" s="2"/>
      <c r="C509" s="2"/>
      <c r="D509" s="2"/>
      <c r="E509" s="2"/>
      <c r="F509" s="2"/>
      <c r="G509" s="2"/>
    </row>
    <row r="510" spans="1:7" ht="15.75" customHeight="1" x14ac:dyDescent="0.2">
      <c r="A510" s="2"/>
      <c r="B510" s="2"/>
      <c r="C510" s="2"/>
      <c r="D510" s="2"/>
      <c r="E510" s="2"/>
      <c r="F510" s="2"/>
      <c r="G510" s="2"/>
    </row>
    <row r="511" spans="1:7" ht="15.75" customHeight="1" x14ac:dyDescent="0.2">
      <c r="A511" s="2"/>
      <c r="B511" s="2"/>
      <c r="C511" s="2"/>
      <c r="D511" s="2"/>
      <c r="E511" s="2"/>
      <c r="F511" s="2"/>
      <c r="G511" s="2"/>
    </row>
    <row r="512" spans="1:7" ht="15.75" customHeight="1" x14ac:dyDescent="0.2">
      <c r="A512" s="2"/>
      <c r="B512" s="2"/>
      <c r="C512" s="2"/>
      <c r="D512" s="2"/>
      <c r="E512" s="2"/>
      <c r="F512" s="2"/>
      <c r="G512" s="2"/>
    </row>
    <row r="513" spans="1:7" ht="15.75" customHeight="1" x14ac:dyDescent="0.2">
      <c r="A513" s="2"/>
      <c r="B513" s="2"/>
      <c r="C513" s="2"/>
      <c r="D513" s="2"/>
      <c r="E513" s="2"/>
      <c r="F513" s="2"/>
      <c r="G513" s="2"/>
    </row>
    <row r="514" spans="1:7" ht="15.75" customHeight="1" x14ac:dyDescent="0.2">
      <c r="A514" s="2"/>
      <c r="B514" s="2"/>
      <c r="C514" s="2"/>
      <c r="D514" s="2"/>
      <c r="E514" s="2"/>
      <c r="F514" s="2"/>
      <c r="G514" s="2"/>
    </row>
    <row r="515" spans="1:7" ht="15.75" customHeight="1" x14ac:dyDescent="0.2">
      <c r="A515" s="2"/>
      <c r="B515" s="2"/>
      <c r="C515" s="2"/>
      <c r="D515" s="2"/>
      <c r="E515" s="2"/>
      <c r="F515" s="2"/>
      <c r="G515" s="2"/>
    </row>
    <row r="516" spans="1:7" ht="15.75" customHeight="1" x14ac:dyDescent="0.2">
      <c r="A516" s="2"/>
      <c r="B516" s="2"/>
      <c r="C516" s="2"/>
      <c r="D516" s="2"/>
      <c r="E516" s="2"/>
      <c r="F516" s="2"/>
      <c r="G516" s="2"/>
    </row>
    <row r="517" spans="1:7" ht="15.75" customHeight="1" x14ac:dyDescent="0.2">
      <c r="A517" s="2"/>
      <c r="B517" s="2"/>
      <c r="C517" s="2"/>
      <c r="D517" s="2"/>
      <c r="E517" s="2"/>
      <c r="F517" s="2"/>
      <c r="G517" s="2"/>
    </row>
    <row r="518" spans="1:7" ht="15.75" customHeight="1" x14ac:dyDescent="0.2">
      <c r="A518" s="2"/>
      <c r="B518" s="2"/>
      <c r="C518" s="2"/>
      <c r="D518" s="2"/>
      <c r="E518" s="2"/>
      <c r="F518" s="2"/>
      <c r="G518" s="2"/>
    </row>
    <row r="519" spans="1:7" ht="15.75" customHeight="1" x14ac:dyDescent="0.2">
      <c r="A519" s="2"/>
      <c r="B519" s="2"/>
      <c r="C519" s="2"/>
      <c r="D519" s="2"/>
      <c r="E519" s="2"/>
      <c r="F519" s="2"/>
      <c r="G519" s="2"/>
    </row>
    <row r="520" spans="1:7" ht="15.75" customHeight="1" x14ac:dyDescent="0.2">
      <c r="A520" s="2"/>
      <c r="B520" s="2"/>
      <c r="C520" s="2"/>
      <c r="D520" s="2"/>
      <c r="E520" s="2"/>
      <c r="F520" s="2"/>
      <c r="G520" s="2"/>
    </row>
    <row r="521" spans="1:7" ht="15.75" customHeight="1" x14ac:dyDescent="0.2">
      <c r="A521" s="2"/>
      <c r="B521" s="2"/>
      <c r="C521" s="2"/>
      <c r="D521" s="2"/>
      <c r="E521" s="2"/>
      <c r="F521" s="2"/>
      <c r="G521" s="2"/>
    </row>
    <row r="522" spans="1:7" ht="15.75" customHeight="1" x14ac:dyDescent="0.2">
      <c r="A522" s="2"/>
      <c r="B522" s="2"/>
      <c r="C522" s="2"/>
      <c r="D522" s="2"/>
      <c r="E522" s="2"/>
      <c r="F522" s="2"/>
      <c r="G522" s="2"/>
    </row>
    <row r="523" spans="1:7" ht="15.75" customHeight="1" x14ac:dyDescent="0.2">
      <c r="A523" s="2"/>
      <c r="B523" s="2"/>
      <c r="C523" s="2"/>
      <c r="D523" s="2"/>
      <c r="E523" s="2"/>
      <c r="F523" s="2"/>
      <c r="G523" s="2"/>
    </row>
    <row r="524" spans="1:7" ht="15.75" customHeight="1" x14ac:dyDescent="0.2">
      <c r="A524" s="2"/>
      <c r="B524" s="2"/>
      <c r="C524" s="2"/>
      <c r="D524" s="2"/>
      <c r="E524" s="2"/>
      <c r="F524" s="2"/>
      <c r="G524" s="2"/>
    </row>
    <row r="525" spans="1:7" ht="15.75" customHeight="1" x14ac:dyDescent="0.2">
      <c r="A525" s="2"/>
      <c r="B525" s="2"/>
      <c r="C525" s="2"/>
      <c r="D525" s="2"/>
      <c r="E525" s="2"/>
      <c r="F525" s="2"/>
      <c r="G525" s="2"/>
    </row>
    <row r="526" spans="1:7" ht="15.75" customHeight="1" x14ac:dyDescent="0.2">
      <c r="A526" s="2"/>
      <c r="B526" s="2"/>
      <c r="C526" s="2"/>
      <c r="D526" s="2"/>
      <c r="E526" s="2"/>
      <c r="F526" s="2"/>
      <c r="G526" s="2"/>
    </row>
    <row r="527" spans="1:7" ht="15.75" customHeight="1" x14ac:dyDescent="0.2">
      <c r="A527" s="2"/>
      <c r="B527" s="2"/>
      <c r="C527" s="2"/>
      <c r="D527" s="2"/>
      <c r="E527" s="2"/>
      <c r="F527" s="2"/>
      <c r="G527" s="2"/>
    </row>
    <row r="528" spans="1:7" ht="15.75" customHeight="1" x14ac:dyDescent="0.2">
      <c r="A528" s="2"/>
      <c r="B528" s="2"/>
      <c r="C528" s="2"/>
      <c r="D528" s="2"/>
      <c r="E528" s="2"/>
      <c r="F528" s="2"/>
      <c r="G528" s="2"/>
    </row>
    <row r="529" spans="1:7" ht="15.75" customHeight="1" x14ac:dyDescent="0.2">
      <c r="A529" s="2"/>
      <c r="B529" s="2"/>
      <c r="C529" s="2"/>
      <c r="D529" s="2"/>
      <c r="E529" s="2"/>
      <c r="F529" s="2"/>
      <c r="G529" s="2"/>
    </row>
    <row r="530" spans="1:7" ht="15.75" customHeight="1" x14ac:dyDescent="0.2">
      <c r="A530" s="2"/>
      <c r="B530" s="2"/>
      <c r="C530" s="2"/>
      <c r="D530" s="2"/>
      <c r="E530" s="2"/>
      <c r="F530" s="2"/>
      <c r="G530" s="2"/>
    </row>
    <row r="531" spans="1:7" ht="15.75" customHeight="1" x14ac:dyDescent="0.2">
      <c r="A531" s="2"/>
      <c r="B531" s="2"/>
      <c r="C531" s="2"/>
      <c r="D531" s="2"/>
      <c r="E531" s="2"/>
      <c r="F531" s="2"/>
      <c r="G531" s="2"/>
    </row>
    <row r="532" spans="1:7" ht="15.75" customHeight="1" x14ac:dyDescent="0.2">
      <c r="A532" s="2"/>
      <c r="B532" s="2"/>
      <c r="C532" s="2"/>
      <c r="D532" s="2"/>
      <c r="E532" s="2"/>
      <c r="F532" s="2"/>
      <c r="G532" s="2"/>
    </row>
    <row r="533" spans="1:7" ht="15.75" customHeight="1" x14ac:dyDescent="0.2">
      <c r="A533" s="2"/>
      <c r="B533" s="2"/>
      <c r="C533" s="2"/>
      <c r="D533" s="2"/>
      <c r="E533" s="2"/>
      <c r="F533" s="2"/>
      <c r="G533" s="2"/>
    </row>
    <row r="534" spans="1:7" ht="15.75" customHeight="1" x14ac:dyDescent="0.2">
      <c r="A534" s="2"/>
      <c r="B534" s="2"/>
      <c r="C534" s="2"/>
      <c r="D534" s="2"/>
      <c r="E534" s="2"/>
      <c r="F534" s="2"/>
      <c r="G534" s="2"/>
    </row>
    <row r="535" spans="1:7" ht="15.75" customHeight="1" x14ac:dyDescent="0.2">
      <c r="A535" s="2"/>
      <c r="B535" s="2"/>
      <c r="C535" s="2"/>
      <c r="D535" s="2"/>
      <c r="E535" s="2"/>
      <c r="F535" s="2"/>
      <c r="G535" s="2"/>
    </row>
    <row r="536" spans="1:7" ht="15.75" customHeight="1" x14ac:dyDescent="0.2">
      <c r="A536" s="2"/>
      <c r="B536" s="2"/>
      <c r="C536" s="2"/>
      <c r="D536" s="2"/>
      <c r="E536" s="2"/>
      <c r="F536" s="2"/>
      <c r="G536" s="2"/>
    </row>
    <row r="537" spans="1:7" ht="15.75" customHeight="1" x14ac:dyDescent="0.2">
      <c r="A537" s="2"/>
      <c r="B537" s="2"/>
      <c r="C537" s="2"/>
      <c r="D537" s="2"/>
      <c r="E537" s="2"/>
      <c r="F537" s="2"/>
      <c r="G537" s="2"/>
    </row>
    <row r="538" spans="1:7" ht="15.75" customHeight="1" x14ac:dyDescent="0.2">
      <c r="A538" s="2"/>
      <c r="B538" s="2"/>
      <c r="C538" s="2"/>
      <c r="D538" s="2"/>
      <c r="E538" s="2"/>
      <c r="F538" s="2"/>
      <c r="G538" s="2"/>
    </row>
    <row r="539" spans="1:7" ht="15.75" customHeight="1" x14ac:dyDescent="0.2">
      <c r="A539" s="2"/>
      <c r="B539" s="2"/>
      <c r="C539" s="2"/>
      <c r="D539" s="2"/>
      <c r="E539" s="2"/>
      <c r="F539" s="2"/>
      <c r="G539" s="2"/>
    </row>
    <row r="540" spans="1:7" ht="15.75" customHeight="1" x14ac:dyDescent="0.2">
      <c r="A540" s="2"/>
      <c r="B540" s="2"/>
      <c r="C540" s="2"/>
      <c r="D540" s="2"/>
      <c r="E540" s="2"/>
      <c r="F540" s="2"/>
      <c r="G540" s="2"/>
    </row>
    <row r="541" spans="1:7" ht="15.75" customHeight="1" x14ac:dyDescent="0.2">
      <c r="A541" s="2"/>
      <c r="B541" s="2"/>
      <c r="C541" s="2"/>
      <c r="D541" s="2"/>
      <c r="E541" s="2"/>
      <c r="F541" s="2"/>
      <c r="G541" s="2"/>
    </row>
    <row r="542" spans="1:7" ht="15.75" customHeight="1" x14ac:dyDescent="0.2">
      <c r="A542" s="2"/>
      <c r="B542" s="2"/>
      <c r="C542" s="2"/>
      <c r="D542" s="2"/>
      <c r="E542" s="2"/>
      <c r="F542" s="2"/>
      <c r="G542" s="2"/>
    </row>
    <row r="543" spans="1:7" ht="15.75" customHeight="1" x14ac:dyDescent="0.2">
      <c r="A543" s="2"/>
      <c r="B543" s="2"/>
      <c r="C543" s="2"/>
      <c r="D543" s="2"/>
      <c r="E543" s="2"/>
      <c r="F543" s="2"/>
      <c r="G543" s="2"/>
    </row>
    <row r="544" spans="1:7" ht="15.75" customHeight="1" x14ac:dyDescent="0.2">
      <c r="A544" s="2"/>
      <c r="B544" s="2"/>
      <c r="C544" s="2"/>
      <c r="D544" s="2"/>
      <c r="E544" s="2"/>
      <c r="F544" s="2"/>
      <c r="G544" s="2"/>
    </row>
    <row r="545" spans="1:7" ht="15.75" customHeight="1" x14ac:dyDescent="0.2">
      <c r="A545" s="2"/>
      <c r="B545" s="2"/>
      <c r="C545" s="2"/>
      <c r="D545" s="2"/>
      <c r="E545" s="2"/>
      <c r="F545" s="2"/>
      <c r="G545" s="2"/>
    </row>
    <row r="546" spans="1:7" ht="15.75" customHeight="1" x14ac:dyDescent="0.2">
      <c r="A546" s="2"/>
      <c r="B546" s="2"/>
      <c r="C546" s="2"/>
      <c r="D546" s="2"/>
      <c r="E546" s="2"/>
      <c r="F546" s="2"/>
      <c r="G546" s="2"/>
    </row>
    <row r="547" spans="1:7" ht="15.75" customHeight="1" x14ac:dyDescent="0.2">
      <c r="A547" s="2"/>
      <c r="B547" s="2"/>
      <c r="C547" s="2"/>
      <c r="D547" s="2"/>
      <c r="E547" s="2"/>
      <c r="F547" s="2"/>
      <c r="G547" s="2"/>
    </row>
    <row r="548" spans="1:7" ht="15.75" customHeight="1" x14ac:dyDescent="0.2">
      <c r="A548" s="2"/>
      <c r="B548" s="2"/>
      <c r="C548" s="2"/>
      <c r="D548" s="2"/>
      <c r="E548" s="2"/>
      <c r="F548" s="2"/>
      <c r="G548" s="2"/>
    </row>
    <row r="549" spans="1:7" ht="15.75" customHeight="1" x14ac:dyDescent="0.2">
      <c r="A549" s="2"/>
      <c r="B549" s="2"/>
      <c r="C549" s="2"/>
      <c r="D549" s="2"/>
      <c r="E549" s="2"/>
      <c r="F549" s="2"/>
      <c r="G549" s="2"/>
    </row>
    <row r="550" spans="1:7" ht="15.75" customHeight="1" x14ac:dyDescent="0.2">
      <c r="A550" s="2"/>
      <c r="B550" s="2"/>
      <c r="C550" s="2"/>
      <c r="D550" s="2"/>
      <c r="E550" s="2"/>
      <c r="F550" s="2"/>
      <c r="G550" s="2"/>
    </row>
    <row r="551" spans="1:7" ht="15.75" customHeight="1" x14ac:dyDescent="0.2">
      <c r="A551" s="2"/>
      <c r="B551" s="2"/>
      <c r="C551" s="2"/>
      <c r="D551" s="2"/>
      <c r="E551" s="2"/>
      <c r="F551" s="2"/>
      <c r="G551" s="2"/>
    </row>
    <row r="552" spans="1:7" ht="15.75" customHeight="1" x14ac:dyDescent="0.2">
      <c r="A552" s="2"/>
      <c r="B552" s="2"/>
      <c r="C552" s="2"/>
      <c r="D552" s="2"/>
      <c r="E552" s="2"/>
      <c r="F552" s="2"/>
      <c r="G552" s="2"/>
    </row>
    <row r="553" spans="1:7" ht="15.75" customHeight="1" x14ac:dyDescent="0.2">
      <c r="A553" s="2"/>
      <c r="B553" s="2"/>
      <c r="C553" s="2"/>
      <c r="D553" s="2"/>
      <c r="E553" s="2"/>
      <c r="F553" s="2"/>
      <c r="G553" s="2"/>
    </row>
    <row r="554" spans="1:7" ht="15.75" customHeight="1" x14ac:dyDescent="0.2">
      <c r="A554" s="2"/>
      <c r="B554" s="2"/>
      <c r="C554" s="2"/>
      <c r="D554" s="2"/>
      <c r="E554" s="2"/>
      <c r="F554" s="2"/>
      <c r="G554" s="2"/>
    </row>
    <row r="555" spans="1:7" ht="15.75" customHeight="1" x14ac:dyDescent="0.2">
      <c r="A555" s="2"/>
      <c r="B555" s="2"/>
      <c r="C555" s="2"/>
      <c r="D555" s="2"/>
      <c r="E555" s="2"/>
      <c r="F555" s="2"/>
      <c r="G555" s="2"/>
    </row>
    <row r="556" spans="1:7" ht="15.75" customHeight="1" x14ac:dyDescent="0.2">
      <c r="A556" s="2"/>
      <c r="B556" s="2"/>
      <c r="C556" s="2"/>
      <c r="D556" s="2"/>
      <c r="E556" s="2"/>
      <c r="F556" s="2"/>
      <c r="G556" s="2"/>
    </row>
    <row r="557" spans="1:7" ht="15.75" customHeight="1" x14ac:dyDescent="0.2">
      <c r="A557" s="2"/>
      <c r="B557" s="2"/>
      <c r="C557" s="2"/>
      <c r="D557" s="2"/>
      <c r="E557" s="2"/>
      <c r="F557" s="2"/>
      <c r="G557" s="2"/>
    </row>
    <row r="558" spans="1:7" ht="15.75" customHeight="1" x14ac:dyDescent="0.2">
      <c r="A558" s="2"/>
      <c r="B558" s="2"/>
      <c r="C558" s="2"/>
      <c r="D558" s="2"/>
      <c r="E558" s="2"/>
      <c r="F558" s="2"/>
      <c r="G558" s="2"/>
    </row>
    <row r="559" spans="1:7" ht="15.75" customHeight="1" x14ac:dyDescent="0.2">
      <c r="A559" s="2"/>
      <c r="B559" s="2"/>
      <c r="C559" s="2"/>
      <c r="D559" s="2"/>
      <c r="E559" s="2"/>
      <c r="F559" s="2"/>
      <c r="G559" s="2"/>
    </row>
    <row r="560" spans="1:7" ht="15.75" customHeight="1" x14ac:dyDescent="0.2">
      <c r="A560" s="2"/>
      <c r="B560" s="2"/>
      <c r="C560" s="2"/>
      <c r="D560" s="2"/>
      <c r="E560" s="2"/>
      <c r="F560" s="2"/>
      <c r="G560" s="2"/>
    </row>
    <row r="561" spans="1:7" ht="15.75" customHeight="1" x14ac:dyDescent="0.2">
      <c r="A561" s="2"/>
      <c r="B561" s="2"/>
      <c r="C561" s="2"/>
      <c r="D561" s="2"/>
      <c r="E561" s="2"/>
      <c r="F561" s="2"/>
      <c r="G561" s="2"/>
    </row>
    <row r="562" spans="1:7" ht="15.75" customHeight="1" x14ac:dyDescent="0.2">
      <c r="A562" s="2"/>
      <c r="B562" s="2"/>
      <c r="C562" s="2"/>
      <c r="D562" s="2"/>
      <c r="E562" s="2"/>
      <c r="F562" s="2"/>
      <c r="G562" s="2"/>
    </row>
    <row r="563" spans="1:7" ht="15.75" customHeight="1" x14ac:dyDescent="0.2">
      <c r="A563" s="2"/>
      <c r="B563" s="2"/>
      <c r="C563" s="2"/>
      <c r="D563" s="2"/>
      <c r="E563" s="2"/>
      <c r="F563" s="2"/>
      <c r="G563" s="2"/>
    </row>
    <row r="564" spans="1:7" ht="15.75" customHeight="1" x14ac:dyDescent="0.2">
      <c r="A564" s="2"/>
      <c r="B564" s="2"/>
      <c r="C564" s="2"/>
      <c r="D564" s="2"/>
      <c r="E564" s="2"/>
      <c r="F564" s="2"/>
      <c r="G564" s="2"/>
    </row>
    <row r="565" spans="1:7" ht="15.75" customHeight="1" x14ac:dyDescent="0.2">
      <c r="A565" s="2"/>
      <c r="B565" s="2"/>
      <c r="C565" s="2"/>
      <c r="D565" s="2"/>
      <c r="E565" s="2"/>
      <c r="F565" s="2"/>
      <c r="G565" s="2"/>
    </row>
    <row r="566" spans="1:7" ht="15.75" customHeight="1" x14ac:dyDescent="0.2">
      <c r="A566" s="2"/>
      <c r="B566" s="2"/>
      <c r="C566" s="2"/>
      <c r="D566" s="2"/>
      <c r="E566" s="2"/>
      <c r="F566" s="2"/>
      <c r="G566" s="2"/>
    </row>
    <row r="567" spans="1:7" ht="15.75" customHeight="1" x14ac:dyDescent="0.2">
      <c r="A567" s="2"/>
      <c r="B567" s="2"/>
      <c r="C567" s="2"/>
      <c r="D567" s="2"/>
      <c r="E567" s="2"/>
      <c r="F567" s="2"/>
      <c r="G567" s="2"/>
    </row>
    <row r="568" spans="1:7" ht="15.75" customHeight="1" x14ac:dyDescent="0.2">
      <c r="A568" s="2"/>
      <c r="B568" s="2"/>
      <c r="C568" s="2"/>
      <c r="D568" s="2"/>
      <c r="E568" s="2"/>
      <c r="F568" s="2"/>
      <c r="G568" s="2"/>
    </row>
    <row r="569" spans="1:7" ht="15.75" customHeight="1" x14ac:dyDescent="0.2">
      <c r="A569" s="2"/>
      <c r="B569" s="2"/>
      <c r="C569" s="2"/>
      <c r="D569" s="2"/>
      <c r="E569" s="2"/>
      <c r="F569" s="2"/>
      <c r="G569" s="2"/>
    </row>
    <row r="570" spans="1:7" ht="15.75" customHeight="1" x14ac:dyDescent="0.2">
      <c r="A570" s="2"/>
      <c r="B570" s="2"/>
      <c r="C570" s="2"/>
      <c r="D570" s="2"/>
      <c r="E570" s="2"/>
      <c r="F570" s="2"/>
      <c r="G570" s="2"/>
    </row>
    <row r="571" spans="1:7" ht="15.75" customHeight="1" x14ac:dyDescent="0.2">
      <c r="A571" s="2"/>
      <c r="B571" s="2"/>
      <c r="C571" s="2"/>
      <c r="D571" s="2"/>
      <c r="E571" s="2"/>
      <c r="F571" s="2"/>
      <c r="G571" s="2"/>
    </row>
    <row r="572" spans="1:7" ht="15.75" customHeight="1" x14ac:dyDescent="0.2">
      <c r="A572" s="2"/>
      <c r="B572" s="2"/>
      <c r="C572" s="2"/>
      <c r="D572" s="2"/>
      <c r="E572" s="2"/>
      <c r="F572" s="2"/>
      <c r="G572" s="2"/>
    </row>
    <row r="573" spans="1:7" ht="15.75" customHeight="1" x14ac:dyDescent="0.2">
      <c r="A573" s="2"/>
      <c r="B573" s="2"/>
      <c r="C573" s="2"/>
      <c r="D573" s="2"/>
      <c r="E573" s="2"/>
      <c r="F573" s="2"/>
      <c r="G573" s="2"/>
    </row>
    <row r="574" spans="1:7" ht="15.75" customHeight="1" x14ac:dyDescent="0.2">
      <c r="A574" s="2"/>
      <c r="B574" s="2"/>
      <c r="C574" s="2"/>
      <c r="D574" s="2"/>
      <c r="E574" s="2"/>
      <c r="F574" s="2"/>
      <c r="G574" s="2"/>
    </row>
    <row r="575" spans="1:7" ht="15.75" customHeight="1" x14ac:dyDescent="0.2">
      <c r="A575" s="2"/>
      <c r="B575" s="2"/>
      <c r="C575" s="2"/>
      <c r="D575" s="2"/>
      <c r="E575" s="2"/>
      <c r="F575" s="2"/>
      <c r="G575" s="2"/>
    </row>
    <row r="576" spans="1:7" ht="15.75" customHeight="1" x14ac:dyDescent="0.2">
      <c r="A576" s="2"/>
      <c r="B576" s="2"/>
      <c r="C576" s="2"/>
      <c r="D576" s="2"/>
      <c r="E576" s="2"/>
      <c r="F576" s="2"/>
      <c r="G576" s="2"/>
    </row>
    <row r="577" spans="1:7" ht="15.75" customHeight="1" x14ac:dyDescent="0.2">
      <c r="A577" s="2"/>
      <c r="B577" s="2"/>
      <c r="C577" s="2"/>
      <c r="D577" s="2"/>
      <c r="E577" s="2"/>
      <c r="F577" s="2"/>
      <c r="G577" s="2"/>
    </row>
    <row r="578" spans="1:7" ht="15.75" customHeight="1" x14ac:dyDescent="0.2">
      <c r="A578" s="2"/>
      <c r="B578" s="2"/>
      <c r="C578" s="2"/>
      <c r="D578" s="2"/>
      <c r="E578" s="2"/>
      <c r="F578" s="2"/>
      <c r="G578" s="2"/>
    </row>
    <row r="579" spans="1:7" ht="15.75" customHeight="1" x14ac:dyDescent="0.2">
      <c r="A579" s="2"/>
      <c r="B579" s="2"/>
      <c r="C579" s="2"/>
      <c r="D579" s="2"/>
      <c r="E579" s="2"/>
      <c r="F579" s="2"/>
      <c r="G579" s="2"/>
    </row>
    <row r="580" spans="1:7" ht="15.75" customHeight="1" x14ac:dyDescent="0.2">
      <c r="A580" s="2"/>
      <c r="B580" s="2"/>
      <c r="C580" s="2"/>
      <c r="D580" s="2"/>
      <c r="E580" s="2"/>
      <c r="F580" s="2"/>
      <c r="G580" s="2"/>
    </row>
    <row r="581" spans="1:7" ht="15.75" customHeight="1" x14ac:dyDescent="0.2">
      <c r="A581" s="2"/>
      <c r="B581" s="2"/>
      <c r="C581" s="2"/>
      <c r="D581" s="2"/>
      <c r="E581" s="2"/>
      <c r="F581" s="2"/>
      <c r="G581" s="2"/>
    </row>
    <row r="582" spans="1:7" ht="15.75" customHeight="1" x14ac:dyDescent="0.2">
      <c r="A582" s="2"/>
      <c r="B582" s="2"/>
      <c r="C582" s="2"/>
      <c r="D582" s="2"/>
      <c r="E582" s="2"/>
      <c r="F582" s="2"/>
      <c r="G582" s="2"/>
    </row>
    <row r="583" spans="1:7" ht="15.75" customHeight="1" x14ac:dyDescent="0.2">
      <c r="A583" s="2"/>
      <c r="B583" s="2"/>
      <c r="C583" s="2"/>
      <c r="D583" s="2"/>
      <c r="E583" s="2"/>
      <c r="F583" s="2"/>
      <c r="G583" s="2"/>
    </row>
    <row r="584" spans="1:7" ht="15.75" customHeight="1" x14ac:dyDescent="0.2">
      <c r="A584" s="2"/>
      <c r="B584" s="2"/>
      <c r="C584" s="2"/>
      <c r="D584" s="2"/>
      <c r="E584" s="2"/>
      <c r="F584" s="2"/>
      <c r="G584" s="2"/>
    </row>
    <row r="585" spans="1:7" ht="15.75" customHeight="1" x14ac:dyDescent="0.2">
      <c r="A585" s="2"/>
      <c r="B585" s="2"/>
      <c r="C585" s="2"/>
      <c r="D585" s="2"/>
      <c r="E585" s="2"/>
      <c r="F585" s="2"/>
      <c r="G585" s="2"/>
    </row>
    <row r="586" spans="1:7" ht="15.75" customHeight="1" x14ac:dyDescent="0.2">
      <c r="A586" s="2"/>
      <c r="B586" s="2"/>
      <c r="C586" s="2"/>
      <c r="D586" s="2"/>
      <c r="E586" s="2"/>
      <c r="F586" s="2"/>
      <c r="G586" s="2"/>
    </row>
    <row r="587" spans="1:7" ht="15.75" customHeight="1" x14ac:dyDescent="0.2">
      <c r="A587" s="2"/>
      <c r="B587" s="2"/>
      <c r="C587" s="2"/>
      <c r="D587" s="2"/>
      <c r="E587" s="2"/>
      <c r="F587" s="2"/>
      <c r="G587" s="2"/>
    </row>
    <row r="588" spans="1:7" ht="15.75" customHeight="1" x14ac:dyDescent="0.2">
      <c r="A588" s="2"/>
      <c r="B588" s="2"/>
      <c r="C588" s="2"/>
      <c r="D588" s="2"/>
      <c r="E588" s="2"/>
      <c r="F588" s="2"/>
      <c r="G588" s="2"/>
    </row>
    <row r="589" spans="1:7" ht="15.75" customHeight="1" x14ac:dyDescent="0.2">
      <c r="A589" s="2"/>
      <c r="B589" s="2"/>
      <c r="C589" s="2"/>
      <c r="D589" s="2"/>
      <c r="E589" s="2"/>
      <c r="F589" s="2"/>
      <c r="G589" s="2"/>
    </row>
    <row r="590" spans="1:7" ht="15.75" customHeight="1" x14ac:dyDescent="0.2">
      <c r="A590" s="2"/>
      <c r="B590" s="2"/>
      <c r="C590" s="2"/>
      <c r="D590" s="2"/>
      <c r="E590" s="2"/>
      <c r="F590" s="2"/>
      <c r="G590" s="2"/>
    </row>
    <row r="591" spans="1:7" ht="15.75" customHeight="1" x14ac:dyDescent="0.2">
      <c r="A591" s="2"/>
      <c r="B591" s="2"/>
      <c r="C591" s="2"/>
      <c r="D591" s="2"/>
      <c r="E591" s="2"/>
      <c r="F591" s="2"/>
      <c r="G591" s="2"/>
    </row>
    <row r="592" spans="1:7" ht="15.75" customHeight="1" x14ac:dyDescent="0.2">
      <c r="A592" s="2"/>
      <c r="B592" s="2"/>
      <c r="C592" s="2"/>
      <c r="D592" s="2"/>
      <c r="E592" s="2"/>
      <c r="F592" s="2"/>
      <c r="G592" s="2"/>
    </row>
    <row r="593" spans="1:7" ht="15.75" customHeight="1" x14ac:dyDescent="0.2">
      <c r="A593" s="2"/>
      <c r="B593" s="2"/>
      <c r="C593" s="2"/>
      <c r="D593" s="2"/>
      <c r="E593" s="2"/>
      <c r="F593" s="2"/>
      <c r="G593" s="2"/>
    </row>
    <row r="594" spans="1:7" ht="15.75" customHeight="1" x14ac:dyDescent="0.2">
      <c r="A594" s="2"/>
      <c r="B594" s="2"/>
      <c r="C594" s="2"/>
      <c r="D594" s="2"/>
      <c r="E594" s="2"/>
      <c r="F594" s="2"/>
      <c r="G594" s="2"/>
    </row>
    <row r="595" spans="1:7" ht="15.75" customHeight="1" x14ac:dyDescent="0.2">
      <c r="A595" s="2"/>
      <c r="B595" s="2"/>
      <c r="C595" s="2"/>
      <c r="D595" s="2"/>
      <c r="E595" s="2"/>
      <c r="F595" s="2"/>
      <c r="G595" s="2"/>
    </row>
    <row r="596" spans="1:7" ht="15.75" customHeight="1" x14ac:dyDescent="0.2">
      <c r="A596" s="2"/>
      <c r="B596" s="2"/>
      <c r="C596" s="2"/>
      <c r="D596" s="2"/>
      <c r="E596" s="2"/>
      <c r="F596" s="2"/>
      <c r="G596" s="2"/>
    </row>
    <row r="597" spans="1:7" ht="15.75" customHeight="1" x14ac:dyDescent="0.2">
      <c r="A597" s="2"/>
      <c r="B597" s="2"/>
      <c r="C597" s="2"/>
      <c r="D597" s="2"/>
      <c r="E597" s="2"/>
      <c r="F597" s="2"/>
      <c r="G597" s="2"/>
    </row>
    <row r="598" spans="1:7" ht="15.75" customHeight="1" x14ac:dyDescent="0.2">
      <c r="A598" s="2"/>
      <c r="B598" s="2"/>
      <c r="C598" s="2"/>
      <c r="D598" s="2"/>
      <c r="E598" s="2"/>
      <c r="F598" s="2"/>
      <c r="G598" s="2"/>
    </row>
    <row r="599" spans="1:7" ht="15.75" customHeight="1" x14ac:dyDescent="0.2">
      <c r="A599" s="2"/>
      <c r="B599" s="2"/>
      <c r="C599" s="2"/>
      <c r="D599" s="2"/>
      <c r="E599" s="2"/>
      <c r="F599" s="2"/>
      <c r="G599" s="2"/>
    </row>
    <row r="600" spans="1:7" ht="15.75" customHeight="1" x14ac:dyDescent="0.2">
      <c r="A600" s="2"/>
      <c r="B600" s="2"/>
      <c r="C600" s="2"/>
      <c r="D600" s="2"/>
      <c r="E600" s="2"/>
      <c r="F600" s="2"/>
      <c r="G600" s="2"/>
    </row>
    <row r="601" spans="1:7" ht="15.75" customHeight="1" x14ac:dyDescent="0.2">
      <c r="A601" s="2"/>
      <c r="B601" s="2"/>
      <c r="C601" s="2"/>
      <c r="D601" s="2"/>
      <c r="E601" s="2"/>
      <c r="F601" s="2"/>
      <c r="G601" s="2"/>
    </row>
    <row r="602" spans="1:7" ht="15.75" customHeight="1" x14ac:dyDescent="0.2">
      <c r="A602" s="2"/>
      <c r="B602" s="2"/>
      <c r="C602" s="2"/>
      <c r="D602" s="2"/>
      <c r="E602" s="2"/>
      <c r="F602" s="2"/>
      <c r="G602" s="2"/>
    </row>
    <row r="603" spans="1:7" ht="15.75" customHeight="1" x14ac:dyDescent="0.2">
      <c r="A603" s="2"/>
      <c r="B603" s="2"/>
      <c r="C603" s="2"/>
      <c r="D603" s="2"/>
      <c r="E603" s="2"/>
      <c r="F603" s="2"/>
      <c r="G603" s="2"/>
    </row>
    <row r="604" spans="1:7" ht="15.75" customHeight="1" x14ac:dyDescent="0.2">
      <c r="A604" s="2"/>
      <c r="B604" s="2"/>
      <c r="C604" s="2"/>
      <c r="D604" s="2"/>
      <c r="E604" s="2"/>
      <c r="F604" s="2"/>
      <c r="G604" s="2"/>
    </row>
    <row r="605" spans="1:7" ht="15.75" customHeight="1" x14ac:dyDescent="0.2">
      <c r="A605" s="2"/>
      <c r="B605" s="2"/>
      <c r="C605" s="2"/>
      <c r="D605" s="2"/>
      <c r="E605" s="2"/>
      <c r="F605" s="2"/>
      <c r="G605" s="2"/>
    </row>
    <row r="606" spans="1:7" ht="15.75" customHeight="1" x14ac:dyDescent="0.2">
      <c r="A606" s="2"/>
      <c r="B606" s="2"/>
      <c r="C606" s="2"/>
      <c r="D606" s="2"/>
      <c r="E606" s="2"/>
      <c r="F606" s="2"/>
      <c r="G606" s="2"/>
    </row>
    <row r="607" spans="1:7" ht="15.75" customHeight="1" x14ac:dyDescent="0.2">
      <c r="A607" s="2"/>
      <c r="B607" s="2"/>
      <c r="C607" s="2"/>
      <c r="D607" s="2"/>
      <c r="E607" s="2"/>
      <c r="F607" s="2"/>
      <c r="G607" s="2"/>
    </row>
    <row r="608" spans="1:7" ht="15.75" customHeight="1" x14ac:dyDescent="0.2">
      <c r="A608" s="2"/>
      <c r="B608" s="2"/>
      <c r="C608" s="2"/>
      <c r="D608" s="2"/>
      <c r="E608" s="2"/>
      <c r="F608" s="2"/>
      <c r="G608" s="2"/>
    </row>
    <row r="609" spans="1:7" ht="15.75" customHeight="1" x14ac:dyDescent="0.2">
      <c r="A609" s="2"/>
      <c r="B609" s="2"/>
      <c r="C609" s="2"/>
      <c r="D609" s="2"/>
      <c r="E609" s="2"/>
      <c r="F609" s="2"/>
      <c r="G609" s="2"/>
    </row>
    <row r="610" spans="1:7" ht="15.75" customHeight="1" x14ac:dyDescent="0.2">
      <c r="A610" s="2"/>
      <c r="B610" s="2"/>
      <c r="C610" s="2"/>
      <c r="D610" s="2"/>
      <c r="E610" s="2"/>
      <c r="F610" s="2"/>
      <c r="G610" s="2"/>
    </row>
    <row r="611" spans="1:7" ht="15.75" customHeight="1" x14ac:dyDescent="0.2">
      <c r="A611" s="2"/>
      <c r="B611" s="2"/>
      <c r="C611" s="2"/>
      <c r="D611" s="2"/>
      <c r="E611" s="2"/>
      <c r="F611" s="2"/>
      <c r="G611" s="2"/>
    </row>
    <row r="612" spans="1:7" ht="15.75" customHeight="1" x14ac:dyDescent="0.2">
      <c r="A612" s="2"/>
      <c r="B612" s="2"/>
      <c r="C612" s="2"/>
      <c r="D612" s="2"/>
      <c r="E612" s="2"/>
      <c r="F612" s="2"/>
      <c r="G612" s="2"/>
    </row>
    <row r="613" spans="1:7" ht="15.75" customHeight="1" x14ac:dyDescent="0.2">
      <c r="A613" s="2"/>
      <c r="B613" s="2"/>
      <c r="C613" s="2"/>
      <c r="D613" s="2"/>
      <c r="E613" s="2"/>
      <c r="F613" s="2"/>
      <c r="G613" s="2"/>
    </row>
    <row r="614" spans="1:7" ht="15.75" customHeight="1" x14ac:dyDescent="0.2">
      <c r="A614" s="2"/>
      <c r="B614" s="2"/>
      <c r="C614" s="2"/>
      <c r="D614" s="2"/>
      <c r="E614" s="2"/>
      <c r="F614" s="2"/>
      <c r="G614" s="2"/>
    </row>
    <row r="615" spans="1:7" ht="15.75" customHeight="1" x14ac:dyDescent="0.2">
      <c r="A615" s="2"/>
      <c r="B615" s="2"/>
      <c r="C615" s="2"/>
      <c r="D615" s="2"/>
      <c r="E615" s="2"/>
      <c r="F615" s="2"/>
      <c r="G615" s="2"/>
    </row>
    <row r="616" spans="1:7" ht="15.75" customHeight="1" x14ac:dyDescent="0.2">
      <c r="A616" s="2"/>
      <c r="B616" s="2"/>
      <c r="C616" s="2"/>
      <c r="D616" s="2"/>
      <c r="E616" s="2"/>
      <c r="F616" s="2"/>
      <c r="G616" s="2"/>
    </row>
    <row r="617" spans="1:7" ht="15.75" customHeight="1" x14ac:dyDescent="0.2">
      <c r="A617" s="2"/>
      <c r="B617" s="2"/>
      <c r="C617" s="2"/>
      <c r="D617" s="2"/>
      <c r="E617" s="2"/>
      <c r="F617" s="2"/>
      <c r="G617" s="2"/>
    </row>
    <row r="618" spans="1:7" ht="15.75" customHeight="1" x14ac:dyDescent="0.2">
      <c r="A618" s="2"/>
      <c r="B618" s="2"/>
      <c r="C618" s="2"/>
      <c r="D618" s="2"/>
      <c r="E618" s="2"/>
      <c r="F618" s="2"/>
      <c r="G618" s="2"/>
    </row>
    <row r="619" spans="1:7" ht="15.75" customHeight="1" x14ac:dyDescent="0.2">
      <c r="A619" s="2"/>
      <c r="B619" s="2"/>
      <c r="C619" s="2"/>
      <c r="D619" s="2"/>
      <c r="E619" s="2"/>
      <c r="F619" s="2"/>
      <c r="G619" s="2"/>
    </row>
    <row r="620" spans="1:7" ht="15.75" customHeight="1" x14ac:dyDescent="0.2">
      <c r="A620" s="2"/>
      <c r="B620" s="2"/>
      <c r="C620" s="2"/>
      <c r="D620" s="2"/>
      <c r="E620" s="2"/>
      <c r="F620" s="2"/>
      <c r="G620" s="2"/>
    </row>
    <row r="621" spans="1:7" ht="15.75" customHeight="1" x14ac:dyDescent="0.2">
      <c r="A621" s="2"/>
      <c r="B621" s="2"/>
      <c r="C621" s="2"/>
      <c r="D621" s="2"/>
      <c r="E621" s="2"/>
      <c r="F621" s="2"/>
      <c r="G621" s="2"/>
    </row>
    <row r="622" spans="1:7" ht="15.75" customHeight="1" x14ac:dyDescent="0.2">
      <c r="A622" s="2"/>
      <c r="B622" s="2"/>
      <c r="C622" s="2"/>
      <c r="D622" s="2"/>
      <c r="E622" s="2"/>
      <c r="F622" s="2"/>
      <c r="G622" s="2"/>
    </row>
    <row r="623" spans="1:7" ht="15.75" customHeight="1" x14ac:dyDescent="0.2">
      <c r="A623" s="2"/>
      <c r="B623" s="2"/>
      <c r="C623" s="2"/>
      <c r="D623" s="2"/>
      <c r="E623" s="2"/>
      <c r="F623" s="2"/>
      <c r="G623" s="2"/>
    </row>
    <row r="624" spans="1:7" ht="15.75" customHeight="1" x14ac:dyDescent="0.2">
      <c r="A624" s="2"/>
      <c r="B624" s="2"/>
      <c r="C624" s="2"/>
      <c r="D624" s="2"/>
      <c r="E624" s="2"/>
      <c r="F624" s="2"/>
      <c r="G624" s="2"/>
    </row>
    <row r="625" spans="1:7" ht="15.75" customHeight="1" x14ac:dyDescent="0.2">
      <c r="A625" s="2"/>
      <c r="B625" s="2"/>
      <c r="C625" s="2"/>
      <c r="D625" s="2"/>
      <c r="E625" s="2"/>
      <c r="F625" s="2"/>
      <c r="G625" s="2"/>
    </row>
    <row r="626" spans="1:7" ht="15.75" customHeight="1" x14ac:dyDescent="0.2">
      <c r="A626" s="2"/>
      <c r="B626" s="2"/>
      <c r="C626" s="2"/>
      <c r="D626" s="2"/>
      <c r="E626" s="2"/>
      <c r="F626" s="2"/>
      <c r="G626" s="2"/>
    </row>
    <row r="627" spans="1:7" ht="15.75" customHeight="1" x14ac:dyDescent="0.2">
      <c r="A627" s="2"/>
      <c r="B627" s="2"/>
      <c r="C627" s="2"/>
      <c r="D627" s="2"/>
      <c r="E627" s="2"/>
      <c r="F627" s="2"/>
      <c r="G627" s="2"/>
    </row>
    <row r="628" spans="1:7" ht="15.75" customHeight="1" x14ac:dyDescent="0.2">
      <c r="A628" s="2"/>
      <c r="B628" s="2"/>
      <c r="C628" s="2"/>
      <c r="D628" s="2"/>
      <c r="E628" s="2"/>
      <c r="F628" s="2"/>
      <c r="G628" s="2"/>
    </row>
    <row r="629" spans="1:7" ht="15.75" customHeight="1" x14ac:dyDescent="0.2">
      <c r="A629" s="2"/>
      <c r="B629" s="2"/>
      <c r="C629" s="2"/>
      <c r="D629" s="2"/>
      <c r="E629" s="2"/>
      <c r="F629" s="2"/>
      <c r="G629" s="2"/>
    </row>
    <row r="630" spans="1:7" ht="15.75" customHeight="1" x14ac:dyDescent="0.2">
      <c r="A630" s="2"/>
      <c r="B630" s="2"/>
      <c r="C630" s="2"/>
      <c r="D630" s="2"/>
      <c r="E630" s="2"/>
      <c r="F630" s="2"/>
      <c r="G630" s="2"/>
    </row>
    <row r="631" spans="1:7" ht="15.75" customHeight="1" x14ac:dyDescent="0.2">
      <c r="A631" s="2"/>
      <c r="B631" s="2"/>
      <c r="C631" s="2"/>
      <c r="D631" s="2"/>
      <c r="E631" s="2"/>
      <c r="F631" s="2"/>
      <c r="G631" s="2"/>
    </row>
    <row r="632" spans="1:7" ht="15.75" customHeight="1" x14ac:dyDescent="0.2">
      <c r="A632" s="2"/>
      <c r="B632" s="2"/>
      <c r="C632" s="2"/>
      <c r="D632" s="2"/>
      <c r="E632" s="2"/>
      <c r="F632" s="2"/>
      <c r="G632" s="2"/>
    </row>
    <row r="633" spans="1:7" ht="15.75" customHeight="1" x14ac:dyDescent="0.2">
      <c r="A633" s="2"/>
      <c r="B633" s="2"/>
      <c r="C633" s="2"/>
      <c r="D633" s="2"/>
      <c r="E633" s="2"/>
      <c r="F633" s="2"/>
      <c r="G633" s="2"/>
    </row>
    <row r="634" spans="1:7" ht="15.75" customHeight="1" x14ac:dyDescent="0.2">
      <c r="A634" s="2"/>
      <c r="B634" s="2"/>
      <c r="C634" s="2"/>
      <c r="D634" s="2"/>
      <c r="E634" s="2"/>
      <c r="F634" s="2"/>
      <c r="G634" s="2"/>
    </row>
    <row r="635" spans="1:7" ht="15.75" customHeight="1" x14ac:dyDescent="0.2">
      <c r="A635" s="2"/>
      <c r="B635" s="2"/>
      <c r="C635" s="2"/>
      <c r="D635" s="2"/>
      <c r="E635" s="2"/>
      <c r="F635" s="2"/>
      <c r="G635" s="2"/>
    </row>
    <row r="636" spans="1:7" ht="15.75" customHeight="1" x14ac:dyDescent="0.2">
      <c r="A636" s="2"/>
      <c r="B636" s="2"/>
      <c r="C636" s="2"/>
      <c r="D636" s="2"/>
      <c r="E636" s="2"/>
      <c r="F636" s="2"/>
      <c r="G636" s="2"/>
    </row>
    <row r="637" spans="1:7" ht="15.75" customHeight="1" x14ac:dyDescent="0.2">
      <c r="A637" s="2"/>
      <c r="B637" s="2"/>
      <c r="C637" s="2"/>
      <c r="D637" s="2"/>
      <c r="E637" s="2"/>
      <c r="F637" s="2"/>
      <c r="G637" s="2"/>
    </row>
    <row r="638" spans="1:7" ht="15.75" customHeight="1" x14ac:dyDescent="0.2">
      <c r="A638" s="2"/>
      <c r="B638" s="2"/>
      <c r="C638" s="2"/>
      <c r="D638" s="2"/>
      <c r="E638" s="2"/>
      <c r="F638" s="2"/>
      <c r="G638" s="2"/>
    </row>
    <row r="639" spans="1:7" ht="15.75" customHeight="1" x14ac:dyDescent="0.2">
      <c r="A639" s="2"/>
      <c r="B639" s="2"/>
      <c r="C639" s="2"/>
      <c r="D639" s="2"/>
      <c r="E639" s="2"/>
      <c r="F639" s="2"/>
      <c r="G639" s="2"/>
    </row>
    <row r="640" spans="1:7" ht="15.75" customHeight="1" x14ac:dyDescent="0.2">
      <c r="A640" s="2"/>
      <c r="B640" s="2"/>
      <c r="C640" s="2"/>
      <c r="D640" s="2"/>
      <c r="E640" s="2"/>
      <c r="F640" s="2"/>
      <c r="G640" s="2"/>
    </row>
    <row r="641" spans="1:7" ht="15.75" customHeight="1" x14ac:dyDescent="0.2">
      <c r="A641" s="2"/>
      <c r="B641" s="2"/>
      <c r="C641" s="2"/>
      <c r="D641" s="2"/>
      <c r="E641" s="2"/>
      <c r="F641" s="2"/>
      <c r="G641" s="2"/>
    </row>
    <row r="642" spans="1:7" ht="15.75" customHeight="1" x14ac:dyDescent="0.2">
      <c r="A642" s="2"/>
      <c r="B642" s="2"/>
      <c r="C642" s="2"/>
      <c r="D642" s="2"/>
      <c r="E642" s="2"/>
      <c r="F642" s="2"/>
      <c r="G642" s="2"/>
    </row>
    <row r="643" spans="1:7" ht="15.75" customHeight="1" x14ac:dyDescent="0.2">
      <c r="A643" s="2"/>
      <c r="B643" s="2"/>
      <c r="C643" s="2"/>
      <c r="D643" s="2"/>
      <c r="E643" s="2"/>
      <c r="F643" s="2"/>
      <c r="G643" s="2"/>
    </row>
    <row r="644" spans="1:7" ht="15.75" customHeight="1" x14ac:dyDescent="0.2">
      <c r="A644" s="2"/>
      <c r="B644" s="2"/>
      <c r="C644" s="2"/>
      <c r="D644" s="2"/>
      <c r="E644" s="2"/>
      <c r="F644" s="2"/>
      <c r="G644" s="2"/>
    </row>
    <row r="645" spans="1:7" ht="15.75" customHeight="1" x14ac:dyDescent="0.2">
      <c r="A645" s="2"/>
      <c r="B645" s="2"/>
      <c r="C645" s="2"/>
      <c r="D645" s="2"/>
      <c r="E645" s="2"/>
      <c r="F645" s="2"/>
      <c r="G645" s="2"/>
    </row>
    <row r="646" spans="1:7" ht="15.75" customHeight="1" x14ac:dyDescent="0.2">
      <c r="A646" s="2"/>
      <c r="B646" s="2"/>
      <c r="C646" s="2"/>
      <c r="D646" s="2"/>
      <c r="E646" s="2"/>
      <c r="F646" s="2"/>
      <c r="G646" s="2"/>
    </row>
    <row r="647" spans="1:7" ht="15.75" customHeight="1" x14ac:dyDescent="0.2">
      <c r="A647" s="2"/>
      <c r="B647" s="2"/>
      <c r="C647" s="2"/>
      <c r="D647" s="2"/>
      <c r="E647" s="2"/>
      <c r="F647" s="2"/>
      <c r="G647" s="2"/>
    </row>
    <row r="648" spans="1:7" ht="15.75" customHeight="1" x14ac:dyDescent="0.2">
      <c r="A648" s="2"/>
      <c r="B648" s="2"/>
      <c r="C648" s="2"/>
      <c r="D648" s="2"/>
      <c r="E648" s="2"/>
      <c r="F648" s="2"/>
      <c r="G648" s="2"/>
    </row>
    <row r="649" spans="1:7" ht="15.75" customHeight="1" x14ac:dyDescent="0.2">
      <c r="A649" s="2"/>
      <c r="B649" s="2"/>
      <c r="C649" s="2"/>
      <c r="D649" s="2"/>
      <c r="E649" s="2"/>
      <c r="F649" s="2"/>
      <c r="G649" s="2"/>
    </row>
    <row r="650" spans="1:7" ht="15.75" customHeight="1" x14ac:dyDescent="0.2">
      <c r="A650" s="2"/>
      <c r="B650" s="2"/>
      <c r="C650" s="2"/>
      <c r="D650" s="2"/>
      <c r="E650" s="2"/>
      <c r="F650" s="2"/>
      <c r="G650" s="2"/>
    </row>
    <row r="651" spans="1:7" ht="15.75" customHeight="1" x14ac:dyDescent="0.2">
      <c r="A651" s="2"/>
      <c r="B651" s="2"/>
      <c r="C651" s="2"/>
      <c r="D651" s="2"/>
      <c r="E651" s="2"/>
      <c r="F651" s="2"/>
      <c r="G651" s="2"/>
    </row>
    <row r="652" spans="1:7" ht="15.75" customHeight="1" x14ac:dyDescent="0.2">
      <c r="A652" s="2"/>
      <c r="B652" s="2"/>
      <c r="C652" s="2"/>
      <c r="D652" s="2"/>
      <c r="E652" s="2"/>
      <c r="F652" s="2"/>
      <c r="G652" s="2"/>
    </row>
    <row r="653" spans="1:7" ht="15.75" customHeight="1" x14ac:dyDescent="0.2">
      <c r="A653" s="2"/>
      <c r="B653" s="2"/>
      <c r="C653" s="2"/>
      <c r="D653" s="2"/>
      <c r="E653" s="2"/>
      <c r="F653" s="2"/>
      <c r="G653" s="2"/>
    </row>
    <row r="654" spans="1:7" ht="15.75" customHeight="1" x14ac:dyDescent="0.2">
      <c r="A654" s="2"/>
      <c r="B654" s="2"/>
      <c r="C654" s="2"/>
      <c r="D654" s="2"/>
      <c r="E654" s="2"/>
      <c r="F654" s="2"/>
      <c r="G654" s="2"/>
    </row>
    <row r="655" spans="1:7" ht="15.75" customHeight="1" x14ac:dyDescent="0.2">
      <c r="A655" s="2"/>
      <c r="B655" s="2"/>
      <c r="C655" s="2"/>
      <c r="D655" s="2"/>
      <c r="E655" s="2"/>
      <c r="F655" s="2"/>
      <c r="G655" s="2"/>
    </row>
    <row r="656" spans="1:7" ht="15.75" customHeight="1" x14ac:dyDescent="0.2">
      <c r="A656" s="2"/>
      <c r="B656" s="2"/>
      <c r="C656" s="2"/>
      <c r="D656" s="2"/>
      <c r="E656" s="2"/>
      <c r="F656" s="2"/>
      <c r="G656" s="2"/>
    </row>
    <row r="657" spans="1:7" ht="15.75" customHeight="1" x14ac:dyDescent="0.2">
      <c r="A657" s="2"/>
      <c r="B657" s="2"/>
      <c r="C657" s="2"/>
      <c r="D657" s="2"/>
      <c r="E657" s="2"/>
      <c r="F657" s="2"/>
      <c r="G657" s="2"/>
    </row>
    <row r="658" spans="1:7" ht="15.75" customHeight="1" x14ac:dyDescent="0.2">
      <c r="A658" s="2"/>
      <c r="B658" s="2"/>
      <c r="C658" s="2"/>
      <c r="D658" s="2"/>
      <c r="E658" s="2"/>
      <c r="F658" s="2"/>
      <c r="G658" s="2"/>
    </row>
    <row r="659" spans="1:7" ht="15.75" customHeight="1" x14ac:dyDescent="0.2">
      <c r="A659" s="2"/>
      <c r="B659" s="2"/>
      <c r="C659" s="2"/>
      <c r="D659" s="2"/>
      <c r="E659" s="2"/>
      <c r="F659" s="2"/>
      <c r="G659" s="2"/>
    </row>
    <row r="660" spans="1:7" ht="15.75" customHeight="1" x14ac:dyDescent="0.2">
      <c r="A660" s="2"/>
      <c r="B660" s="2"/>
      <c r="C660" s="2"/>
      <c r="D660" s="2"/>
      <c r="E660" s="2"/>
      <c r="F660" s="2"/>
      <c r="G660" s="2"/>
    </row>
    <row r="661" spans="1:7" ht="15.75" customHeight="1" x14ac:dyDescent="0.2">
      <c r="A661" s="2"/>
      <c r="B661" s="2"/>
      <c r="C661" s="2"/>
      <c r="D661" s="2"/>
      <c r="E661" s="2"/>
      <c r="F661" s="2"/>
      <c r="G661" s="2"/>
    </row>
    <row r="662" spans="1:7" ht="15.75" customHeight="1" x14ac:dyDescent="0.2">
      <c r="A662" s="2"/>
      <c r="B662" s="2"/>
      <c r="C662" s="2"/>
      <c r="D662" s="2"/>
      <c r="E662" s="2"/>
      <c r="F662" s="2"/>
      <c r="G662" s="2"/>
    </row>
    <row r="663" spans="1:7" ht="15.75" customHeight="1" x14ac:dyDescent="0.2">
      <c r="A663" s="2"/>
      <c r="B663" s="2"/>
      <c r="C663" s="2"/>
      <c r="D663" s="2"/>
      <c r="E663" s="2"/>
      <c r="F663" s="2"/>
      <c r="G663" s="2"/>
    </row>
    <row r="664" spans="1:7" ht="15.75" customHeight="1" x14ac:dyDescent="0.2">
      <c r="A664" s="2"/>
      <c r="B664" s="2"/>
      <c r="C664" s="2"/>
      <c r="D664" s="2"/>
      <c r="E664" s="2"/>
      <c r="F664" s="2"/>
      <c r="G664" s="2"/>
    </row>
    <row r="665" spans="1:7" ht="15.75" customHeight="1" x14ac:dyDescent="0.2">
      <c r="A665" s="2"/>
      <c r="B665" s="2"/>
      <c r="C665" s="2"/>
      <c r="D665" s="2"/>
      <c r="E665" s="2"/>
      <c r="F665" s="2"/>
      <c r="G665" s="2"/>
    </row>
    <row r="666" spans="1:7" ht="15.75" customHeight="1" x14ac:dyDescent="0.2">
      <c r="A666" s="2"/>
      <c r="B666" s="2"/>
      <c r="C666" s="2"/>
      <c r="D666" s="2"/>
      <c r="E666" s="2"/>
      <c r="F666" s="2"/>
      <c r="G666" s="2"/>
    </row>
    <row r="667" spans="1:7" ht="15.75" customHeight="1" x14ac:dyDescent="0.2">
      <c r="A667" s="2"/>
      <c r="B667" s="2"/>
      <c r="C667" s="2"/>
      <c r="D667" s="2"/>
      <c r="E667" s="2"/>
      <c r="F667" s="2"/>
      <c r="G667" s="2"/>
    </row>
    <row r="668" spans="1:7" ht="15.75" customHeight="1" x14ac:dyDescent="0.2">
      <c r="A668" s="2"/>
      <c r="B668" s="2"/>
      <c r="C668" s="2"/>
      <c r="D668" s="2"/>
      <c r="E668" s="2"/>
      <c r="F668" s="2"/>
      <c r="G668" s="2"/>
    </row>
    <row r="669" spans="1:7" ht="15.75" customHeight="1" x14ac:dyDescent="0.2">
      <c r="A669" s="2"/>
      <c r="B669" s="2"/>
      <c r="C669" s="2"/>
      <c r="D669" s="2"/>
      <c r="E669" s="2"/>
      <c r="F669" s="2"/>
      <c r="G669" s="2"/>
    </row>
    <row r="670" spans="1:7" ht="15.75" customHeight="1" x14ac:dyDescent="0.2">
      <c r="A670" s="2"/>
      <c r="B670" s="2"/>
      <c r="C670" s="2"/>
      <c r="D670" s="2"/>
      <c r="E670" s="2"/>
      <c r="F670" s="2"/>
      <c r="G670" s="2"/>
    </row>
    <row r="671" spans="1:7" ht="15.75" customHeight="1" x14ac:dyDescent="0.2">
      <c r="A671" s="2"/>
      <c r="B671" s="2"/>
      <c r="C671" s="2"/>
      <c r="D671" s="2"/>
      <c r="E671" s="2"/>
      <c r="F671" s="2"/>
      <c r="G671" s="2"/>
    </row>
    <row r="672" spans="1:7" ht="15.75" customHeight="1" x14ac:dyDescent="0.2">
      <c r="A672" s="2"/>
      <c r="B672" s="2"/>
      <c r="C672" s="2"/>
      <c r="D672" s="2"/>
      <c r="E672" s="2"/>
      <c r="F672" s="2"/>
      <c r="G672" s="2"/>
    </row>
    <row r="673" spans="1:7" ht="15.75" customHeight="1" x14ac:dyDescent="0.2">
      <c r="A673" s="2"/>
      <c r="B673" s="2"/>
      <c r="C673" s="2"/>
      <c r="D673" s="2"/>
      <c r="E673" s="2"/>
      <c r="F673" s="2"/>
      <c r="G673" s="2"/>
    </row>
    <row r="674" spans="1:7" ht="15.75" customHeight="1" x14ac:dyDescent="0.2">
      <c r="A674" s="2"/>
      <c r="B674" s="2"/>
      <c r="C674" s="2"/>
      <c r="D674" s="2"/>
      <c r="E674" s="2"/>
      <c r="F674" s="2"/>
      <c r="G674" s="2"/>
    </row>
    <row r="675" spans="1:7" ht="15.75" customHeight="1" x14ac:dyDescent="0.2">
      <c r="A675" s="2"/>
      <c r="B675" s="2"/>
      <c r="C675" s="2"/>
      <c r="D675" s="2"/>
      <c r="E675" s="2"/>
      <c r="F675" s="2"/>
      <c r="G675" s="2"/>
    </row>
    <row r="676" spans="1:7" ht="15.75" customHeight="1" x14ac:dyDescent="0.2">
      <c r="A676" s="2"/>
      <c r="B676" s="2"/>
      <c r="C676" s="2"/>
      <c r="D676" s="2"/>
      <c r="E676" s="2"/>
      <c r="F676" s="2"/>
      <c r="G676" s="2"/>
    </row>
    <row r="677" spans="1:7" ht="15.75" customHeight="1" x14ac:dyDescent="0.2">
      <c r="A677" s="2"/>
      <c r="B677" s="2"/>
      <c r="C677" s="2"/>
      <c r="D677" s="2"/>
      <c r="E677" s="2"/>
      <c r="F677" s="2"/>
      <c r="G677" s="2"/>
    </row>
    <row r="678" spans="1:7" ht="15.75" customHeight="1" x14ac:dyDescent="0.2">
      <c r="A678" s="2"/>
      <c r="B678" s="2"/>
      <c r="C678" s="2"/>
      <c r="D678" s="2"/>
      <c r="E678" s="2"/>
      <c r="F678" s="2"/>
      <c r="G678" s="2"/>
    </row>
    <row r="679" spans="1:7" ht="15.75" customHeight="1" x14ac:dyDescent="0.2">
      <c r="A679" s="2"/>
      <c r="B679" s="2"/>
      <c r="C679" s="2"/>
      <c r="D679" s="2"/>
      <c r="E679" s="2"/>
      <c r="F679" s="2"/>
      <c r="G679" s="2"/>
    </row>
    <row r="680" spans="1:7" ht="15.75" customHeight="1" x14ac:dyDescent="0.2">
      <c r="A680" s="2"/>
      <c r="B680" s="2"/>
      <c r="C680" s="2"/>
      <c r="D680" s="2"/>
      <c r="E680" s="2"/>
      <c r="F680" s="2"/>
      <c r="G680" s="2"/>
    </row>
    <row r="681" spans="1:7" ht="15.75" customHeight="1" x14ac:dyDescent="0.2">
      <c r="A681" s="2"/>
      <c r="B681" s="2"/>
      <c r="C681" s="2"/>
      <c r="D681" s="2"/>
      <c r="E681" s="2"/>
      <c r="F681" s="2"/>
      <c r="G681" s="2"/>
    </row>
    <row r="682" spans="1:7" ht="15.75" customHeight="1" x14ac:dyDescent="0.2">
      <c r="A682" s="2"/>
      <c r="B682" s="2"/>
      <c r="C682" s="2"/>
      <c r="D682" s="2"/>
      <c r="E682" s="2"/>
      <c r="F682" s="2"/>
      <c r="G682" s="2"/>
    </row>
    <row r="683" spans="1:7" ht="15.75" customHeight="1" x14ac:dyDescent="0.2">
      <c r="A683" s="2"/>
      <c r="B683" s="2"/>
      <c r="C683" s="2"/>
      <c r="D683" s="2"/>
      <c r="E683" s="2"/>
      <c r="F683" s="2"/>
      <c r="G683" s="2"/>
    </row>
    <row r="684" spans="1:7" ht="15.75" customHeight="1" x14ac:dyDescent="0.2">
      <c r="A684" s="2"/>
      <c r="B684" s="2"/>
      <c r="C684" s="2"/>
      <c r="D684" s="2"/>
      <c r="E684" s="2"/>
      <c r="F684" s="2"/>
      <c r="G684" s="2"/>
    </row>
    <row r="685" spans="1:7" ht="15.75" customHeight="1" x14ac:dyDescent="0.2">
      <c r="A685" s="2"/>
      <c r="B685" s="2"/>
      <c r="C685" s="2"/>
      <c r="D685" s="2"/>
      <c r="E685" s="2"/>
      <c r="F685" s="2"/>
      <c r="G685" s="2"/>
    </row>
    <row r="686" spans="1:7" ht="15.75" customHeight="1" x14ac:dyDescent="0.2">
      <c r="A686" s="2"/>
      <c r="B686" s="2"/>
      <c r="C686" s="2"/>
      <c r="D686" s="2"/>
      <c r="E686" s="2"/>
      <c r="F686" s="2"/>
      <c r="G686" s="2"/>
    </row>
    <row r="687" spans="1:7" ht="15.75" customHeight="1" x14ac:dyDescent="0.2">
      <c r="A687" s="2"/>
      <c r="B687" s="2"/>
      <c r="C687" s="2"/>
      <c r="D687" s="2"/>
      <c r="E687" s="2"/>
      <c r="F687" s="2"/>
      <c r="G687" s="2"/>
    </row>
    <row r="688" spans="1:7" ht="15.75" customHeight="1" x14ac:dyDescent="0.2">
      <c r="A688" s="2"/>
      <c r="B688" s="2"/>
      <c r="C688" s="2"/>
      <c r="D688" s="2"/>
      <c r="E688" s="2"/>
      <c r="F688" s="2"/>
      <c r="G688" s="2"/>
    </row>
    <row r="689" spans="1:7" ht="15.75" customHeight="1" x14ac:dyDescent="0.2">
      <c r="A689" s="2"/>
      <c r="B689" s="2"/>
      <c r="C689" s="2"/>
      <c r="D689" s="2"/>
      <c r="E689" s="2"/>
      <c r="F689" s="2"/>
      <c r="G689" s="2"/>
    </row>
    <row r="690" spans="1:7" ht="15.75" customHeight="1" x14ac:dyDescent="0.2">
      <c r="A690" s="2"/>
      <c r="B690" s="2"/>
      <c r="C690" s="2"/>
      <c r="D690" s="2"/>
      <c r="E690" s="2"/>
      <c r="F690" s="2"/>
      <c r="G690" s="2"/>
    </row>
    <row r="691" spans="1:7" ht="15.75" customHeight="1" x14ac:dyDescent="0.2">
      <c r="A691" s="2"/>
      <c r="B691" s="2"/>
      <c r="C691" s="2"/>
      <c r="D691" s="2"/>
      <c r="E691" s="2"/>
      <c r="F691" s="2"/>
      <c r="G691" s="2"/>
    </row>
    <row r="692" spans="1:7" ht="15.75" customHeight="1" x14ac:dyDescent="0.2">
      <c r="A692" s="2"/>
      <c r="B692" s="2"/>
      <c r="C692" s="2"/>
      <c r="D692" s="2"/>
      <c r="E692" s="2"/>
      <c r="F692" s="2"/>
      <c r="G692" s="2"/>
    </row>
    <row r="693" spans="1:7" ht="15.75" customHeight="1" x14ac:dyDescent="0.2">
      <c r="A693" s="2"/>
      <c r="B693" s="2"/>
      <c r="C693" s="2"/>
      <c r="D693" s="2"/>
      <c r="E693" s="2"/>
      <c r="F693" s="2"/>
      <c r="G693" s="2"/>
    </row>
    <row r="694" spans="1:7" ht="15.75" customHeight="1" x14ac:dyDescent="0.2">
      <c r="A694" s="2"/>
      <c r="B694" s="2"/>
      <c r="C694" s="2"/>
      <c r="D694" s="2"/>
      <c r="E694" s="2"/>
      <c r="F694" s="2"/>
      <c r="G694" s="2"/>
    </row>
    <row r="695" spans="1:7" ht="15.75" customHeight="1" x14ac:dyDescent="0.2">
      <c r="A695" s="2"/>
      <c r="B695" s="2"/>
      <c r="C695" s="2"/>
      <c r="D695" s="2"/>
      <c r="E695" s="2"/>
      <c r="F695" s="2"/>
      <c r="G695" s="2"/>
    </row>
    <row r="696" spans="1:7" ht="15.75" customHeight="1" x14ac:dyDescent="0.2">
      <c r="A696" s="2"/>
      <c r="B696" s="2"/>
      <c r="C696" s="2"/>
      <c r="D696" s="2"/>
      <c r="E696" s="2"/>
      <c r="F696" s="2"/>
      <c r="G696" s="2"/>
    </row>
    <row r="697" spans="1:7" ht="15.75" customHeight="1" x14ac:dyDescent="0.2">
      <c r="A697" s="2"/>
      <c r="B697" s="2"/>
      <c r="C697" s="2"/>
      <c r="D697" s="2"/>
      <c r="E697" s="2"/>
      <c r="F697" s="2"/>
      <c r="G697" s="2"/>
    </row>
    <row r="698" spans="1:7" ht="15.75" customHeight="1" x14ac:dyDescent="0.2">
      <c r="A698" s="2"/>
      <c r="B698" s="2"/>
      <c r="C698" s="2"/>
      <c r="D698" s="2"/>
      <c r="E698" s="2"/>
      <c r="F698" s="2"/>
      <c r="G698" s="2"/>
    </row>
    <row r="699" spans="1:7" ht="15.75" customHeight="1" x14ac:dyDescent="0.2">
      <c r="A699" s="2"/>
      <c r="B699" s="2"/>
      <c r="C699" s="2"/>
      <c r="D699" s="2"/>
      <c r="E699" s="2"/>
      <c r="F699" s="2"/>
      <c r="G699" s="2"/>
    </row>
    <row r="700" spans="1:7" ht="15.75" customHeight="1" x14ac:dyDescent="0.2">
      <c r="A700" s="2"/>
      <c r="B700" s="2"/>
      <c r="C700" s="2"/>
      <c r="D700" s="2"/>
      <c r="E700" s="2"/>
      <c r="F700" s="2"/>
      <c r="G700" s="2"/>
    </row>
    <row r="701" spans="1:7" ht="15.75" customHeight="1" x14ac:dyDescent="0.2">
      <c r="A701" s="2"/>
      <c r="B701" s="2"/>
      <c r="C701" s="2"/>
      <c r="D701" s="2"/>
      <c r="E701" s="2"/>
      <c r="F701" s="2"/>
      <c r="G701" s="2"/>
    </row>
    <row r="702" spans="1:7" ht="15.75" customHeight="1" x14ac:dyDescent="0.2">
      <c r="A702" s="2"/>
      <c r="B702" s="2"/>
      <c r="C702" s="2"/>
      <c r="D702" s="2"/>
      <c r="E702" s="2"/>
      <c r="F702" s="2"/>
      <c r="G702" s="2"/>
    </row>
    <row r="703" spans="1:7" ht="15.75" customHeight="1" x14ac:dyDescent="0.2">
      <c r="A703" s="2"/>
      <c r="B703" s="2"/>
      <c r="C703" s="2"/>
      <c r="D703" s="2"/>
      <c r="E703" s="2"/>
      <c r="F703" s="2"/>
      <c r="G703" s="2"/>
    </row>
    <row r="704" spans="1:7" ht="15.75" customHeight="1" x14ac:dyDescent="0.2">
      <c r="A704" s="2"/>
      <c r="B704" s="2"/>
      <c r="C704" s="2"/>
      <c r="D704" s="2"/>
      <c r="E704" s="2"/>
      <c r="F704" s="2"/>
      <c r="G704" s="2"/>
    </row>
    <row r="705" spans="1:7" ht="15.75" customHeight="1" x14ac:dyDescent="0.2">
      <c r="A705" s="2"/>
      <c r="B705" s="2"/>
      <c r="C705" s="2"/>
      <c r="D705" s="2"/>
      <c r="E705" s="2"/>
      <c r="F705" s="2"/>
      <c r="G705" s="2"/>
    </row>
    <row r="706" spans="1:7" ht="15.75" customHeight="1" x14ac:dyDescent="0.2">
      <c r="A706" s="2"/>
      <c r="B706" s="2"/>
      <c r="C706" s="2"/>
      <c r="D706" s="2"/>
      <c r="E706" s="2"/>
      <c r="F706" s="2"/>
      <c r="G706" s="2"/>
    </row>
    <row r="707" spans="1:7" ht="15.75" customHeight="1" x14ac:dyDescent="0.2">
      <c r="A707" s="2"/>
      <c r="B707" s="2"/>
      <c r="C707" s="2"/>
      <c r="D707" s="2"/>
      <c r="E707" s="2"/>
      <c r="F707" s="2"/>
      <c r="G707" s="2"/>
    </row>
    <row r="708" spans="1:7" ht="15.75" customHeight="1" x14ac:dyDescent="0.2">
      <c r="A708" s="2"/>
      <c r="B708" s="2"/>
      <c r="C708" s="2"/>
      <c r="D708" s="2"/>
      <c r="E708" s="2"/>
      <c r="F708" s="2"/>
      <c r="G708" s="2"/>
    </row>
    <row r="709" spans="1:7" ht="15.75" customHeight="1" x14ac:dyDescent="0.2">
      <c r="A709" s="2"/>
      <c r="B709" s="2"/>
      <c r="C709" s="2"/>
      <c r="D709" s="2"/>
      <c r="E709" s="2"/>
      <c r="F709" s="2"/>
      <c r="G709" s="2"/>
    </row>
    <row r="710" spans="1:7" ht="15.75" customHeight="1" x14ac:dyDescent="0.2">
      <c r="A710" s="2"/>
      <c r="B710" s="2"/>
      <c r="C710" s="2"/>
      <c r="D710" s="2"/>
      <c r="E710" s="2"/>
      <c r="F710" s="2"/>
      <c r="G710" s="2"/>
    </row>
    <row r="711" spans="1:7" ht="15.75" customHeight="1" x14ac:dyDescent="0.2">
      <c r="A711" s="2"/>
      <c r="B711" s="2"/>
      <c r="C711" s="2"/>
      <c r="D711" s="2"/>
      <c r="E711" s="2"/>
      <c r="F711" s="2"/>
      <c r="G711" s="2"/>
    </row>
    <row r="712" spans="1:7" ht="15.75" customHeight="1" x14ac:dyDescent="0.2">
      <c r="A712" s="2"/>
      <c r="B712" s="2"/>
      <c r="C712" s="2"/>
      <c r="D712" s="2"/>
      <c r="E712" s="2"/>
      <c r="F712" s="2"/>
      <c r="G712" s="2"/>
    </row>
    <row r="713" spans="1:7" ht="15.75" customHeight="1" x14ac:dyDescent="0.2">
      <c r="A713" s="2"/>
      <c r="B713" s="2"/>
      <c r="C713" s="2"/>
      <c r="D713" s="2"/>
      <c r="E713" s="2"/>
      <c r="F713" s="2"/>
      <c r="G713" s="2"/>
    </row>
    <row r="714" spans="1:7" ht="15.75" customHeight="1" x14ac:dyDescent="0.2">
      <c r="A714" s="2"/>
      <c r="B714" s="2"/>
      <c r="C714" s="2"/>
      <c r="D714" s="2"/>
      <c r="E714" s="2"/>
      <c r="F714" s="2"/>
      <c r="G714" s="2"/>
    </row>
    <row r="715" spans="1:7" ht="15.75" customHeight="1" x14ac:dyDescent="0.2">
      <c r="A715" s="2"/>
      <c r="B715" s="2"/>
      <c r="C715" s="2"/>
      <c r="D715" s="2"/>
      <c r="E715" s="2"/>
      <c r="F715" s="2"/>
      <c r="G715" s="2"/>
    </row>
    <row r="716" spans="1:7" ht="15.75" customHeight="1" x14ac:dyDescent="0.2">
      <c r="A716" s="2"/>
      <c r="B716" s="2"/>
      <c r="C716" s="2"/>
      <c r="D716" s="2"/>
      <c r="E716" s="2"/>
      <c r="F716" s="2"/>
      <c r="G716" s="2"/>
    </row>
    <row r="717" spans="1:7" ht="15.75" customHeight="1" x14ac:dyDescent="0.2">
      <c r="A717" s="2"/>
      <c r="B717" s="2"/>
      <c r="C717" s="2"/>
      <c r="D717" s="2"/>
      <c r="E717" s="2"/>
      <c r="F717" s="2"/>
      <c r="G717" s="2"/>
    </row>
    <row r="718" spans="1:7" ht="15.75" customHeight="1" x14ac:dyDescent="0.2">
      <c r="A718" s="2"/>
      <c r="B718" s="2"/>
      <c r="C718" s="2"/>
      <c r="D718" s="2"/>
      <c r="E718" s="2"/>
      <c r="F718" s="2"/>
      <c r="G718" s="2"/>
    </row>
    <row r="719" spans="1:7" ht="15.75" customHeight="1" x14ac:dyDescent="0.2">
      <c r="A719" s="2"/>
      <c r="B719" s="2"/>
      <c r="C719" s="2"/>
      <c r="D719" s="2"/>
      <c r="E719" s="2"/>
      <c r="F719" s="2"/>
      <c r="G719" s="2"/>
    </row>
    <row r="720" spans="1:7" ht="15.75" customHeight="1" x14ac:dyDescent="0.2">
      <c r="A720" s="2"/>
      <c r="B720" s="2"/>
      <c r="C720" s="2"/>
      <c r="D720" s="2"/>
      <c r="E720" s="2"/>
      <c r="F720" s="2"/>
      <c r="G720" s="2"/>
    </row>
    <row r="721" spans="1:7" ht="15.75" customHeight="1" x14ac:dyDescent="0.2">
      <c r="A721" s="2"/>
      <c r="B721" s="2"/>
      <c r="C721" s="2"/>
      <c r="D721" s="2"/>
      <c r="E721" s="2"/>
      <c r="F721" s="2"/>
      <c r="G721" s="2"/>
    </row>
    <row r="722" spans="1:7" ht="15.75" customHeight="1" x14ac:dyDescent="0.2">
      <c r="A722" s="2"/>
      <c r="B722" s="2"/>
      <c r="C722" s="2"/>
      <c r="D722" s="2"/>
      <c r="E722" s="2"/>
      <c r="F722" s="2"/>
      <c r="G722" s="2"/>
    </row>
    <row r="723" spans="1:7" ht="15.75" customHeight="1" x14ac:dyDescent="0.2">
      <c r="A723" s="2"/>
      <c r="B723" s="2"/>
      <c r="C723" s="2"/>
      <c r="D723" s="2"/>
      <c r="E723" s="2"/>
      <c r="F723" s="2"/>
      <c r="G723" s="2"/>
    </row>
    <row r="724" spans="1:7" ht="15.75" customHeight="1" x14ac:dyDescent="0.2">
      <c r="A724" s="2"/>
      <c r="B724" s="2"/>
      <c r="C724" s="2"/>
      <c r="D724" s="2"/>
      <c r="E724" s="2"/>
      <c r="F724" s="2"/>
      <c r="G724" s="2"/>
    </row>
    <row r="725" spans="1:7" ht="15.75" customHeight="1" x14ac:dyDescent="0.2">
      <c r="A725" s="2"/>
      <c r="B725" s="2"/>
      <c r="C725" s="2"/>
      <c r="D725" s="2"/>
      <c r="E725" s="2"/>
      <c r="F725" s="2"/>
      <c r="G725" s="2"/>
    </row>
    <row r="726" spans="1:7" ht="15.75" customHeight="1" x14ac:dyDescent="0.2">
      <c r="A726" s="2"/>
      <c r="B726" s="2"/>
      <c r="C726" s="2"/>
      <c r="D726" s="2"/>
      <c r="E726" s="2"/>
      <c r="F726" s="2"/>
      <c r="G726" s="2"/>
    </row>
    <row r="727" spans="1:7" ht="15.75" customHeight="1" x14ac:dyDescent="0.2">
      <c r="A727" s="2"/>
      <c r="B727" s="2"/>
      <c r="C727" s="2"/>
      <c r="D727" s="2"/>
      <c r="E727" s="2"/>
      <c r="F727" s="2"/>
      <c r="G727" s="2"/>
    </row>
    <row r="728" spans="1:7" ht="15.75" customHeight="1" x14ac:dyDescent="0.2">
      <c r="A728" s="2"/>
      <c r="B728" s="2"/>
      <c r="C728" s="2"/>
      <c r="D728" s="2"/>
      <c r="E728" s="2"/>
      <c r="F728" s="2"/>
      <c r="G728" s="2"/>
    </row>
    <row r="729" spans="1:7" ht="15.75" customHeight="1" x14ac:dyDescent="0.2">
      <c r="A729" s="2"/>
      <c r="B729" s="2"/>
      <c r="C729" s="2"/>
      <c r="D729" s="2"/>
      <c r="E729" s="2"/>
      <c r="F729" s="2"/>
      <c r="G729" s="2"/>
    </row>
    <row r="730" spans="1:7" ht="15.75" customHeight="1" x14ac:dyDescent="0.2">
      <c r="A730" s="2"/>
      <c r="B730" s="2"/>
      <c r="C730" s="2"/>
      <c r="D730" s="2"/>
      <c r="E730" s="2"/>
      <c r="F730" s="2"/>
      <c r="G730" s="2"/>
    </row>
    <row r="731" spans="1:7" ht="15.75" customHeight="1" x14ac:dyDescent="0.2">
      <c r="A731" s="2"/>
      <c r="B731" s="2"/>
      <c r="C731" s="2"/>
      <c r="D731" s="2"/>
      <c r="E731" s="2"/>
      <c r="F731" s="2"/>
      <c r="G731" s="2"/>
    </row>
    <row r="732" spans="1:7" ht="15.75" customHeight="1" x14ac:dyDescent="0.2">
      <c r="A732" s="2"/>
      <c r="B732" s="2"/>
      <c r="C732" s="2"/>
      <c r="D732" s="2"/>
      <c r="E732" s="2"/>
      <c r="F732" s="2"/>
      <c r="G732" s="2"/>
    </row>
    <row r="733" spans="1:7" ht="15.75" customHeight="1" x14ac:dyDescent="0.2">
      <c r="A733" s="2"/>
      <c r="B733" s="2"/>
      <c r="C733" s="2"/>
      <c r="D733" s="2"/>
      <c r="E733" s="2"/>
      <c r="F733" s="2"/>
      <c r="G733" s="2"/>
    </row>
    <row r="734" spans="1:7" ht="15.75" customHeight="1" x14ac:dyDescent="0.2">
      <c r="A734" s="2"/>
      <c r="B734" s="2"/>
      <c r="C734" s="2"/>
      <c r="D734" s="2"/>
      <c r="E734" s="2"/>
      <c r="F734" s="2"/>
      <c r="G734" s="2"/>
    </row>
    <row r="735" spans="1:7" ht="15.75" customHeight="1" x14ac:dyDescent="0.2">
      <c r="A735" s="2"/>
      <c r="B735" s="2"/>
      <c r="C735" s="2"/>
      <c r="D735" s="2"/>
      <c r="E735" s="2"/>
      <c r="F735" s="2"/>
      <c r="G735" s="2"/>
    </row>
    <row r="736" spans="1:7" ht="15.75" customHeight="1" x14ac:dyDescent="0.2">
      <c r="A736" s="2"/>
      <c r="B736" s="2"/>
      <c r="C736" s="2"/>
      <c r="D736" s="2"/>
      <c r="E736" s="2"/>
      <c r="F736" s="2"/>
      <c r="G736" s="2"/>
    </row>
    <row r="737" spans="1:7" ht="15.75" customHeight="1" x14ac:dyDescent="0.2">
      <c r="A737" s="2"/>
      <c r="B737" s="2"/>
      <c r="C737" s="2"/>
      <c r="D737" s="2"/>
      <c r="E737" s="2"/>
      <c r="F737" s="2"/>
      <c r="G737" s="2"/>
    </row>
    <row r="738" spans="1:7" ht="15.75" customHeight="1" x14ac:dyDescent="0.2">
      <c r="A738" s="2"/>
      <c r="B738" s="2"/>
      <c r="C738" s="2"/>
      <c r="D738" s="2"/>
      <c r="E738" s="2"/>
      <c r="F738" s="2"/>
      <c r="G738" s="2"/>
    </row>
    <row r="739" spans="1:7" ht="15.75" customHeight="1" x14ac:dyDescent="0.2">
      <c r="A739" s="2"/>
      <c r="B739" s="2"/>
      <c r="C739" s="2"/>
      <c r="D739" s="2"/>
      <c r="E739" s="2"/>
      <c r="F739" s="2"/>
      <c r="G739" s="2"/>
    </row>
    <row r="740" spans="1:7" ht="15.75" customHeight="1" x14ac:dyDescent="0.2">
      <c r="A740" s="2"/>
      <c r="B740" s="2"/>
      <c r="C740" s="2"/>
      <c r="D740" s="2"/>
      <c r="E740" s="2"/>
      <c r="F740" s="2"/>
      <c r="G740" s="2"/>
    </row>
    <row r="741" spans="1:7" ht="15.75" customHeight="1" x14ac:dyDescent="0.2">
      <c r="A741" s="2"/>
      <c r="B741" s="2"/>
      <c r="C741" s="2"/>
      <c r="D741" s="2"/>
      <c r="E741" s="2"/>
      <c r="F741" s="2"/>
      <c r="G741" s="2"/>
    </row>
    <row r="742" spans="1:7" ht="15.75" customHeight="1" x14ac:dyDescent="0.2">
      <c r="A742" s="2"/>
      <c r="B742" s="2"/>
      <c r="C742" s="2"/>
      <c r="D742" s="2"/>
      <c r="E742" s="2"/>
      <c r="F742" s="2"/>
      <c r="G742" s="2"/>
    </row>
    <row r="743" spans="1:7" ht="15.75" customHeight="1" x14ac:dyDescent="0.2">
      <c r="A743" s="2"/>
      <c r="B743" s="2"/>
      <c r="C743" s="2"/>
      <c r="D743" s="2"/>
      <c r="E743" s="2"/>
      <c r="F743" s="2"/>
      <c r="G743" s="2"/>
    </row>
    <row r="744" spans="1:7" ht="15.75" customHeight="1" x14ac:dyDescent="0.2">
      <c r="A744" s="2"/>
      <c r="B744" s="2"/>
      <c r="C744" s="2"/>
      <c r="D744" s="2"/>
      <c r="E744" s="2"/>
      <c r="F744" s="2"/>
      <c r="G744" s="2"/>
    </row>
    <row r="745" spans="1:7" ht="15.75" customHeight="1" x14ac:dyDescent="0.2">
      <c r="A745" s="2"/>
      <c r="B745" s="2"/>
      <c r="C745" s="2"/>
      <c r="D745" s="2"/>
      <c r="E745" s="2"/>
      <c r="F745" s="2"/>
      <c r="G745" s="2"/>
    </row>
    <row r="746" spans="1:7" ht="15.75" customHeight="1" x14ac:dyDescent="0.2">
      <c r="A746" s="2"/>
      <c r="B746" s="2"/>
      <c r="C746" s="2"/>
      <c r="D746" s="2"/>
      <c r="E746" s="2"/>
      <c r="F746" s="2"/>
      <c r="G746" s="2"/>
    </row>
    <row r="747" spans="1:7" ht="15.75" customHeight="1" x14ac:dyDescent="0.2">
      <c r="A747" s="2"/>
      <c r="B747" s="2"/>
      <c r="C747" s="2"/>
      <c r="D747" s="2"/>
      <c r="E747" s="2"/>
      <c r="F747" s="2"/>
      <c r="G747" s="2"/>
    </row>
    <row r="748" spans="1:7" ht="15.75" customHeight="1" x14ac:dyDescent="0.2">
      <c r="A748" s="2"/>
      <c r="B748" s="2"/>
      <c r="C748" s="2"/>
      <c r="D748" s="2"/>
      <c r="E748" s="2"/>
      <c r="F748" s="2"/>
      <c r="G748" s="2"/>
    </row>
    <row r="749" spans="1:7" ht="15.75" customHeight="1" x14ac:dyDescent="0.2">
      <c r="A749" s="2"/>
      <c r="B749" s="2"/>
      <c r="C749" s="2"/>
      <c r="D749" s="2"/>
      <c r="E749" s="2"/>
      <c r="F749" s="2"/>
      <c r="G749" s="2"/>
    </row>
    <row r="750" spans="1:7" ht="15.75" customHeight="1" x14ac:dyDescent="0.2">
      <c r="A750" s="2"/>
      <c r="B750" s="2"/>
      <c r="C750" s="2"/>
      <c r="D750" s="2"/>
      <c r="E750" s="2"/>
      <c r="F750" s="2"/>
      <c r="G750" s="2"/>
    </row>
    <row r="751" spans="1:7" ht="15.75" customHeight="1" x14ac:dyDescent="0.2">
      <c r="A751" s="2"/>
      <c r="B751" s="2"/>
      <c r="C751" s="2"/>
      <c r="D751" s="2"/>
      <c r="E751" s="2"/>
      <c r="F751" s="2"/>
      <c r="G751" s="2"/>
    </row>
    <row r="752" spans="1:7" ht="15.75" customHeight="1" x14ac:dyDescent="0.2">
      <c r="A752" s="2"/>
      <c r="B752" s="2"/>
      <c r="C752" s="2"/>
      <c r="D752" s="2"/>
      <c r="E752" s="2"/>
      <c r="F752" s="2"/>
      <c r="G752" s="2"/>
    </row>
    <row r="753" spans="1:7" ht="15.75" customHeight="1" x14ac:dyDescent="0.2">
      <c r="A753" s="2"/>
      <c r="B753" s="2"/>
      <c r="C753" s="2"/>
      <c r="D753" s="2"/>
      <c r="E753" s="2"/>
      <c r="F753" s="2"/>
      <c r="G753" s="2"/>
    </row>
    <row r="754" spans="1:7" ht="15.75" customHeight="1" x14ac:dyDescent="0.2">
      <c r="A754" s="2"/>
      <c r="B754" s="2"/>
      <c r="C754" s="2"/>
      <c r="D754" s="2"/>
      <c r="E754" s="2"/>
      <c r="F754" s="2"/>
      <c r="G754" s="2"/>
    </row>
    <row r="755" spans="1:7" ht="15.75" customHeight="1" x14ac:dyDescent="0.2">
      <c r="A755" s="2"/>
      <c r="B755" s="2"/>
      <c r="C755" s="2"/>
      <c r="D755" s="2"/>
      <c r="E755" s="2"/>
      <c r="F755" s="2"/>
      <c r="G755" s="2"/>
    </row>
    <row r="756" spans="1:7" ht="15.75" customHeight="1" x14ac:dyDescent="0.2">
      <c r="A756" s="2"/>
      <c r="B756" s="2"/>
      <c r="C756" s="2"/>
      <c r="D756" s="2"/>
      <c r="E756" s="2"/>
      <c r="F756" s="2"/>
      <c r="G756" s="2"/>
    </row>
    <row r="757" spans="1:7" ht="15.75" customHeight="1" x14ac:dyDescent="0.2">
      <c r="A757" s="2"/>
      <c r="B757" s="2"/>
      <c r="C757" s="2"/>
      <c r="D757" s="2"/>
      <c r="E757" s="2"/>
      <c r="F757" s="2"/>
      <c r="G757" s="2"/>
    </row>
    <row r="758" spans="1:7" ht="15.75" customHeight="1" x14ac:dyDescent="0.2">
      <c r="A758" s="2"/>
      <c r="B758" s="2"/>
      <c r="C758" s="2"/>
      <c r="D758" s="2"/>
      <c r="E758" s="2"/>
      <c r="F758" s="2"/>
      <c r="G758" s="2"/>
    </row>
    <row r="759" spans="1:7" ht="15.75" customHeight="1" x14ac:dyDescent="0.2">
      <c r="A759" s="2"/>
      <c r="B759" s="2"/>
      <c r="C759" s="2"/>
      <c r="D759" s="2"/>
      <c r="E759" s="2"/>
      <c r="F759" s="2"/>
      <c r="G759" s="2"/>
    </row>
    <row r="760" spans="1:7" ht="15.75" customHeight="1" x14ac:dyDescent="0.2">
      <c r="A760" s="2"/>
      <c r="B760" s="2"/>
      <c r="C760" s="2"/>
      <c r="D760" s="2"/>
      <c r="E760" s="2"/>
      <c r="F760" s="2"/>
      <c r="G760" s="2"/>
    </row>
    <row r="761" spans="1:7" ht="15.75" customHeight="1" x14ac:dyDescent="0.2">
      <c r="A761" s="2"/>
      <c r="B761" s="2"/>
      <c r="C761" s="2"/>
      <c r="D761" s="2"/>
      <c r="E761" s="2"/>
      <c r="F761" s="2"/>
      <c r="G761" s="2"/>
    </row>
    <row r="762" spans="1:7" ht="15.75" customHeight="1" x14ac:dyDescent="0.2">
      <c r="A762" s="2"/>
      <c r="B762" s="2"/>
      <c r="C762" s="2"/>
      <c r="D762" s="2"/>
      <c r="E762" s="2"/>
      <c r="F762" s="2"/>
      <c r="G762" s="2"/>
    </row>
    <row r="763" spans="1:7" ht="15.75" customHeight="1" x14ac:dyDescent="0.2">
      <c r="A763" s="2"/>
      <c r="B763" s="2"/>
      <c r="C763" s="2"/>
      <c r="D763" s="2"/>
      <c r="E763" s="2"/>
      <c r="F763" s="2"/>
      <c r="G763" s="2"/>
    </row>
    <row r="764" spans="1:7" ht="15.75" customHeight="1" x14ac:dyDescent="0.2">
      <c r="A764" s="2"/>
      <c r="B764" s="2"/>
      <c r="C764" s="2"/>
      <c r="D764" s="2"/>
      <c r="E764" s="2"/>
      <c r="F764" s="2"/>
      <c r="G764" s="2"/>
    </row>
    <row r="765" spans="1:7" ht="15.75" customHeight="1" x14ac:dyDescent="0.2">
      <c r="A765" s="2"/>
      <c r="B765" s="2"/>
      <c r="C765" s="2"/>
      <c r="D765" s="2"/>
      <c r="E765" s="2"/>
      <c r="F765" s="2"/>
      <c r="G765" s="2"/>
    </row>
    <row r="766" spans="1:7" ht="15.75" customHeight="1" x14ac:dyDescent="0.2">
      <c r="A766" s="2"/>
      <c r="B766" s="2"/>
      <c r="C766" s="2"/>
      <c r="D766" s="2"/>
      <c r="E766" s="2"/>
      <c r="F766" s="2"/>
      <c r="G766" s="2"/>
    </row>
    <row r="767" spans="1:7" ht="15.75" customHeight="1" x14ac:dyDescent="0.2">
      <c r="A767" s="2"/>
      <c r="B767" s="2"/>
      <c r="C767" s="2"/>
      <c r="D767" s="2"/>
      <c r="E767" s="2"/>
      <c r="F767" s="2"/>
      <c r="G767" s="2"/>
    </row>
    <row r="768" spans="1:7" ht="15.75" customHeight="1" x14ac:dyDescent="0.2">
      <c r="A768" s="2"/>
      <c r="B768" s="2"/>
      <c r="C768" s="2"/>
      <c r="D768" s="2"/>
      <c r="E768" s="2"/>
      <c r="F768" s="2"/>
      <c r="G768" s="2"/>
    </row>
    <row r="769" spans="1:7" ht="15.75" customHeight="1" x14ac:dyDescent="0.2">
      <c r="A769" s="2"/>
      <c r="B769" s="2"/>
      <c r="C769" s="2"/>
      <c r="D769" s="2"/>
      <c r="E769" s="2"/>
      <c r="F769" s="2"/>
      <c r="G769" s="2"/>
    </row>
    <row r="770" spans="1:7" ht="15.75" customHeight="1" x14ac:dyDescent="0.2">
      <c r="A770" s="2"/>
      <c r="B770" s="2"/>
      <c r="C770" s="2"/>
      <c r="D770" s="2"/>
      <c r="E770" s="2"/>
      <c r="F770" s="2"/>
      <c r="G770" s="2"/>
    </row>
    <row r="771" spans="1:7" ht="15.75" customHeight="1" x14ac:dyDescent="0.2">
      <c r="A771" s="2"/>
      <c r="B771" s="2"/>
      <c r="C771" s="2"/>
      <c r="D771" s="2"/>
      <c r="E771" s="2"/>
      <c r="F771" s="2"/>
      <c r="G771" s="2"/>
    </row>
    <row r="772" spans="1:7" ht="15.75" customHeight="1" x14ac:dyDescent="0.2">
      <c r="A772" s="2"/>
      <c r="B772" s="2"/>
      <c r="C772" s="2"/>
      <c r="D772" s="2"/>
      <c r="E772" s="2"/>
      <c r="F772" s="2"/>
      <c r="G772" s="2"/>
    </row>
    <row r="773" spans="1:7" ht="15.75" customHeight="1" x14ac:dyDescent="0.2">
      <c r="A773" s="2"/>
      <c r="B773" s="2"/>
      <c r="C773" s="2"/>
      <c r="D773" s="2"/>
      <c r="E773" s="2"/>
      <c r="F773" s="2"/>
      <c r="G773" s="2"/>
    </row>
    <row r="774" spans="1:7" ht="15.75" customHeight="1" x14ac:dyDescent="0.2">
      <c r="A774" s="2"/>
      <c r="B774" s="2"/>
      <c r="C774" s="2"/>
      <c r="D774" s="2"/>
      <c r="E774" s="2"/>
      <c r="F774" s="2"/>
      <c r="G774" s="2"/>
    </row>
    <row r="775" spans="1:7" ht="15.75" customHeight="1" x14ac:dyDescent="0.2">
      <c r="A775" s="2"/>
      <c r="B775" s="2"/>
      <c r="C775" s="2"/>
      <c r="D775" s="2"/>
      <c r="E775" s="2"/>
      <c r="F775" s="2"/>
      <c r="G775" s="2"/>
    </row>
    <row r="776" spans="1:7" ht="15.75" customHeight="1" x14ac:dyDescent="0.2">
      <c r="A776" s="2"/>
      <c r="B776" s="2"/>
      <c r="C776" s="2"/>
      <c r="D776" s="2"/>
      <c r="E776" s="2"/>
      <c r="F776" s="2"/>
      <c r="G776" s="2"/>
    </row>
    <row r="777" spans="1:7" ht="15.75" customHeight="1" x14ac:dyDescent="0.2">
      <c r="A777" s="2"/>
      <c r="B777" s="2"/>
      <c r="C777" s="2"/>
      <c r="D777" s="2"/>
      <c r="E777" s="2"/>
      <c r="F777" s="2"/>
      <c r="G777" s="2"/>
    </row>
    <row r="778" spans="1:7" ht="15.75" customHeight="1" x14ac:dyDescent="0.2">
      <c r="A778" s="2"/>
      <c r="B778" s="2"/>
      <c r="C778" s="2"/>
      <c r="D778" s="2"/>
      <c r="E778" s="2"/>
      <c r="F778" s="2"/>
      <c r="G778" s="2"/>
    </row>
    <row r="779" spans="1:7" ht="15.75" customHeight="1" x14ac:dyDescent="0.2">
      <c r="A779" s="2"/>
      <c r="B779" s="2"/>
      <c r="C779" s="2"/>
      <c r="D779" s="2"/>
      <c r="E779" s="2"/>
      <c r="F779" s="2"/>
      <c r="G779" s="2"/>
    </row>
    <row r="780" spans="1:7" ht="15.75" customHeight="1" x14ac:dyDescent="0.2">
      <c r="A780" s="2"/>
      <c r="B780" s="2"/>
      <c r="C780" s="2"/>
      <c r="D780" s="2"/>
      <c r="E780" s="2"/>
      <c r="F780" s="2"/>
      <c r="G780" s="2"/>
    </row>
    <row r="781" spans="1:7" ht="15.75" customHeight="1" x14ac:dyDescent="0.2">
      <c r="A781" s="2"/>
      <c r="B781" s="2"/>
      <c r="C781" s="2"/>
      <c r="D781" s="2"/>
      <c r="E781" s="2"/>
      <c r="F781" s="2"/>
      <c r="G781" s="2"/>
    </row>
    <row r="782" spans="1:7" ht="15.75" customHeight="1" x14ac:dyDescent="0.2">
      <c r="A782" s="2"/>
      <c r="B782" s="2"/>
      <c r="C782" s="2"/>
      <c r="D782" s="2"/>
      <c r="E782" s="2"/>
      <c r="F782" s="2"/>
      <c r="G782" s="2"/>
    </row>
    <row r="783" spans="1:7" ht="15.75" customHeight="1" x14ac:dyDescent="0.2">
      <c r="A783" s="2"/>
      <c r="B783" s="2"/>
      <c r="C783" s="2"/>
      <c r="D783" s="2"/>
      <c r="E783" s="2"/>
      <c r="F783" s="2"/>
      <c r="G783" s="2"/>
    </row>
    <row r="784" spans="1:7" ht="15.75" customHeight="1" x14ac:dyDescent="0.2">
      <c r="A784" s="2"/>
      <c r="B784" s="2"/>
      <c r="C784" s="2"/>
      <c r="D784" s="2"/>
      <c r="E784" s="2"/>
      <c r="F784" s="2"/>
      <c r="G784" s="2"/>
    </row>
    <row r="785" spans="1:7" ht="15.75" customHeight="1" x14ac:dyDescent="0.2">
      <c r="A785" s="2"/>
      <c r="B785" s="2"/>
      <c r="C785" s="2"/>
      <c r="D785" s="2"/>
      <c r="E785" s="2"/>
      <c r="F785" s="2"/>
      <c r="G785" s="2"/>
    </row>
    <row r="786" spans="1:7" ht="15.75" customHeight="1" x14ac:dyDescent="0.2">
      <c r="A786" s="2"/>
      <c r="B786" s="2"/>
      <c r="C786" s="2"/>
      <c r="D786" s="2"/>
      <c r="E786" s="2"/>
      <c r="F786" s="2"/>
      <c r="G786" s="2"/>
    </row>
    <row r="787" spans="1:7" ht="15.75" customHeight="1" x14ac:dyDescent="0.2">
      <c r="A787" s="2"/>
      <c r="B787" s="2"/>
      <c r="C787" s="2"/>
      <c r="D787" s="2"/>
      <c r="E787" s="2"/>
      <c r="F787" s="2"/>
      <c r="G787" s="2"/>
    </row>
    <row r="788" spans="1:7" ht="15.75" customHeight="1" x14ac:dyDescent="0.2">
      <c r="A788" s="2"/>
      <c r="B788" s="2"/>
      <c r="C788" s="2"/>
      <c r="D788" s="2"/>
      <c r="E788" s="2"/>
      <c r="F788" s="2"/>
      <c r="G788" s="2"/>
    </row>
    <row r="789" spans="1:7" ht="15.75" customHeight="1" x14ac:dyDescent="0.2">
      <c r="A789" s="2"/>
      <c r="B789" s="2"/>
      <c r="C789" s="2"/>
      <c r="D789" s="2"/>
      <c r="E789" s="2"/>
      <c r="F789" s="2"/>
      <c r="G789" s="2"/>
    </row>
    <row r="790" spans="1:7" ht="15.75" customHeight="1" x14ac:dyDescent="0.2">
      <c r="A790" s="2"/>
      <c r="B790" s="2"/>
      <c r="C790" s="2"/>
      <c r="D790" s="2"/>
      <c r="E790" s="2"/>
      <c r="F790" s="2"/>
      <c r="G790" s="2"/>
    </row>
    <row r="791" spans="1:7" ht="15.75" customHeight="1" x14ac:dyDescent="0.2">
      <c r="A791" s="2"/>
      <c r="B791" s="2"/>
      <c r="C791" s="2"/>
      <c r="D791" s="2"/>
      <c r="E791" s="2"/>
      <c r="F791" s="2"/>
      <c r="G791" s="2"/>
    </row>
    <row r="792" spans="1:7" ht="15.75" customHeight="1" x14ac:dyDescent="0.2">
      <c r="A792" s="2"/>
      <c r="B792" s="2"/>
      <c r="C792" s="2"/>
      <c r="D792" s="2"/>
      <c r="E792" s="2"/>
      <c r="F792" s="2"/>
      <c r="G792" s="2"/>
    </row>
    <row r="793" spans="1:7" ht="15.75" customHeight="1" x14ac:dyDescent="0.2">
      <c r="A793" s="2"/>
      <c r="B793" s="2"/>
      <c r="C793" s="2"/>
      <c r="D793" s="2"/>
      <c r="E793" s="2"/>
      <c r="F793" s="2"/>
      <c r="G793" s="2"/>
    </row>
    <row r="794" spans="1:7" ht="15.75" customHeight="1" x14ac:dyDescent="0.2">
      <c r="A794" s="2"/>
      <c r="B794" s="2"/>
      <c r="C794" s="2"/>
      <c r="D794" s="2"/>
      <c r="E794" s="2"/>
      <c r="F794" s="2"/>
      <c r="G794" s="2"/>
    </row>
    <row r="795" spans="1:7" ht="15.75" customHeight="1" x14ac:dyDescent="0.2">
      <c r="A795" s="2"/>
      <c r="B795" s="2"/>
      <c r="C795" s="2"/>
      <c r="D795" s="2"/>
      <c r="E795" s="2"/>
      <c r="F795" s="2"/>
      <c r="G795" s="2"/>
    </row>
    <row r="796" spans="1:7" ht="15.75" customHeight="1" x14ac:dyDescent="0.2">
      <c r="A796" s="2"/>
      <c r="B796" s="2"/>
      <c r="C796" s="2"/>
      <c r="D796" s="2"/>
      <c r="E796" s="2"/>
      <c r="F796" s="2"/>
      <c r="G796" s="2"/>
    </row>
    <row r="797" spans="1:7" ht="15.75" customHeight="1" x14ac:dyDescent="0.2">
      <c r="A797" s="2"/>
      <c r="B797" s="2"/>
      <c r="C797" s="2"/>
      <c r="D797" s="2"/>
      <c r="E797" s="2"/>
      <c r="F797" s="2"/>
      <c r="G797" s="2"/>
    </row>
    <row r="798" spans="1:7" ht="15.75" customHeight="1" x14ac:dyDescent="0.2">
      <c r="A798" s="2"/>
      <c r="B798" s="2"/>
      <c r="C798" s="2"/>
      <c r="D798" s="2"/>
      <c r="E798" s="2"/>
      <c r="F798" s="2"/>
      <c r="G798" s="2"/>
    </row>
    <row r="799" spans="1:7" ht="15.75" customHeight="1" x14ac:dyDescent="0.2">
      <c r="A799" s="2"/>
      <c r="B799" s="2"/>
      <c r="C799" s="2"/>
      <c r="D799" s="2"/>
      <c r="E799" s="2"/>
      <c r="F799" s="2"/>
      <c r="G799" s="2"/>
    </row>
    <row r="800" spans="1:7" ht="15.75" customHeight="1" x14ac:dyDescent="0.2">
      <c r="A800" s="2"/>
      <c r="B800" s="2"/>
      <c r="C800" s="2"/>
      <c r="D800" s="2"/>
      <c r="E800" s="2"/>
      <c r="F800" s="2"/>
      <c r="G800" s="2"/>
    </row>
    <row r="801" spans="1:7" ht="15.75" customHeight="1" x14ac:dyDescent="0.2">
      <c r="A801" s="2"/>
      <c r="B801" s="2"/>
      <c r="C801" s="2"/>
      <c r="D801" s="2"/>
      <c r="E801" s="2"/>
      <c r="F801" s="2"/>
      <c r="G801" s="2"/>
    </row>
    <row r="802" spans="1:7" ht="15.75" customHeight="1" x14ac:dyDescent="0.2">
      <c r="A802" s="2"/>
      <c r="B802" s="2"/>
      <c r="C802" s="2"/>
      <c r="D802" s="2"/>
      <c r="E802" s="2"/>
      <c r="F802" s="2"/>
      <c r="G802" s="2"/>
    </row>
    <row r="803" spans="1:7" ht="15.75" customHeight="1" x14ac:dyDescent="0.2">
      <c r="A803" s="2"/>
      <c r="B803" s="2"/>
      <c r="C803" s="2"/>
      <c r="D803" s="2"/>
      <c r="E803" s="2"/>
      <c r="F803" s="2"/>
      <c r="G803" s="2"/>
    </row>
    <row r="804" spans="1:7" ht="15.75" customHeight="1" x14ac:dyDescent="0.2">
      <c r="A804" s="2"/>
      <c r="B804" s="2"/>
      <c r="C804" s="2"/>
      <c r="D804" s="2"/>
      <c r="E804" s="2"/>
      <c r="F804" s="2"/>
      <c r="G804" s="2"/>
    </row>
    <row r="805" spans="1:7" ht="15.75" customHeight="1" x14ac:dyDescent="0.2">
      <c r="A805" s="2"/>
      <c r="B805" s="2"/>
      <c r="C805" s="2"/>
      <c r="D805" s="2"/>
      <c r="E805" s="2"/>
      <c r="F805" s="2"/>
      <c r="G805" s="2"/>
    </row>
    <row r="806" spans="1:7" ht="15.75" customHeight="1" x14ac:dyDescent="0.2">
      <c r="A806" s="2"/>
      <c r="B806" s="2"/>
      <c r="C806" s="2"/>
      <c r="D806" s="2"/>
      <c r="E806" s="2"/>
      <c r="F806" s="2"/>
      <c r="G806" s="2"/>
    </row>
    <row r="807" spans="1:7" ht="15.75" customHeight="1" x14ac:dyDescent="0.2">
      <c r="A807" s="2"/>
      <c r="B807" s="2"/>
      <c r="C807" s="2"/>
      <c r="D807" s="2"/>
      <c r="E807" s="2"/>
      <c r="F807" s="2"/>
      <c r="G807" s="2"/>
    </row>
    <row r="808" spans="1:7" ht="15.75" customHeight="1" x14ac:dyDescent="0.2">
      <c r="A808" s="2"/>
      <c r="B808" s="2"/>
      <c r="C808" s="2"/>
      <c r="D808" s="2"/>
      <c r="E808" s="2"/>
      <c r="F808" s="2"/>
      <c r="G808" s="2"/>
    </row>
    <row r="809" spans="1:7" ht="15.75" customHeight="1" x14ac:dyDescent="0.2">
      <c r="A809" s="2"/>
      <c r="B809" s="2"/>
      <c r="C809" s="2"/>
      <c r="D809" s="2"/>
      <c r="E809" s="2"/>
      <c r="F809" s="2"/>
      <c r="G809" s="2"/>
    </row>
    <row r="810" spans="1:7" ht="15.75" customHeight="1" x14ac:dyDescent="0.2">
      <c r="A810" s="2"/>
      <c r="B810" s="2"/>
      <c r="C810" s="2"/>
      <c r="D810" s="2"/>
      <c r="E810" s="2"/>
      <c r="F810" s="2"/>
      <c r="G810" s="2"/>
    </row>
    <row r="811" spans="1:7" ht="15.75" customHeight="1" x14ac:dyDescent="0.2">
      <c r="A811" s="2"/>
      <c r="B811" s="2"/>
      <c r="C811" s="2"/>
      <c r="D811" s="2"/>
      <c r="E811" s="2"/>
      <c r="F811" s="2"/>
      <c r="G811" s="2"/>
    </row>
    <row r="812" spans="1:7" ht="15.75" customHeight="1" x14ac:dyDescent="0.2">
      <c r="A812" s="2"/>
      <c r="B812" s="2"/>
      <c r="C812" s="2"/>
      <c r="D812" s="2"/>
      <c r="E812" s="2"/>
      <c r="F812" s="2"/>
      <c r="G812" s="2"/>
    </row>
    <row r="813" spans="1:7" ht="15.75" customHeight="1" x14ac:dyDescent="0.2">
      <c r="A813" s="2"/>
      <c r="B813" s="2"/>
      <c r="C813" s="2"/>
      <c r="D813" s="2"/>
      <c r="E813" s="2"/>
      <c r="F813" s="2"/>
      <c r="G813" s="2"/>
    </row>
    <row r="814" spans="1:7" ht="15.75" customHeight="1" x14ac:dyDescent="0.2">
      <c r="A814" s="2"/>
      <c r="B814" s="2"/>
      <c r="C814" s="2"/>
      <c r="D814" s="2"/>
      <c r="E814" s="2"/>
      <c r="F814" s="2"/>
      <c r="G814" s="2"/>
    </row>
    <row r="815" spans="1:7" ht="15.75" customHeight="1" x14ac:dyDescent="0.2">
      <c r="A815" s="2"/>
      <c r="B815" s="2"/>
      <c r="C815" s="2"/>
      <c r="D815" s="2"/>
      <c r="E815" s="2"/>
      <c r="F815" s="2"/>
      <c r="G815" s="2"/>
    </row>
    <row r="816" spans="1:7" ht="15.75" customHeight="1" x14ac:dyDescent="0.2">
      <c r="A816" s="2"/>
      <c r="B816" s="2"/>
      <c r="C816" s="2"/>
      <c r="D816" s="2"/>
      <c r="E816" s="2"/>
      <c r="F816" s="2"/>
      <c r="G816" s="2"/>
    </row>
    <row r="817" spans="1:7" ht="15.75" customHeight="1" x14ac:dyDescent="0.2">
      <c r="A817" s="2"/>
      <c r="B817" s="2"/>
      <c r="C817" s="2"/>
      <c r="D817" s="2"/>
      <c r="E817" s="2"/>
      <c r="F817" s="2"/>
      <c r="G817" s="2"/>
    </row>
    <row r="818" spans="1:7" ht="15.75" customHeight="1" x14ac:dyDescent="0.2">
      <c r="A818" s="2"/>
      <c r="B818" s="2"/>
      <c r="C818" s="2"/>
      <c r="D818" s="2"/>
      <c r="E818" s="2"/>
      <c r="F818" s="2"/>
      <c r="G818" s="2"/>
    </row>
    <row r="819" spans="1:7" ht="15.75" customHeight="1" x14ac:dyDescent="0.2">
      <c r="A819" s="2"/>
      <c r="B819" s="2"/>
      <c r="C819" s="2"/>
      <c r="D819" s="2"/>
      <c r="E819" s="2"/>
      <c r="F819" s="2"/>
      <c r="G819" s="2"/>
    </row>
    <row r="820" spans="1:7" ht="15.75" customHeight="1" x14ac:dyDescent="0.2">
      <c r="A820" s="2"/>
      <c r="B820" s="2"/>
      <c r="C820" s="2"/>
      <c r="D820" s="2"/>
      <c r="E820" s="2"/>
      <c r="F820" s="2"/>
      <c r="G820" s="2"/>
    </row>
    <row r="821" spans="1:7" ht="15.75" customHeight="1" x14ac:dyDescent="0.2">
      <c r="A821" s="2"/>
      <c r="B821" s="2"/>
      <c r="C821" s="2"/>
      <c r="D821" s="2"/>
      <c r="E821" s="2"/>
      <c r="F821" s="2"/>
      <c r="G821" s="2"/>
    </row>
    <row r="822" spans="1:7" ht="15.75" customHeight="1" x14ac:dyDescent="0.2">
      <c r="A822" s="2"/>
      <c r="B822" s="2"/>
      <c r="C822" s="2"/>
      <c r="D822" s="2"/>
      <c r="E822" s="2"/>
      <c r="F822" s="2"/>
      <c r="G822" s="2"/>
    </row>
    <row r="823" spans="1:7" ht="15.75" customHeight="1" x14ac:dyDescent="0.2">
      <c r="A823" s="2"/>
      <c r="B823" s="2"/>
      <c r="C823" s="2"/>
      <c r="D823" s="2"/>
      <c r="E823" s="2"/>
      <c r="F823" s="2"/>
      <c r="G823" s="2"/>
    </row>
    <row r="824" spans="1:7" ht="15.75" customHeight="1" x14ac:dyDescent="0.2">
      <c r="A824" s="2"/>
      <c r="B824" s="2"/>
      <c r="C824" s="2"/>
      <c r="D824" s="2"/>
      <c r="E824" s="2"/>
      <c r="F824" s="2"/>
      <c r="G824" s="2"/>
    </row>
    <row r="825" spans="1:7" ht="15.75" customHeight="1" x14ac:dyDescent="0.2">
      <c r="A825" s="2"/>
      <c r="B825" s="2"/>
      <c r="C825" s="2"/>
      <c r="D825" s="2"/>
      <c r="E825" s="2"/>
      <c r="F825" s="2"/>
      <c r="G825" s="2"/>
    </row>
    <row r="826" spans="1:7" ht="15.75" customHeight="1" x14ac:dyDescent="0.2">
      <c r="A826" s="2"/>
      <c r="B826" s="2"/>
      <c r="C826" s="2"/>
      <c r="D826" s="2"/>
      <c r="E826" s="2"/>
      <c r="F826" s="2"/>
      <c r="G826" s="2"/>
    </row>
    <row r="827" spans="1:7" ht="15.75" customHeight="1" x14ac:dyDescent="0.2">
      <c r="A827" s="2"/>
      <c r="B827" s="2"/>
      <c r="C827" s="2"/>
      <c r="D827" s="2"/>
      <c r="E827" s="2"/>
      <c r="F827" s="2"/>
      <c r="G827" s="2"/>
    </row>
    <row r="828" spans="1:7" ht="15.75" customHeight="1" x14ac:dyDescent="0.2">
      <c r="A828" s="2"/>
      <c r="B828" s="2"/>
      <c r="C828" s="2"/>
      <c r="D828" s="2"/>
      <c r="E828" s="2"/>
      <c r="F828" s="2"/>
      <c r="G828" s="2"/>
    </row>
    <row r="829" spans="1:7" ht="15.75" customHeight="1" x14ac:dyDescent="0.2">
      <c r="A829" s="2"/>
      <c r="B829" s="2"/>
      <c r="C829" s="2"/>
      <c r="D829" s="2"/>
      <c r="E829" s="2"/>
      <c r="F829" s="2"/>
      <c r="G829" s="2"/>
    </row>
    <row r="830" spans="1:7" ht="15.75" customHeight="1" x14ac:dyDescent="0.2">
      <c r="A830" s="2"/>
      <c r="B830" s="2"/>
      <c r="C830" s="2"/>
      <c r="D830" s="2"/>
      <c r="E830" s="2"/>
      <c r="F830" s="2"/>
      <c r="G830" s="2"/>
    </row>
    <row r="831" spans="1:7" ht="15.75" customHeight="1" x14ac:dyDescent="0.2">
      <c r="A831" s="2"/>
      <c r="B831" s="2"/>
      <c r="C831" s="2"/>
      <c r="D831" s="2"/>
      <c r="E831" s="2"/>
      <c r="F831" s="2"/>
      <c r="G831" s="2"/>
    </row>
    <row r="832" spans="1:7" ht="15.75" customHeight="1" x14ac:dyDescent="0.2">
      <c r="A832" s="2"/>
      <c r="B832" s="2"/>
      <c r="C832" s="2"/>
      <c r="D832" s="2"/>
      <c r="E832" s="2"/>
      <c r="F832" s="2"/>
      <c r="G832" s="2"/>
    </row>
    <row r="833" spans="1:7" ht="15.75" customHeight="1" x14ac:dyDescent="0.2">
      <c r="A833" s="2"/>
      <c r="B833" s="2"/>
      <c r="C833" s="2"/>
      <c r="D833" s="2"/>
      <c r="E833" s="2"/>
      <c r="F833" s="2"/>
      <c r="G833" s="2"/>
    </row>
    <row r="834" spans="1:7" ht="15.75" customHeight="1" x14ac:dyDescent="0.2">
      <c r="A834" s="2"/>
      <c r="B834" s="2"/>
      <c r="C834" s="2"/>
      <c r="D834" s="2"/>
      <c r="E834" s="2"/>
      <c r="F834" s="2"/>
      <c r="G834" s="2"/>
    </row>
    <row r="835" spans="1:7" ht="15.75" customHeight="1" x14ac:dyDescent="0.2">
      <c r="A835" s="2"/>
      <c r="B835" s="2"/>
      <c r="C835" s="2"/>
      <c r="D835" s="2"/>
      <c r="E835" s="2"/>
      <c r="F835" s="2"/>
      <c r="G835" s="2"/>
    </row>
    <row r="836" spans="1:7" ht="15.75" customHeight="1" x14ac:dyDescent="0.2">
      <c r="A836" s="2"/>
      <c r="B836" s="2"/>
      <c r="C836" s="2"/>
      <c r="D836" s="2"/>
      <c r="E836" s="2"/>
      <c r="F836" s="2"/>
      <c r="G836" s="2"/>
    </row>
    <row r="837" spans="1:7" ht="15.75" customHeight="1" x14ac:dyDescent="0.2">
      <c r="A837" s="2"/>
      <c r="B837" s="2"/>
      <c r="C837" s="2"/>
      <c r="D837" s="2"/>
      <c r="E837" s="2"/>
      <c r="F837" s="2"/>
      <c r="G837" s="2"/>
    </row>
    <row r="838" spans="1:7" ht="15.75" customHeight="1" x14ac:dyDescent="0.2">
      <c r="A838" s="2"/>
      <c r="B838" s="2"/>
      <c r="C838" s="2"/>
      <c r="D838" s="2"/>
      <c r="E838" s="2"/>
      <c r="F838" s="2"/>
      <c r="G838" s="2"/>
    </row>
    <row r="839" spans="1:7" ht="15.75" customHeight="1" x14ac:dyDescent="0.2">
      <c r="A839" s="2"/>
      <c r="B839" s="2"/>
      <c r="C839" s="2"/>
      <c r="D839" s="2"/>
      <c r="E839" s="2"/>
      <c r="F839" s="2"/>
      <c r="G839" s="2"/>
    </row>
    <row r="840" spans="1:7" ht="15.75" customHeight="1" x14ac:dyDescent="0.2">
      <c r="A840" s="2"/>
      <c r="B840" s="2"/>
      <c r="C840" s="2"/>
      <c r="D840" s="2"/>
      <c r="E840" s="2"/>
      <c r="F840" s="2"/>
      <c r="G840" s="2"/>
    </row>
    <row r="841" spans="1:7" ht="15.75" customHeight="1" x14ac:dyDescent="0.2">
      <c r="A841" s="2"/>
      <c r="B841" s="2"/>
      <c r="C841" s="2"/>
      <c r="D841" s="2"/>
      <c r="E841" s="2"/>
      <c r="F841" s="2"/>
      <c r="G841" s="2"/>
    </row>
    <row r="842" spans="1:7" ht="15.75" customHeight="1" x14ac:dyDescent="0.2">
      <c r="A842" s="2"/>
      <c r="B842" s="2"/>
      <c r="C842" s="2"/>
      <c r="D842" s="2"/>
      <c r="E842" s="2"/>
      <c r="F842" s="2"/>
      <c r="G842" s="2"/>
    </row>
    <row r="843" spans="1:7" ht="15.75" customHeight="1" x14ac:dyDescent="0.2">
      <c r="A843" s="2"/>
      <c r="B843" s="2"/>
      <c r="C843" s="2"/>
      <c r="D843" s="2"/>
      <c r="E843" s="2"/>
      <c r="F843" s="2"/>
      <c r="G843" s="2"/>
    </row>
    <row r="844" spans="1:7" ht="15.75" customHeight="1" x14ac:dyDescent="0.2">
      <c r="A844" s="2"/>
      <c r="B844" s="2"/>
      <c r="C844" s="2"/>
      <c r="D844" s="2"/>
      <c r="E844" s="2"/>
      <c r="F844" s="2"/>
      <c r="G844" s="2"/>
    </row>
    <row r="845" spans="1:7" ht="15.75" customHeight="1" x14ac:dyDescent="0.2">
      <c r="A845" s="2"/>
      <c r="B845" s="2"/>
      <c r="C845" s="2"/>
      <c r="D845" s="2"/>
      <c r="E845" s="2"/>
      <c r="F845" s="2"/>
      <c r="G845" s="2"/>
    </row>
    <row r="846" spans="1:7" ht="15.75" customHeight="1" x14ac:dyDescent="0.2">
      <c r="A846" s="2"/>
      <c r="B846" s="2"/>
      <c r="C846" s="2"/>
      <c r="D846" s="2"/>
      <c r="E846" s="2"/>
      <c r="F846" s="2"/>
      <c r="G846" s="2"/>
    </row>
    <row r="847" spans="1:7" ht="15.75" customHeight="1" x14ac:dyDescent="0.2">
      <c r="A847" s="2"/>
      <c r="B847" s="2"/>
      <c r="C847" s="2"/>
      <c r="D847" s="2"/>
      <c r="E847" s="2"/>
      <c r="F847" s="2"/>
      <c r="G847" s="2"/>
    </row>
    <row r="848" spans="1:7" ht="15.75" customHeight="1" x14ac:dyDescent="0.2">
      <c r="A848" s="2"/>
      <c r="B848" s="2"/>
      <c r="C848" s="2"/>
      <c r="D848" s="2"/>
      <c r="E848" s="2"/>
      <c r="F848" s="2"/>
      <c r="G848" s="2"/>
    </row>
    <row r="849" spans="1:7" ht="15.75" customHeight="1" x14ac:dyDescent="0.2">
      <c r="A849" s="2"/>
      <c r="B849" s="2"/>
      <c r="C849" s="2"/>
      <c r="D849" s="2"/>
      <c r="E849" s="2"/>
      <c r="F849" s="2"/>
      <c r="G849" s="2"/>
    </row>
    <row r="850" spans="1:7" ht="15.75" customHeight="1" x14ac:dyDescent="0.2">
      <c r="A850" s="2"/>
      <c r="B850" s="2"/>
      <c r="C850" s="2"/>
      <c r="D850" s="2"/>
      <c r="E850" s="2"/>
      <c r="F850" s="2"/>
      <c r="G850" s="2"/>
    </row>
    <row r="851" spans="1:7" ht="15.75" customHeight="1" x14ac:dyDescent="0.2">
      <c r="A851" s="2"/>
      <c r="B851" s="2"/>
      <c r="C851" s="2"/>
      <c r="D851" s="2"/>
      <c r="E851" s="2"/>
      <c r="F851" s="2"/>
      <c r="G851" s="2"/>
    </row>
    <row r="852" spans="1:7" ht="15.75" customHeight="1" x14ac:dyDescent="0.2">
      <c r="A852" s="2"/>
      <c r="B852" s="2"/>
      <c r="C852" s="2"/>
      <c r="D852" s="2"/>
      <c r="E852" s="2"/>
      <c r="F852" s="2"/>
      <c r="G852" s="2"/>
    </row>
    <row r="853" spans="1:7" ht="15.75" customHeight="1" x14ac:dyDescent="0.2">
      <c r="A853" s="2"/>
      <c r="B853" s="2"/>
      <c r="C853" s="2"/>
      <c r="D853" s="2"/>
      <c r="E853" s="2"/>
      <c r="F853" s="2"/>
      <c r="G853" s="2"/>
    </row>
    <row r="854" spans="1:7" ht="15.75" customHeight="1" x14ac:dyDescent="0.2">
      <c r="A854" s="2"/>
      <c r="B854" s="2"/>
      <c r="C854" s="2"/>
      <c r="D854" s="2"/>
      <c r="E854" s="2"/>
      <c r="F854" s="2"/>
      <c r="G854" s="2"/>
    </row>
    <row r="855" spans="1:7" ht="15.75" customHeight="1" x14ac:dyDescent="0.2">
      <c r="A855" s="2"/>
      <c r="B855" s="2"/>
      <c r="C855" s="2"/>
      <c r="D855" s="2"/>
      <c r="E855" s="2"/>
      <c r="F855" s="2"/>
      <c r="G855" s="2"/>
    </row>
    <row r="856" spans="1:7" ht="15.75" customHeight="1" x14ac:dyDescent="0.2">
      <c r="A856" s="2"/>
      <c r="B856" s="2"/>
      <c r="C856" s="2"/>
      <c r="D856" s="2"/>
      <c r="E856" s="2"/>
      <c r="F856" s="2"/>
      <c r="G856" s="2"/>
    </row>
    <row r="857" spans="1:7" ht="15.75" customHeight="1" x14ac:dyDescent="0.2">
      <c r="A857" s="2"/>
      <c r="B857" s="2"/>
      <c r="C857" s="2"/>
      <c r="D857" s="2"/>
      <c r="E857" s="2"/>
      <c r="F857" s="2"/>
      <c r="G857" s="2"/>
    </row>
    <row r="858" spans="1:7" ht="15.75" customHeight="1" x14ac:dyDescent="0.2">
      <c r="A858" s="2"/>
      <c r="B858" s="2"/>
      <c r="C858" s="2"/>
      <c r="D858" s="2"/>
      <c r="E858" s="2"/>
      <c r="F858" s="2"/>
      <c r="G858" s="2"/>
    </row>
    <row r="859" spans="1:7" ht="15.75" customHeight="1" x14ac:dyDescent="0.2">
      <c r="A859" s="2"/>
      <c r="B859" s="2"/>
      <c r="C859" s="2"/>
      <c r="D859" s="2"/>
      <c r="E859" s="2"/>
      <c r="F859" s="2"/>
      <c r="G859" s="2"/>
    </row>
    <row r="860" spans="1:7" ht="15.75" customHeight="1" x14ac:dyDescent="0.2">
      <c r="A860" s="2"/>
      <c r="B860" s="2"/>
      <c r="C860" s="2"/>
      <c r="D860" s="2"/>
      <c r="E860" s="2"/>
      <c r="F860" s="2"/>
      <c r="G860" s="2"/>
    </row>
    <row r="861" spans="1:7" ht="15.75" customHeight="1" x14ac:dyDescent="0.2">
      <c r="A861" s="2"/>
      <c r="B861" s="2"/>
      <c r="C861" s="2"/>
      <c r="D861" s="2"/>
      <c r="E861" s="2"/>
      <c r="F861" s="2"/>
      <c r="G861" s="2"/>
    </row>
    <row r="862" spans="1:7" ht="15.75" customHeight="1" x14ac:dyDescent="0.2">
      <c r="A862" s="2"/>
      <c r="B862" s="2"/>
      <c r="C862" s="2"/>
      <c r="D862" s="2"/>
      <c r="E862" s="2"/>
      <c r="F862" s="2"/>
      <c r="G862" s="2"/>
    </row>
    <row r="863" spans="1:7" ht="15.75" customHeight="1" x14ac:dyDescent="0.2">
      <c r="A863" s="2"/>
      <c r="B863" s="2"/>
      <c r="C863" s="2"/>
      <c r="D863" s="2"/>
      <c r="E863" s="2"/>
      <c r="F863" s="2"/>
      <c r="G863" s="2"/>
    </row>
    <row r="864" spans="1:7" ht="15.75" customHeight="1" x14ac:dyDescent="0.2">
      <c r="A864" s="2"/>
      <c r="B864" s="2"/>
      <c r="C864" s="2"/>
      <c r="D864" s="2"/>
      <c r="E864" s="2"/>
      <c r="F864" s="2"/>
      <c r="G864" s="2"/>
    </row>
    <row r="865" spans="1:7" ht="15.75" customHeight="1" x14ac:dyDescent="0.2">
      <c r="A865" s="2"/>
      <c r="B865" s="2"/>
      <c r="C865" s="2"/>
      <c r="D865" s="2"/>
      <c r="E865" s="2"/>
      <c r="F865" s="2"/>
      <c r="G865" s="2"/>
    </row>
    <row r="866" spans="1:7" ht="15.75" customHeight="1" x14ac:dyDescent="0.2">
      <c r="A866" s="2"/>
      <c r="B866" s="2"/>
      <c r="C866" s="2"/>
      <c r="D866" s="2"/>
      <c r="E866" s="2"/>
      <c r="F866" s="2"/>
      <c r="G866" s="2"/>
    </row>
    <row r="867" spans="1:7" ht="15.75" customHeight="1" x14ac:dyDescent="0.2">
      <c r="A867" s="2"/>
      <c r="B867" s="2"/>
      <c r="C867" s="2"/>
      <c r="D867" s="2"/>
      <c r="E867" s="2"/>
      <c r="F867" s="2"/>
      <c r="G867" s="2"/>
    </row>
    <row r="868" spans="1:7" ht="15.75" customHeight="1" x14ac:dyDescent="0.2">
      <c r="A868" s="2"/>
      <c r="B868" s="2"/>
      <c r="C868" s="2"/>
      <c r="D868" s="2"/>
      <c r="E868" s="2"/>
      <c r="F868" s="2"/>
      <c r="G868" s="2"/>
    </row>
    <row r="869" spans="1:7" ht="15.75" customHeight="1" x14ac:dyDescent="0.2">
      <c r="A869" s="2"/>
      <c r="B869" s="2"/>
      <c r="C869" s="2"/>
      <c r="D869" s="2"/>
      <c r="E869" s="2"/>
      <c r="F869" s="2"/>
      <c r="G869" s="2"/>
    </row>
    <row r="870" spans="1:7" ht="15.75" customHeight="1" x14ac:dyDescent="0.2">
      <c r="A870" s="2"/>
      <c r="B870" s="2"/>
      <c r="C870" s="2"/>
      <c r="D870" s="2"/>
      <c r="E870" s="2"/>
      <c r="F870" s="2"/>
      <c r="G870" s="2"/>
    </row>
    <row r="871" spans="1:7" ht="15.75" customHeight="1" x14ac:dyDescent="0.2">
      <c r="A871" s="2"/>
      <c r="B871" s="2"/>
      <c r="C871" s="2"/>
      <c r="D871" s="2"/>
      <c r="E871" s="2"/>
      <c r="F871" s="2"/>
      <c r="G871" s="2"/>
    </row>
    <row r="872" spans="1:7" ht="15.75" customHeight="1" x14ac:dyDescent="0.2">
      <c r="A872" s="2"/>
      <c r="B872" s="2"/>
      <c r="C872" s="2"/>
      <c r="D872" s="2"/>
      <c r="E872" s="2"/>
      <c r="F872" s="2"/>
      <c r="G872" s="2"/>
    </row>
    <row r="873" spans="1:7" ht="15.75" customHeight="1" x14ac:dyDescent="0.2">
      <c r="A873" s="2"/>
      <c r="B873" s="2"/>
      <c r="C873" s="2"/>
      <c r="D873" s="2"/>
      <c r="E873" s="2"/>
      <c r="F873" s="2"/>
      <c r="G873" s="2"/>
    </row>
    <row r="874" spans="1:7" ht="15.75" customHeight="1" x14ac:dyDescent="0.2">
      <c r="A874" s="2"/>
      <c r="B874" s="2"/>
      <c r="C874" s="2"/>
      <c r="D874" s="2"/>
      <c r="E874" s="2"/>
      <c r="F874" s="2"/>
      <c r="G874" s="2"/>
    </row>
    <row r="875" spans="1:7" ht="15.75" customHeight="1" x14ac:dyDescent="0.2">
      <c r="A875" s="2"/>
      <c r="B875" s="2"/>
      <c r="C875" s="2"/>
      <c r="D875" s="2"/>
      <c r="E875" s="2"/>
      <c r="F875" s="2"/>
      <c r="G875" s="2"/>
    </row>
    <row r="876" spans="1:7" ht="15.75" customHeight="1" x14ac:dyDescent="0.2">
      <c r="A876" s="2"/>
      <c r="B876" s="2"/>
      <c r="C876" s="2"/>
      <c r="D876" s="2"/>
      <c r="E876" s="2"/>
      <c r="F876" s="2"/>
      <c r="G876" s="2"/>
    </row>
    <row r="877" spans="1:7" ht="15.75" customHeight="1" x14ac:dyDescent="0.2">
      <c r="A877" s="2"/>
      <c r="B877" s="2"/>
      <c r="C877" s="2"/>
      <c r="D877" s="2"/>
      <c r="E877" s="2"/>
      <c r="F877" s="2"/>
      <c r="G877" s="2"/>
    </row>
    <row r="878" spans="1:7" ht="15.75" customHeight="1" x14ac:dyDescent="0.2">
      <c r="A878" s="2"/>
      <c r="B878" s="2"/>
      <c r="C878" s="2"/>
      <c r="D878" s="2"/>
      <c r="E878" s="2"/>
      <c r="F878" s="2"/>
      <c r="G878" s="2"/>
    </row>
    <row r="879" spans="1:7" ht="15.75" customHeight="1" x14ac:dyDescent="0.2">
      <c r="A879" s="2"/>
      <c r="B879" s="2"/>
      <c r="C879" s="2"/>
      <c r="D879" s="2"/>
      <c r="E879" s="2"/>
      <c r="F879" s="2"/>
      <c r="G879" s="2"/>
    </row>
    <row r="880" spans="1:7" ht="15.75" customHeight="1" x14ac:dyDescent="0.2">
      <c r="A880" s="2"/>
      <c r="B880" s="2"/>
      <c r="C880" s="2"/>
      <c r="D880" s="2"/>
      <c r="E880" s="2"/>
      <c r="F880" s="2"/>
      <c r="G880" s="2"/>
    </row>
    <row r="881" spans="1:7" ht="15.75" customHeight="1" x14ac:dyDescent="0.2">
      <c r="A881" s="2"/>
      <c r="B881" s="2"/>
      <c r="C881" s="2"/>
      <c r="D881" s="2"/>
      <c r="E881" s="2"/>
      <c r="F881" s="2"/>
      <c r="G881" s="2"/>
    </row>
    <row r="882" spans="1:7" ht="15.75" customHeight="1" x14ac:dyDescent="0.2">
      <c r="A882" s="2"/>
      <c r="B882" s="2"/>
      <c r="C882" s="2"/>
      <c r="D882" s="2"/>
      <c r="E882" s="2"/>
      <c r="F882" s="2"/>
      <c r="G882" s="2"/>
    </row>
    <row r="883" spans="1:7" ht="15.75" customHeight="1" x14ac:dyDescent="0.2">
      <c r="A883" s="2"/>
      <c r="B883" s="2"/>
      <c r="C883" s="2"/>
      <c r="D883" s="2"/>
      <c r="E883" s="2"/>
      <c r="F883" s="2"/>
      <c r="G883" s="2"/>
    </row>
    <row r="884" spans="1:7" ht="15.75" customHeight="1" x14ac:dyDescent="0.2">
      <c r="A884" s="2"/>
      <c r="B884" s="2"/>
      <c r="C884" s="2"/>
      <c r="D884" s="2"/>
      <c r="E884" s="2"/>
      <c r="F884" s="2"/>
      <c r="G884" s="2"/>
    </row>
    <row r="885" spans="1:7" ht="15.75" customHeight="1" x14ac:dyDescent="0.2">
      <c r="A885" s="2"/>
      <c r="B885" s="2"/>
      <c r="C885" s="2"/>
      <c r="D885" s="2"/>
      <c r="E885" s="2"/>
      <c r="F885" s="2"/>
      <c r="G885" s="2"/>
    </row>
    <row r="886" spans="1:7" ht="15.75" customHeight="1" x14ac:dyDescent="0.2">
      <c r="A886" s="2"/>
      <c r="B886" s="2"/>
      <c r="C886" s="2"/>
      <c r="D886" s="2"/>
      <c r="E886" s="2"/>
      <c r="F886" s="2"/>
      <c r="G886" s="2"/>
    </row>
    <row r="887" spans="1:7" ht="15.75" customHeight="1" x14ac:dyDescent="0.2">
      <c r="A887" s="2"/>
      <c r="B887" s="2"/>
      <c r="C887" s="2"/>
      <c r="D887" s="2"/>
      <c r="E887" s="2"/>
      <c r="F887" s="2"/>
      <c r="G887" s="2"/>
    </row>
    <row r="888" spans="1:7" ht="15.75" customHeight="1" x14ac:dyDescent="0.2">
      <c r="A888" s="2"/>
      <c r="B888" s="2"/>
      <c r="C888" s="2"/>
      <c r="D888" s="2"/>
      <c r="E888" s="2"/>
      <c r="F888" s="2"/>
      <c r="G888" s="2"/>
    </row>
    <row r="889" spans="1:7" ht="15.75" customHeight="1" x14ac:dyDescent="0.2">
      <c r="A889" s="2"/>
      <c r="B889" s="2"/>
      <c r="C889" s="2"/>
      <c r="D889" s="2"/>
      <c r="E889" s="2"/>
      <c r="F889" s="2"/>
      <c r="G889" s="2"/>
    </row>
    <row r="890" spans="1:7" ht="15.75" customHeight="1" x14ac:dyDescent="0.2">
      <c r="A890" s="2"/>
      <c r="B890" s="2"/>
      <c r="C890" s="2"/>
      <c r="D890" s="2"/>
      <c r="E890" s="2"/>
      <c r="F890" s="2"/>
      <c r="G890" s="2"/>
    </row>
    <row r="891" spans="1:7" ht="15.75" customHeight="1" x14ac:dyDescent="0.2">
      <c r="A891" s="2"/>
      <c r="B891" s="2"/>
      <c r="C891" s="2"/>
      <c r="D891" s="2"/>
      <c r="E891" s="2"/>
      <c r="F891" s="2"/>
      <c r="G891" s="2"/>
    </row>
    <row r="892" spans="1:7" ht="15.75" customHeight="1" x14ac:dyDescent="0.2">
      <c r="A892" s="2"/>
      <c r="B892" s="2"/>
      <c r="C892" s="2"/>
      <c r="D892" s="2"/>
      <c r="E892" s="2"/>
      <c r="F892" s="2"/>
      <c r="G892" s="2"/>
    </row>
    <row r="893" spans="1:7" ht="15.75" customHeight="1" x14ac:dyDescent="0.2">
      <c r="A893" s="2"/>
      <c r="B893" s="2"/>
      <c r="C893" s="2"/>
      <c r="D893" s="2"/>
      <c r="E893" s="2"/>
      <c r="F893" s="2"/>
      <c r="G893" s="2"/>
    </row>
    <row r="894" spans="1:7" ht="15.75" customHeight="1" x14ac:dyDescent="0.2">
      <c r="A894" s="2"/>
      <c r="B894" s="2"/>
      <c r="C894" s="2"/>
      <c r="D894" s="2"/>
      <c r="E894" s="2"/>
      <c r="F894" s="2"/>
      <c r="G894" s="2"/>
    </row>
    <row r="895" spans="1:7" ht="15.75" customHeight="1" x14ac:dyDescent="0.2">
      <c r="A895" s="2"/>
      <c r="B895" s="2"/>
      <c r="C895" s="2"/>
      <c r="D895" s="2"/>
      <c r="E895" s="2"/>
      <c r="F895" s="2"/>
      <c r="G895" s="2"/>
    </row>
    <row r="896" spans="1:7" ht="15.75" customHeight="1" x14ac:dyDescent="0.2">
      <c r="A896" s="2"/>
      <c r="B896" s="2"/>
      <c r="C896" s="2"/>
      <c r="D896" s="2"/>
      <c r="E896" s="2"/>
      <c r="F896" s="2"/>
      <c r="G896" s="2"/>
    </row>
    <row r="897" spans="1:7" ht="15.75" customHeight="1" x14ac:dyDescent="0.2">
      <c r="A897" s="2"/>
      <c r="B897" s="2"/>
      <c r="C897" s="2"/>
      <c r="D897" s="2"/>
      <c r="E897" s="2"/>
      <c r="F897" s="2"/>
      <c r="G897" s="2"/>
    </row>
    <row r="898" spans="1:7" ht="15.75" customHeight="1" x14ac:dyDescent="0.2">
      <c r="A898" s="2"/>
      <c r="B898" s="2"/>
      <c r="C898" s="2"/>
      <c r="D898" s="2"/>
      <c r="E898" s="2"/>
      <c r="F898" s="2"/>
      <c r="G898" s="2"/>
    </row>
    <row r="899" spans="1:7" ht="15.75" customHeight="1" x14ac:dyDescent="0.2">
      <c r="A899" s="2"/>
      <c r="B899" s="2"/>
      <c r="C899" s="2"/>
      <c r="D899" s="2"/>
      <c r="E899" s="2"/>
      <c r="F899" s="2"/>
      <c r="G899" s="2"/>
    </row>
    <row r="900" spans="1:7" ht="15.75" customHeight="1" x14ac:dyDescent="0.2">
      <c r="A900" s="2"/>
      <c r="B900" s="2"/>
      <c r="C900" s="2"/>
      <c r="D900" s="2"/>
      <c r="E900" s="2"/>
      <c r="F900" s="2"/>
      <c r="G900" s="2"/>
    </row>
    <row r="901" spans="1:7" ht="15.75" customHeight="1" x14ac:dyDescent="0.2">
      <c r="A901" s="2"/>
      <c r="B901" s="2"/>
      <c r="C901" s="2"/>
      <c r="D901" s="2"/>
      <c r="E901" s="2"/>
      <c r="F901" s="2"/>
      <c r="G901" s="2"/>
    </row>
    <row r="902" spans="1:7" ht="15.75" customHeight="1" x14ac:dyDescent="0.2">
      <c r="A902" s="2"/>
      <c r="B902" s="2"/>
      <c r="C902" s="2"/>
      <c r="D902" s="2"/>
      <c r="E902" s="2"/>
      <c r="F902" s="2"/>
      <c r="G902" s="2"/>
    </row>
    <row r="903" spans="1:7" ht="15.75" customHeight="1" x14ac:dyDescent="0.2">
      <c r="A903" s="2"/>
      <c r="B903" s="2"/>
      <c r="C903" s="2"/>
      <c r="D903" s="2"/>
      <c r="E903" s="2"/>
      <c r="F903" s="2"/>
      <c r="G903" s="2"/>
    </row>
    <row r="904" spans="1:7" ht="15.75" customHeight="1" x14ac:dyDescent="0.2">
      <c r="A904" s="2"/>
      <c r="B904" s="2"/>
      <c r="C904" s="2"/>
      <c r="D904" s="2"/>
      <c r="E904" s="2"/>
      <c r="F904" s="2"/>
      <c r="G904" s="2"/>
    </row>
    <row r="905" spans="1:7" ht="15.75" customHeight="1" x14ac:dyDescent="0.2">
      <c r="A905" s="2"/>
      <c r="B905" s="2"/>
      <c r="C905" s="2"/>
      <c r="D905" s="2"/>
      <c r="E905" s="2"/>
      <c r="F905" s="2"/>
      <c r="G905" s="2"/>
    </row>
    <row r="906" spans="1:7" ht="15.75" customHeight="1" x14ac:dyDescent="0.2">
      <c r="A906" s="2"/>
      <c r="B906" s="2"/>
      <c r="C906" s="2"/>
      <c r="D906" s="2"/>
      <c r="E906" s="2"/>
      <c r="F906" s="2"/>
      <c r="G906" s="2"/>
    </row>
    <row r="907" spans="1:7" ht="15.75" customHeight="1" x14ac:dyDescent="0.2">
      <c r="A907" s="2"/>
      <c r="B907" s="2"/>
      <c r="C907" s="2"/>
      <c r="D907" s="2"/>
      <c r="E907" s="2"/>
      <c r="F907" s="2"/>
      <c r="G907" s="2"/>
    </row>
    <row r="908" spans="1:7" ht="15.75" customHeight="1" x14ac:dyDescent="0.2">
      <c r="A908" s="2"/>
      <c r="B908" s="2"/>
      <c r="C908" s="2"/>
      <c r="D908" s="2"/>
      <c r="E908" s="2"/>
      <c r="F908" s="2"/>
      <c r="G908" s="2"/>
    </row>
    <row r="909" spans="1:7" ht="15.75" customHeight="1" x14ac:dyDescent="0.2">
      <c r="A909" s="2"/>
      <c r="B909" s="2"/>
      <c r="C909" s="2"/>
      <c r="D909" s="2"/>
      <c r="E909" s="2"/>
      <c r="F909" s="2"/>
      <c r="G909" s="2"/>
    </row>
    <row r="910" spans="1:7" ht="15.75" customHeight="1" x14ac:dyDescent="0.2">
      <c r="A910" s="2"/>
      <c r="B910" s="2"/>
      <c r="C910" s="2"/>
      <c r="D910" s="2"/>
      <c r="E910" s="2"/>
      <c r="F910" s="2"/>
      <c r="G910" s="2"/>
    </row>
    <row r="911" spans="1:7" ht="15.75" customHeight="1" x14ac:dyDescent="0.2">
      <c r="A911" s="2"/>
      <c r="B911" s="2"/>
      <c r="C911" s="2"/>
      <c r="D911" s="2"/>
      <c r="E911" s="2"/>
      <c r="F911" s="2"/>
      <c r="G911" s="2"/>
    </row>
    <row r="912" spans="1:7" ht="15.75" customHeight="1" x14ac:dyDescent="0.2">
      <c r="A912" s="2"/>
      <c r="B912" s="2"/>
      <c r="C912" s="2"/>
      <c r="D912" s="2"/>
      <c r="E912" s="2"/>
      <c r="F912" s="2"/>
      <c r="G912" s="2"/>
    </row>
    <row r="913" spans="1:7" ht="15.75" customHeight="1" x14ac:dyDescent="0.2">
      <c r="A913" s="2"/>
      <c r="B913" s="2"/>
      <c r="C913" s="2"/>
      <c r="D913" s="2"/>
      <c r="E913" s="2"/>
      <c r="F913" s="2"/>
      <c r="G913" s="2"/>
    </row>
    <row r="914" spans="1:7" ht="15.75" customHeight="1" x14ac:dyDescent="0.2">
      <c r="A914" s="2"/>
      <c r="B914" s="2"/>
      <c r="C914" s="2"/>
      <c r="D914" s="2"/>
      <c r="E914" s="2"/>
      <c r="F914" s="2"/>
      <c r="G914" s="2"/>
    </row>
    <row r="915" spans="1:7" ht="15.75" customHeight="1" x14ac:dyDescent="0.2">
      <c r="A915" s="2"/>
      <c r="B915" s="2"/>
      <c r="C915" s="2"/>
      <c r="D915" s="2"/>
      <c r="E915" s="2"/>
      <c r="F915" s="2"/>
      <c r="G915" s="2"/>
    </row>
    <row r="916" spans="1:7" ht="15.75" customHeight="1" x14ac:dyDescent="0.2">
      <c r="A916" s="2"/>
      <c r="B916" s="2"/>
      <c r="C916" s="2"/>
      <c r="D916" s="2"/>
      <c r="E916" s="2"/>
      <c r="F916" s="2"/>
      <c r="G916" s="2"/>
    </row>
    <row r="917" spans="1:7" ht="15.75" customHeight="1" x14ac:dyDescent="0.2">
      <c r="A917" s="2"/>
      <c r="B917" s="2"/>
      <c r="C917" s="2"/>
      <c r="D917" s="2"/>
      <c r="E917" s="2"/>
      <c r="F917" s="2"/>
      <c r="G917" s="2"/>
    </row>
    <row r="918" spans="1:7" ht="15.75" customHeight="1" x14ac:dyDescent="0.2">
      <c r="A918" s="2"/>
      <c r="B918" s="2"/>
      <c r="C918" s="2"/>
      <c r="D918" s="2"/>
      <c r="E918" s="2"/>
      <c r="F918" s="2"/>
      <c r="G918" s="2"/>
    </row>
    <row r="919" spans="1:7" ht="15.75" customHeight="1" x14ac:dyDescent="0.2">
      <c r="A919" s="2"/>
      <c r="B919" s="2"/>
      <c r="C919" s="2"/>
      <c r="D919" s="2"/>
      <c r="E919" s="2"/>
      <c r="F919" s="2"/>
      <c r="G919" s="2"/>
    </row>
    <row r="920" spans="1:7" ht="15.75" customHeight="1" x14ac:dyDescent="0.2">
      <c r="A920" s="2"/>
      <c r="B920" s="2"/>
      <c r="C920" s="2"/>
      <c r="D920" s="2"/>
      <c r="E920" s="2"/>
      <c r="F920" s="2"/>
      <c r="G920" s="2"/>
    </row>
    <row r="921" spans="1:7" ht="15.75" customHeight="1" x14ac:dyDescent="0.2">
      <c r="A921" s="2"/>
      <c r="B921" s="2"/>
      <c r="C921" s="2"/>
      <c r="D921" s="2"/>
      <c r="E921" s="2"/>
      <c r="F921" s="2"/>
      <c r="G921" s="2"/>
    </row>
    <row r="922" spans="1:7" ht="15.75" customHeight="1" x14ac:dyDescent="0.2">
      <c r="A922" s="2"/>
      <c r="B922" s="2"/>
      <c r="C922" s="2"/>
      <c r="D922" s="2"/>
      <c r="E922" s="2"/>
      <c r="F922" s="2"/>
      <c r="G922" s="2"/>
    </row>
    <row r="923" spans="1:7" ht="15.75" customHeight="1" x14ac:dyDescent="0.2">
      <c r="A923" s="2"/>
      <c r="B923" s="2"/>
      <c r="C923" s="2"/>
      <c r="D923" s="2"/>
      <c r="E923" s="2"/>
      <c r="F923" s="2"/>
      <c r="G923" s="2"/>
    </row>
    <row r="924" spans="1:7" ht="15.75" customHeight="1" x14ac:dyDescent="0.2">
      <c r="A924" s="2"/>
      <c r="B924" s="2"/>
      <c r="C924" s="2"/>
      <c r="D924" s="2"/>
      <c r="E924" s="2"/>
      <c r="F924" s="2"/>
      <c r="G924" s="2"/>
    </row>
    <row r="925" spans="1:7" ht="15.75" customHeight="1" x14ac:dyDescent="0.2">
      <c r="A925" s="2"/>
      <c r="B925" s="2"/>
      <c r="C925" s="2"/>
      <c r="D925" s="2"/>
      <c r="E925" s="2"/>
      <c r="F925" s="2"/>
      <c r="G925" s="2"/>
    </row>
    <row r="926" spans="1:7" ht="15.75" customHeight="1" x14ac:dyDescent="0.2">
      <c r="A926" s="2"/>
      <c r="B926" s="2"/>
      <c r="C926" s="2"/>
      <c r="D926" s="2"/>
      <c r="E926" s="2"/>
      <c r="F926" s="2"/>
      <c r="G926" s="2"/>
    </row>
    <row r="927" spans="1:7" ht="15.75" customHeight="1" x14ac:dyDescent="0.2">
      <c r="A927" s="2"/>
      <c r="B927" s="2"/>
      <c r="C927" s="2"/>
      <c r="D927" s="2"/>
      <c r="E927" s="2"/>
      <c r="F927" s="2"/>
      <c r="G927" s="2"/>
    </row>
    <row r="928" spans="1:7" ht="15.75" customHeight="1" x14ac:dyDescent="0.2">
      <c r="A928" s="2"/>
      <c r="B928" s="2"/>
      <c r="C928" s="2"/>
      <c r="D928" s="2"/>
      <c r="E928" s="2"/>
      <c r="F928" s="2"/>
      <c r="G928" s="2"/>
    </row>
    <row r="929" spans="1:7" ht="15.75" customHeight="1" x14ac:dyDescent="0.2">
      <c r="A929" s="2"/>
      <c r="B929" s="2"/>
      <c r="C929" s="2"/>
      <c r="D929" s="2"/>
      <c r="E929" s="2"/>
      <c r="F929" s="2"/>
      <c r="G929" s="2"/>
    </row>
    <row r="930" spans="1:7" ht="15.75" customHeight="1" x14ac:dyDescent="0.2">
      <c r="A930" s="2"/>
      <c r="B930" s="2"/>
      <c r="C930" s="2"/>
      <c r="D930" s="2"/>
      <c r="E930" s="2"/>
      <c r="F930" s="2"/>
      <c r="G930" s="2"/>
    </row>
    <row r="931" spans="1:7" ht="15.75" customHeight="1" x14ac:dyDescent="0.2">
      <c r="A931" s="2"/>
      <c r="B931" s="2"/>
      <c r="C931" s="2"/>
      <c r="D931" s="2"/>
      <c r="E931" s="2"/>
      <c r="F931" s="2"/>
      <c r="G931" s="2"/>
    </row>
    <row r="932" spans="1:7" ht="15.75" customHeight="1" x14ac:dyDescent="0.2">
      <c r="A932" s="2"/>
      <c r="B932" s="2"/>
      <c r="C932" s="2"/>
      <c r="D932" s="2"/>
      <c r="E932" s="2"/>
      <c r="F932" s="2"/>
      <c r="G932" s="2"/>
    </row>
    <row r="933" spans="1:7" ht="15.75" customHeight="1" x14ac:dyDescent="0.2">
      <c r="A933" s="2"/>
      <c r="B933" s="2"/>
      <c r="C933" s="2"/>
      <c r="D933" s="2"/>
      <c r="E933" s="2"/>
      <c r="F933" s="2"/>
      <c r="G933" s="2"/>
    </row>
    <row r="934" spans="1:7" ht="15.75" customHeight="1" x14ac:dyDescent="0.2">
      <c r="A934" s="2"/>
      <c r="B934" s="2"/>
      <c r="C934" s="2"/>
      <c r="D934" s="2"/>
      <c r="E934" s="2"/>
      <c r="F934" s="2"/>
      <c r="G934" s="2"/>
    </row>
    <row r="935" spans="1:7" ht="15.75" customHeight="1" x14ac:dyDescent="0.2">
      <c r="A935" s="2"/>
      <c r="B935" s="2"/>
      <c r="C935" s="2"/>
      <c r="D935" s="2"/>
      <c r="E935" s="2"/>
      <c r="F935" s="2"/>
      <c r="G935" s="2"/>
    </row>
    <row r="936" spans="1:7" ht="15.75" customHeight="1" x14ac:dyDescent="0.2">
      <c r="A936" s="2"/>
      <c r="B936" s="2"/>
      <c r="C936" s="2"/>
      <c r="D936" s="2"/>
      <c r="E936" s="2"/>
      <c r="F936" s="2"/>
      <c r="G936" s="2"/>
    </row>
    <row r="937" spans="1:7" ht="15.75" customHeight="1" x14ac:dyDescent="0.2">
      <c r="A937" s="2"/>
      <c r="B937" s="2"/>
      <c r="C937" s="2"/>
      <c r="D937" s="2"/>
      <c r="E937" s="2"/>
      <c r="F937" s="2"/>
      <c r="G937" s="2"/>
    </row>
    <row r="938" spans="1:7" ht="15.75" customHeight="1" x14ac:dyDescent="0.2">
      <c r="A938" s="2"/>
      <c r="B938" s="2"/>
      <c r="C938" s="2"/>
      <c r="D938" s="2"/>
      <c r="E938" s="2"/>
      <c r="F938" s="2"/>
      <c r="G938" s="2"/>
    </row>
    <row r="939" spans="1:7" ht="15.75" customHeight="1" x14ac:dyDescent="0.2">
      <c r="A939" s="2"/>
      <c r="B939" s="2"/>
      <c r="C939" s="2"/>
      <c r="D939" s="2"/>
      <c r="E939" s="2"/>
      <c r="F939" s="2"/>
      <c r="G939" s="2"/>
    </row>
    <row r="940" spans="1:7" ht="15.75" customHeight="1" x14ac:dyDescent="0.2">
      <c r="A940" s="2"/>
      <c r="B940" s="2"/>
      <c r="C940" s="2"/>
      <c r="D940" s="2"/>
      <c r="E940" s="2"/>
      <c r="F940" s="2"/>
      <c r="G940" s="2"/>
    </row>
    <row r="941" spans="1:7" ht="15.75" customHeight="1" x14ac:dyDescent="0.2">
      <c r="A941" s="2"/>
      <c r="B941" s="2"/>
      <c r="C941" s="2"/>
      <c r="D941" s="2"/>
      <c r="E941" s="2"/>
      <c r="F941" s="2"/>
      <c r="G941" s="2"/>
    </row>
    <row r="942" spans="1:7" ht="15.75" customHeight="1" x14ac:dyDescent="0.2">
      <c r="A942" s="2"/>
      <c r="B942" s="2"/>
      <c r="C942" s="2"/>
      <c r="D942" s="2"/>
      <c r="E942" s="2"/>
      <c r="F942" s="2"/>
      <c r="G942" s="2"/>
    </row>
    <row r="943" spans="1:7" ht="15.75" customHeight="1" x14ac:dyDescent="0.2">
      <c r="A943" s="2"/>
      <c r="B943" s="2"/>
      <c r="C943" s="2"/>
      <c r="D943" s="2"/>
      <c r="E943" s="2"/>
      <c r="F943" s="2"/>
      <c r="G943" s="2"/>
    </row>
    <row r="944" spans="1:7" ht="15.75" customHeight="1" x14ac:dyDescent="0.2">
      <c r="A944" s="2"/>
      <c r="B944" s="2"/>
      <c r="C944" s="2"/>
      <c r="D944" s="2"/>
      <c r="E944" s="2"/>
      <c r="F944" s="2"/>
      <c r="G944" s="2"/>
    </row>
    <row r="945" spans="1:7" ht="15.75" customHeight="1" x14ac:dyDescent="0.2">
      <c r="A945" s="2"/>
      <c r="B945" s="2"/>
      <c r="C945" s="2"/>
      <c r="D945" s="2"/>
      <c r="E945" s="2"/>
      <c r="F945" s="2"/>
      <c r="G945" s="2"/>
    </row>
    <row r="946" spans="1:7" ht="15.75" customHeight="1" x14ac:dyDescent="0.2">
      <c r="A946" s="2"/>
      <c r="B946" s="2"/>
      <c r="C946" s="2"/>
      <c r="D946" s="2"/>
      <c r="E946" s="2"/>
      <c r="F946" s="2"/>
      <c r="G946" s="2"/>
    </row>
    <row r="947" spans="1:7" ht="15.75" customHeight="1" x14ac:dyDescent="0.2">
      <c r="A947" s="2"/>
      <c r="B947" s="2"/>
      <c r="C947" s="2"/>
      <c r="D947" s="2"/>
      <c r="E947" s="2"/>
      <c r="F947" s="2"/>
      <c r="G947" s="2"/>
    </row>
    <row r="948" spans="1:7" ht="15.75" customHeight="1" x14ac:dyDescent="0.2">
      <c r="A948" s="2"/>
      <c r="B948" s="2"/>
      <c r="C948" s="2"/>
      <c r="D948" s="2"/>
      <c r="E948" s="2"/>
      <c r="F948" s="2"/>
      <c r="G948" s="2"/>
    </row>
    <row r="949" spans="1:7" ht="15.75" customHeight="1" x14ac:dyDescent="0.2">
      <c r="A949" s="2"/>
      <c r="B949" s="2"/>
      <c r="C949" s="2"/>
      <c r="D949" s="2"/>
      <c r="E949" s="2"/>
      <c r="F949" s="2"/>
      <c r="G949" s="2"/>
    </row>
    <row r="950" spans="1:7" ht="15.75" customHeight="1" x14ac:dyDescent="0.2">
      <c r="A950" s="2"/>
      <c r="B950" s="2"/>
      <c r="C950" s="2"/>
      <c r="D950" s="2"/>
      <c r="E950" s="2"/>
      <c r="F950" s="2"/>
      <c r="G950" s="2"/>
    </row>
    <row r="951" spans="1:7" ht="15.75" customHeight="1" x14ac:dyDescent="0.2">
      <c r="A951" s="2"/>
      <c r="B951" s="2"/>
      <c r="C951" s="2"/>
      <c r="D951" s="2"/>
      <c r="E951" s="2"/>
      <c r="F951" s="2"/>
      <c r="G951" s="2"/>
    </row>
    <row r="952" spans="1:7" ht="15.75" customHeight="1" x14ac:dyDescent="0.2">
      <c r="A952" s="2"/>
      <c r="B952" s="2"/>
      <c r="C952" s="2"/>
      <c r="D952" s="2"/>
      <c r="E952" s="2"/>
      <c r="F952" s="2"/>
      <c r="G952" s="2"/>
    </row>
    <row r="953" spans="1:7" ht="15.75" customHeight="1" x14ac:dyDescent="0.2">
      <c r="A953" s="2"/>
      <c r="B953" s="2"/>
      <c r="C953" s="2"/>
      <c r="D953" s="2"/>
      <c r="E953" s="2"/>
      <c r="F953" s="2"/>
      <c r="G953" s="2"/>
    </row>
    <row r="954" spans="1:7" ht="15.75" customHeight="1" x14ac:dyDescent="0.2">
      <c r="A954" s="2"/>
      <c r="B954" s="2"/>
      <c r="C954" s="2"/>
      <c r="D954" s="2"/>
      <c r="E954" s="2"/>
      <c r="F954" s="2"/>
      <c r="G954" s="2"/>
    </row>
    <row r="955" spans="1:7" ht="15.75" customHeight="1" x14ac:dyDescent="0.2">
      <c r="A955" s="2"/>
      <c r="B955" s="2"/>
      <c r="C955" s="2"/>
      <c r="D955" s="2"/>
      <c r="E955" s="2"/>
      <c r="F955" s="2"/>
      <c r="G955" s="2"/>
    </row>
    <row r="956" spans="1:7" ht="15.75" customHeight="1" x14ac:dyDescent="0.2">
      <c r="A956" s="2"/>
      <c r="B956" s="2"/>
      <c r="C956" s="2"/>
      <c r="D956" s="2"/>
      <c r="E956" s="2"/>
      <c r="F956" s="2"/>
      <c r="G956" s="2"/>
    </row>
    <row r="957" spans="1:7" ht="15.75" customHeight="1" x14ac:dyDescent="0.2">
      <c r="A957" s="2"/>
      <c r="B957" s="2"/>
      <c r="C957" s="2"/>
      <c r="D957" s="2"/>
      <c r="E957" s="2"/>
      <c r="F957" s="2"/>
      <c r="G957" s="2"/>
    </row>
    <row r="958" spans="1:7" ht="15.75" customHeight="1" x14ac:dyDescent="0.2">
      <c r="A958" s="2"/>
      <c r="B958" s="2"/>
      <c r="C958" s="2"/>
      <c r="D958" s="2"/>
      <c r="E958" s="2"/>
      <c r="F958" s="2"/>
      <c r="G958" s="2"/>
    </row>
    <row r="959" spans="1:7" ht="15.75" customHeight="1" x14ac:dyDescent="0.2">
      <c r="A959" s="2"/>
      <c r="B959" s="2"/>
      <c r="C959" s="2"/>
      <c r="D959" s="2"/>
      <c r="E959" s="2"/>
      <c r="F959" s="2"/>
      <c r="G959" s="2"/>
    </row>
    <row r="960" spans="1:7" ht="15.75" customHeight="1" x14ac:dyDescent="0.2">
      <c r="A960" s="2"/>
      <c r="B960" s="2"/>
      <c r="C960" s="2"/>
      <c r="D960" s="2"/>
      <c r="E960" s="2"/>
      <c r="F960" s="2"/>
      <c r="G960" s="2"/>
    </row>
    <row r="961" spans="1:7" ht="15.75" customHeight="1" x14ac:dyDescent="0.2">
      <c r="A961" s="2"/>
      <c r="B961" s="2"/>
      <c r="C961" s="2"/>
      <c r="D961" s="2"/>
      <c r="E961" s="2"/>
      <c r="F961" s="2"/>
      <c r="G961" s="2"/>
    </row>
    <row r="962" spans="1:7" ht="15.75" customHeight="1" x14ac:dyDescent="0.2">
      <c r="A962" s="2"/>
      <c r="B962" s="2"/>
      <c r="C962" s="2"/>
      <c r="D962" s="2"/>
      <c r="E962" s="2"/>
      <c r="F962" s="2"/>
      <c r="G962" s="2"/>
    </row>
    <row r="963" spans="1:7" ht="15.75" customHeight="1" x14ac:dyDescent="0.2">
      <c r="A963" s="2"/>
      <c r="B963" s="2"/>
      <c r="C963" s="2"/>
      <c r="D963" s="2"/>
      <c r="E963" s="2"/>
      <c r="F963" s="2"/>
      <c r="G963" s="2"/>
    </row>
    <row r="964" spans="1:7" ht="15.75" customHeight="1" x14ac:dyDescent="0.2">
      <c r="A964" s="2"/>
      <c r="B964" s="2"/>
      <c r="C964" s="2"/>
      <c r="D964" s="2"/>
      <c r="E964" s="2"/>
      <c r="F964" s="2"/>
      <c r="G964" s="2"/>
    </row>
    <row r="965" spans="1:7" ht="15.75" customHeight="1" x14ac:dyDescent="0.2">
      <c r="A965" s="2"/>
      <c r="B965" s="2"/>
      <c r="C965" s="2"/>
      <c r="D965" s="2"/>
      <c r="E965" s="2"/>
      <c r="F965" s="2"/>
      <c r="G965" s="2"/>
    </row>
    <row r="966" spans="1:7" ht="15.75" customHeight="1" x14ac:dyDescent="0.2">
      <c r="A966" s="2"/>
      <c r="B966" s="2"/>
      <c r="C966" s="2"/>
      <c r="D966" s="2"/>
      <c r="E966" s="2"/>
      <c r="F966" s="2"/>
      <c r="G966" s="2"/>
    </row>
    <row r="967" spans="1:7" ht="15.75" customHeight="1" x14ac:dyDescent="0.2">
      <c r="A967" s="2"/>
      <c r="B967" s="2"/>
      <c r="C967" s="2"/>
      <c r="D967" s="2"/>
      <c r="E967" s="2"/>
      <c r="F967" s="2"/>
      <c r="G967" s="2"/>
    </row>
    <row r="968" spans="1:7" ht="15.75" customHeight="1" x14ac:dyDescent="0.2">
      <c r="A968" s="2"/>
      <c r="B968" s="2"/>
      <c r="C968" s="2"/>
      <c r="D968" s="2"/>
      <c r="E968" s="2"/>
      <c r="F968" s="2"/>
      <c r="G968" s="2"/>
    </row>
    <row r="969" spans="1:7" ht="15.75" customHeight="1" x14ac:dyDescent="0.2">
      <c r="A969" s="2"/>
      <c r="B969" s="2"/>
      <c r="C969" s="2"/>
      <c r="D969" s="2"/>
      <c r="E969" s="2"/>
      <c r="F969" s="2"/>
      <c r="G969" s="2"/>
    </row>
    <row r="970" spans="1:7" ht="15.75" customHeight="1" x14ac:dyDescent="0.2">
      <c r="A970" s="2"/>
      <c r="B970" s="2"/>
      <c r="C970" s="2"/>
      <c r="D970" s="2"/>
      <c r="E970" s="2"/>
      <c r="F970" s="2"/>
      <c r="G970" s="2"/>
    </row>
    <row r="971" spans="1:7" ht="15.75" customHeight="1" x14ac:dyDescent="0.2">
      <c r="A971" s="2"/>
      <c r="B971" s="2"/>
      <c r="C971" s="2"/>
      <c r="D971" s="2"/>
      <c r="E971" s="2"/>
      <c r="F971" s="2"/>
      <c r="G971" s="2"/>
    </row>
    <row r="972" spans="1:7" ht="15.75" customHeight="1" x14ac:dyDescent="0.2">
      <c r="A972" s="2"/>
      <c r="B972" s="2"/>
      <c r="C972" s="2"/>
      <c r="D972" s="2"/>
      <c r="E972" s="2"/>
      <c r="F972" s="2"/>
      <c r="G972" s="2"/>
    </row>
    <row r="973" spans="1:7" ht="15.75" customHeight="1" x14ac:dyDescent="0.2">
      <c r="A973" s="2"/>
      <c r="B973" s="2"/>
      <c r="C973" s="2"/>
      <c r="D973" s="2"/>
      <c r="E973" s="2"/>
      <c r="F973" s="2"/>
      <c r="G973" s="2"/>
    </row>
    <row r="974" spans="1:7" ht="15.75" customHeight="1" x14ac:dyDescent="0.2">
      <c r="A974" s="2"/>
      <c r="B974" s="2"/>
      <c r="C974" s="2"/>
      <c r="D974" s="2"/>
      <c r="E974" s="2"/>
      <c r="F974" s="2"/>
      <c r="G974" s="2"/>
    </row>
    <row r="975" spans="1:7" ht="15.75" customHeight="1" x14ac:dyDescent="0.2">
      <c r="A975" s="2"/>
      <c r="B975" s="2"/>
      <c r="C975" s="2"/>
      <c r="D975" s="2"/>
      <c r="E975" s="2"/>
      <c r="F975" s="2"/>
      <c r="G975" s="2"/>
    </row>
    <row r="976" spans="1:7" ht="15.75" customHeight="1" x14ac:dyDescent="0.2">
      <c r="A976" s="2"/>
      <c r="B976" s="2"/>
      <c r="C976" s="2"/>
      <c r="D976" s="2"/>
      <c r="E976" s="2"/>
      <c r="F976" s="2"/>
      <c r="G976" s="2"/>
    </row>
    <row r="977" spans="1:7" ht="15.75" customHeight="1" x14ac:dyDescent="0.2">
      <c r="A977" s="2"/>
      <c r="B977" s="2"/>
      <c r="C977" s="2"/>
      <c r="D977" s="2"/>
      <c r="E977" s="2"/>
      <c r="F977" s="2"/>
      <c r="G977" s="2"/>
    </row>
    <row r="978" spans="1:7" ht="15.75" customHeight="1" x14ac:dyDescent="0.2">
      <c r="A978" s="2"/>
      <c r="B978" s="2"/>
      <c r="C978" s="2"/>
      <c r="D978" s="2"/>
      <c r="E978" s="2"/>
      <c r="F978" s="2"/>
      <c r="G978" s="2"/>
    </row>
    <row r="979" spans="1:7" ht="15.75" customHeight="1" x14ac:dyDescent="0.2">
      <c r="A979" s="2"/>
      <c r="B979" s="2"/>
      <c r="C979" s="2"/>
      <c r="D979" s="2"/>
      <c r="E979" s="2"/>
      <c r="F979" s="2"/>
      <c r="G979" s="2"/>
    </row>
    <row r="980" spans="1:7" ht="15.75" customHeight="1" x14ac:dyDescent="0.2">
      <c r="A980" s="2"/>
      <c r="B980" s="2"/>
      <c r="C980" s="2"/>
      <c r="D980" s="2"/>
      <c r="E980" s="2"/>
      <c r="F980" s="2"/>
      <c r="G980" s="2"/>
    </row>
    <row r="981" spans="1:7" ht="15.75" customHeight="1" x14ac:dyDescent="0.2">
      <c r="A981" s="2"/>
      <c r="B981" s="2"/>
      <c r="C981" s="2"/>
      <c r="D981" s="2"/>
      <c r="E981" s="2"/>
      <c r="F981" s="2"/>
      <c r="G981" s="2"/>
    </row>
    <row r="982" spans="1:7" ht="15.75" customHeight="1" x14ac:dyDescent="0.2">
      <c r="A982" s="2"/>
      <c r="B982" s="2"/>
      <c r="C982" s="2"/>
      <c r="D982" s="2"/>
      <c r="E982" s="2"/>
      <c r="F982" s="2"/>
      <c r="G982" s="2"/>
    </row>
    <row r="983" spans="1:7" ht="15.75" customHeight="1" x14ac:dyDescent="0.2">
      <c r="A983" s="2"/>
      <c r="B983" s="2"/>
      <c r="C983" s="2"/>
      <c r="D983" s="2"/>
      <c r="E983" s="2"/>
      <c r="F983" s="2"/>
      <c r="G983" s="2"/>
    </row>
    <row r="984" spans="1:7" ht="15.75" customHeight="1" x14ac:dyDescent="0.2">
      <c r="A984" s="2"/>
      <c r="B984" s="2"/>
      <c r="C984" s="2"/>
      <c r="D984" s="2"/>
      <c r="E984" s="2"/>
      <c r="F984" s="2"/>
      <c r="G984" s="2"/>
    </row>
    <row r="985" spans="1:7" ht="15.75" customHeight="1" x14ac:dyDescent="0.2">
      <c r="A985" s="2"/>
      <c r="B985" s="2"/>
      <c r="C985" s="2"/>
      <c r="D985" s="2"/>
      <c r="E985" s="2"/>
      <c r="F985" s="2"/>
      <c r="G985" s="2"/>
    </row>
    <row r="986" spans="1:7" ht="15.75" customHeight="1" x14ac:dyDescent="0.2">
      <c r="A986" s="2"/>
      <c r="B986" s="2"/>
      <c r="C986" s="2"/>
      <c r="D986" s="2"/>
      <c r="E986" s="2"/>
      <c r="F986" s="2"/>
      <c r="G986" s="2"/>
    </row>
    <row r="987" spans="1:7" ht="15.75" customHeight="1" x14ac:dyDescent="0.2">
      <c r="A987" s="2"/>
      <c r="B987" s="2"/>
      <c r="C987" s="2"/>
      <c r="D987" s="2"/>
      <c r="E987" s="2"/>
      <c r="F987" s="2"/>
      <c r="G987" s="2"/>
    </row>
    <row r="988" spans="1:7" ht="15.75" customHeight="1" x14ac:dyDescent="0.2">
      <c r="A988" s="2"/>
      <c r="B988" s="2"/>
      <c r="C988" s="2"/>
      <c r="D988" s="2"/>
      <c r="E988" s="2"/>
      <c r="F988" s="2"/>
      <c r="G988" s="2"/>
    </row>
    <row r="989" spans="1:7" ht="15.75" customHeight="1" x14ac:dyDescent="0.2">
      <c r="A989" s="2"/>
      <c r="B989" s="2"/>
      <c r="C989" s="2"/>
      <c r="D989" s="2"/>
      <c r="E989" s="2"/>
      <c r="F989" s="2"/>
      <c r="G989" s="2"/>
    </row>
    <row r="990" spans="1:7" ht="15.75" customHeight="1" x14ac:dyDescent="0.2">
      <c r="A990" s="2"/>
      <c r="B990" s="2"/>
      <c r="C990" s="2"/>
      <c r="D990" s="2"/>
      <c r="E990" s="2"/>
      <c r="F990" s="2"/>
      <c r="G990" s="2"/>
    </row>
    <row r="991" spans="1:7" ht="15.75" customHeight="1" x14ac:dyDescent="0.2">
      <c r="A991" s="2"/>
      <c r="B991" s="2"/>
      <c r="C991" s="2"/>
      <c r="D991" s="2"/>
      <c r="E991" s="2"/>
      <c r="F991" s="2"/>
      <c r="G991" s="2"/>
    </row>
    <row r="992" spans="1:7" ht="15.75" customHeight="1" x14ac:dyDescent="0.2">
      <c r="A992" s="2"/>
      <c r="B992" s="2"/>
      <c r="C992" s="2"/>
      <c r="D992" s="2"/>
      <c r="E992" s="2"/>
      <c r="F992" s="2"/>
      <c r="G992" s="2"/>
    </row>
    <row r="993" spans="1:7" ht="15.75" customHeight="1" x14ac:dyDescent="0.2">
      <c r="A993" s="2"/>
      <c r="B993" s="2"/>
      <c r="C993" s="2"/>
      <c r="D993" s="2"/>
      <c r="E993" s="2"/>
      <c r="F993" s="2"/>
      <c r="G993" s="2"/>
    </row>
    <row r="994" spans="1:7" ht="15.75" customHeight="1" x14ac:dyDescent="0.2">
      <c r="A994" s="2"/>
      <c r="B994" s="2"/>
      <c r="C994" s="2"/>
      <c r="D994" s="2"/>
      <c r="E994" s="2"/>
      <c r="F994" s="2"/>
      <c r="G994" s="2"/>
    </row>
    <row r="995" spans="1:7" ht="15.75" customHeight="1" x14ac:dyDescent="0.2">
      <c r="A995" s="2"/>
      <c r="B995" s="2"/>
      <c r="C995" s="2"/>
      <c r="D995" s="2"/>
      <c r="E995" s="2"/>
      <c r="F995" s="2"/>
      <c r="G995" s="2"/>
    </row>
    <row r="996" spans="1:7" ht="15.75" customHeight="1" x14ac:dyDescent="0.2">
      <c r="A996" s="2"/>
      <c r="B996" s="2"/>
      <c r="C996" s="2"/>
      <c r="D996" s="2"/>
      <c r="E996" s="2"/>
      <c r="F996" s="2"/>
      <c r="G996" s="2"/>
    </row>
    <row r="997" spans="1:7" ht="15.75" customHeight="1" x14ac:dyDescent="0.2">
      <c r="A997" s="2"/>
      <c r="B997" s="2"/>
      <c r="C997" s="2"/>
      <c r="D997" s="2"/>
      <c r="E997" s="2"/>
      <c r="F997" s="2"/>
      <c r="G997" s="2"/>
    </row>
    <row r="998" spans="1:7" ht="15.75" customHeight="1" x14ac:dyDescent="0.2">
      <c r="A998" s="2"/>
      <c r="B998" s="2"/>
      <c r="C998" s="2"/>
      <c r="D998" s="2"/>
      <c r="E998" s="2"/>
      <c r="F998" s="2"/>
      <c r="G998" s="2"/>
    </row>
    <row r="999" spans="1:7" ht="15.75" customHeight="1" x14ac:dyDescent="0.2">
      <c r="A999" s="2"/>
      <c r="B999" s="2"/>
      <c r="C999" s="2"/>
      <c r="D999" s="2"/>
      <c r="E999" s="2"/>
      <c r="F999" s="2"/>
      <c r="G999" s="2"/>
    </row>
    <row r="1000" spans="1:7" ht="15.75" customHeight="1" x14ac:dyDescent="0.2">
      <c r="A1000" s="2"/>
      <c r="B1000" s="2"/>
      <c r="C1000" s="2"/>
      <c r="D1000" s="2"/>
      <c r="E1000" s="2"/>
      <c r="F1000" s="2"/>
      <c r="G1000" s="2"/>
    </row>
  </sheetData>
  <mergeCells count="1">
    <mergeCell ref="A1:G1"/>
  </mergeCell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BF2A6-1E62-40E8-896F-781CA1DFE642}">
  <dimension ref="A1:Z1000"/>
  <sheetViews>
    <sheetView workbookViewId="0">
      <selection sqref="A1:G1"/>
    </sheetView>
  </sheetViews>
  <sheetFormatPr baseColWidth="10" defaultColWidth="8.7109375" defaultRowHeight="16" x14ac:dyDescent="0.2"/>
  <cols>
    <col min="1" max="6" width="10.7109375" style="33" customWidth="1"/>
    <col min="7" max="7" width="19.28515625" style="33" customWidth="1"/>
    <col min="8" max="8" width="10.5703125" style="33" customWidth="1"/>
    <col min="9" max="9" width="41.7109375" style="33" customWidth="1"/>
    <col min="10" max="10" width="10.5703125" style="33" customWidth="1"/>
  </cols>
  <sheetData>
    <row r="1" spans="1:26" ht="32" customHeight="1" x14ac:dyDescent="0.2">
      <c r="A1" s="56" t="s">
        <v>5247</v>
      </c>
      <c r="B1" s="55"/>
      <c r="C1" s="55"/>
      <c r="D1" s="55"/>
      <c r="E1" s="55"/>
      <c r="F1" s="55"/>
      <c r="G1" s="55"/>
    </row>
    <row r="2" spans="1:26" x14ac:dyDescent="0.2">
      <c r="A2" s="2" t="s">
        <v>0</v>
      </c>
      <c r="B2" s="2" t="s">
        <v>1</v>
      </c>
      <c r="C2" s="2" t="s">
        <v>2</v>
      </c>
      <c r="D2" s="2" t="s">
        <v>3</v>
      </c>
      <c r="E2" s="2" t="s">
        <v>4</v>
      </c>
      <c r="F2" s="2" t="s">
        <v>5</v>
      </c>
      <c r="G2" s="2" t="s">
        <v>6</v>
      </c>
      <c r="H2" s="7" t="s">
        <v>7</v>
      </c>
      <c r="I2" s="7" t="s">
        <v>8</v>
      </c>
      <c r="J2" s="36" t="s">
        <v>3155</v>
      </c>
    </row>
    <row r="3" spans="1:26" x14ac:dyDescent="0.2">
      <c r="A3" s="2" t="s">
        <v>163</v>
      </c>
      <c r="B3" s="2">
        <v>127.31891797110799</v>
      </c>
      <c r="C3" s="2">
        <v>-2.6466205437003101</v>
      </c>
      <c r="D3" s="2">
        <v>0.31571970364299501</v>
      </c>
      <c r="E3" s="2">
        <v>-8.3828171417930104</v>
      </c>
      <c r="F3" s="10">
        <v>5.1675723686261101E-17</v>
      </c>
      <c r="G3" s="10">
        <v>4.9083324881333701E-13</v>
      </c>
      <c r="H3" s="11" t="s">
        <v>168</v>
      </c>
      <c r="I3" s="11" t="s">
        <v>170</v>
      </c>
      <c r="J3" s="33" t="s">
        <v>10</v>
      </c>
      <c r="S3" s="35" t="s">
        <v>3179</v>
      </c>
      <c r="T3" s="35" t="s">
        <v>3340</v>
      </c>
      <c r="V3" s="35" t="s">
        <v>3179</v>
      </c>
      <c r="W3" s="35" t="s">
        <v>3294</v>
      </c>
      <c r="Y3" s="35" t="s">
        <v>3179</v>
      </c>
      <c r="Z3" s="35" t="s">
        <v>3295</v>
      </c>
    </row>
    <row r="4" spans="1:26" x14ac:dyDescent="0.2">
      <c r="A4" s="2" t="s">
        <v>94</v>
      </c>
      <c r="B4" s="2">
        <v>65.500199824790698</v>
      </c>
      <c r="C4" s="2">
        <v>-3.7640987952776999</v>
      </c>
      <c r="D4" s="2">
        <v>0.48227976770110098</v>
      </c>
      <c r="E4" s="2">
        <v>-7.8048034509516304</v>
      </c>
      <c r="F4" s="10">
        <v>5.95943482083783E-15</v>
      </c>
      <c r="G4" s="10">
        <v>3.4876628224169202E-11</v>
      </c>
      <c r="H4" s="11" t="s">
        <v>96</v>
      </c>
      <c r="I4" s="11" t="s">
        <v>97</v>
      </c>
      <c r="J4" s="33" t="s">
        <v>10</v>
      </c>
      <c r="K4" s="33"/>
      <c r="L4" s="33"/>
      <c r="S4" s="35" t="s">
        <v>3194</v>
      </c>
      <c r="T4" s="35" t="s">
        <v>3341</v>
      </c>
      <c r="V4" s="35" t="s">
        <v>3194</v>
      </c>
      <c r="W4" s="35" t="s">
        <v>3293</v>
      </c>
      <c r="Y4" s="35" t="s">
        <v>3194</v>
      </c>
      <c r="Z4" s="35" t="s">
        <v>3296</v>
      </c>
    </row>
    <row r="5" spans="1:26" x14ac:dyDescent="0.2">
      <c r="A5" s="2" t="s">
        <v>255</v>
      </c>
      <c r="B5" s="2">
        <v>184.39497298191799</v>
      </c>
      <c r="C5" s="2">
        <v>-2.1467490797168498</v>
      </c>
      <c r="D5" s="2">
        <v>0.27766063497257498</v>
      </c>
      <c r="E5" s="2">
        <v>-7.7315571936543703</v>
      </c>
      <c r="F5" s="10">
        <v>1.06238926428773E-14</v>
      </c>
      <c r="G5" s="10">
        <v>5.0454636809798102E-11</v>
      </c>
      <c r="H5" s="11" t="s">
        <v>10</v>
      </c>
      <c r="I5" s="11" t="s">
        <v>10</v>
      </c>
      <c r="J5" s="33" t="s">
        <v>10</v>
      </c>
      <c r="K5" s="33"/>
      <c r="L5" s="33"/>
      <c r="S5" s="35" t="s">
        <v>943</v>
      </c>
      <c r="T5" s="35" t="s">
        <v>3342</v>
      </c>
      <c r="V5" s="35" t="s">
        <v>943</v>
      </c>
      <c r="W5" s="35" t="s">
        <v>950</v>
      </c>
      <c r="Y5" s="35" t="s">
        <v>943</v>
      </c>
      <c r="Z5" s="35" t="s">
        <v>3297</v>
      </c>
    </row>
    <row r="6" spans="1:26" x14ac:dyDescent="0.2">
      <c r="A6" s="2" t="s">
        <v>85</v>
      </c>
      <c r="B6" s="2">
        <v>93.407768195246106</v>
      </c>
      <c r="C6" s="2">
        <v>-6.7642649876396703</v>
      </c>
      <c r="D6" s="2">
        <v>0.89161605607902406</v>
      </c>
      <c r="E6" s="2">
        <v>-7.5865221824136304</v>
      </c>
      <c r="F6" s="10">
        <v>3.2860611601297501E-14</v>
      </c>
      <c r="G6" s="10">
        <v>1.3376616108270999E-10</v>
      </c>
      <c r="H6" s="11" t="s">
        <v>10</v>
      </c>
      <c r="I6" s="11" t="s">
        <v>10</v>
      </c>
      <c r="J6" s="33" t="s">
        <v>10</v>
      </c>
      <c r="K6" s="33"/>
      <c r="L6" s="33"/>
      <c r="S6" s="35" t="s">
        <v>936</v>
      </c>
      <c r="T6" s="35"/>
      <c r="V6" s="35" t="s">
        <v>936</v>
      </c>
      <c r="W6" s="35" t="s">
        <v>236</v>
      </c>
      <c r="Y6" s="35" t="s">
        <v>936</v>
      </c>
      <c r="Z6" s="35" t="s">
        <v>238</v>
      </c>
    </row>
    <row r="7" spans="1:26" x14ac:dyDescent="0.2">
      <c r="A7" s="2" t="s">
        <v>116</v>
      </c>
      <c r="B7" s="2">
        <v>70.737752167397005</v>
      </c>
      <c r="C7" s="2">
        <v>-2.8462987537002702</v>
      </c>
      <c r="D7" s="2">
        <v>0.40867228907594799</v>
      </c>
      <c r="E7" s="2">
        <v>-6.9647461542745104</v>
      </c>
      <c r="F7" s="10">
        <v>3.2899642398616401E-12</v>
      </c>
      <c r="G7" s="10">
        <v>8.92833628712928E-9</v>
      </c>
      <c r="H7" s="11" t="s">
        <v>122</v>
      </c>
      <c r="I7" s="11" t="s">
        <v>123</v>
      </c>
      <c r="J7" s="33" t="s">
        <v>10</v>
      </c>
      <c r="K7" s="33"/>
      <c r="L7" s="33"/>
      <c r="S7" s="35" t="s">
        <v>226</v>
      </c>
      <c r="T7" s="35"/>
      <c r="V7" s="35" t="s">
        <v>226</v>
      </c>
      <c r="W7" s="35" t="s">
        <v>236</v>
      </c>
      <c r="Y7" s="35" t="s">
        <v>226</v>
      </c>
      <c r="Z7" s="35" t="s">
        <v>238</v>
      </c>
    </row>
    <row r="8" spans="1:26" x14ac:dyDescent="0.2">
      <c r="A8" s="2" t="s">
        <v>145</v>
      </c>
      <c r="B8" s="2">
        <v>71.384812453055204</v>
      </c>
      <c r="C8" s="2">
        <v>-2.6797981249415699</v>
      </c>
      <c r="D8" s="2">
        <v>0.41695692391498701</v>
      </c>
      <c r="E8" s="2">
        <v>-6.4270383131662498</v>
      </c>
      <c r="F8" s="10">
        <v>1.3011403614063901E-10</v>
      </c>
      <c r="G8" s="10">
        <v>2.1809408587220699E-7</v>
      </c>
      <c r="H8" s="11" t="s">
        <v>10</v>
      </c>
      <c r="I8" s="11" t="s">
        <v>10</v>
      </c>
      <c r="J8" s="33" t="s">
        <v>10</v>
      </c>
      <c r="K8" s="33"/>
      <c r="L8" s="33"/>
      <c r="S8" s="35" t="s">
        <v>3190</v>
      </c>
      <c r="T8" s="35" t="s">
        <v>3343</v>
      </c>
      <c r="V8" s="35" t="s">
        <v>3190</v>
      </c>
      <c r="W8" s="35" t="s">
        <v>3292</v>
      </c>
      <c r="Y8" s="35" t="s">
        <v>3190</v>
      </c>
      <c r="Z8" s="35" t="s">
        <v>3298</v>
      </c>
    </row>
    <row r="9" spans="1:26" x14ac:dyDescent="0.2">
      <c r="A9" s="2" t="s">
        <v>11</v>
      </c>
      <c r="B9" s="2">
        <v>146.246511917102</v>
      </c>
      <c r="C9" s="2">
        <v>-10.4703730915975</v>
      </c>
      <c r="D9" s="2">
        <v>1.65058502631017</v>
      </c>
      <c r="E9" s="2">
        <v>-6.3434315256110398</v>
      </c>
      <c r="F9" s="10">
        <v>2.24702870720044E-10</v>
      </c>
      <c r="G9" s="10">
        <v>3.5571712784264698E-7</v>
      </c>
      <c r="H9" s="11" t="s">
        <v>10</v>
      </c>
      <c r="I9" s="11" t="s">
        <v>10</v>
      </c>
      <c r="J9" s="33" t="s">
        <v>10</v>
      </c>
      <c r="K9" s="33"/>
      <c r="L9" s="33"/>
      <c r="S9" s="35" t="s">
        <v>255</v>
      </c>
      <c r="T9" s="35"/>
      <c r="V9" s="35" t="s">
        <v>255</v>
      </c>
      <c r="W9" s="35"/>
      <c r="Y9" s="35" t="s">
        <v>255</v>
      </c>
      <c r="Z9" s="35"/>
    </row>
    <row r="10" spans="1:26" x14ac:dyDescent="0.2">
      <c r="A10" s="2" t="s">
        <v>211</v>
      </c>
      <c r="B10" s="2">
        <v>91.5531691676794</v>
      </c>
      <c r="C10" s="2">
        <v>-2.2223886017573502</v>
      </c>
      <c r="D10" s="2">
        <v>0.35640205714651502</v>
      </c>
      <c r="E10" s="2">
        <v>-6.2356222619773796</v>
      </c>
      <c r="F10" s="10">
        <v>4.4998574018567001E-10</v>
      </c>
      <c r="G10" s="10">
        <v>6.5755608546618799E-7</v>
      </c>
      <c r="H10" s="11" t="s">
        <v>10</v>
      </c>
      <c r="I10" s="11" t="s">
        <v>10</v>
      </c>
      <c r="J10" s="33" t="s">
        <v>10</v>
      </c>
      <c r="K10" s="33"/>
      <c r="L10" s="33"/>
      <c r="S10" s="35" t="s">
        <v>3229</v>
      </c>
      <c r="T10" s="35" t="s">
        <v>3344</v>
      </c>
      <c r="V10" s="35" t="s">
        <v>3229</v>
      </c>
      <c r="W10" s="35" t="s">
        <v>3291</v>
      </c>
      <c r="Y10" s="35" t="s">
        <v>3229</v>
      </c>
      <c r="Z10" s="35" t="s">
        <v>3299</v>
      </c>
    </row>
    <row r="11" spans="1:26" x14ac:dyDescent="0.2">
      <c r="A11" s="2" t="s">
        <v>126</v>
      </c>
      <c r="B11" s="2">
        <v>58.617121589335198</v>
      </c>
      <c r="C11" s="2">
        <v>-2.8365077534260301</v>
      </c>
      <c r="D11" s="2">
        <v>0.46035759116015801</v>
      </c>
      <c r="E11" s="2">
        <v>-6.1615314005742396</v>
      </c>
      <c r="F11" s="10">
        <v>7.2044780712829805E-10</v>
      </c>
      <c r="G11" s="10">
        <v>9.3314364836912897E-7</v>
      </c>
      <c r="H11" s="11" t="s">
        <v>10</v>
      </c>
      <c r="I11" s="11" t="s">
        <v>10</v>
      </c>
      <c r="J11" s="33" t="s">
        <v>10</v>
      </c>
      <c r="K11" s="33"/>
      <c r="L11" s="33"/>
      <c r="S11" s="35" t="s">
        <v>3206</v>
      </c>
      <c r="T11" s="35" t="s">
        <v>3345</v>
      </c>
      <c r="V11" s="35" t="s">
        <v>3206</v>
      </c>
      <c r="W11" s="35" t="s">
        <v>3290</v>
      </c>
      <c r="Y11" s="35" t="s">
        <v>3206</v>
      </c>
      <c r="Z11" s="35" t="s">
        <v>3300</v>
      </c>
    </row>
    <row r="12" spans="1:26" x14ac:dyDescent="0.2">
      <c r="A12" s="2" t="s">
        <v>178</v>
      </c>
      <c r="B12" s="2">
        <v>76.905348331433203</v>
      </c>
      <c r="C12" s="2">
        <v>-2.5252777484610198</v>
      </c>
      <c r="D12" s="2">
        <v>0.418377721141103</v>
      </c>
      <c r="E12" s="2">
        <v>-6.0358800692672103</v>
      </c>
      <c r="F12" s="10">
        <v>1.58098644211157E-9</v>
      </c>
      <c r="G12" s="10">
        <v>1.76667484972428E-6</v>
      </c>
      <c r="H12" s="11" t="s">
        <v>10</v>
      </c>
      <c r="I12" s="11" t="s">
        <v>180</v>
      </c>
      <c r="J12" s="33" t="s">
        <v>3346</v>
      </c>
      <c r="K12" s="33"/>
      <c r="L12" s="33"/>
      <c r="S12" s="35" t="s">
        <v>874</v>
      </c>
      <c r="T12" s="35"/>
      <c r="V12" s="35" t="s">
        <v>874</v>
      </c>
      <c r="W12" s="35"/>
      <c r="Y12" s="35" t="s">
        <v>874</v>
      </c>
      <c r="Z12" s="35"/>
    </row>
    <row r="13" spans="1:26" x14ac:dyDescent="0.2">
      <c r="A13" s="2" t="s">
        <v>226</v>
      </c>
      <c r="B13" s="2">
        <v>87.136358407754301</v>
      </c>
      <c r="C13" s="2">
        <v>-2.2130123001461599</v>
      </c>
      <c r="D13" s="2">
        <v>0.368219750454785</v>
      </c>
      <c r="E13" s="2">
        <v>-6.0100315026906896</v>
      </c>
      <c r="F13" s="10">
        <v>1.85487280128465E-9</v>
      </c>
      <c r="G13" s="10">
        <v>1.9575777952817102E-6</v>
      </c>
      <c r="H13" s="11" t="s">
        <v>236</v>
      </c>
      <c r="I13" s="11" t="s">
        <v>238</v>
      </c>
      <c r="J13" s="33" t="s">
        <v>10</v>
      </c>
      <c r="K13" s="33"/>
      <c r="L13" s="33"/>
      <c r="S13" s="35" t="s">
        <v>266</v>
      </c>
      <c r="T13" s="35"/>
      <c r="V13" s="35" t="s">
        <v>266</v>
      </c>
      <c r="W13" s="35"/>
      <c r="Y13" s="35" t="s">
        <v>266</v>
      </c>
      <c r="Z13" s="35" t="s">
        <v>273</v>
      </c>
    </row>
    <row r="14" spans="1:26" x14ac:dyDescent="0.2">
      <c r="A14" s="2" t="s">
        <v>103</v>
      </c>
      <c r="B14" s="2">
        <v>62.960565198457999</v>
      </c>
      <c r="C14" s="2">
        <v>-3.1256838398469999</v>
      </c>
      <c r="D14" s="2">
        <v>0.52047758982938197</v>
      </c>
      <c r="E14" s="2">
        <v>-6.0054148361539204</v>
      </c>
      <c r="F14" s="10">
        <v>1.9084331871096702E-9</v>
      </c>
      <c r="G14" s="10">
        <v>1.9774837696978201E-6</v>
      </c>
      <c r="H14" s="11" t="s">
        <v>10</v>
      </c>
      <c r="I14" s="11" t="s">
        <v>10</v>
      </c>
      <c r="J14" s="33" t="s">
        <v>10</v>
      </c>
      <c r="K14" s="33"/>
      <c r="L14" s="33"/>
      <c r="S14" s="35" t="s">
        <v>3262</v>
      </c>
      <c r="T14" s="35"/>
      <c r="V14" s="35" t="s">
        <v>3262</v>
      </c>
      <c r="W14" s="35"/>
      <c r="Y14" s="35" t="s">
        <v>3262</v>
      </c>
      <c r="Z14" s="35" t="s">
        <v>3301</v>
      </c>
    </row>
    <row r="15" spans="1:26" x14ac:dyDescent="0.2">
      <c r="A15" s="2" t="s">
        <v>204</v>
      </c>
      <c r="B15" s="2">
        <v>80.222132643457101</v>
      </c>
      <c r="C15" s="2">
        <v>-2.2494151237399098</v>
      </c>
      <c r="D15" s="2">
        <v>0.37675203852936201</v>
      </c>
      <c r="E15" s="2">
        <v>-5.9705453287536896</v>
      </c>
      <c r="F15" s="10">
        <v>2.36461872776306E-9</v>
      </c>
      <c r="G15" s="10">
        <v>2.3234417464692602E-6</v>
      </c>
      <c r="H15" s="11" t="s">
        <v>10</v>
      </c>
      <c r="I15" s="11" t="s">
        <v>10</v>
      </c>
      <c r="J15" s="33" t="s">
        <v>10</v>
      </c>
      <c r="K15" s="33"/>
      <c r="L15" s="33"/>
      <c r="S15" s="35" t="s">
        <v>566</v>
      </c>
      <c r="T15" s="35"/>
      <c r="V15" s="35" t="s">
        <v>566</v>
      </c>
      <c r="W15" s="35"/>
      <c r="Y15" s="35" t="s">
        <v>566</v>
      </c>
      <c r="Z15" s="35" t="s">
        <v>573</v>
      </c>
    </row>
    <row r="16" spans="1:26" x14ac:dyDescent="0.2">
      <c r="A16" s="2" t="s">
        <v>274</v>
      </c>
      <c r="B16" s="2">
        <v>79.043754982868094</v>
      </c>
      <c r="C16" s="2">
        <v>-2.00730686296802</v>
      </c>
      <c r="D16" s="2">
        <v>0.353777994952435</v>
      </c>
      <c r="E16" s="2">
        <v>-5.6739166697971299</v>
      </c>
      <c r="F16" s="10">
        <v>1.3956904326908101E-8</v>
      </c>
      <c r="G16" s="10">
        <v>9.9425497198811308E-6</v>
      </c>
      <c r="H16" s="11" t="s">
        <v>10</v>
      </c>
      <c r="I16" s="11" t="s">
        <v>10</v>
      </c>
      <c r="J16" s="33" t="s">
        <v>10</v>
      </c>
      <c r="K16" s="33"/>
      <c r="L16" s="33"/>
      <c r="S16" s="35" t="s">
        <v>472</v>
      </c>
      <c r="T16" s="35"/>
      <c r="V16" s="35" t="s">
        <v>472</v>
      </c>
      <c r="W16" s="35"/>
      <c r="Y16" s="35" t="s">
        <v>472</v>
      </c>
      <c r="Z16" s="35" t="s">
        <v>86</v>
      </c>
    </row>
    <row r="17" spans="1:26" x14ac:dyDescent="0.2">
      <c r="A17" s="2" t="s">
        <v>18</v>
      </c>
      <c r="B17" s="2">
        <v>125.82010963979501</v>
      </c>
      <c r="C17" s="2">
        <v>-10.252470541143101</v>
      </c>
      <c r="D17" s="2">
        <v>1.9069712578807001</v>
      </c>
      <c r="E17" s="2">
        <v>-5.3763109951311403</v>
      </c>
      <c r="F17" s="10">
        <v>7.6027427405050199E-8</v>
      </c>
      <c r="G17" s="10">
        <v>4.2420683237167801E-5</v>
      </c>
      <c r="H17" s="11" t="s">
        <v>10</v>
      </c>
      <c r="I17" s="11" t="s">
        <v>20</v>
      </c>
      <c r="J17" s="33" t="s">
        <v>10</v>
      </c>
      <c r="K17" s="33"/>
      <c r="L17" s="33"/>
      <c r="S17" s="35" t="s">
        <v>3198</v>
      </c>
      <c r="T17" s="35"/>
      <c r="V17" s="35" t="s">
        <v>3198</v>
      </c>
      <c r="W17" s="35" t="s">
        <v>3289</v>
      </c>
      <c r="Y17" s="35" t="s">
        <v>3198</v>
      </c>
      <c r="Z17" s="35" t="s">
        <v>3302</v>
      </c>
    </row>
    <row r="18" spans="1:26" x14ac:dyDescent="0.2">
      <c r="A18" s="2" t="s">
        <v>152</v>
      </c>
      <c r="B18" s="2">
        <v>43.3642477054469</v>
      </c>
      <c r="C18" s="2">
        <v>-2.6703417747098599</v>
      </c>
      <c r="D18" s="2">
        <v>0.49714701599236799</v>
      </c>
      <c r="E18" s="2">
        <v>-5.3713321991474103</v>
      </c>
      <c r="F18" s="10">
        <v>7.8157075625594299E-8</v>
      </c>
      <c r="G18" s="10">
        <v>4.2420683237167801E-5</v>
      </c>
      <c r="H18" s="11" t="s">
        <v>10</v>
      </c>
      <c r="I18" s="11" t="s">
        <v>10</v>
      </c>
      <c r="J18" s="33" t="s">
        <v>10</v>
      </c>
      <c r="K18" s="33"/>
      <c r="L18" s="33"/>
      <c r="S18" s="35" t="s">
        <v>3203</v>
      </c>
      <c r="T18" s="35"/>
      <c r="V18" s="35" t="s">
        <v>3203</v>
      </c>
      <c r="W18" s="35"/>
      <c r="Y18" s="35" t="s">
        <v>3203</v>
      </c>
      <c r="Z18" s="35"/>
    </row>
    <row r="19" spans="1:26" x14ac:dyDescent="0.2">
      <c r="A19" s="2" t="s">
        <v>87</v>
      </c>
      <c r="B19" s="2">
        <v>34.692740103905102</v>
      </c>
      <c r="C19" s="2">
        <v>-5.9432244236326399</v>
      </c>
      <c r="D19" s="2">
        <v>1.11990635173901</v>
      </c>
      <c r="E19" s="2">
        <v>-5.3068941116405801</v>
      </c>
      <c r="F19" s="10">
        <v>1.1150891030513999E-7</v>
      </c>
      <c r="G19" s="10">
        <v>5.83017687916508E-5</v>
      </c>
      <c r="H19" s="11" t="s">
        <v>10</v>
      </c>
      <c r="I19" s="11" t="s">
        <v>10</v>
      </c>
      <c r="J19" s="33" t="s">
        <v>10</v>
      </c>
      <c r="K19" s="33"/>
      <c r="L19" s="33"/>
      <c r="S19" s="35" t="s">
        <v>375</v>
      </c>
      <c r="T19" s="35"/>
      <c r="V19" s="35" t="s">
        <v>375</v>
      </c>
      <c r="W19" s="35"/>
      <c r="Y19" s="35" t="s">
        <v>375</v>
      </c>
      <c r="Z19" s="35" t="s">
        <v>386</v>
      </c>
    </row>
    <row r="20" spans="1:26" x14ac:dyDescent="0.2">
      <c r="A20" s="2" t="s">
        <v>190</v>
      </c>
      <c r="B20" s="2">
        <v>54.2517765934397</v>
      </c>
      <c r="C20" s="2">
        <v>-2.3887517572980199</v>
      </c>
      <c r="D20" s="2">
        <v>0.453229648676793</v>
      </c>
      <c r="E20" s="2">
        <v>-5.2705107979409496</v>
      </c>
      <c r="F20" s="10">
        <v>1.3604462182865501E-7</v>
      </c>
      <c r="G20" s="10">
        <v>6.6590328870010405E-5</v>
      </c>
      <c r="H20" s="11" t="s">
        <v>199</v>
      </c>
      <c r="I20" s="11" t="s">
        <v>201</v>
      </c>
      <c r="J20" s="33" t="s">
        <v>10</v>
      </c>
      <c r="K20" s="33"/>
      <c r="L20" s="33"/>
      <c r="S20" s="35" t="s">
        <v>116</v>
      </c>
      <c r="T20" s="35"/>
      <c r="V20" s="35" t="s">
        <v>116</v>
      </c>
      <c r="W20" s="35" t="s">
        <v>122</v>
      </c>
      <c r="Y20" s="35" t="s">
        <v>116</v>
      </c>
      <c r="Z20" s="35" t="s">
        <v>123</v>
      </c>
    </row>
    <row r="21" spans="1:26" x14ac:dyDescent="0.2">
      <c r="A21" s="2" t="s">
        <v>22</v>
      </c>
      <c r="B21" s="2">
        <v>26.951930215694301</v>
      </c>
      <c r="C21" s="2">
        <v>-8.0330008724281008</v>
      </c>
      <c r="D21" s="2">
        <v>1.53288692235789</v>
      </c>
      <c r="E21" s="2">
        <v>-5.2404393013358996</v>
      </c>
      <c r="F21" s="10">
        <v>1.60194775426558E-7</v>
      </c>
      <c r="G21" s="10">
        <v>7.4223579280971794E-5</v>
      </c>
      <c r="H21" s="11" t="s">
        <v>23</v>
      </c>
      <c r="I21" s="11" t="s">
        <v>3318</v>
      </c>
      <c r="J21" s="33" t="s">
        <v>10</v>
      </c>
      <c r="K21" s="33"/>
      <c r="L21" s="33"/>
      <c r="S21" s="35" t="s">
        <v>178</v>
      </c>
      <c r="T21" s="35" t="s">
        <v>3346</v>
      </c>
      <c r="V21" s="35" t="s">
        <v>178</v>
      </c>
      <c r="W21" s="35"/>
      <c r="Y21" s="35" t="s">
        <v>178</v>
      </c>
      <c r="Z21" s="35" t="s">
        <v>180</v>
      </c>
    </row>
    <row r="22" spans="1:26" x14ac:dyDescent="0.2">
      <c r="A22" s="2" t="s">
        <v>29</v>
      </c>
      <c r="B22" s="2">
        <v>26.953587780424598</v>
      </c>
      <c r="C22" s="2">
        <v>-8.0209479100281307</v>
      </c>
      <c r="D22" s="2">
        <v>1.5334176738622101</v>
      </c>
      <c r="E22" s="2">
        <v>-5.2307652681645598</v>
      </c>
      <c r="F22" s="10">
        <v>1.6880974944869599E-7</v>
      </c>
      <c r="G22" s="10">
        <v>7.7584416299041607E-5</v>
      </c>
      <c r="H22" s="11" t="s">
        <v>10</v>
      </c>
      <c r="I22" s="11" t="s">
        <v>10</v>
      </c>
      <c r="J22" s="33" t="s">
        <v>10</v>
      </c>
      <c r="K22" s="33"/>
      <c r="L22" s="33"/>
      <c r="S22" s="35" t="s">
        <v>3266</v>
      </c>
      <c r="T22" s="35"/>
      <c r="V22" s="35" t="s">
        <v>3266</v>
      </c>
      <c r="W22" s="35"/>
      <c r="Y22" s="35" t="s">
        <v>3266</v>
      </c>
      <c r="Z22" s="35" t="s">
        <v>3303</v>
      </c>
    </row>
    <row r="23" spans="1:26" x14ac:dyDescent="0.2">
      <c r="A23" s="2" t="s">
        <v>184</v>
      </c>
      <c r="B23" s="2">
        <v>53.720589957925597</v>
      </c>
      <c r="C23" s="2">
        <v>-2.5162583408538799</v>
      </c>
      <c r="D23" s="2">
        <v>0.48224582145887002</v>
      </c>
      <c r="E23" s="2">
        <v>-5.2177918996618802</v>
      </c>
      <c r="F23" s="10">
        <v>1.81068731594126E-7</v>
      </c>
      <c r="G23" s="10">
        <v>8.1252811130309106E-5</v>
      </c>
      <c r="H23" s="11" t="s">
        <v>10</v>
      </c>
      <c r="I23" s="11" t="s">
        <v>10</v>
      </c>
      <c r="J23" s="33" t="s">
        <v>10</v>
      </c>
      <c r="K23" s="33"/>
      <c r="L23" s="33"/>
      <c r="S23" s="35" t="s">
        <v>3250</v>
      </c>
      <c r="T23" s="35" t="s">
        <v>3347</v>
      </c>
      <c r="V23" s="35" t="s">
        <v>3250</v>
      </c>
      <c r="W23" s="35" t="s">
        <v>3288</v>
      </c>
      <c r="Y23" s="35" t="s">
        <v>3250</v>
      </c>
      <c r="Z23" s="35" t="s">
        <v>3304</v>
      </c>
    </row>
    <row r="24" spans="1:26" x14ac:dyDescent="0.2">
      <c r="A24" s="2" t="s">
        <v>98</v>
      </c>
      <c r="B24" s="2">
        <v>33.226877033975498</v>
      </c>
      <c r="C24" s="2">
        <v>-3.1357023560721702</v>
      </c>
      <c r="D24" s="2">
        <v>0.61249216279031304</v>
      </c>
      <c r="E24" s="2">
        <v>-5.1195795580255998</v>
      </c>
      <c r="F24" s="10">
        <v>3.0621756965366101E-7</v>
      </c>
      <c r="G24" s="2">
        <v>1.3023387533255299E-4</v>
      </c>
      <c r="H24" s="11" t="s">
        <v>10</v>
      </c>
      <c r="I24" s="11" t="s">
        <v>10</v>
      </c>
      <c r="J24" s="33" t="s">
        <v>10</v>
      </c>
      <c r="K24" s="33"/>
      <c r="L24" s="33"/>
      <c r="S24" s="35" t="s">
        <v>133</v>
      </c>
      <c r="T24" s="35"/>
      <c r="V24" s="35" t="s">
        <v>133</v>
      </c>
      <c r="W24" s="35"/>
      <c r="Y24" s="35" t="s">
        <v>133</v>
      </c>
      <c r="Z24" s="35" t="s">
        <v>142</v>
      </c>
    </row>
    <row r="25" spans="1:26" x14ac:dyDescent="0.2">
      <c r="A25" s="2" t="s">
        <v>172</v>
      </c>
      <c r="B25" s="2">
        <v>42.542187140550197</v>
      </c>
      <c r="C25" s="2">
        <v>-2.5762214796179199</v>
      </c>
      <c r="D25" s="2">
        <v>0.50356781283815399</v>
      </c>
      <c r="E25" s="2">
        <v>-5.1159375439389301</v>
      </c>
      <c r="F25" s="10">
        <v>3.1218635641436598E-7</v>
      </c>
      <c r="G25" s="10">
        <v>1.31788892237442E-4</v>
      </c>
      <c r="H25" s="11" t="s">
        <v>10</v>
      </c>
      <c r="I25" s="11" t="s">
        <v>10</v>
      </c>
      <c r="J25" s="33" t="s">
        <v>10</v>
      </c>
      <c r="K25" s="33"/>
      <c r="L25" s="33"/>
      <c r="S25" s="35" t="s">
        <v>3197</v>
      </c>
      <c r="T25" s="35" t="s">
        <v>3348</v>
      </c>
      <c r="V25" s="35" t="s">
        <v>3197</v>
      </c>
      <c r="W25" s="35" t="s">
        <v>3287</v>
      </c>
      <c r="Y25" s="35" t="s">
        <v>3197</v>
      </c>
      <c r="Z25" s="35" t="s">
        <v>3305</v>
      </c>
    </row>
    <row r="26" spans="1:26" x14ac:dyDescent="0.2">
      <c r="A26" s="2" t="s">
        <v>37</v>
      </c>
      <c r="B26" s="2">
        <v>24.308711272256701</v>
      </c>
      <c r="C26" s="2">
        <v>-7.8828990622833004</v>
      </c>
      <c r="D26" s="2">
        <v>1.54317753179174</v>
      </c>
      <c r="E26" s="2">
        <v>-5.1082256576990597</v>
      </c>
      <c r="F26" s="10">
        <v>3.2519813699394101E-7</v>
      </c>
      <c r="G26" s="10">
        <v>1.36272366377094E-4</v>
      </c>
      <c r="H26" s="11" t="s">
        <v>10</v>
      </c>
      <c r="I26" s="11" t="s">
        <v>10</v>
      </c>
      <c r="J26" s="33" t="s">
        <v>10</v>
      </c>
      <c r="K26" s="33"/>
      <c r="L26" s="33"/>
      <c r="S26" s="35" t="s">
        <v>18</v>
      </c>
      <c r="T26" s="35"/>
      <c r="V26" s="35" t="s">
        <v>18</v>
      </c>
      <c r="W26" s="35"/>
      <c r="Y26" s="35" t="s">
        <v>18</v>
      </c>
      <c r="Z26" s="35" t="s">
        <v>20</v>
      </c>
    </row>
    <row r="27" spans="1:26" x14ac:dyDescent="0.2">
      <c r="A27" s="2" t="s">
        <v>40</v>
      </c>
      <c r="B27" s="2">
        <v>23.892918647201999</v>
      </c>
      <c r="C27" s="2">
        <v>-7.8666176568057802</v>
      </c>
      <c r="D27" s="2">
        <v>1.55029671139958</v>
      </c>
      <c r="E27" s="2">
        <v>-5.0742658479252798</v>
      </c>
      <c r="F27" s="10">
        <v>3.8899490082369198E-7</v>
      </c>
      <c r="G27" s="2">
        <v>1.5595869190542999E-4</v>
      </c>
      <c r="H27" s="11" t="s">
        <v>49</v>
      </c>
      <c r="I27" s="11" t="s">
        <v>3327</v>
      </c>
      <c r="J27" s="33" t="s">
        <v>3359</v>
      </c>
      <c r="K27" s="33"/>
      <c r="L27" s="33"/>
      <c r="S27" s="35" t="s">
        <v>3191</v>
      </c>
      <c r="T27" s="35"/>
      <c r="V27" s="35" t="s">
        <v>3191</v>
      </c>
      <c r="W27" s="35" t="s">
        <v>3286</v>
      </c>
      <c r="Y27" s="35" t="s">
        <v>3191</v>
      </c>
      <c r="Z27" s="35" t="s">
        <v>3303</v>
      </c>
    </row>
    <row r="28" spans="1:26" x14ac:dyDescent="0.2">
      <c r="A28" s="2" t="s">
        <v>32</v>
      </c>
      <c r="B28" s="2">
        <v>24.203105551262801</v>
      </c>
      <c r="C28" s="2">
        <v>-7.89010198711168</v>
      </c>
      <c r="D28" s="2">
        <v>1.55527423870146</v>
      </c>
      <c r="E28" s="2">
        <v>-5.0731258775940002</v>
      </c>
      <c r="F28" s="10">
        <v>3.9133344345457801E-7</v>
      </c>
      <c r="G28" s="10">
        <v>1.5595869190542999E-4</v>
      </c>
      <c r="H28" s="11" t="s">
        <v>10</v>
      </c>
      <c r="I28" s="11" t="s">
        <v>10</v>
      </c>
      <c r="J28" s="33" t="s">
        <v>10</v>
      </c>
      <c r="K28" s="33"/>
      <c r="L28" s="33"/>
      <c r="S28" s="35" t="s">
        <v>3261</v>
      </c>
      <c r="T28" s="35"/>
      <c r="V28" s="35" t="s">
        <v>3261</v>
      </c>
      <c r="W28" s="35"/>
      <c r="Y28" s="35" t="s">
        <v>3261</v>
      </c>
      <c r="Z28" s="35" t="s">
        <v>3306</v>
      </c>
    </row>
    <row r="29" spans="1:26" x14ac:dyDescent="0.2">
      <c r="A29" s="2" t="s">
        <v>218</v>
      </c>
      <c r="B29" s="2">
        <v>53.615691817481803</v>
      </c>
      <c r="C29" s="2">
        <v>-2.2218169841604101</v>
      </c>
      <c r="D29" s="2">
        <v>0.43946866888333302</v>
      </c>
      <c r="E29" s="2">
        <v>-5.0556891571040401</v>
      </c>
      <c r="F29" s="10">
        <v>4.2883933530695801E-7</v>
      </c>
      <c r="G29" s="10">
        <v>1.65945700499047E-4</v>
      </c>
      <c r="H29" s="11" t="s">
        <v>10</v>
      </c>
      <c r="I29" s="11" t="s">
        <v>10</v>
      </c>
      <c r="J29" s="33" t="s">
        <v>10</v>
      </c>
      <c r="K29" s="33"/>
      <c r="L29" s="33"/>
      <c r="S29" s="35" t="s">
        <v>3226</v>
      </c>
      <c r="T29" s="35"/>
      <c r="V29" s="35" t="s">
        <v>3226</v>
      </c>
      <c r="W29" s="35"/>
      <c r="Y29" s="35" t="s">
        <v>3226</v>
      </c>
      <c r="Z29" s="35"/>
    </row>
    <row r="30" spans="1:26" x14ac:dyDescent="0.2">
      <c r="A30" s="2" t="s">
        <v>54</v>
      </c>
      <c r="B30" s="2">
        <v>22.9879305829031</v>
      </c>
      <c r="C30" s="2">
        <v>-7.7945739650704997</v>
      </c>
      <c r="D30" s="2">
        <v>1.5494174909949601</v>
      </c>
      <c r="E30" s="2">
        <v>-5.0306479760114398</v>
      </c>
      <c r="F30" s="10">
        <v>4.8882493988467904E-7</v>
      </c>
      <c r="G30" s="10">
        <v>1.7972989241308299E-4</v>
      </c>
      <c r="H30" s="11" t="s">
        <v>10</v>
      </c>
      <c r="I30" s="11" t="s">
        <v>10</v>
      </c>
      <c r="J30" s="33" t="s">
        <v>10</v>
      </c>
      <c r="K30" s="33"/>
      <c r="L30" s="33"/>
      <c r="S30" s="35" t="s">
        <v>426</v>
      </c>
      <c r="T30" s="35" t="s">
        <v>3349</v>
      </c>
      <c r="V30" s="35" t="s">
        <v>426</v>
      </c>
      <c r="W30" s="35" t="s">
        <v>436</v>
      </c>
      <c r="Y30" s="35" t="s">
        <v>426</v>
      </c>
      <c r="Z30" s="35" t="s">
        <v>3307</v>
      </c>
    </row>
    <row r="31" spans="1:26" x14ac:dyDescent="0.2">
      <c r="A31" s="2" t="s">
        <v>57</v>
      </c>
      <c r="B31" s="2">
        <v>22.340326562167899</v>
      </c>
      <c r="C31" s="2">
        <v>-7.7507057394264596</v>
      </c>
      <c r="D31" s="2">
        <v>1.5537625189153501</v>
      </c>
      <c r="E31" s="2">
        <v>-4.9883464461718798</v>
      </c>
      <c r="F31" s="10">
        <v>6.0898287476141797E-7</v>
      </c>
      <c r="G31" s="2">
        <v>2.18276314670775E-4</v>
      </c>
      <c r="H31" s="11" t="s">
        <v>10</v>
      </c>
      <c r="I31" s="11" t="s">
        <v>10</v>
      </c>
      <c r="J31" s="33" t="s">
        <v>10</v>
      </c>
      <c r="K31" s="33"/>
      <c r="L31" s="33"/>
      <c r="S31" s="35" t="s">
        <v>710</v>
      </c>
      <c r="T31" s="35" t="s">
        <v>3350</v>
      </c>
      <c r="V31" s="35" t="s">
        <v>710</v>
      </c>
      <c r="W31" s="35" t="s">
        <v>718</v>
      </c>
      <c r="Y31" s="35" t="s">
        <v>710</v>
      </c>
      <c r="Z31" s="35" t="s">
        <v>3308</v>
      </c>
    </row>
    <row r="32" spans="1:26" x14ac:dyDescent="0.2">
      <c r="A32" s="2" t="s">
        <v>61</v>
      </c>
      <c r="B32" s="2">
        <v>21.300844999531101</v>
      </c>
      <c r="C32" s="2">
        <v>-7.7054465189396097</v>
      </c>
      <c r="D32" s="2">
        <v>1.57046426792421</v>
      </c>
      <c r="E32" s="2">
        <v>-4.9064768147348099</v>
      </c>
      <c r="F32" s="10">
        <v>9.2726944359098199E-7</v>
      </c>
      <c r="G32" s="10">
        <v>3.0903558824707598E-4</v>
      </c>
      <c r="H32" s="11" t="s">
        <v>63</v>
      </c>
      <c r="I32" s="11" t="s">
        <v>3329</v>
      </c>
      <c r="J32" s="33" t="s">
        <v>3361</v>
      </c>
      <c r="K32" s="33"/>
      <c r="L32" s="33"/>
      <c r="S32" s="35" t="s">
        <v>72</v>
      </c>
      <c r="T32" s="35"/>
      <c r="V32" s="35" t="s">
        <v>72</v>
      </c>
      <c r="W32" s="35"/>
      <c r="Y32" s="35" t="s">
        <v>72</v>
      </c>
      <c r="Z32" s="35" t="s">
        <v>77</v>
      </c>
    </row>
    <row r="33" spans="1:26" x14ac:dyDescent="0.2">
      <c r="A33" s="2" t="s">
        <v>68</v>
      </c>
      <c r="B33" s="2">
        <v>19.593159462466598</v>
      </c>
      <c r="C33" s="2">
        <v>-7.5613629114043999</v>
      </c>
      <c r="D33" s="2">
        <v>1.57168213252653</v>
      </c>
      <c r="E33" s="2">
        <v>-4.8110001093218804</v>
      </c>
      <c r="F33" s="10">
        <v>1.5017693504517701E-6</v>
      </c>
      <c r="G33" s="10">
        <v>4.60138899366915E-4</v>
      </c>
      <c r="H33" s="11" t="s">
        <v>10</v>
      </c>
      <c r="I33" s="11" t="s">
        <v>10</v>
      </c>
      <c r="J33" s="33" t="s">
        <v>10</v>
      </c>
      <c r="K33" s="33"/>
      <c r="L33" s="33"/>
      <c r="S33" s="35" t="s">
        <v>3220</v>
      </c>
      <c r="T33" s="35"/>
      <c r="V33" s="35" t="s">
        <v>3220</v>
      </c>
      <c r="W33" s="35" t="s">
        <v>3285</v>
      </c>
      <c r="Y33" s="35" t="s">
        <v>3220</v>
      </c>
      <c r="Z33" s="35" t="s">
        <v>3309</v>
      </c>
    </row>
    <row r="34" spans="1:26" x14ac:dyDescent="0.2">
      <c r="A34" s="2" t="s">
        <v>65</v>
      </c>
      <c r="B34" s="2">
        <v>19.668219841386399</v>
      </c>
      <c r="C34" s="2">
        <v>-7.5908274700380698</v>
      </c>
      <c r="D34" s="2">
        <v>1.58268024993403</v>
      </c>
      <c r="E34" s="2">
        <v>-4.7961851235298401</v>
      </c>
      <c r="F34" s="10">
        <v>1.61715837935975E-6</v>
      </c>
      <c r="G34" s="10">
        <v>4.8252280649063901E-4</v>
      </c>
      <c r="H34" s="11" t="s">
        <v>10</v>
      </c>
      <c r="I34" s="11" t="s">
        <v>10</v>
      </c>
      <c r="J34" s="33" t="s">
        <v>10</v>
      </c>
      <c r="K34" s="33"/>
      <c r="L34" s="33"/>
      <c r="S34" s="35" t="s">
        <v>3268</v>
      </c>
      <c r="T34" s="35" t="s">
        <v>3351</v>
      </c>
      <c r="V34" s="35" t="s">
        <v>3268</v>
      </c>
      <c r="W34" s="35" t="s">
        <v>3284</v>
      </c>
      <c r="Y34" s="35" t="s">
        <v>3268</v>
      </c>
      <c r="Z34" s="35" t="s">
        <v>3310</v>
      </c>
    </row>
    <row r="35" spans="1:26" x14ac:dyDescent="0.2">
      <c r="A35" s="2" t="s">
        <v>90</v>
      </c>
      <c r="B35" s="2">
        <v>24.885835337099</v>
      </c>
      <c r="C35" s="2">
        <v>-4.39316388294636</v>
      </c>
      <c r="D35" s="2">
        <v>0.92089393135166997</v>
      </c>
      <c r="E35" s="2">
        <v>-4.7705427665248701</v>
      </c>
      <c r="F35" s="10">
        <v>1.8373017055616799E-6</v>
      </c>
      <c r="G35" s="10">
        <v>5.3151179796934005E-4</v>
      </c>
      <c r="H35" s="11" t="s">
        <v>10</v>
      </c>
      <c r="I35" s="11" t="s">
        <v>10</v>
      </c>
      <c r="J35" s="33" t="s">
        <v>10</v>
      </c>
      <c r="K35" s="33"/>
      <c r="L35" s="33"/>
      <c r="S35" s="35" t="s">
        <v>3195</v>
      </c>
      <c r="T35" s="35" t="s">
        <v>3352</v>
      </c>
      <c r="V35" s="35" t="s">
        <v>3195</v>
      </c>
      <c r="W35" s="35" t="s">
        <v>3283</v>
      </c>
      <c r="Y35" s="35" t="s">
        <v>3195</v>
      </c>
      <c r="Z35" s="35" t="s">
        <v>3311</v>
      </c>
    </row>
    <row r="36" spans="1:26" x14ac:dyDescent="0.2">
      <c r="A36" s="2" t="s">
        <v>109</v>
      </c>
      <c r="B36" s="2">
        <v>32.350527120707</v>
      </c>
      <c r="C36" s="2">
        <v>-2.9733214717840601</v>
      </c>
      <c r="D36" s="2">
        <v>0.62704335782826104</v>
      </c>
      <c r="E36" s="2">
        <v>-4.7418116062692004</v>
      </c>
      <c r="F36" s="10">
        <v>2.1181555107360501E-6</v>
      </c>
      <c r="G36" s="10">
        <v>5.91733738023762E-4</v>
      </c>
      <c r="H36" s="11" t="s">
        <v>10</v>
      </c>
      <c r="I36" s="11" t="s">
        <v>10</v>
      </c>
      <c r="J36" s="33" t="s">
        <v>10</v>
      </c>
      <c r="K36" s="33"/>
      <c r="L36" s="33"/>
      <c r="S36" s="35" t="s">
        <v>658</v>
      </c>
      <c r="T36" s="35"/>
      <c r="V36" s="35" t="s">
        <v>658</v>
      </c>
      <c r="W36" s="35"/>
      <c r="Y36" s="35" t="s">
        <v>658</v>
      </c>
      <c r="Z36" s="35" t="s">
        <v>666</v>
      </c>
    </row>
    <row r="37" spans="1:26" x14ac:dyDescent="0.2">
      <c r="A37" s="2" t="s">
        <v>266</v>
      </c>
      <c r="B37" s="2">
        <v>59.324853443653303</v>
      </c>
      <c r="C37" s="2">
        <v>-2.0251131717742998</v>
      </c>
      <c r="D37" s="2">
        <v>0.42745428343476299</v>
      </c>
      <c r="E37" s="2">
        <v>-4.7376134717886504</v>
      </c>
      <c r="F37" s="10">
        <v>2.1624977518578801E-6</v>
      </c>
      <c r="G37" s="2">
        <v>5.9536592694869796E-4</v>
      </c>
      <c r="H37" s="11" t="s">
        <v>10</v>
      </c>
      <c r="I37" s="11" t="s">
        <v>273</v>
      </c>
      <c r="J37" s="33" t="s">
        <v>10</v>
      </c>
      <c r="K37" s="33"/>
      <c r="L37" s="33"/>
      <c r="S37" s="35" t="s">
        <v>591</v>
      </c>
      <c r="T37" s="35"/>
      <c r="V37" s="35" t="s">
        <v>591</v>
      </c>
      <c r="W37" s="35"/>
      <c r="Y37" s="35" t="s">
        <v>591</v>
      </c>
      <c r="Z37" s="35" t="s">
        <v>599</v>
      </c>
    </row>
    <row r="38" spans="1:26" x14ac:dyDescent="0.2">
      <c r="A38" s="2" t="s">
        <v>133</v>
      </c>
      <c r="B38" s="2">
        <v>41.209388429918803</v>
      </c>
      <c r="C38" s="2">
        <v>-2.6863577651575699</v>
      </c>
      <c r="D38" s="2">
        <v>0.57002662233847201</v>
      </c>
      <c r="E38" s="2">
        <v>-4.7126882497822198</v>
      </c>
      <c r="F38" s="10">
        <v>2.4447005896844801E-6</v>
      </c>
      <c r="G38" s="10">
        <v>6.6344517431484904E-4</v>
      </c>
      <c r="H38" s="11" t="s">
        <v>10</v>
      </c>
      <c r="I38" s="11" t="s">
        <v>142</v>
      </c>
      <c r="J38" s="33" t="s">
        <v>10</v>
      </c>
      <c r="K38" s="33"/>
      <c r="L38" s="33"/>
      <c r="S38" s="35" t="s">
        <v>3228</v>
      </c>
      <c r="T38" s="35"/>
      <c r="V38" s="35" t="s">
        <v>3228</v>
      </c>
      <c r="W38" s="35"/>
      <c r="Y38" s="35" t="s">
        <v>3228</v>
      </c>
      <c r="Z38" s="35"/>
    </row>
    <row r="39" spans="1:26" x14ac:dyDescent="0.2">
      <c r="A39" s="2" t="s">
        <v>78</v>
      </c>
      <c r="B39" s="2">
        <v>17.648689835530899</v>
      </c>
      <c r="C39" s="2">
        <v>-7.4181115777576396</v>
      </c>
      <c r="D39" s="2">
        <v>1.58724984255489</v>
      </c>
      <c r="E39" s="2">
        <v>-4.6735626483460297</v>
      </c>
      <c r="F39" s="10">
        <v>2.9601935278112102E-6</v>
      </c>
      <c r="G39" s="2">
        <v>7.5650865089668402E-4</v>
      </c>
      <c r="H39" s="11" t="s">
        <v>10</v>
      </c>
      <c r="I39" s="11" t="s">
        <v>10</v>
      </c>
      <c r="J39" s="33" t="s">
        <v>10</v>
      </c>
      <c r="K39" s="33"/>
      <c r="L39" s="33"/>
      <c r="S39" s="35" t="s">
        <v>3187</v>
      </c>
      <c r="T39" s="35"/>
      <c r="V39" s="35" t="s">
        <v>3187</v>
      </c>
      <c r="W39" s="35"/>
      <c r="Y39" s="35" t="s">
        <v>3187</v>
      </c>
      <c r="Z39" s="35"/>
    </row>
    <row r="40" spans="1:26" x14ac:dyDescent="0.2">
      <c r="A40" s="2" t="s">
        <v>241</v>
      </c>
      <c r="B40" s="2">
        <v>63.550701742509503</v>
      </c>
      <c r="C40" s="2">
        <v>-2.2115628656012101</v>
      </c>
      <c r="D40" s="2">
        <v>0.473487062083357</v>
      </c>
      <c r="E40" s="2">
        <v>-4.6707989356040001</v>
      </c>
      <c r="F40" s="10">
        <v>3.0003050700798098E-6</v>
      </c>
      <c r="G40" s="10">
        <v>7.6171631442167897E-4</v>
      </c>
      <c r="H40" s="11" t="s">
        <v>10</v>
      </c>
      <c r="I40" s="11" t="s">
        <v>251</v>
      </c>
      <c r="J40" s="33" t="s">
        <v>10</v>
      </c>
      <c r="K40" s="33"/>
      <c r="L40" s="33"/>
      <c r="S40" s="35" t="s">
        <v>3244</v>
      </c>
      <c r="T40" s="35"/>
      <c r="V40" s="35" t="s">
        <v>3244</v>
      </c>
      <c r="W40" s="35"/>
      <c r="Y40" s="35" t="s">
        <v>3244</v>
      </c>
      <c r="Z40" s="35" t="s">
        <v>3312</v>
      </c>
    </row>
    <row r="41" spans="1:26" x14ac:dyDescent="0.2">
      <c r="A41" s="2" t="s">
        <v>72</v>
      </c>
      <c r="B41" s="2">
        <v>18.396926883069199</v>
      </c>
      <c r="C41" s="2">
        <v>-7.5032421434102101</v>
      </c>
      <c r="D41" s="2">
        <v>1.6212795232970501</v>
      </c>
      <c r="E41" s="2">
        <v>-4.6279756424429097</v>
      </c>
      <c r="F41" s="10">
        <v>3.6925743357501402E-6</v>
      </c>
      <c r="G41" s="2">
        <v>9.1895114146026298E-4</v>
      </c>
      <c r="H41" s="11" t="s">
        <v>10</v>
      </c>
      <c r="I41" s="11" t="s">
        <v>77</v>
      </c>
      <c r="J41" s="33" t="s">
        <v>10</v>
      </c>
      <c r="K41" s="33"/>
      <c r="L41" s="33"/>
      <c r="S41" s="35" t="s">
        <v>733</v>
      </c>
      <c r="T41" s="35"/>
      <c r="V41" s="35" t="s">
        <v>733</v>
      </c>
      <c r="W41" s="35" t="s">
        <v>741</v>
      </c>
      <c r="Y41" s="35" t="s">
        <v>733</v>
      </c>
      <c r="Z41" s="35" t="s">
        <v>742</v>
      </c>
    </row>
    <row r="42" spans="1:26" x14ac:dyDescent="0.2">
      <c r="A42" s="2" t="s">
        <v>81</v>
      </c>
      <c r="B42" s="2">
        <v>17.1834094794397</v>
      </c>
      <c r="C42" s="2">
        <v>-7.3668377891744301</v>
      </c>
      <c r="D42" s="2">
        <v>1.5966878514142</v>
      </c>
      <c r="E42" s="2">
        <v>-4.6138246637560103</v>
      </c>
      <c r="F42" s="10">
        <v>3.9532595725768898E-6</v>
      </c>
      <c r="G42" s="10">
        <v>9.7110458207395195E-4</v>
      </c>
      <c r="H42" s="11" t="s">
        <v>10</v>
      </c>
      <c r="I42" s="11" t="s">
        <v>10</v>
      </c>
      <c r="J42" s="33" t="s">
        <v>10</v>
      </c>
      <c r="K42" s="33"/>
      <c r="L42" s="33"/>
      <c r="S42" s="35" t="s">
        <v>190</v>
      </c>
      <c r="T42" s="35"/>
      <c r="V42" s="35" t="s">
        <v>190</v>
      </c>
      <c r="W42" s="35" t="s">
        <v>199</v>
      </c>
      <c r="Y42" s="35" t="s">
        <v>190</v>
      </c>
      <c r="Z42" s="35" t="s">
        <v>201</v>
      </c>
    </row>
    <row r="43" spans="1:26" x14ac:dyDescent="0.2">
      <c r="A43" s="2" t="s">
        <v>3174</v>
      </c>
      <c r="B43" s="2">
        <v>23.205037858937299</v>
      </c>
      <c r="C43" s="2">
        <v>-4.3291472758517697</v>
      </c>
      <c r="D43" s="2">
        <v>0.94255670599725205</v>
      </c>
      <c r="E43" s="2">
        <v>-4.5929833699198097</v>
      </c>
      <c r="F43" s="10">
        <v>4.3695389551599497E-6</v>
      </c>
      <c r="G43" s="10">
        <v>1.0419247910232899E-3</v>
      </c>
      <c r="H43" s="11" t="s">
        <v>10</v>
      </c>
      <c r="I43" s="11" t="s">
        <v>10</v>
      </c>
      <c r="J43" s="33" t="s">
        <v>10</v>
      </c>
      <c r="K43" s="33"/>
      <c r="L43" s="33"/>
      <c r="S43" s="35" t="s">
        <v>163</v>
      </c>
      <c r="T43" s="35"/>
      <c r="V43" s="35" t="s">
        <v>163</v>
      </c>
      <c r="W43" s="35" t="s">
        <v>168</v>
      </c>
      <c r="Y43" s="35" t="s">
        <v>163</v>
      </c>
      <c r="Z43" s="35" t="s">
        <v>170</v>
      </c>
    </row>
    <row r="44" spans="1:26" x14ac:dyDescent="0.2">
      <c r="A44" s="2" t="s">
        <v>3175</v>
      </c>
      <c r="B44" s="2">
        <v>16.921052741685202</v>
      </c>
      <c r="C44" s="2">
        <v>-7.3761937300769702</v>
      </c>
      <c r="D44" s="2">
        <v>1.6132198581402799</v>
      </c>
      <c r="E44" s="2">
        <v>-4.5723425067307604</v>
      </c>
      <c r="F44" s="10">
        <v>4.8230171479836296E-6</v>
      </c>
      <c r="G44" s="10">
        <v>1.1218928459738201E-3</v>
      </c>
      <c r="H44" s="11" t="s">
        <v>10</v>
      </c>
      <c r="I44" s="11" t="s">
        <v>10</v>
      </c>
      <c r="J44" s="33" t="s">
        <v>10</v>
      </c>
      <c r="K44" s="33"/>
      <c r="L44" s="33"/>
      <c r="S44" s="35" t="s">
        <v>241</v>
      </c>
      <c r="T44" s="35"/>
      <c r="V44" s="35" t="s">
        <v>241</v>
      </c>
      <c r="W44" s="35"/>
      <c r="Y44" s="35" t="s">
        <v>241</v>
      </c>
      <c r="Z44" s="35" t="s">
        <v>251</v>
      </c>
    </row>
    <row r="45" spans="1:26" x14ac:dyDescent="0.2">
      <c r="A45" s="2" t="s">
        <v>3176</v>
      </c>
      <c r="B45" s="2">
        <v>34.941714879590101</v>
      </c>
      <c r="C45" s="2">
        <v>-2.7476665533252</v>
      </c>
      <c r="D45" s="2">
        <v>0.60719625300614499</v>
      </c>
      <c r="E45" s="2">
        <v>-4.5251704695506199</v>
      </c>
      <c r="F45" s="10">
        <v>6.0346843259601904E-6</v>
      </c>
      <c r="G45" s="2">
        <v>1.31768835148073E-3</v>
      </c>
      <c r="H45" s="11" t="s">
        <v>10</v>
      </c>
      <c r="I45" s="11" t="s">
        <v>10</v>
      </c>
      <c r="J45" s="33" t="s">
        <v>10</v>
      </c>
      <c r="K45" s="33"/>
      <c r="L45" s="33"/>
      <c r="S45" s="35" t="s">
        <v>809</v>
      </c>
      <c r="T45" s="35"/>
      <c r="V45" s="35" t="s">
        <v>809</v>
      </c>
      <c r="W45" s="35"/>
      <c r="Y45" s="35" t="s">
        <v>809</v>
      </c>
      <c r="Z45" s="35" t="s">
        <v>818</v>
      </c>
    </row>
    <row r="46" spans="1:26" x14ac:dyDescent="0.2">
      <c r="A46" s="2" t="s">
        <v>3177</v>
      </c>
      <c r="B46" s="2">
        <v>33.859634290214103</v>
      </c>
      <c r="C46" s="2">
        <v>-2.42208138507061</v>
      </c>
      <c r="D46" s="2">
        <v>0.544954165878764</v>
      </c>
      <c r="E46" s="2">
        <v>-4.4445598120438001</v>
      </c>
      <c r="F46" s="10">
        <v>8.8072004186623998E-6</v>
      </c>
      <c r="G46" s="10">
        <v>1.7891211127994699E-3</v>
      </c>
      <c r="H46" s="11" t="s">
        <v>10</v>
      </c>
      <c r="I46" s="11" t="s">
        <v>10</v>
      </c>
      <c r="J46" s="33" t="s">
        <v>10</v>
      </c>
      <c r="K46" s="33"/>
      <c r="L46" s="33"/>
      <c r="S46" s="35" t="s">
        <v>306</v>
      </c>
      <c r="T46" s="35"/>
      <c r="V46" s="35" t="s">
        <v>306</v>
      </c>
      <c r="W46" s="35" t="s">
        <v>317</v>
      </c>
      <c r="Y46" s="35" t="s">
        <v>306</v>
      </c>
      <c r="Z46" s="35" t="s">
        <v>320</v>
      </c>
    </row>
    <row r="47" spans="1:26" x14ac:dyDescent="0.2">
      <c r="A47" s="2" t="s">
        <v>3178</v>
      </c>
      <c r="B47" s="2">
        <v>14.928752948443201</v>
      </c>
      <c r="C47" s="2">
        <v>-7.1622794763647297</v>
      </c>
      <c r="D47" s="2">
        <v>1.6263037697057601</v>
      </c>
      <c r="E47" s="2">
        <v>-4.4040231657709104</v>
      </c>
      <c r="F47" s="10">
        <v>1.06261588686714E-5</v>
      </c>
      <c r="G47" s="10">
        <v>2.11005154677904E-3</v>
      </c>
      <c r="H47" s="11" t="s">
        <v>10</v>
      </c>
      <c r="I47" s="11" t="s">
        <v>3321</v>
      </c>
      <c r="J47" s="33" t="s">
        <v>10</v>
      </c>
      <c r="K47" s="33"/>
      <c r="L47" s="33"/>
      <c r="S47" s="35" t="s">
        <v>3216</v>
      </c>
      <c r="T47" s="35" t="s">
        <v>3353</v>
      </c>
      <c r="V47" s="35" t="s">
        <v>3216</v>
      </c>
      <c r="W47" s="35" t="s">
        <v>3282</v>
      </c>
      <c r="Y47" s="35" t="s">
        <v>3216</v>
      </c>
      <c r="Z47" s="35" t="s">
        <v>3313</v>
      </c>
    </row>
    <row r="48" spans="1:26" x14ac:dyDescent="0.2">
      <c r="A48" s="2" t="s">
        <v>3179</v>
      </c>
      <c r="B48" s="2">
        <v>14.5896782670386</v>
      </c>
      <c r="C48" s="2">
        <v>-7.1543239182038603</v>
      </c>
      <c r="D48" s="2">
        <v>1.63086771322503</v>
      </c>
      <c r="E48" s="2">
        <v>-4.3868205006377998</v>
      </c>
      <c r="F48" s="10">
        <v>1.15019633388149E-5</v>
      </c>
      <c r="G48" s="10">
        <v>2.24485236533926E-3</v>
      </c>
      <c r="H48" s="11" t="s">
        <v>3294</v>
      </c>
      <c r="I48" s="11" t="s">
        <v>3295</v>
      </c>
      <c r="J48" s="33" t="s">
        <v>3340</v>
      </c>
      <c r="K48" s="33"/>
      <c r="L48" s="33"/>
      <c r="S48" s="35" t="s">
        <v>3183</v>
      </c>
      <c r="T48" s="35"/>
      <c r="V48" s="35" t="s">
        <v>3183</v>
      </c>
      <c r="W48" s="35" t="s">
        <v>3281</v>
      </c>
      <c r="Y48" s="35" t="s">
        <v>3183</v>
      </c>
      <c r="Z48" s="35" t="s">
        <v>3314</v>
      </c>
    </row>
    <row r="49" spans="1:26" x14ac:dyDescent="0.2">
      <c r="A49" s="2" t="s">
        <v>3180</v>
      </c>
      <c r="B49" s="2">
        <v>38.157529169976499</v>
      </c>
      <c r="C49" s="2">
        <v>-2.2279742758392498</v>
      </c>
      <c r="D49" s="2">
        <v>0.51190025012655505</v>
      </c>
      <c r="E49" s="2">
        <v>-4.3523602015987297</v>
      </c>
      <c r="F49" s="10">
        <v>1.34679750011608E-5</v>
      </c>
      <c r="G49" s="10">
        <v>2.5499664296217799E-3</v>
      </c>
      <c r="H49" s="11" t="s">
        <v>10</v>
      </c>
      <c r="I49" s="11" t="s">
        <v>10</v>
      </c>
      <c r="J49" s="33" t="s">
        <v>10</v>
      </c>
      <c r="K49" s="33"/>
      <c r="L49" s="33"/>
      <c r="S49" s="35" t="s">
        <v>3205</v>
      </c>
      <c r="T49" s="35"/>
      <c r="V49" s="35" t="s">
        <v>3205</v>
      </c>
      <c r="W49" s="35"/>
      <c r="Y49" s="35" t="s">
        <v>3205</v>
      </c>
      <c r="Z49" s="35" t="s">
        <v>3315</v>
      </c>
    </row>
    <row r="50" spans="1:26" x14ac:dyDescent="0.2">
      <c r="A50" s="2" t="s">
        <v>3181</v>
      </c>
      <c r="B50" s="2">
        <v>57.8694582965595</v>
      </c>
      <c r="C50" s="2">
        <v>-2.1859605883093902</v>
      </c>
      <c r="D50" s="2">
        <v>0.50239707733751005</v>
      </c>
      <c r="E50" s="2">
        <v>-4.3510615147167098</v>
      </c>
      <c r="F50" s="10">
        <v>1.35480033100009E-5</v>
      </c>
      <c r="G50" s="2">
        <v>2.55662486303627E-3</v>
      </c>
      <c r="H50" s="11" t="s">
        <v>10</v>
      </c>
      <c r="I50" s="11" t="s">
        <v>10</v>
      </c>
      <c r="J50" s="33" t="s">
        <v>10</v>
      </c>
      <c r="K50" s="33"/>
      <c r="L50" s="33"/>
      <c r="S50" s="35" t="s">
        <v>94</v>
      </c>
      <c r="T50" s="35"/>
      <c r="V50" s="35" t="s">
        <v>94</v>
      </c>
      <c r="W50" s="35" t="s">
        <v>96</v>
      </c>
      <c r="Y50" s="35" t="s">
        <v>94</v>
      </c>
      <c r="Z50" s="35" t="s">
        <v>97</v>
      </c>
    </row>
    <row r="51" spans="1:26" x14ac:dyDescent="0.2">
      <c r="A51" s="2" t="s">
        <v>3182</v>
      </c>
      <c r="B51" s="2">
        <v>21.361543412515601</v>
      </c>
      <c r="C51" s="2">
        <v>-4.1573029182710304</v>
      </c>
      <c r="D51" s="2">
        <v>0.95569546643279801</v>
      </c>
      <c r="E51" s="2">
        <v>-4.3500289206021501</v>
      </c>
      <c r="F51" s="10">
        <v>1.3611957839235701E-5</v>
      </c>
      <c r="G51" s="10">
        <v>2.5602160965612101E-3</v>
      </c>
      <c r="H51" s="11" t="s">
        <v>10</v>
      </c>
      <c r="I51" s="11" t="s">
        <v>3335</v>
      </c>
      <c r="J51" s="33" t="s">
        <v>10</v>
      </c>
      <c r="K51" s="33"/>
      <c r="L51" s="33"/>
      <c r="S51" s="35" t="s">
        <v>970</v>
      </c>
      <c r="T51" s="35"/>
      <c r="V51" s="35" t="s">
        <v>970</v>
      </c>
      <c r="W51" s="35"/>
      <c r="Y51" s="35" t="s">
        <v>970</v>
      </c>
      <c r="Z51" s="35"/>
    </row>
    <row r="52" spans="1:26" x14ac:dyDescent="0.2">
      <c r="A52" s="2" t="s">
        <v>3183</v>
      </c>
      <c r="B52" s="2">
        <v>16.2272761193741</v>
      </c>
      <c r="C52" s="2">
        <v>-7.2648571755463003</v>
      </c>
      <c r="D52" s="2">
        <v>1.67262103642063</v>
      </c>
      <c r="E52" s="2">
        <v>-4.3433969903265899</v>
      </c>
      <c r="F52" s="10">
        <v>1.40296276288508E-5</v>
      </c>
      <c r="G52" s="10">
        <v>2.6214704215351101E-3</v>
      </c>
      <c r="H52" s="11" t="s">
        <v>3281</v>
      </c>
      <c r="I52" s="11" t="s">
        <v>3314</v>
      </c>
      <c r="J52" s="33" t="s">
        <v>10</v>
      </c>
      <c r="K52" s="33"/>
      <c r="L52" s="33"/>
      <c r="S52" s="35" t="s">
        <v>928</v>
      </c>
      <c r="T52" s="35"/>
      <c r="V52" s="35" t="s">
        <v>928</v>
      </c>
      <c r="W52" s="35" t="s">
        <v>933</v>
      </c>
      <c r="Y52" s="35" t="s">
        <v>928</v>
      </c>
      <c r="Z52" s="35" t="s">
        <v>934</v>
      </c>
    </row>
    <row r="53" spans="1:26" x14ac:dyDescent="0.2">
      <c r="A53" s="2" t="s">
        <v>3184</v>
      </c>
      <c r="B53" s="2">
        <v>14.2522611503642</v>
      </c>
      <c r="C53" s="2">
        <v>-7.1259702865580001</v>
      </c>
      <c r="D53" s="2">
        <v>1.6441908226471</v>
      </c>
      <c r="E53" s="2">
        <v>-4.3340287443554697</v>
      </c>
      <c r="F53" s="10">
        <v>1.46405046077452E-5</v>
      </c>
      <c r="G53" s="2">
        <v>2.6914914761142E-3</v>
      </c>
      <c r="H53" s="11" t="s">
        <v>10</v>
      </c>
      <c r="I53" s="11" t="s">
        <v>10</v>
      </c>
      <c r="J53" s="33" t="s">
        <v>10</v>
      </c>
      <c r="K53" s="33"/>
      <c r="L53" s="33"/>
      <c r="S53" s="35" t="s">
        <v>3233</v>
      </c>
      <c r="T53" s="35" t="s">
        <v>3354</v>
      </c>
      <c r="V53" s="35" t="s">
        <v>3233</v>
      </c>
      <c r="W53" s="35"/>
      <c r="Y53" s="35" t="s">
        <v>3233</v>
      </c>
      <c r="Z53" s="35" t="s">
        <v>3316</v>
      </c>
    </row>
    <row r="54" spans="1:26" x14ac:dyDescent="0.2">
      <c r="A54" s="2" t="s">
        <v>3185</v>
      </c>
      <c r="B54" s="2">
        <v>15.059931317320499</v>
      </c>
      <c r="C54" s="2">
        <v>-7.1610645899501204</v>
      </c>
      <c r="D54" s="2">
        <v>1.6578918219659</v>
      </c>
      <c r="E54" s="2">
        <v>-4.3193798865951702</v>
      </c>
      <c r="F54" s="10">
        <v>1.56468241001916E-5</v>
      </c>
      <c r="G54" s="10">
        <v>2.83984874353478E-3</v>
      </c>
      <c r="H54" s="11" t="s">
        <v>10</v>
      </c>
      <c r="I54" s="11" t="s">
        <v>3338</v>
      </c>
      <c r="J54" s="33" t="s">
        <v>3365</v>
      </c>
      <c r="K54" s="33"/>
      <c r="L54" s="33"/>
      <c r="S54" s="35" t="s">
        <v>823</v>
      </c>
      <c r="T54" s="35" t="s">
        <v>3355</v>
      </c>
      <c r="V54" s="35" t="s">
        <v>823</v>
      </c>
      <c r="W54" s="35" t="s">
        <v>829</v>
      </c>
      <c r="Y54" s="35" t="s">
        <v>823</v>
      </c>
      <c r="Z54" s="35" t="s">
        <v>3317</v>
      </c>
    </row>
    <row r="55" spans="1:26" x14ac:dyDescent="0.2">
      <c r="A55" s="2" t="s">
        <v>3186</v>
      </c>
      <c r="B55" s="2">
        <v>13.5023665380956</v>
      </c>
      <c r="C55" s="2">
        <v>-7.0289696643730899</v>
      </c>
      <c r="D55" s="2">
        <v>1.6426541585138601</v>
      </c>
      <c r="E55" s="2">
        <v>-4.2790319727022297</v>
      </c>
      <c r="F55" s="10">
        <v>1.8770790057284299E-5</v>
      </c>
      <c r="G55" s="2">
        <v>3.2221304980862399E-3</v>
      </c>
      <c r="H55" s="11" t="s">
        <v>10</v>
      </c>
      <c r="I55" s="11" t="s">
        <v>10</v>
      </c>
      <c r="J55" s="33" t="s">
        <v>10</v>
      </c>
      <c r="K55" s="33"/>
      <c r="L55" s="33"/>
      <c r="S55" s="35" t="s">
        <v>3209</v>
      </c>
      <c r="T55" s="35"/>
      <c r="V55" s="35" t="s">
        <v>3209</v>
      </c>
      <c r="W55" s="35"/>
      <c r="Y55" s="35" t="s">
        <v>3209</v>
      </c>
      <c r="Z55" s="35"/>
    </row>
    <row r="56" spans="1:26" x14ac:dyDescent="0.2">
      <c r="A56" s="2" t="s">
        <v>3187</v>
      </c>
      <c r="B56" s="2">
        <v>13.476793890212299</v>
      </c>
      <c r="C56" s="2">
        <v>-7.0218239750019897</v>
      </c>
      <c r="D56" s="2">
        <v>1.64436589680346</v>
      </c>
      <c r="E56" s="2">
        <v>-4.2702320624940997</v>
      </c>
      <c r="F56" s="10">
        <v>1.95269682180044E-5</v>
      </c>
      <c r="G56" s="2">
        <v>3.3219161753554401E-3</v>
      </c>
      <c r="H56" s="11" t="s">
        <v>10</v>
      </c>
      <c r="I56" s="11" t="s">
        <v>10</v>
      </c>
      <c r="J56" s="33" t="s">
        <v>10</v>
      </c>
      <c r="K56" s="33"/>
      <c r="L56" s="33"/>
      <c r="S56" s="35" t="s">
        <v>22</v>
      </c>
      <c r="T56" s="35"/>
      <c r="V56" s="35" t="s">
        <v>22</v>
      </c>
      <c r="W56" s="35" t="s">
        <v>23</v>
      </c>
      <c r="Y56" s="35" t="s">
        <v>22</v>
      </c>
      <c r="Z56" s="35" t="s">
        <v>3318</v>
      </c>
    </row>
    <row r="57" spans="1:26" x14ac:dyDescent="0.2">
      <c r="A57" s="2" t="s">
        <v>3188</v>
      </c>
      <c r="B57" s="2">
        <v>32.680442543738202</v>
      </c>
      <c r="C57" s="2">
        <v>-2.5399831918073201</v>
      </c>
      <c r="D57" s="2">
        <v>0.59528335031497104</v>
      </c>
      <c r="E57" s="2">
        <v>-4.2668473601073904</v>
      </c>
      <c r="F57" s="10">
        <v>1.98254705583496E-5</v>
      </c>
      <c r="G57" s="10">
        <v>3.3626594259534002E-3</v>
      </c>
      <c r="H57" s="11" t="s">
        <v>10</v>
      </c>
      <c r="I57" s="11" t="s">
        <v>10</v>
      </c>
      <c r="J57" s="33" t="s">
        <v>10</v>
      </c>
      <c r="K57" s="33"/>
      <c r="L57" s="33"/>
      <c r="S57" s="35" t="s">
        <v>576</v>
      </c>
      <c r="T57" s="35"/>
      <c r="V57" s="35" t="s">
        <v>576</v>
      </c>
      <c r="W57" s="35" t="s">
        <v>586</v>
      </c>
      <c r="Y57" s="35" t="s">
        <v>576</v>
      </c>
      <c r="Z57" s="35" t="s">
        <v>3319</v>
      </c>
    </row>
    <row r="58" spans="1:26" x14ac:dyDescent="0.2">
      <c r="A58" s="2" t="s">
        <v>3189</v>
      </c>
      <c r="B58" s="2">
        <v>13.425648594445599</v>
      </c>
      <c r="C58" s="2">
        <v>-7.00788361061187</v>
      </c>
      <c r="D58" s="2">
        <v>1.6527445071881599</v>
      </c>
      <c r="E58" s="2">
        <v>-4.2401493879622603</v>
      </c>
      <c r="F58" s="10">
        <v>2.2337107947907201E-5</v>
      </c>
      <c r="G58" s="2">
        <v>3.6580223619288202E-3</v>
      </c>
      <c r="H58" s="11" t="s">
        <v>10</v>
      </c>
      <c r="I58" s="11" t="s">
        <v>10</v>
      </c>
      <c r="J58" s="33" t="s">
        <v>10</v>
      </c>
      <c r="K58" s="33"/>
      <c r="L58" s="33"/>
      <c r="S58" s="35" t="s">
        <v>3218</v>
      </c>
      <c r="T58" s="35" t="s">
        <v>3356</v>
      </c>
      <c r="V58" s="35" t="s">
        <v>3218</v>
      </c>
      <c r="W58" s="35" t="s">
        <v>3280</v>
      </c>
      <c r="Y58" s="35" t="s">
        <v>3218</v>
      </c>
      <c r="Z58" s="35" t="s">
        <v>3320</v>
      </c>
    </row>
    <row r="59" spans="1:26" x14ac:dyDescent="0.2">
      <c r="A59" s="2" t="s">
        <v>3190</v>
      </c>
      <c r="B59" s="2">
        <v>13.8414412195003</v>
      </c>
      <c r="C59" s="2">
        <v>-7.0411281038710998</v>
      </c>
      <c r="D59" s="2">
        <v>1.6701353193152499</v>
      </c>
      <c r="E59" s="2">
        <v>-4.2159027609558901</v>
      </c>
      <c r="F59" s="10">
        <v>2.4878094844731002E-5</v>
      </c>
      <c r="G59" s="2">
        <v>4.0164380317315E-3</v>
      </c>
      <c r="H59" s="11" t="s">
        <v>3292</v>
      </c>
      <c r="I59" s="11" t="s">
        <v>3298</v>
      </c>
      <c r="J59" s="33" t="s">
        <v>3343</v>
      </c>
      <c r="K59" s="33"/>
      <c r="L59" s="33"/>
      <c r="S59" s="35" t="s">
        <v>3178</v>
      </c>
      <c r="T59" s="35"/>
      <c r="V59" s="35" t="s">
        <v>3178</v>
      </c>
      <c r="W59" s="35"/>
      <c r="Y59" s="35" t="s">
        <v>3178</v>
      </c>
      <c r="Z59" s="35" t="s">
        <v>3321</v>
      </c>
    </row>
    <row r="60" spans="1:26" x14ac:dyDescent="0.2">
      <c r="A60" s="2" t="s">
        <v>3191</v>
      </c>
      <c r="B60" s="2">
        <v>13.577426917015501</v>
      </c>
      <c r="C60" s="2">
        <v>-7.0647886372146802</v>
      </c>
      <c r="D60" s="2">
        <v>1.68407425368272</v>
      </c>
      <c r="E60" s="2">
        <v>-4.1950576833328199</v>
      </c>
      <c r="F60" s="10">
        <v>2.7280215338504101E-5</v>
      </c>
      <c r="G60" s="10">
        <v>4.2947499230424104E-3</v>
      </c>
      <c r="H60" s="11" t="s">
        <v>3286</v>
      </c>
      <c r="I60" s="11" t="s">
        <v>3303</v>
      </c>
      <c r="J60" s="33" t="s">
        <v>10</v>
      </c>
      <c r="K60" s="33"/>
      <c r="L60" s="33"/>
      <c r="S60" s="35" t="s">
        <v>819</v>
      </c>
      <c r="T60" s="35"/>
      <c r="V60" s="35" t="s">
        <v>819</v>
      </c>
      <c r="W60" s="35"/>
      <c r="Y60" s="35" t="s">
        <v>819</v>
      </c>
      <c r="Z60" s="35"/>
    </row>
    <row r="61" spans="1:26" x14ac:dyDescent="0.2">
      <c r="A61" s="2" t="s">
        <v>3192</v>
      </c>
      <c r="B61" s="2">
        <v>12.750814361096801</v>
      </c>
      <c r="C61" s="2">
        <v>-6.9461189422703304</v>
      </c>
      <c r="D61" s="2">
        <v>1.65722648550263</v>
      </c>
      <c r="E61" s="2">
        <v>-4.1914119784077597</v>
      </c>
      <c r="F61" s="10">
        <v>2.7722374078332499E-5</v>
      </c>
      <c r="G61" s="2">
        <v>4.3284879417100396E-3</v>
      </c>
      <c r="H61" s="11" t="s">
        <v>10</v>
      </c>
      <c r="I61" s="11" t="s">
        <v>10</v>
      </c>
      <c r="J61" s="33" t="s">
        <v>10</v>
      </c>
      <c r="K61" s="33"/>
      <c r="L61" s="33"/>
      <c r="S61" s="35" t="s">
        <v>3255</v>
      </c>
      <c r="T61" s="35"/>
      <c r="V61" s="35" t="s">
        <v>3255</v>
      </c>
      <c r="W61" s="35"/>
      <c r="Y61" s="35" t="s">
        <v>3255</v>
      </c>
      <c r="Z61" s="35" t="s">
        <v>3322</v>
      </c>
    </row>
    <row r="62" spans="1:26" x14ac:dyDescent="0.2">
      <c r="A62" s="2" t="s">
        <v>3193</v>
      </c>
      <c r="B62" s="2">
        <v>13.8158685716169</v>
      </c>
      <c r="C62" s="2">
        <v>-7.0359583957417602</v>
      </c>
      <c r="D62" s="2">
        <v>1.6818206539671501</v>
      </c>
      <c r="E62" s="2">
        <v>-4.18353668040944</v>
      </c>
      <c r="F62" s="10">
        <v>2.87008755877377E-5</v>
      </c>
      <c r="G62" s="10">
        <v>4.4369014676951197E-3</v>
      </c>
      <c r="H62" s="11" t="s">
        <v>10</v>
      </c>
      <c r="I62" s="11" t="s">
        <v>10</v>
      </c>
      <c r="J62" s="33" t="s">
        <v>10</v>
      </c>
      <c r="K62" s="33"/>
      <c r="L62" s="33"/>
      <c r="S62" s="35" t="s">
        <v>842</v>
      </c>
      <c r="T62" s="35"/>
      <c r="V62" s="35" t="s">
        <v>842</v>
      </c>
      <c r="W62" s="35" t="s">
        <v>849</v>
      </c>
      <c r="Y62" s="35" t="s">
        <v>842</v>
      </c>
      <c r="Z62" s="35" t="s">
        <v>851</v>
      </c>
    </row>
    <row r="63" spans="1:26" x14ac:dyDescent="0.2">
      <c r="A63" s="2" t="s">
        <v>3194</v>
      </c>
      <c r="B63" s="2">
        <v>13.163291856691</v>
      </c>
      <c r="C63" s="2">
        <v>-7.0167235387672902</v>
      </c>
      <c r="D63" s="2">
        <v>1.6780476270581099</v>
      </c>
      <c r="E63" s="2">
        <v>-4.1814805644513999</v>
      </c>
      <c r="F63" s="10">
        <v>2.89617011051515E-5</v>
      </c>
      <c r="G63" s="2">
        <v>4.4369014676951197E-3</v>
      </c>
      <c r="H63" s="11" t="s">
        <v>3293</v>
      </c>
      <c r="I63" s="11" t="s">
        <v>3296</v>
      </c>
      <c r="J63" s="33" t="s">
        <v>3341</v>
      </c>
      <c r="K63" s="33"/>
      <c r="L63" s="33"/>
      <c r="S63" s="35" t="s">
        <v>3214</v>
      </c>
      <c r="T63" s="35"/>
      <c r="V63" s="35" t="s">
        <v>3214</v>
      </c>
      <c r="W63" s="35" t="s">
        <v>3279</v>
      </c>
      <c r="Y63" s="35" t="s">
        <v>3214</v>
      </c>
      <c r="Z63" s="35" t="s">
        <v>3323</v>
      </c>
    </row>
    <row r="64" spans="1:26" x14ac:dyDescent="0.2">
      <c r="A64" s="2" t="s">
        <v>3195</v>
      </c>
      <c r="B64" s="2">
        <v>14.361182000818699</v>
      </c>
      <c r="C64" s="2">
        <v>-7.0874475834801496</v>
      </c>
      <c r="D64" s="2">
        <v>1.7127097866416801</v>
      </c>
      <c r="E64" s="2">
        <v>-4.1381485869695203</v>
      </c>
      <c r="F64" s="10">
        <v>3.5011961186205397E-5</v>
      </c>
      <c r="G64" s="10">
        <v>5.1826796571476496E-3</v>
      </c>
      <c r="H64" s="11" t="s">
        <v>3283</v>
      </c>
      <c r="I64" s="11" t="s">
        <v>3311</v>
      </c>
      <c r="J64" s="33" t="s">
        <v>3352</v>
      </c>
      <c r="K64" s="33"/>
      <c r="L64" s="33"/>
      <c r="S64" s="35" t="s">
        <v>3236</v>
      </c>
      <c r="T64" s="35" t="s">
        <v>3357</v>
      </c>
      <c r="V64" s="35" t="s">
        <v>3236</v>
      </c>
      <c r="W64" s="35" t="s">
        <v>3278</v>
      </c>
      <c r="Y64" s="35" t="s">
        <v>3236</v>
      </c>
      <c r="Z64" s="35" t="s">
        <v>3324</v>
      </c>
    </row>
    <row r="65" spans="1:26" x14ac:dyDescent="0.2">
      <c r="A65" s="2" t="s">
        <v>3196</v>
      </c>
      <c r="B65" s="2">
        <v>14.127713040407899</v>
      </c>
      <c r="C65" s="2">
        <v>-7.0642869548115002</v>
      </c>
      <c r="D65" s="2">
        <v>1.70864315202807</v>
      </c>
      <c r="E65" s="2">
        <v>-4.1344425525169202</v>
      </c>
      <c r="F65" s="10">
        <v>3.5581724096941197E-5</v>
      </c>
      <c r="G65" s="10">
        <v>5.2349281842029296E-3</v>
      </c>
      <c r="H65" s="11" t="s">
        <v>10</v>
      </c>
      <c r="I65" s="11" t="s">
        <v>3331</v>
      </c>
      <c r="J65" s="33" t="s">
        <v>10</v>
      </c>
      <c r="K65" s="33"/>
      <c r="L65" s="33"/>
      <c r="S65" s="35" t="s">
        <v>3234</v>
      </c>
      <c r="T65" s="35"/>
      <c r="V65" s="35" t="s">
        <v>3234</v>
      </c>
      <c r="W65" s="35"/>
      <c r="Y65" s="35" t="s">
        <v>3234</v>
      </c>
      <c r="Z65" s="35" t="s">
        <v>3325</v>
      </c>
    </row>
    <row r="66" spans="1:26" x14ac:dyDescent="0.2">
      <c r="A66" s="2" t="s">
        <v>3197</v>
      </c>
      <c r="B66" s="2">
        <v>123.593450216916</v>
      </c>
      <c r="C66" s="2">
        <v>-8.7875706077252502</v>
      </c>
      <c r="D66" s="2">
        <v>2.1259537358074101</v>
      </c>
      <c r="E66" s="2">
        <v>-4.1334721728494497</v>
      </c>
      <c r="F66" s="10">
        <v>3.5732357670730601E-5</v>
      </c>
      <c r="G66" s="10">
        <v>5.2349281842029296E-3</v>
      </c>
      <c r="H66" s="11" t="s">
        <v>3287</v>
      </c>
      <c r="I66" s="11" t="s">
        <v>3305</v>
      </c>
      <c r="J66" s="33" t="s">
        <v>3348</v>
      </c>
      <c r="K66" s="33"/>
      <c r="L66" s="33"/>
      <c r="S66" s="35" t="s">
        <v>884</v>
      </c>
      <c r="T66" s="35"/>
      <c r="V66" s="35" t="s">
        <v>884</v>
      </c>
      <c r="W66" s="35"/>
      <c r="Y66" s="35" t="s">
        <v>884</v>
      </c>
      <c r="Z66" s="35" t="s">
        <v>890</v>
      </c>
    </row>
    <row r="67" spans="1:26" x14ac:dyDescent="0.2">
      <c r="A67" s="2" t="s">
        <v>3198</v>
      </c>
      <c r="B67" s="2">
        <v>13.089889042501399</v>
      </c>
      <c r="C67" s="2">
        <v>-6.9596289531294104</v>
      </c>
      <c r="D67" s="2">
        <v>1.6881360588324501</v>
      </c>
      <c r="E67" s="2">
        <v>-4.1226706323320998</v>
      </c>
      <c r="F67" s="10">
        <v>3.7450500432965299E-5</v>
      </c>
      <c r="G67" s="10">
        <v>5.4275531087956104E-3</v>
      </c>
      <c r="H67" s="11" t="s">
        <v>3289</v>
      </c>
      <c r="I67" s="11" t="s">
        <v>3302</v>
      </c>
      <c r="J67" s="33" t="s">
        <v>10</v>
      </c>
      <c r="K67" s="33"/>
      <c r="L67" s="33"/>
      <c r="S67" s="35" t="s">
        <v>3224</v>
      </c>
      <c r="T67" s="35" t="s">
        <v>3358</v>
      </c>
      <c r="V67" s="35" t="s">
        <v>3224</v>
      </c>
      <c r="W67" s="35" t="s">
        <v>3277</v>
      </c>
      <c r="Y67" s="35" t="s">
        <v>3224</v>
      </c>
      <c r="Z67" s="35" t="s">
        <v>3326</v>
      </c>
    </row>
    <row r="68" spans="1:26" x14ac:dyDescent="0.2">
      <c r="A68" s="2" t="s">
        <v>3199</v>
      </c>
      <c r="B68" s="2">
        <v>26.103804972970799</v>
      </c>
      <c r="C68" s="2">
        <v>-2.7516070156316701</v>
      </c>
      <c r="D68" s="2">
        <v>0.67193282658489595</v>
      </c>
      <c r="E68" s="2">
        <v>-4.0950626413308902</v>
      </c>
      <c r="F68" s="10">
        <v>4.2205425834301597E-5</v>
      </c>
      <c r="G68" s="2">
        <v>5.9389807859181404E-3</v>
      </c>
      <c r="H68" s="11" t="s">
        <v>10</v>
      </c>
      <c r="I68" s="11" t="s">
        <v>10</v>
      </c>
      <c r="J68" s="33" t="s">
        <v>10</v>
      </c>
      <c r="K68" s="33"/>
      <c r="L68" s="33"/>
      <c r="S68" s="35" t="s">
        <v>853</v>
      </c>
      <c r="T68" s="35"/>
      <c r="V68" s="35" t="s">
        <v>853</v>
      </c>
      <c r="W68" s="35" t="s">
        <v>858</v>
      </c>
      <c r="Y68" s="35" t="s">
        <v>853</v>
      </c>
      <c r="Z68" s="35" t="s">
        <v>859</v>
      </c>
    </row>
    <row r="69" spans="1:26" x14ac:dyDescent="0.2">
      <c r="A69" s="2" t="s">
        <v>3200</v>
      </c>
      <c r="B69" s="2">
        <v>34.551288162176</v>
      </c>
      <c r="C69" s="2">
        <v>-2.2563370126793001</v>
      </c>
      <c r="D69" s="2">
        <v>0.55404158593547104</v>
      </c>
      <c r="E69" s="2">
        <v>-4.0725047901767004</v>
      </c>
      <c r="F69" s="10">
        <v>4.6510243334091599E-5</v>
      </c>
      <c r="G69" s="10">
        <v>6.4649238234387304E-3</v>
      </c>
      <c r="H69" s="11" t="s">
        <v>3272</v>
      </c>
      <c r="I69" s="11" t="s">
        <v>3143</v>
      </c>
      <c r="J69" s="33" t="s">
        <v>3363</v>
      </c>
      <c r="K69" s="33"/>
      <c r="L69" s="33"/>
      <c r="S69" s="35" t="s">
        <v>40</v>
      </c>
      <c r="T69" s="35" t="s">
        <v>3359</v>
      </c>
      <c r="V69" s="35" t="s">
        <v>40</v>
      </c>
      <c r="W69" s="35" t="s">
        <v>49</v>
      </c>
      <c r="Y69" s="35" t="s">
        <v>40</v>
      </c>
      <c r="Z69" s="35" t="s">
        <v>3327</v>
      </c>
    </row>
    <row r="70" spans="1:26" x14ac:dyDescent="0.2">
      <c r="A70" s="2" t="s">
        <v>3201</v>
      </c>
      <c r="B70" s="2">
        <v>13.7391506279669</v>
      </c>
      <c r="C70" s="2">
        <v>-7.0231609525875696</v>
      </c>
      <c r="D70" s="2">
        <v>1.72919702912058</v>
      </c>
      <c r="E70" s="2">
        <v>-4.0615157407246798</v>
      </c>
      <c r="F70" s="10">
        <v>4.8755130235756698E-5</v>
      </c>
      <c r="G70" s="2">
        <v>6.6953129449054899E-3</v>
      </c>
      <c r="H70" s="11" t="s">
        <v>3273</v>
      </c>
      <c r="I70" s="11" t="s">
        <v>3333</v>
      </c>
      <c r="J70" s="33" t="s">
        <v>10</v>
      </c>
      <c r="K70" s="33"/>
      <c r="L70" s="33"/>
      <c r="S70" s="35" t="s">
        <v>3221</v>
      </c>
      <c r="T70" s="35" t="s">
        <v>3360</v>
      </c>
      <c r="V70" s="35" t="s">
        <v>3221</v>
      </c>
      <c r="W70" s="35" t="s">
        <v>3276</v>
      </c>
      <c r="Y70" s="35" t="s">
        <v>3221</v>
      </c>
      <c r="Z70" s="35" t="s">
        <v>3328</v>
      </c>
    </row>
    <row r="71" spans="1:26" x14ac:dyDescent="0.2">
      <c r="A71" s="2" t="s">
        <v>3202</v>
      </c>
      <c r="B71" s="2">
        <v>34.1635330890647</v>
      </c>
      <c r="C71" s="2">
        <v>-2.4367469239661599</v>
      </c>
      <c r="D71" s="2">
        <v>0.60108078620600902</v>
      </c>
      <c r="E71" s="2">
        <v>-4.0539424647837699</v>
      </c>
      <c r="F71" s="10">
        <v>5.0361607706116299E-5</v>
      </c>
      <c r="G71" s="10">
        <v>6.8335905313608699E-3</v>
      </c>
      <c r="H71" s="11" t="s">
        <v>10</v>
      </c>
      <c r="I71" s="11" t="s">
        <v>10</v>
      </c>
      <c r="J71" s="33" t="s">
        <v>10</v>
      </c>
      <c r="K71" s="33"/>
      <c r="L71" s="33"/>
      <c r="S71" s="35" t="s">
        <v>61</v>
      </c>
      <c r="T71" s="35" t="s">
        <v>3361</v>
      </c>
      <c r="V71" s="35" t="s">
        <v>61</v>
      </c>
      <c r="W71" s="35" t="s">
        <v>63</v>
      </c>
      <c r="Y71" s="35" t="s">
        <v>61</v>
      </c>
      <c r="Z71" s="35" t="s">
        <v>3329</v>
      </c>
    </row>
    <row r="72" spans="1:26" x14ac:dyDescent="0.2">
      <c r="A72" s="2" t="s">
        <v>3203</v>
      </c>
      <c r="B72" s="2">
        <v>17.287958234790501</v>
      </c>
      <c r="C72" s="2">
        <v>-4.2843283043362597</v>
      </c>
      <c r="D72" s="2">
        <v>1.0579683965075899</v>
      </c>
      <c r="E72" s="2">
        <v>-4.0495806098547504</v>
      </c>
      <c r="F72" s="10">
        <v>5.1309502063279202E-5</v>
      </c>
      <c r="G72" s="10">
        <v>6.9128333867288002E-3</v>
      </c>
      <c r="H72" s="11" t="s">
        <v>10</v>
      </c>
      <c r="I72" s="11" t="s">
        <v>10</v>
      </c>
      <c r="J72" s="33" t="s">
        <v>10</v>
      </c>
      <c r="K72" s="33"/>
      <c r="L72" s="33"/>
      <c r="S72" s="35" t="s">
        <v>601</v>
      </c>
      <c r="T72" s="35"/>
      <c r="V72" s="35" t="s">
        <v>601</v>
      </c>
      <c r="W72" s="35"/>
      <c r="Y72" s="35" t="s">
        <v>601</v>
      </c>
      <c r="Z72" s="35"/>
    </row>
    <row r="73" spans="1:26" x14ac:dyDescent="0.2">
      <c r="A73" s="2" t="s">
        <v>3204</v>
      </c>
      <c r="B73" s="2">
        <v>12.2343887092389</v>
      </c>
      <c r="C73" s="2">
        <v>-6.8634226208042097</v>
      </c>
      <c r="D73" s="2">
        <v>1.70188571591114</v>
      </c>
      <c r="E73" s="2">
        <v>-4.0328340244219802</v>
      </c>
      <c r="F73" s="10">
        <v>5.5108203047756101E-5</v>
      </c>
      <c r="G73" s="10">
        <v>7.3546061809108103E-3</v>
      </c>
      <c r="H73" s="11" t="s">
        <v>10</v>
      </c>
      <c r="I73" s="11" t="s">
        <v>10</v>
      </c>
      <c r="J73" s="33" t="s">
        <v>10</v>
      </c>
      <c r="K73" s="33"/>
      <c r="L73" s="33"/>
      <c r="S73" s="35" t="s">
        <v>833</v>
      </c>
      <c r="T73" s="35"/>
      <c r="V73" s="35" t="s">
        <v>833</v>
      </c>
      <c r="W73" s="35" t="s">
        <v>839</v>
      </c>
      <c r="Y73" s="35" t="s">
        <v>833</v>
      </c>
      <c r="Z73" s="35" t="s">
        <v>840</v>
      </c>
    </row>
    <row r="74" spans="1:26" x14ac:dyDescent="0.2">
      <c r="A74" s="2" t="s">
        <v>3205</v>
      </c>
      <c r="B74" s="2">
        <v>36.689522149074897</v>
      </c>
      <c r="C74" s="2">
        <v>-2.0899944445238599</v>
      </c>
      <c r="D74" s="2">
        <v>0.51831330567967604</v>
      </c>
      <c r="E74" s="2">
        <v>-4.0322994251193496</v>
      </c>
      <c r="F74" s="10">
        <v>5.5233750577817602E-5</v>
      </c>
      <c r="G74" s="10">
        <v>7.3546061809108103E-3</v>
      </c>
      <c r="H74" s="11" t="s">
        <v>10</v>
      </c>
      <c r="I74" s="11" t="s">
        <v>3315</v>
      </c>
      <c r="J74" s="33" t="s">
        <v>10</v>
      </c>
      <c r="K74" s="33"/>
      <c r="L74" s="33"/>
      <c r="S74" s="35" t="s">
        <v>3265</v>
      </c>
      <c r="T74" s="35" t="s">
        <v>3362</v>
      </c>
      <c r="V74" s="35" t="s">
        <v>3265</v>
      </c>
      <c r="W74" s="35" t="s">
        <v>3275</v>
      </c>
      <c r="Y74" s="35" t="s">
        <v>3265</v>
      </c>
      <c r="Z74" s="35" t="s">
        <v>3330</v>
      </c>
    </row>
    <row r="75" spans="1:26" x14ac:dyDescent="0.2">
      <c r="A75" s="2" t="s">
        <v>3206</v>
      </c>
      <c r="B75" s="2">
        <v>11.7674507884175</v>
      </c>
      <c r="C75" s="2">
        <v>-6.8112733935090199</v>
      </c>
      <c r="D75" s="2">
        <v>1.7009883102530601</v>
      </c>
      <c r="E75" s="2">
        <v>-4.0043034701959197</v>
      </c>
      <c r="F75" s="10">
        <v>6.2200475823611802E-5</v>
      </c>
      <c r="G75" s="10">
        <v>8.0381068416953295E-3</v>
      </c>
      <c r="H75" s="11" t="s">
        <v>3290</v>
      </c>
      <c r="I75" s="11" t="s">
        <v>3300</v>
      </c>
      <c r="J75" s="33" t="s">
        <v>3345</v>
      </c>
      <c r="K75" s="33"/>
      <c r="L75" s="33"/>
      <c r="S75" s="35" t="s">
        <v>891</v>
      </c>
      <c r="T75" s="35"/>
      <c r="V75" s="35" t="s">
        <v>891</v>
      </c>
      <c r="W75" s="35"/>
      <c r="Y75" s="35" t="s">
        <v>891</v>
      </c>
      <c r="Z75" s="35" t="s">
        <v>898</v>
      </c>
    </row>
    <row r="76" spans="1:26" x14ac:dyDescent="0.2">
      <c r="A76" s="2" t="s">
        <v>3207</v>
      </c>
      <c r="B76" s="2">
        <v>13.0131710988514</v>
      </c>
      <c r="C76" s="2">
        <v>-6.9451945453873103</v>
      </c>
      <c r="D76" s="2">
        <v>1.7353488411815701</v>
      </c>
      <c r="E76" s="2">
        <v>-4.0021892893064903</v>
      </c>
      <c r="F76" s="10">
        <v>6.2759056280166007E-5</v>
      </c>
      <c r="G76" s="10">
        <v>8.0554923815465296E-3</v>
      </c>
      <c r="H76" s="11" t="s">
        <v>10</v>
      </c>
      <c r="I76" s="11" t="s">
        <v>10</v>
      </c>
      <c r="J76" s="33" t="s">
        <v>10</v>
      </c>
      <c r="K76" s="33"/>
      <c r="L76" s="33"/>
      <c r="S76" s="35" t="s">
        <v>3196</v>
      </c>
      <c r="T76" s="35"/>
      <c r="V76" s="35" t="s">
        <v>3196</v>
      </c>
      <c r="W76" s="35"/>
      <c r="Y76" s="35" t="s">
        <v>3196</v>
      </c>
      <c r="Z76" s="35" t="s">
        <v>3331</v>
      </c>
    </row>
    <row r="77" spans="1:26" x14ac:dyDescent="0.2">
      <c r="A77" s="2" t="s">
        <v>3208</v>
      </c>
      <c r="B77" s="2">
        <v>18.854133378435201</v>
      </c>
      <c r="C77" s="2">
        <v>-3.9900163636424701</v>
      </c>
      <c r="D77" s="2">
        <v>1.0003823525706499</v>
      </c>
      <c r="E77" s="2">
        <v>-3.9884913537203599</v>
      </c>
      <c r="F77" s="10">
        <v>6.6494826051450201E-5</v>
      </c>
      <c r="G77" s="10">
        <v>8.4587949479289007E-3</v>
      </c>
      <c r="H77" s="11" t="s">
        <v>10</v>
      </c>
      <c r="I77" s="11" t="s">
        <v>10</v>
      </c>
      <c r="J77" s="33" t="s">
        <v>10</v>
      </c>
      <c r="K77" s="33"/>
      <c r="L77" s="33"/>
      <c r="S77" s="35" t="s">
        <v>3230</v>
      </c>
      <c r="T77" s="35"/>
      <c r="V77" s="35" t="s">
        <v>3230</v>
      </c>
      <c r="W77" s="35" t="s">
        <v>3274</v>
      </c>
      <c r="Y77" s="35" t="s">
        <v>3230</v>
      </c>
      <c r="Z77" s="35" t="s">
        <v>3332</v>
      </c>
    </row>
    <row r="78" spans="1:26" x14ac:dyDescent="0.2">
      <c r="A78" s="2" t="s">
        <v>3209</v>
      </c>
      <c r="B78" s="2">
        <v>12.7541294905573</v>
      </c>
      <c r="C78" s="2">
        <v>-6.9155450686850299</v>
      </c>
      <c r="D78" s="2">
        <v>1.75115397599038</v>
      </c>
      <c r="E78" s="2">
        <v>-3.9491359203715199</v>
      </c>
      <c r="F78" s="10">
        <v>7.8433808258936898E-5</v>
      </c>
      <c r="G78" s="10">
        <v>9.5511596852068704E-3</v>
      </c>
      <c r="H78" s="11" t="s">
        <v>10</v>
      </c>
      <c r="I78" s="11" t="s">
        <v>10</v>
      </c>
      <c r="J78" s="33" t="s">
        <v>10</v>
      </c>
      <c r="K78" s="33"/>
      <c r="L78" s="33"/>
      <c r="S78" s="35" t="s">
        <v>3201</v>
      </c>
      <c r="T78" s="35"/>
      <c r="V78" s="35" t="s">
        <v>3201</v>
      </c>
      <c r="W78" s="35" t="s">
        <v>3273</v>
      </c>
      <c r="Y78" s="35" t="s">
        <v>3201</v>
      </c>
      <c r="Z78" s="35" t="s">
        <v>3333</v>
      </c>
    </row>
    <row r="79" spans="1:26" x14ac:dyDescent="0.2">
      <c r="A79" s="2" t="s">
        <v>752</v>
      </c>
      <c r="B79" s="2">
        <v>374.82285016510298</v>
      </c>
      <c r="C79" s="2">
        <v>4.0427465370675399</v>
      </c>
      <c r="D79" s="2">
        <v>0.24217718300814101</v>
      </c>
      <c r="E79" s="2">
        <v>16.693341985614001</v>
      </c>
      <c r="F79" s="10">
        <v>1.4653355578849699E-62</v>
      </c>
      <c r="G79" s="10">
        <v>8.3509473443864499E-58</v>
      </c>
      <c r="H79" s="11" t="s">
        <v>10</v>
      </c>
      <c r="I79" s="11" t="s">
        <v>10</v>
      </c>
      <c r="J79" s="33" t="s">
        <v>10</v>
      </c>
      <c r="K79" s="33"/>
      <c r="L79" s="33"/>
      <c r="S79" s="35" t="s">
        <v>3238</v>
      </c>
      <c r="T79" s="35"/>
      <c r="V79" s="35" t="s">
        <v>3238</v>
      </c>
      <c r="W79" s="35"/>
      <c r="Y79" s="35" t="s">
        <v>3238</v>
      </c>
      <c r="Z79" s="35" t="s">
        <v>3334</v>
      </c>
    </row>
    <row r="80" spans="1:26" x14ac:dyDescent="0.2">
      <c r="A80" s="2" t="s">
        <v>793</v>
      </c>
      <c r="B80" s="2">
        <v>5582.3759696544903</v>
      </c>
      <c r="C80" s="2">
        <v>6.1479265092337601</v>
      </c>
      <c r="D80" s="2">
        <v>0.656965121096732</v>
      </c>
      <c r="E80" s="2">
        <v>9.3580713980225596</v>
      </c>
      <c r="F80" s="10">
        <v>8.1205365712210703E-21</v>
      </c>
      <c r="G80" s="10">
        <v>2.3139468959694502E-16</v>
      </c>
      <c r="H80" s="11" t="s">
        <v>10</v>
      </c>
      <c r="I80" s="11" t="s">
        <v>10</v>
      </c>
      <c r="J80" s="33" t="s">
        <v>10</v>
      </c>
      <c r="K80" s="33"/>
      <c r="L80" s="33"/>
      <c r="S80" s="35" t="s">
        <v>3200</v>
      </c>
      <c r="T80" s="35" t="s">
        <v>3363</v>
      </c>
      <c r="V80" s="35" t="s">
        <v>3200</v>
      </c>
      <c r="W80" s="35" t="s">
        <v>3272</v>
      </c>
      <c r="Y80" s="35" t="s">
        <v>3200</v>
      </c>
      <c r="Z80" s="35" t="s">
        <v>3143</v>
      </c>
    </row>
    <row r="81" spans="1:26" x14ac:dyDescent="0.2">
      <c r="A81" s="2" t="s">
        <v>669</v>
      </c>
      <c r="B81" s="2">
        <v>115.88808343090599</v>
      </c>
      <c r="C81" s="2">
        <v>3.2780236043976099</v>
      </c>
      <c r="D81" s="2">
        <v>0.35230755253347801</v>
      </c>
      <c r="E81" s="2">
        <v>9.3044375030424806</v>
      </c>
      <c r="F81" s="10">
        <v>1.3470343791053701E-20</v>
      </c>
      <c r="G81" s="10">
        <v>2.5589163088404999E-16</v>
      </c>
      <c r="H81" s="11" t="s">
        <v>10</v>
      </c>
      <c r="I81" s="11" t="s">
        <v>10</v>
      </c>
      <c r="J81" s="33" t="s">
        <v>10</v>
      </c>
      <c r="K81" s="33"/>
      <c r="L81" s="33"/>
      <c r="S81" s="35" t="s">
        <v>3182</v>
      </c>
      <c r="T81" s="35"/>
      <c r="V81" s="35" t="s">
        <v>3182</v>
      </c>
      <c r="W81" s="35"/>
      <c r="Y81" s="35" t="s">
        <v>3182</v>
      </c>
      <c r="Z81" s="35" t="s">
        <v>3335</v>
      </c>
    </row>
    <row r="82" spans="1:26" x14ac:dyDescent="0.2">
      <c r="A82" s="2" t="s">
        <v>781</v>
      </c>
      <c r="B82" s="2">
        <v>79.236780759888504</v>
      </c>
      <c r="C82" s="2">
        <v>4.3810257124810903</v>
      </c>
      <c r="D82" s="2">
        <v>0.50903594285300602</v>
      </c>
      <c r="E82" s="2">
        <v>8.6065154612199795</v>
      </c>
      <c r="F82" s="10">
        <v>7.5314994922649598E-18</v>
      </c>
      <c r="G82" s="10">
        <v>8.5844031212836001E-14</v>
      </c>
      <c r="H82" s="11" t="s">
        <v>10</v>
      </c>
      <c r="I82" s="11" t="s">
        <v>10</v>
      </c>
      <c r="J82" s="33" t="s">
        <v>10</v>
      </c>
      <c r="K82" s="33"/>
      <c r="L82" s="33"/>
      <c r="S82" s="35" t="s">
        <v>3208</v>
      </c>
      <c r="T82" s="35"/>
      <c r="V82" s="35" t="s">
        <v>3208</v>
      </c>
      <c r="W82" s="35"/>
      <c r="Y82" s="35" t="s">
        <v>3208</v>
      </c>
      <c r="Z82" s="35"/>
    </row>
    <row r="83" spans="1:26" x14ac:dyDescent="0.2">
      <c r="A83" s="2" t="s">
        <v>733</v>
      </c>
      <c r="B83" s="2">
        <v>66.971659985808699</v>
      </c>
      <c r="C83" s="2">
        <v>3.7756930202796002</v>
      </c>
      <c r="D83" s="2">
        <v>0.46387676171280201</v>
      </c>
      <c r="E83" s="2">
        <v>8.1394312712246393</v>
      </c>
      <c r="F83" s="10">
        <v>3.9713896231137702E-16</v>
      </c>
      <c r="G83" s="10">
        <v>3.2332784945893402E-12</v>
      </c>
      <c r="H83" s="11" t="s">
        <v>741</v>
      </c>
      <c r="I83" s="11" t="s">
        <v>742</v>
      </c>
      <c r="J83" s="33" t="s">
        <v>10</v>
      </c>
      <c r="K83" s="33"/>
      <c r="L83" s="33"/>
      <c r="S83" s="35" t="s">
        <v>952</v>
      </c>
      <c r="T83" s="35"/>
      <c r="V83" s="35" t="s">
        <v>952</v>
      </c>
      <c r="W83" s="35" t="s">
        <v>959</v>
      </c>
      <c r="Y83" s="35" t="s">
        <v>952</v>
      </c>
      <c r="Z83" s="35" t="s">
        <v>3336</v>
      </c>
    </row>
    <row r="84" spans="1:26" x14ac:dyDescent="0.2">
      <c r="A84" s="2" t="s">
        <v>559</v>
      </c>
      <c r="B84" s="2">
        <v>79.075723726931997</v>
      </c>
      <c r="C84" s="2">
        <v>2.8482588306592498</v>
      </c>
      <c r="D84" s="2">
        <v>0.38402000414089299</v>
      </c>
      <c r="E84" s="2">
        <v>7.4169543251560599</v>
      </c>
      <c r="F84" s="10">
        <v>1.1984425255834599E-13</v>
      </c>
      <c r="G84" s="10">
        <v>4.2687024708125999E-10</v>
      </c>
      <c r="H84" s="11" t="s">
        <v>10</v>
      </c>
      <c r="I84" s="11" t="s">
        <v>10</v>
      </c>
      <c r="J84" s="33" t="s">
        <v>10</v>
      </c>
      <c r="K84" s="33"/>
      <c r="L84" s="33"/>
      <c r="S84" s="35" t="s">
        <v>3259</v>
      </c>
      <c r="T84" s="35"/>
      <c r="V84" s="35" t="s">
        <v>3259</v>
      </c>
      <c r="W84" s="35"/>
      <c r="Y84" s="35" t="s">
        <v>3259</v>
      </c>
      <c r="Z84" s="35" t="s">
        <v>3337</v>
      </c>
    </row>
    <row r="85" spans="1:26" x14ac:dyDescent="0.2">
      <c r="A85" s="2" t="s">
        <v>710</v>
      </c>
      <c r="B85" s="2">
        <v>58.6531595093753</v>
      </c>
      <c r="C85" s="2">
        <v>3.6757836475989198</v>
      </c>
      <c r="D85" s="2">
        <v>0.50349073372589104</v>
      </c>
      <c r="E85" s="2">
        <v>7.3005984050544104</v>
      </c>
      <c r="F85" s="10">
        <v>2.8649066973426698E-13</v>
      </c>
      <c r="G85" s="10">
        <v>9.6041783930328601E-10</v>
      </c>
      <c r="H85" s="11" t="s">
        <v>718</v>
      </c>
      <c r="I85" s="11" t="s">
        <v>3308</v>
      </c>
      <c r="J85" s="33" t="s">
        <v>3350</v>
      </c>
      <c r="K85" s="33"/>
      <c r="L85" s="33"/>
      <c r="S85" s="35" t="s">
        <v>800</v>
      </c>
      <c r="T85" s="35" t="s">
        <v>3364</v>
      </c>
      <c r="V85" s="35" t="s">
        <v>800</v>
      </c>
      <c r="W85" s="35" t="s">
        <v>806</v>
      </c>
      <c r="Y85" s="35" t="s">
        <v>800</v>
      </c>
      <c r="Z85" s="35" t="s">
        <v>807</v>
      </c>
    </row>
    <row r="86" spans="1:26" x14ac:dyDescent="0.2">
      <c r="A86" s="2" t="s">
        <v>759</v>
      </c>
      <c r="B86" s="2">
        <v>44.004461999238998</v>
      </c>
      <c r="C86" s="2">
        <v>4.1248548278899904</v>
      </c>
      <c r="D86" s="2">
        <v>0.57970240095575398</v>
      </c>
      <c r="E86" s="2">
        <v>7.1154696290533899</v>
      </c>
      <c r="F86" s="10">
        <v>1.11532405019527E-12</v>
      </c>
      <c r="G86" s="10">
        <v>3.3453851379278001E-9</v>
      </c>
      <c r="H86" s="11" t="s">
        <v>10</v>
      </c>
      <c r="I86" s="11" t="s">
        <v>10</v>
      </c>
      <c r="J86" s="33" t="s">
        <v>10</v>
      </c>
      <c r="K86" s="33"/>
      <c r="L86" s="33"/>
      <c r="S86" s="35" t="s">
        <v>3185</v>
      </c>
      <c r="T86" s="35" t="s">
        <v>3365</v>
      </c>
      <c r="V86" s="35" t="s">
        <v>3185</v>
      </c>
      <c r="W86" s="35"/>
      <c r="Y86" s="35" t="s">
        <v>3185</v>
      </c>
      <c r="Z86" s="35" t="s">
        <v>3338</v>
      </c>
    </row>
    <row r="87" spans="1:26" x14ac:dyDescent="0.2">
      <c r="A87" s="2" t="s">
        <v>283</v>
      </c>
      <c r="B87" s="2">
        <v>228.256945641935</v>
      </c>
      <c r="C87" s="2">
        <v>2.06068195865168</v>
      </c>
      <c r="D87" s="2">
        <v>0.29125636121430798</v>
      </c>
      <c r="E87" s="2">
        <v>7.0751483334484604</v>
      </c>
      <c r="F87" s="10">
        <v>1.49288985207274E-12</v>
      </c>
      <c r="G87" s="10">
        <v>4.2539896334812797E-9</v>
      </c>
      <c r="H87" s="11" t="s">
        <v>10</v>
      </c>
      <c r="I87" s="11" t="s">
        <v>10</v>
      </c>
      <c r="J87" s="33" t="s">
        <v>10</v>
      </c>
      <c r="K87" s="33"/>
      <c r="L87" s="33"/>
      <c r="S87" s="35" t="s">
        <v>3263</v>
      </c>
      <c r="T87" s="35"/>
      <c r="V87" s="35" t="s">
        <v>3263</v>
      </c>
      <c r="W87" s="35" t="s">
        <v>3271</v>
      </c>
      <c r="Y87" s="35" t="s">
        <v>3263</v>
      </c>
      <c r="Z87" s="35" t="s">
        <v>3339</v>
      </c>
    </row>
    <row r="88" spans="1:26" x14ac:dyDescent="0.2">
      <c r="A88" s="2" t="s">
        <v>643</v>
      </c>
      <c r="B88" s="2">
        <v>55.121538475393201</v>
      </c>
      <c r="C88" s="2">
        <v>3.1336012276470901</v>
      </c>
      <c r="D88" s="2">
        <v>0.45279120410426599</v>
      </c>
      <c r="E88" s="2">
        <v>6.9206318480636897</v>
      </c>
      <c r="F88" s="10">
        <v>4.4963360897087903E-12</v>
      </c>
      <c r="G88" s="10">
        <v>1.11411388588045E-8</v>
      </c>
      <c r="H88" s="11" t="s">
        <v>10</v>
      </c>
      <c r="I88" s="11" t="s">
        <v>10</v>
      </c>
      <c r="J88" s="33" t="s">
        <v>10</v>
      </c>
      <c r="K88" s="33"/>
      <c r="L88" s="33"/>
    </row>
    <row r="89" spans="1:26" x14ac:dyDescent="0.2">
      <c r="A89" s="2" t="s">
        <v>744</v>
      </c>
      <c r="B89" s="2">
        <v>56.390343821638503</v>
      </c>
      <c r="C89" s="2">
        <v>3.8553088201930898</v>
      </c>
      <c r="D89" s="2">
        <v>0.56281330765140203</v>
      </c>
      <c r="E89" s="2">
        <v>6.8500669187819003</v>
      </c>
      <c r="F89" s="10">
        <v>7.3815450548340594E-12</v>
      </c>
      <c r="G89" s="10">
        <v>1.6826970106999699E-8</v>
      </c>
      <c r="H89" s="11" t="s">
        <v>10</v>
      </c>
      <c r="I89" s="11" t="s">
        <v>10</v>
      </c>
      <c r="J89" s="33" t="s">
        <v>10</v>
      </c>
      <c r="K89" s="33"/>
      <c r="L89" s="33"/>
    </row>
    <row r="90" spans="1:26" x14ac:dyDescent="0.2">
      <c r="A90" s="2" t="s">
        <v>691</v>
      </c>
      <c r="B90" s="2">
        <v>46.880601009133798</v>
      </c>
      <c r="C90" s="2">
        <v>3.4099397953808399</v>
      </c>
      <c r="D90" s="2">
        <v>0.50488009033078995</v>
      </c>
      <c r="E90" s="2">
        <v>6.7539597236775499</v>
      </c>
      <c r="F90" s="10">
        <v>1.4386370217538899E-11</v>
      </c>
      <c r="G90" s="10">
        <v>3.0830791757064002E-8</v>
      </c>
      <c r="H90" s="11" t="s">
        <v>10</v>
      </c>
      <c r="I90" s="11" t="s">
        <v>10</v>
      </c>
      <c r="J90" s="33" t="s">
        <v>10</v>
      </c>
      <c r="K90" s="33"/>
      <c r="L90" s="33"/>
    </row>
    <row r="91" spans="1:26" x14ac:dyDescent="0.2">
      <c r="A91" s="2" t="s">
        <v>976</v>
      </c>
      <c r="B91" s="2">
        <v>79.062834897661105</v>
      </c>
      <c r="C91" s="2">
        <v>9.9530193762775205</v>
      </c>
      <c r="D91" s="2">
        <v>1.4741378603955599</v>
      </c>
      <c r="E91" s="2">
        <v>6.7517561577360397</v>
      </c>
      <c r="F91" s="10">
        <v>1.4606621818577501E-11</v>
      </c>
      <c r="G91" s="10">
        <v>3.0830791757064002E-8</v>
      </c>
      <c r="H91" s="11" t="s">
        <v>10</v>
      </c>
      <c r="I91" s="11" t="s">
        <v>10</v>
      </c>
      <c r="J91" s="33" t="s">
        <v>10</v>
      </c>
      <c r="K91" s="33"/>
      <c r="L91" s="33"/>
    </row>
    <row r="92" spans="1:26" x14ac:dyDescent="0.2">
      <c r="A92" s="2" t="s">
        <v>346</v>
      </c>
      <c r="B92" s="2">
        <v>251.85330715052601</v>
      </c>
      <c r="C92" s="2">
        <v>2.1779419225050898</v>
      </c>
      <c r="D92" s="2">
        <v>0.32651897198568097</v>
      </c>
      <c r="E92" s="2">
        <v>6.6701849183838604</v>
      </c>
      <c r="F92" s="10">
        <v>2.5548131021456999E-11</v>
      </c>
      <c r="G92" s="10">
        <v>5.0206482307339097E-8</v>
      </c>
      <c r="H92" s="11" t="s">
        <v>10</v>
      </c>
      <c r="I92" s="11" t="s">
        <v>10</v>
      </c>
      <c r="J92" s="33" t="s">
        <v>10</v>
      </c>
      <c r="K92" s="33"/>
      <c r="L92" s="33"/>
    </row>
    <row r="93" spans="1:26" x14ac:dyDescent="0.2">
      <c r="A93" s="2" t="s">
        <v>354</v>
      </c>
      <c r="B93" s="2">
        <v>85.855696324015696</v>
      </c>
      <c r="C93" s="2">
        <v>2.2125195985127402</v>
      </c>
      <c r="D93" s="2">
        <v>0.347127459346112</v>
      </c>
      <c r="E93" s="2">
        <v>6.3737959615194102</v>
      </c>
      <c r="F93" s="10">
        <v>1.8440589265029801E-10</v>
      </c>
      <c r="G93" s="10">
        <v>3.0026548063258601E-7</v>
      </c>
      <c r="H93" s="11" t="s">
        <v>10</v>
      </c>
      <c r="I93" s="11" t="s">
        <v>10</v>
      </c>
      <c r="J93" s="33" t="s">
        <v>10</v>
      </c>
      <c r="K93" s="33"/>
      <c r="L93" s="33"/>
    </row>
    <row r="94" spans="1:26" x14ac:dyDescent="0.2">
      <c r="A94" s="2" t="s">
        <v>722</v>
      </c>
      <c r="B94" s="2">
        <v>35.490275993859299</v>
      </c>
      <c r="C94" s="2">
        <v>3.75388356049032</v>
      </c>
      <c r="D94" s="2">
        <v>0.60150060097302704</v>
      </c>
      <c r="E94" s="2">
        <v>6.24086418935872</v>
      </c>
      <c r="F94" s="10">
        <v>4.3515995548900398E-10</v>
      </c>
      <c r="G94" s="10">
        <v>6.52625417455745E-7</v>
      </c>
      <c r="H94" s="11" t="s">
        <v>10</v>
      </c>
      <c r="I94" s="11" t="s">
        <v>10</v>
      </c>
      <c r="J94" s="33" t="s">
        <v>10</v>
      </c>
      <c r="K94" s="33"/>
      <c r="L94" s="33"/>
    </row>
    <row r="95" spans="1:26" x14ac:dyDescent="0.2">
      <c r="A95" s="2" t="s">
        <v>658</v>
      </c>
      <c r="B95" s="2">
        <v>58.7078075380293</v>
      </c>
      <c r="C95" s="2">
        <v>3.2609132340335698</v>
      </c>
      <c r="D95" s="2">
        <v>0.52703299630189004</v>
      </c>
      <c r="E95" s="2">
        <v>6.1873037493191099</v>
      </c>
      <c r="F95" s="10">
        <v>6.1201967037141702E-10</v>
      </c>
      <c r="G95" s="10">
        <v>8.3045240510635903E-7</v>
      </c>
      <c r="H95" s="11" t="s">
        <v>10</v>
      </c>
      <c r="I95" s="11" t="s">
        <v>666</v>
      </c>
      <c r="J95" s="33" t="s">
        <v>10</v>
      </c>
      <c r="K95" s="33"/>
      <c r="L95" s="33"/>
    </row>
    <row r="96" spans="1:26" x14ac:dyDescent="0.2">
      <c r="A96" s="2" t="s">
        <v>678</v>
      </c>
      <c r="B96" s="2">
        <v>57.566461792342103</v>
      </c>
      <c r="C96" s="2">
        <v>3.30876436551568</v>
      </c>
      <c r="D96" s="2">
        <v>0.53686213192580701</v>
      </c>
      <c r="E96" s="2">
        <v>6.1631546886099704</v>
      </c>
      <c r="F96" s="10">
        <v>7.1309783597690405E-10</v>
      </c>
      <c r="G96" s="10">
        <v>9.3314364836912897E-7</v>
      </c>
      <c r="H96" s="11" t="s">
        <v>10</v>
      </c>
      <c r="I96" s="11" t="s">
        <v>10</v>
      </c>
      <c r="J96" s="33" t="s">
        <v>10</v>
      </c>
      <c r="K96" s="33"/>
      <c r="L96" s="33"/>
    </row>
    <row r="97" spans="1:12" x14ac:dyDescent="0.2">
      <c r="A97" s="2" t="s">
        <v>695</v>
      </c>
      <c r="B97" s="2">
        <v>47.003814571254701</v>
      </c>
      <c r="C97" s="2">
        <v>3.4444988520873601</v>
      </c>
      <c r="D97" s="2">
        <v>0.56628921331327198</v>
      </c>
      <c r="E97" s="2">
        <v>6.0825789563147898</v>
      </c>
      <c r="F97" s="10">
        <v>1.1826462374266201E-9</v>
      </c>
      <c r="G97" s="10">
        <v>1.4508086631005499E-6</v>
      </c>
      <c r="H97" s="11" t="s">
        <v>10</v>
      </c>
      <c r="I97" s="11" t="s">
        <v>10</v>
      </c>
      <c r="J97" s="33" t="s">
        <v>10</v>
      </c>
      <c r="K97" s="33"/>
      <c r="L97" s="33"/>
    </row>
    <row r="98" spans="1:12" x14ac:dyDescent="0.2">
      <c r="A98" s="2" t="s">
        <v>626</v>
      </c>
      <c r="B98" s="2">
        <v>41.161326488921297</v>
      </c>
      <c r="C98" s="2">
        <v>3.1060547008413</v>
      </c>
      <c r="D98" s="2">
        <v>0.51207814006021102</v>
      </c>
      <c r="E98" s="2">
        <v>6.0655873739818098</v>
      </c>
      <c r="F98" s="10">
        <v>1.3147227186723599E-9</v>
      </c>
      <c r="G98" s="10">
        <v>1.5609593278570399E-6</v>
      </c>
      <c r="H98" s="11" t="s">
        <v>10</v>
      </c>
      <c r="I98" s="11" t="s">
        <v>10</v>
      </c>
      <c r="J98" s="33" t="s">
        <v>10</v>
      </c>
      <c r="K98" s="33"/>
      <c r="L98" s="33"/>
    </row>
    <row r="99" spans="1:12" x14ac:dyDescent="0.2">
      <c r="A99" s="2" t="s">
        <v>963</v>
      </c>
      <c r="B99" s="2">
        <v>44.1421460964389</v>
      </c>
      <c r="C99" s="2">
        <v>9.1139698775261699</v>
      </c>
      <c r="D99" s="2">
        <v>1.5090977995616801</v>
      </c>
      <c r="E99" s="2">
        <v>6.03935005416702</v>
      </c>
      <c r="F99" s="10">
        <v>1.5473622874825701E-9</v>
      </c>
      <c r="G99" s="10">
        <v>1.76368353527264E-6</v>
      </c>
      <c r="H99" s="11" t="s">
        <v>10</v>
      </c>
      <c r="I99" s="11" t="s">
        <v>10</v>
      </c>
      <c r="J99" s="33" t="s">
        <v>10</v>
      </c>
      <c r="K99" s="33"/>
      <c r="L99" s="33"/>
    </row>
    <row r="100" spans="1:12" x14ac:dyDescent="0.2">
      <c r="A100" s="2" t="s">
        <v>426</v>
      </c>
      <c r="B100" s="2">
        <v>81.039136765393906</v>
      </c>
      <c r="C100" s="2">
        <v>2.3679340803401998</v>
      </c>
      <c r="D100" s="2">
        <v>0.39306401298287003</v>
      </c>
      <c r="E100" s="2">
        <v>6.0242963032166301</v>
      </c>
      <c r="F100" s="10">
        <v>1.6984696081948499E-9</v>
      </c>
      <c r="G100" s="10">
        <v>1.8614573648274E-6</v>
      </c>
      <c r="H100" s="11" t="s">
        <v>436</v>
      </c>
      <c r="I100" s="11" t="s">
        <v>3307</v>
      </c>
      <c r="J100" s="33" t="s">
        <v>3349</v>
      </c>
      <c r="K100" s="33"/>
      <c r="L100" s="33"/>
    </row>
    <row r="101" spans="1:12" x14ac:dyDescent="0.2">
      <c r="A101" s="2" t="s">
        <v>952</v>
      </c>
      <c r="B101" s="2">
        <v>41.610016734945297</v>
      </c>
      <c r="C101" s="2">
        <v>9.0263425705450206</v>
      </c>
      <c r="D101" s="2">
        <v>1.5009491374869599</v>
      </c>
      <c r="E101" s="2">
        <v>6.0137564592347399</v>
      </c>
      <c r="F101" s="10">
        <v>1.81272783016512E-9</v>
      </c>
      <c r="G101" s="10">
        <v>1.94919545360586E-6</v>
      </c>
      <c r="H101" s="11" t="s">
        <v>959</v>
      </c>
      <c r="I101" s="11" t="s">
        <v>3366</v>
      </c>
      <c r="J101" s="33" t="s">
        <v>10</v>
      </c>
      <c r="K101" s="33"/>
      <c r="L101" s="33"/>
    </row>
    <row r="102" spans="1:12" x14ac:dyDescent="0.2">
      <c r="A102" s="2" t="s">
        <v>612</v>
      </c>
      <c r="B102" s="2">
        <v>42.438593830742903</v>
      </c>
      <c r="C102" s="2">
        <v>3.0992475034309002</v>
      </c>
      <c r="D102" s="2">
        <v>0.51765842469972201</v>
      </c>
      <c r="E102" s="2">
        <v>5.9870512205585698</v>
      </c>
      <c r="F102" s="10">
        <v>2.1367950762787298E-9</v>
      </c>
      <c r="G102" s="10">
        <v>2.1745705606629399E-6</v>
      </c>
      <c r="H102" s="11" t="s">
        <v>10</v>
      </c>
      <c r="I102" s="11" t="s">
        <v>10</v>
      </c>
      <c r="J102" s="33" t="s">
        <v>10</v>
      </c>
      <c r="K102" s="33"/>
      <c r="L102" s="33"/>
    </row>
    <row r="103" spans="1:12" x14ac:dyDescent="0.2">
      <c r="A103" s="2" t="s">
        <v>333</v>
      </c>
      <c r="B103" s="2">
        <v>85.2678246903386</v>
      </c>
      <c r="C103" s="2">
        <v>2.1760809468628901</v>
      </c>
      <c r="D103" s="2">
        <v>0.36532713635400299</v>
      </c>
      <c r="E103" s="2">
        <v>5.95652698723773</v>
      </c>
      <c r="F103" s="10">
        <v>2.5765458182850699E-9</v>
      </c>
      <c r="G103" s="10">
        <v>2.48876857939095E-6</v>
      </c>
      <c r="H103" s="11" t="s">
        <v>10</v>
      </c>
      <c r="I103" s="11" t="s">
        <v>10</v>
      </c>
      <c r="J103" s="33" t="s">
        <v>10</v>
      </c>
      <c r="K103" s="33"/>
      <c r="L103" s="33"/>
    </row>
    <row r="104" spans="1:12" x14ac:dyDescent="0.2">
      <c r="A104" s="2" t="s">
        <v>995</v>
      </c>
      <c r="B104" s="2">
        <v>3379.0382475626402</v>
      </c>
      <c r="C104" s="2">
        <v>28.0727878569285</v>
      </c>
      <c r="D104" s="2">
        <v>4.78475408665253</v>
      </c>
      <c r="E104" s="2">
        <v>5.8671328449752398</v>
      </c>
      <c r="F104" s="10">
        <v>4.4339541989006601E-9</v>
      </c>
      <c r="G104" s="10">
        <v>4.14247622615325E-6</v>
      </c>
      <c r="H104" s="11" t="s">
        <v>10</v>
      </c>
      <c r="I104" s="11" t="s">
        <v>10</v>
      </c>
      <c r="J104" s="33" t="s">
        <v>10</v>
      </c>
      <c r="K104" s="33"/>
      <c r="L104" s="33"/>
    </row>
    <row r="105" spans="1:12" x14ac:dyDescent="0.2">
      <c r="A105" s="2" t="s">
        <v>463</v>
      </c>
      <c r="B105" s="2">
        <v>55.268351811280901</v>
      </c>
      <c r="C105" s="2">
        <v>2.4385771955598399</v>
      </c>
      <c r="D105" s="2">
        <v>0.41716598099857499</v>
      </c>
      <c r="E105" s="2">
        <v>5.8455801926192201</v>
      </c>
      <c r="F105" s="10">
        <v>5.0480567244324501E-9</v>
      </c>
      <c r="G105" s="10">
        <v>4.6401411729904099E-6</v>
      </c>
      <c r="H105" s="11" t="s">
        <v>10</v>
      </c>
      <c r="I105" s="11" t="s">
        <v>10</v>
      </c>
      <c r="J105" s="33" t="s">
        <v>10</v>
      </c>
      <c r="K105" s="33"/>
      <c r="L105" s="33"/>
    </row>
    <row r="106" spans="1:12" x14ac:dyDescent="0.2">
      <c r="A106" s="2" t="s">
        <v>685</v>
      </c>
      <c r="B106" s="2">
        <v>44.089313216256301</v>
      </c>
      <c r="C106" s="2">
        <v>3.40536188402025</v>
      </c>
      <c r="D106" s="2">
        <v>0.58754652799829798</v>
      </c>
      <c r="E106" s="2">
        <v>5.79590163798927</v>
      </c>
      <c r="F106" s="10">
        <v>6.7955085899861099E-9</v>
      </c>
      <c r="G106" s="10">
        <v>5.6952358021074802E-6</v>
      </c>
      <c r="H106" s="11" t="s">
        <v>10</v>
      </c>
      <c r="I106" s="11" t="s">
        <v>10</v>
      </c>
      <c r="J106" s="33" t="s">
        <v>10</v>
      </c>
      <c r="K106" s="33"/>
      <c r="L106" s="33"/>
    </row>
    <row r="107" spans="1:12" x14ac:dyDescent="0.2">
      <c r="A107" s="2" t="s">
        <v>861</v>
      </c>
      <c r="B107" s="2">
        <v>47.9028908400525</v>
      </c>
      <c r="C107" s="2">
        <v>7.8817712091430803</v>
      </c>
      <c r="D107" s="2">
        <v>1.3880540247439199</v>
      </c>
      <c r="E107" s="2">
        <v>5.6782885022052199</v>
      </c>
      <c r="F107" s="10">
        <v>1.36049113235548E-8</v>
      </c>
      <c r="G107" s="10">
        <v>9.8144797003720197E-6</v>
      </c>
      <c r="H107" s="11" t="s">
        <v>10</v>
      </c>
      <c r="I107" s="11" t="s">
        <v>10</v>
      </c>
      <c r="J107" s="33" t="s">
        <v>10</v>
      </c>
      <c r="K107" s="33"/>
      <c r="L107" s="33"/>
    </row>
    <row r="108" spans="1:12" x14ac:dyDescent="0.2">
      <c r="A108" s="2" t="s">
        <v>388</v>
      </c>
      <c r="B108" s="2">
        <v>74.535852852314605</v>
      </c>
      <c r="C108" s="2">
        <v>2.2469669921708499</v>
      </c>
      <c r="D108" s="2">
        <v>0.397386204494666</v>
      </c>
      <c r="E108" s="2">
        <v>5.6543658706728204</v>
      </c>
      <c r="F108" s="10">
        <v>1.56422693581535E-8</v>
      </c>
      <c r="G108" s="10">
        <v>1.10055917372983E-5</v>
      </c>
      <c r="H108" s="11" t="s">
        <v>10</v>
      </c>
      <c r="I108" s="11" t="s">
        <v>10</v>
      </c>
      <c r="J108" s="33" t="s">
        <v>10</v>
      </c>
      <c r="K108" s="33"/>
      <c r="L108" s="33"/>
    </row>
    <row r="109" spans="1:12" x14ac:dyDescent="0.2">
      <c r="A109" s="2" t="s">
        <v>492</v>
      </c>
      <c r="B109" s="2">
        <v>60.577350135706403</v>
      </c>
      <c r="C109" s="2">
        <v>2.4728666261397101</v>
      </c>
      <c r="D109" s="2">
        <v>0.43932512743969598</v>
      </c>
      <c r="E109" s="2">
        <v>5.62878486043153</v>
      </c>
      <c r="F109" s="10">
        <v>1.8148358849551001E-8</v>
      </c>
      <c r="G109" s="10">
        <v>1.2461144226938701E-5</v>
      </c>
      <c r="H109" s="11" t="s">
        <v>10</v>
      </c>
      <c r="I109" s="11" t="s">
        <v>10</v>
      </c>
      <c r="J109" s="33" t="s">
        <v>10</v>
      </c>
      <c r="K109" s="33"/>
      <c r="L109" s="33"/>
    </row>
    <row r="110" spans="1:12" x14ac:dyDescent="0.2">
      <c r="A110" s="2" t="s">
        <v>591</v>
      </c>
      <c r="B110" s="2">
        <v>37.883234770278101</v>
      </c>
      <c r="C110" s="2">
        <v>2.9528592521815602</v>
      </c>
      <c r="D110" s="2">
        <v>0.52644147511646699</v>
      </c>
      <c r="E110" s="2">
        <v>5.6090931124457599</v>
      </c>
      <c r="F110" s="10">
        <v>2.0338958018947499E-8</v>
      </c>
      <c r="G110" s="10">
        <v>1.37990144940455E-5</v>
      </c>
      <c r="H110" s="11" t="s">
        <v>10</v>
      </c>
      <c r="I110" s="11" t="s">
        <v>599</v>
      </c>
      <c r="J110" s="33" t="s">
        <v>10</v>
      </c>
      <c r="K110" s="33"/>
      <c r="L110" s="33"/>
    </row>
    <row r="111" spans="1:12" x14ac:dyDescent="0.2">
      <c r="A111" s="2" t="s">
        <v>516</v>
      </c>
      <c r="B111" s="2">
        <v>46.877547896245503</v>
      </c>
      <c r="C111" s="2">
        <v>2.54719090991563</v>
      </c>
      <c r="D111" s="2">
        <v>0.45655644586100302</v>
      </c>
      <c r="E111" s="2">
        <v>5.5791368909751702</v>
      </c>
      <c r="F111" s="10">
        <v>2.4171496295247599E-8</v>
      </c>
      <c r="G111" s="10">
        <v>1.62062773396019E-5</v>
      </c>
      <c r="H111" s="11" t="s">
        <v>10</v>
      </c>
      <c r="I111" s="11" t="s">
        <v>10</v>
      </c>
      <c r="J111" s="33" t="s">
        <v>10</v>
      </c>
      <c r="K111" s="33"/>
      <c r="L111" s="33"/>
    </row>
    <row r="112" spans="1:12" x14ac:dyDescent="0.2">
      <c r="A112" s="2" t="s">
        <v>549</v>
      </c>
      <c r="B112" s="2">
        <v>41.769276026661899</v>
      </c>
      <c r="C112" s="2">
        <v>2.8217018463788599</v>
      </c>
      <c r="D112" s="2">
        <v>0.51138631297341697</v>
      </c>
      <c r="E112" s="2">
        <v>5.51775003513937</v>
      </c>
      <c r="F112" s="10">
        <v>3.43367353235454E-8</v>
      </c>
      <c r="G112" s="10">
        <v>2.1742783845431701E-5</v>
      </c>
      <c r="H112" s="11" t="s">
        <v>10</v>
      </c>
      <c r="I112" s="11" t="s">
        <v>10</v>
      </c>
      <c r="J112" s="33" t="s">
        <v>10</v>
      </c>
      <c r="K112" s="33"/>
      <c r="L112" s="33"/>
    </row>
    <row r="113" spans="1:12" x14ac:dyDescent="0.2">
      <c r="A113" s="2" t="s">
        <v>400</v>
      </c>
      <c r="B113" s="2">
        <v>54.388233973191703</v>
      </c>
      <c r="C113" s="2">
        <v>2.2634354927028602</v>
      </c>
      <c r="D113" s="2">
        <v>0.41114428199300701</v>
      </c>
      <c r="E113" s="2">
        <v>5.5052097082098204</v>
      </c>
      <c r="F113" s="10">
        <v>3.6872907945668699E-8</v>
      </c>
      <c r="G113" s="10">
        <v>2.2841163302431101E-5</v>
      </c>
      <c r="H113" s="11" t="s">
        <v>10</v>
      </c>
      <c r="I113" s="11" t="s">
        <v>10</v>
      </c>
      <c r="J113" s="33" t="s">
        <v>10</v>
      </c>
      <c r="K113" s="33"/>
      <c r="L113" s="33"/>
    </row>
    <row r="114" spans="1:12" x14ac:dyDescent="0.2">
      <c r="A114" s="2" t="s">
        <v>635</v>
      </c>
      <c r="B114" s="2">
        <v>37.800159467148902</v>
      </c>
      <c r="C114" s="2">
        <v>3.12787120570558</v>
      </c>
      <c r="D114" s="2">
        <v>0.57091285953179405</v>
      </c>
      <c r="E114" s="2">
        <v>5.4787191310960299</v>
      </c>
      <c r="F114" s="10">
        <v>4.2841578418974602E-8</v>
      </c>
      <c r="G114" s="10">
        <v>2.6253134990294199E-5</v>
      </c>
      <c r="H114" s="11" t="s">
        <v>10</v>
      </c>
      <c r="I114" s="11" t="s">
        <v>10</v>
      </c>
      <c r="J114" s="33" t="s">
        <v>10</v>
      </c>
      <c r="K114" s="33"/>
      <c r="L114" s="33"/>
    </row>
    <row r="115" spans="1:12" x14ac:dyDescent="0.2">
      <c r="A115" s="2" t="s">
        <v>943</v>
      </c>
      <c r="B115" s="2">
        <v>27.7008290848377</v>
      </c>
      <c r="C115" s="2">
        <v>8.4421088286241908</v>
      </c>
      <c r="D115" s="2">
        <v>1.5492131274914001</v>
      </c>
      <c r="E115" s="2">
        <v>5.4492882088433303</v>
      </c>
      <c r="F115" s="10">
        <v>5.0571805208018102E-8</v>
      </c>
      <c r="G115" s="10">
        <v>3.0337759776894198E-5</v>
      </c>
      <c r="H115" s="11" t="s">
        <v>950</v>
      </c>
      <c r="I115" s="11" t="s">
        <v>951</v>
      </c>
      <c r="J115" s="33" t="s">
        <v>3342</v>
      </c>
      <c r="K115" s="33"/>
      <c r="L115" s="33"/>
    </row>
    <row r="116" spans="1:12" x14ac:dyDescent="0.2">
      <c r="A116" s="2" t="s">
        <v>787</v>
      </c>
      <c r="B116" s="2">
        <v>25.393387242479601</v>
      </c>
      <c r="C116" s="2">
        <v>5.1053779263270798</v>
      </c>
      <c r="D116" s="2">
        <v>0.94508055849827399</v>
      </c>
      <c r="E116" s="2">
        <v>5.4020558146275803</v>
      </c>
      <c r="F116" s="10">
        <v>6.5881442480849905E-8</v>
      </c>
      <c r="G116" s="10">
        <v>3.7925084919026597E-5</v>
      </c>
      <c r="H116" s="11" t="s">
        <v>10</v>
      </c>
      <c r="I116" s="11" t="s">
        <v>10</v>
      </c>
      <c r="J116" s="33" t="s">
        <v>10</v>
      </c>
      <c r="K116" s="33"/>
      <c r="L116" s="33"/>
    </row>
    <row r="117" spans="1:12" x14ac:dyDescent="0.2">
      <c r="A117" s="2" t="s">
        <v>647</v>
      </c>
      <c r="B117" s="2">
        <v>33.814536990728698</v>
      </c>
      <c r="C117" s="2">
        <v>3.23868260526296</v>
      </c>
      <c r="D117" s="2">
        <v>0.60072765442373399</v>
      </c>
      <c r="E117" s="2">
        <v>5.3912660444603002</v>
      </c>
      <c r="F117" s="10">
        <v>6.9963003461948198E-8</v>
      </c>
      <c r="G117" s="10">
        <v>3.9871915672964303E-5</v>
      </c>
      <c r="H117" s="11" t="s">
        <v>10</v>
      </c>
      <c r="I117" s="11" t="s">
        <v>10</v>
      </c>
      <c r="J117" s="33" t="s">
        <v>10</v>
      </c>
      <c r="K117" s="33"/>
      <c r="L117" s="33"/>
    </row>
    <row r="118" spans="1:12" x14ac:dyDescent="0.2">
      <c r="A118" s="2" t="s">
        <v>936</v>
      </c>
      <c r="B118" s="2">
        <v>27.6896711305872</v>
      </c>
      <c r="C118" s="2">
        <v>8.4366165774309998</v>
      </c>
      <c r="D118" s="2">
        <v>1.56809825864262</v>
      </c>
      <c r="E118" s="2">
        <v>5.3801581188757304</v>
      </c>
      <c r="F118" s="10">
        <v>7.44204440305428E-8</v>
      </c>
      <c r="G118" s="10">
        <v>4.1992288171293401E-5</v>
      </c>
      <c r="H118" s="11" t="s">
        <v>236</v>
      </c>
      <c r="I118" s="11" t="s">
        <v>238</v>
      </c>
      <c r="J118" s="33" t="s">
        <v>10</v>
      </c>
      <c r="K118" s="33"/>
      <c r="L118" s="33"/>
    </row>
    <row r="119" spans="1:12" x14ac:dyDescent="0.2">
      <c r="A119" s="2" t="s">
        <v>990</v>
      </c>
      <c r="B119" s="2">
        <v>620.82529580989296</v>
      </c>
      <c r="C119" s="2">
        <v>25.706539520890999</v>
      </c>
      <c r="D119" s="2">
        <v>4.7848344464844397</v>
      </c>
      <c r="E119" s="2">
        <v>5.3725034394405098</v>
      </c>
      <c r="F119" s="10">
        <v>7.7650948023847202E-8</v>
      </c>
      <c r="G119" s="10">
        <v>4.2420683237167801E-5</v>
      </c>
      <c r="H119" s="11" t="s">
        <v>10</v>
      </c>
      <c r="I119" s="11" t="s">
        <v>10</v>
      </c>
      <c r="J119" s="33" t="s">
        <v>10</v>
      </c>
      <c r="K119" s="33"/>
      <c r="L119" s="33"/>
    </row>
    <row r="120" spans="1:12" x14ac:dyDescent="0.2">
      <c r="A120" s="2" t="s">
        <v>970</v>
      </c>
      <c r="B120" s="2">
        <v>51.513025890952598</v>
      </c>
      <c r="C120" s="2">
        <v>9.3355081866706904</v>
      </c>
      <c r="D120" s="2">
        <v>1.74208502111532</v>
      </c>
      <c r="E120" s="2">
        <v>5.3588131885169998</v>
      </c>
      <c r="F120" s="10">
        <v>8.3770418768667506E-8</v>
      </c>
      <c r="G120" s="10">
        <v>4.4769120828517403E-5</v>
      </c>
      <c r="H120" s="11" t="s">
        <v>10</v>
      </c>
      <c r="I120" s="11" t="s">
        <v>10</v>
      </c>
      <c r="J120" s="33" t="s">
        <v>10</v>
      </c>
      <c r="K120" s="33"/>
      <c r="L120" s="33"/>
    </row>
    <row r="121" spans="1:12" x14ac:dyDescent="0.2">
      <c r="A121" s="2" t="s">
        <v>566</v>
      </c>
      <c r="B121" s="2">
        <v>37.360663658060403</v>
      </c>
      <c r="C121" s="2">
        <v>2.8839762266876101</v>
      </c>
      <c r="D121" s="2">
        <v>0.53823598721403598</v>
      </c>
      <c r="E121" s="2">
        <v>5.3582002972624796</v>
      </c>
      <c r="F121" s="10">
        <v>8.4055025945803903E-8</v>
      </c>
      <c r="G121" s="10">
        <v>4.4769120828517403E-5</v>
      </c>
      <c r="H121" s="11" t="s">
        <v>10</v>
      </c>
      <c r="I121" s="11" t="s">
        <v>573</v>
      </c>
      <c r="J121" s="33" t="s">
        <v>10</v>
      </c>
      <c r="K121" s="33"/>
      <c r="L121" s="33"/>
    </row>
    <row r="122" spans="1:12" x14ac:dyDescent="0.2">
      <c r="A122" s="2" t="s">
        <v>295</v>
      </c>
      <c r="B122" s="2">
        <v>125.297662915695</v>
      </c>
      <c r="C122" s="2">
        <v>2.0677380588655998</v>
      </c>
      <c r="D122" s="2">
        <v>0.39138241435862098</v>
      </c>
      <c r="E122" s="2">
        <v>5.2831654744991798</v>
      </c>
      <c r="F122" s="10">
        <v>1.2697060714818199E-7</v>
      </c>
      <c r="G122" s="10">
        <v>6.4607633047990303E-5</v>
      </c>
      <c r="H122" s="11" t="s">
        <v>10</v>
      </c>
      <c r="I122" s="11" t="s">
        <v>10</v>
      </c>
      <c r="J122" s="33" t="s">
        <v>10</v>
      </c>
      <c r="K122" s="33"/>
      <c r="L122" s="33"/>
    </row>
    <row r="123" spans="1:12" x14ac:dyDescent="0.2">
      <c r="A123" s="2" t="s">
        <v>535</v>
      </c>
      <c r="B123" s="2">
        <v>39.948638110069503</v>
      </c>
      <c r="C123" s="2">
        <v>2.6232454634003002</v>
      </c>
      <c r="D123" s="2">
        <v>0.49887159823479998</v>
      </c>
      <c r="E123" s="2">
        <v>5.2583580077165299</v>
      </c>
      <c r="F123" s="10">
        <v>1.45347348918472E-7</v>
      </c>
      <c r="G123" s="10">
        <v>6.9277862854404294E-5</v>
      </c>
      <c r="H123" s="11" t="s">
        <v>10</v>
      </c>
      <c r="I123" s="11" t="s">
        <v>10</v>
      </c>
      <c r="J123" s="33" t="s">
        <v>10</v>
      </c>
      <c r="K123" s="33"/>
      <c r="L123" s="33"/>
    </row>
    <row r="124" spans="1:12" x14ac:dyDescent="0.2">
      <c r="A124" s="2" t="s">
        <v>321</v>
      </c>
      <c r="B124" s="2">
        <v>53.5230879953141</v>
      </c>
      <c r="C124" s="2">
        <v>2.1292122851746802</v>
      </c>
      <c r="D124" s="2">
        <v>0.40918494465760702</v>
      </c>
      <c r="E124" s="2">
        <v>5.2035450301240598</v>
      </c>
      <c r="F124" s="10">
        <v>1.9552234771875501E-7</v>
      </c>
      <c r="G124" s="10">
        <v>8.7053270285092601E-5</v>
      </c>
      <c r="H124" s="11" t="s">
        <v>10</v>
      </c>
      <c r="I124" s="11" t="s">
        <v>10</v>
      </c>
      <c r="J124" s="33" t="s">
        <v>10</v>
      </c>
      <c r="K124" s="33"/>
      <c r="L124" s="33"/>
    </row>
    <row r="125" spans="1:12" x14ac:dyDescent="0.2">
      <c r="A125" s="2" t="s">
        <v>922</v>
      </c>
      <c r="B125" s="2">
        <v>21.429043868296901</v>
      </c>
      <c r="C125" s="2">
        <v>8.0684393808590702</v>
      </c>
      <c r="D125" s="2">
        <v>1.5631790072379099</v>
      </c>
      <c r="E125" s="2">
        <v>5.1615581731204196</v>
      </c>
      <c r="F125" s="10">
        <v>2.4490276026380702E-7</v>
      </c>
      <c r="G125" s="2">
        <v>1.0654204814835399E-4</v>
      </c>
      <c r="H125" s="11" t="s">
        <v>10</v>
      </c>
      <c r="I125" s="11" t="s">
        <v>10</v>
      </c>
      <c r="J125" s="33" t="s">
        <v>10</v>
      </c>
      <c r="K125" s="33"/>
      <c r="L125" s="33"/>
    </row>
    <row r="126" spans="1:12" x14ac:dyDescent="0.2">
      <c r="A126" s="2" t="s">
        <v>915</v>
      </c>
      <c r="B126" s="2">
        <v>20.618787837878202</v>
      </c>
      <c r="C126" s="2">
        <v>8.0152104725229503</v>
      </c>
      <c r="D126" s="2">
        <v>1.5700130693177401</v>
      </c>
      <c r="E126" s="2">
        <v>5.1051871026819002</v>
      </c>
      <c r="F126" s="10">
        <v>3.3046737575955999E-7</v>
      </c>
      <c r="G126" s="2">
        <v>1.3647344742418301E-4</v>
      </c>
      <c r="H126" s="11" t="s">
        <v>10</v>
      </c>
      <c r="I126" s="11" t="s">
        <v>10</v>
      </c>
      <c r="J126" s="33" t="s">
        <v>10</v>
      </c>
      <c r="K126" s="33"/>
      <c r="L126" s="33"/>
    </row>
    <row r="127" spans="1:12" x14ac:dyDescent="0.2">
      <c r="A127" s="2" t="s">
        <v>985</v>
      </c>
      <c r="B127" s="2">
        <v>254.08067399403001</v>
      </c>
      <c r="C127" s="2">
        <v>24.391141463465999</v>
      </c>
      <c r="D127" s="2">
        <v>4.7849765467969299</v>
      </c>
      <c r="E127" s="2">
        <v>5.0974422183518104</v>
      </c>
      <c r="F127" s="10">
        <v>3.4427344991566402E-7</v>
      </c>
      <c r="G127" s="2">
        <v>1.40143885076384E-4</v>
      </c>
      <c r="H127" s="11" t="s">
        <v>10</v>
      </c>
      <c r="I127" s="11" t="s">
        <v>10</v>
      </c>
      <c r="J127" s="33" t="s">
        <v>10</v>
      </c>
      <c r="K127" s="33"/>
      <c r="L127" s="33"/>
    </row>
    <row r="128" spans="1:12" x14ac:dyDescent="0.2">
      <c r="A128" s="2" t="s">
        <v>903</v>
      </c>
      <c r="B128" s="2">
        <v>19.813088957357898</v>
      </c>
      <c r="C128" s="2">
        <v>7.9574106068603303</v>
      </c>
      <c r="D128" s="2">
        <v>1.57361929888768</v>
      </c>
      <c r="E128" s="2">
        <v>5.0567571282870398</v>
      </c>
      <c r="F128" s="10">
        <v>4.2644576788949398E-7</v>
      </c>
      <c r="G128" s="2">
        <v>1.65945700499047E-4</v>
      </c>
      <c r="H128" s="11" t="s">
        <v>10</v>
      </c>
      <c r="I128" s="11" t="s">
        <v>10</v>
      </c>
      <c r="J128" s="33" t="s">
        <v>10</v>
      </c>
      <c r="K128" s="33"/>
      <c r="L128" s="33"/>
    </row>
    <row r="129" spans="1:12" x14ac:dyDescent="0.2">
      <c r="A129" s="2" t="s">
        <v>928</v>
      </c>
      <c r="B129" s="2">
        <v>22.2504578529662</v>
      </c>
      <c r="C129" s="2">
        <v>8.1267824900604708</v>
      </c>
      <c r="D129" s="2">
        <v>1.6077512310208899</v>
      </c>
      <c r="E129" s="2">
        <v>5.0547512160199801</v>
      </c>
      <c r="F129" s="10">
        <v>4.3095216132407299E-7</v>
      </c>
      <c r="G129" s="2">
        <v>1.65945700499047E-4</v>
      </c>
      <c r="H129" s="11" t="s">
        <v>933</v>
      </c>
      <c r="I129" s="11" t="s">
        <v>934</v>
      </c>
      <c r="J129" s="33" t="s">
        <v>10</v>
      </c>
      <c r="K129" s="33"/>
      <c r="L129" s="33"/>
    </row>
    <row r="130" spans="1:12" x14ac:dyDescent="0.2">
      <c r="A130" s="2" t="s">
        <v>375</v>
      </c>
      <c r="B130" s="2">
        <v>69.295612823659297</v>
      </c>
      <c r="C130" s="2">
        <v>2.2455862302231502</v>
      </c>
      <c r="D130" s="2">
        <v>0.44499409705936999</v>
      </c>
      <c r="E130" s="2">
        <v>5.0463281312325998</v>
      </c>
      <c r="F130" s="10">
        <v>4.5038165651183899E-7</v>
      </c>
      <c r="G130" s="2">
        <v>1.7132286254277799E-4</v>
      </c>
      <c r="H130" s="11" t="s">
        <v>10</v>
      </c>
      <c r="I130" s="11" t="s">
        <v>386</v>
      </c>
      <c r="J130" s="33" t="s">
        <v>10</v>
      </c>
      <c r="K130" s="33"/>
      <c r="L130" s="33"/>
    </row>
    <row r="131" spans="1:12" x14ac:dyDescent="0.2">
      <c r="A131" s="2" t="s">
        <v>884</v>
      </c>
      <c r="B131" s="2">
        <v>19.081878288675401</v>
      </c>
      <c r="C131" s="2">
        <v>7.9020393021133</v>
      </c>
      <c r="D131" s="2">
        <v>1.5763523614438799</v>
      </c>
      <c r="E131" s="2">
        <v>5.0128635547418696</v>
      </c>
      <c r="F131" s="10">
        <v>5.36259245768039E-7</v>
      </c>
      <c r="G131" s="2">
        <v>1.94658690549812E-4</v>
      </c>
      <c r="H131" s="11" t="s">
        <v>10</v>
      </c>
      <c r="I131" s="11" t="s">
        <v>890</v>
      </c>
      <c r="J131" s="33" t="s">
        <v>10</v>
      </c>
      <c r="K131" s="33"/>
      <c r="L131" s="33"/>
    </row>
    <row r="132" spans="1:12" x14ac:dyDescent="0.2">
      <c r="A132" s="2" t="s">
        <v>417</v>
      </c>
      <c r="B132" s="2">
        <v>44.410935091643097</v>
      </c>
      <c r="C132" s="2">
        <v>2.2826490188503499</v>
      </c>
      <c r="D132" s="2">
        <v>0.45780007291882902</v>
      </c>
      <c r="E132" s="2">
        <v>4.9861263767318702</v>
      </c>
      <c r="F132" s="10">
        <v>6.1601858800657297E-7</v>
      </c>
      <c r="G132" s="2">
        <v>2.1934706429674799E-4</v>
      </c>
      <c r="H132" s="11" t="s">
        <v>10</v>
      </c>
      <c r="I132" s="11" t="s">
        <v>10</v>
      </c>
      <c r="J132" s="33" t="s">
        <v>10</v>
      </c>
      <c r="K132" s="33"/>
      <c r="L132" s="33"/>
    </row>
    <row r="133" spans="1:12" x14ac:dyDescent="0.2">
      <c r="A133" s="2" t="s">
        <v>874</v>
      </c>
      <c r="B133" s="2">
        <v>18.883243057108</v>
      </c>
      <c r="C133" s="2">
        <v>7.8889163230615802</v>
      </c>
      <c r="D133" s="2">
        <v>1.5899882252548101</v>
      </c>
      <c r="E133" s="2">
        <v>4.9616193363930696</v>
      </c>
      <c r="F133" s="10">
        <v>6.9907898608071198E-7</v>
      </c>
      <c r="G133" s="2">
        <v>2.4442031544012099E-4</v>
      </c>
      <c r="H133" s="11" t="s">
        <v>10</v>
      </c>
      <c r="I133" s="11" t="s">
        <v>10</v>
      </c>
      <c r="J133" s="33" t="s">
        <v>10</v>
      </c>
      <c r="K133" s="33"/>
      <c r="L133" s="33"/>
    </row>
    <row r="134" spans="1:12" x14ac:dyDescent="0.2">
      <c r="A134" s="2" t="s">
        <v>981</v>
      </c>
      <c r="B134" s="2">
        <v>144.64407884417599</v>
      </c>
      <c r="C134" s="2">
        <v>23.674317716034601</v>
      </c>
      <c r="D134" s="2">
        <v>4.7851585306687703</v>
      </c>
      <c r="E134" s="2">
        <v>4.9474468952914403</v>
      </c>
      <c r="F134" s="10">
        <v>7.51932086714073E-7</v>
      </c>
      <c r="G134" s="2">
        <v>2.6129640013314E-4</v>
      </c>
      <c r="H134" s="11" t="s">
        <v>10</v>
      </c>
      <c r="I134" s="11" t="s">
        <v>10</v>
      </c>
      <c r="J134" s="33" t="s">
        <v>10</v>
      </c>
      <c r="K134" s="33"/>
      <c r="L134" s="33"/>
    </row>
    <row r="135" spans="1:12" x14ac:dyDescent="0.2">
      <c r="A135" s="2" t="s">
        <v>880</v>
      </c>
      <c r="B135" s="2">
        <v>19.086435438573901</v>
      </c>
      <c r="C135" s="2">
        <v>7.8999060726844004</v>
      </c>
      <c r="D135" s="2">
        <v>1.60623777669829</v>
      </c>
      <c r="E135" s="2">
        <v>4.9182668888059</v>
      </c>
      <c r="F135" s="10">
        <v>8.73138144077634E-7</v>
      </c>
      <c r="G135" s="2">
        <v>2.9796492713164301E-4</v>
      </c>
      <c r="H135" s="11" t="s">
        <v>10</v>
      </c>
      <c r="I135" s="11" t="s">
        <v>10</v>
      </c>
      <c r="J135" s="33" t="s">
        <v>10</v>
      </c>
      <c r="K135" s="33"/>
      <c r="L135" s="33"/>
    </row>
    <row r="136" spans="1:12" x14ac:dyDescent="0.2">
      <c r="A136" s="2" t="s">
        <v>909</v>
      </c>
      <c r="B136" s="2">
        <v>20.052268697020299</v>
      </c>
      <c r="C136" s="2">
        <v>7.9767539092817898</v>
      </c>
      <c r="D136" s="2">
        <v>1.6226274752616301</v>
      </c>
      <c r="E136" s="2">
        <v>4.9159489968550103</v>
      </c>
      <c r="F136" s="10">
        <v>8.8353400006454399E-7</v>
      </c>
      <c r="G136" s="2">
        <v>2.99717872998086E-4</v>
      </c>
      <c r="H136" s="11" t="s">
        <v>10</v>
      </c>
      <c r="I136" s="11" t="s">
        <v>10</v>
      </c>
      <c r="J136" s="33" t="s">
        <v>10</v>
      </c>
      <c r="K136" s="33"/>
      <c r="L136" s="33"/>
    </row>
    <row r="137" spans="1:12" x14ac:dyDescent="0.2">
      <c r="A137" s="2" t="s">
        <v>776</v>
      </c>
      <c r="B137" s="2">
        <v>22.872822084339699</v>
      </c>
      <c r="C137" s="2">
        <v>4.1780454169120098</v>
      </c>
      <c r="D137" s="2">
        <v>0.85022178035681095</v>
      </c>
      <c r="E137" s="2">
        <v>4.9140653808687604</v>
      </c>
      <c r="F137" s="10">
        <v>8.9206979185601097E-7</v>
      </c>
      <c r="G137" s="2">
        <v>3.0082282507617802E-4</v>
      </c>
      <c r="H137" s="11" t="s">
        <v>10</v>
      </c>
      <c r="I137" s="11" t="s">
        <v>10</v>
      </c>
      <c r="J137" s="33" t="s">
        <v>10</v>
      </c>
      <c r="K137" s="33"/>
      <c r="L137" s="33"/>
    </row>
    <row r="138" spans="1:12" x14ac:dyDescent="0.2">
      <c r="A138" s="2" t="s">
        <v>891</v>
      </c>
      <c r="B138" s="2">
        <v>19.539965513952701</v>
      </c>
      <c r="C138" s="2">
        <v>7.9392975065943503</v>
      </c>
      <c r="D138" s="2">
        <v>1.6169269033999001</v>
      </c>
      <c r="E138" s="2">
        <v>4.91011528715394</v>
      </c>
      <c r="F138" s="10">
        <v>9.1022863778801095E-7</v>
      </c>
      <c r="G138" s="2">
        <v>3.0514076510316899E-4</v>
      </c>
      <c r="H138" s="11" t="s">
        <v>10</v>
      </c>
      <c r="I138" s="11" t="s">
        <v>898</v>
      </c>
      <c r="J138" s="33" t="s">
        <v>10</v>
      </c>
      <c r="K138" s="33"/>
      <c r="L138" s="33"/>
    </row>
    <row r="139" spans="1:12" x14ac:dyDescent="0.2">
      <c r="A139" s="2" t="s">
        <v>472</v>
      </c>
      <c r="B139" s="2">
        <v>41.043171401831401</v>
      </c>
      <c r="C139" s="2">
        <v>2.4439330654957501</v>
      </c>
      <c r="D139" s="2">
        <v>0.49825130781920102</v>
      </c>
      <c r="E139" s="2">
        <v>4.9050208742905603</v>
      </c>
      <c r="F139" s="10">
        <v>9.3417404061521099E-7</v>
      </c>
      <c r="G139" s="2">
        <v>3.0952661962012102E-4</v>
      </c>
      <c r="H139" s="11" t="s">
        <v>10</v>
      </c>
      <c r="I139" s="11" t="s">
        <v>86</v>
      </c>
      <c r="J139" s="33" t="s">
        <v>10</v>
      </c>
      <c r="K139" s="33"/>
      <c r="L139" s="33"/>
    </row>
    <row r="140" spans="1:12" x14ac:dyDescent="0.2">
      <c r="A140" s="2" t="s">
        <v>576</v>
      </c>
      <c r="B140" s="2">
        <v>35.950134996712201</v>
      </c>
      <c r="C140" s="2">
        <v>2.8989313429379799</v>
      </c>
      <c r="D140" s="2">
        <v>0.59222631811316695</v>
      </c>
      <c r="E140" s="2">
        <v>4.8949721656645897</v>
      </c>
      <c r="F140" s="10">
        <v>9.8319643380007709E-7</v>
      </c>
      <c r="G140" s="2">
        <v>3.22025084840612E-4</v>
      </c>
      <c r="H140" s="11" t="s">
        <v>586</v>
      </c>
      <c r="I140" s="11" t="s">
        <v>587</v>
      </c>
      <c r="J140" s="33" t="s">
        <v>10</v>
      </c>
      <c r="K140" s="33"/>
      <c r="L140" s="33"/>
    </row>
    <row r="141" spans="1:12" x14ac:dyDescent="0.2">
      <c r="A141" s="2" t="s">
        <v>526</v>
      </c>
      <c r="B141" s="2">
        <v>38.673914221765898</v>
      </c>
      <c r="C141" s="2">
        <v>2.5886393904105498</v>
      </c>
      <c r="D141" s="2">
        <v>0.53428446510648397</v>
      </c>
      <c r="E141" s="2">
        <v>4.8450583153201601</v>
      </c>
      <c r="F141" s="10">
        <v>1.2657449602922201E-6</v>
      </c>
      <c r="G141" s="2">
        <v>3.9853483584007503E-4</v>
      </c>
      <c r="H141" s="11" t="s">
        <v>10</v>
      </c>
      <c r="I141" s="11" t="s">
        <v>10</v>
      </c>
      <c r="J141" s="33" t="s">
        <v>10</v>
      </c>
      <c r="K141" s="33"/>
      <c r="L141" s="33"/>
    </row>
    <row r="142" spans="1:12" x14ac:dyDescent="0.2">
      <c r="A142" s="2" t="s">
        <v>768</v>
      </c>
      <c r="B142" s="2">
        <v>20.579945853089999</v>
      </c>
      <c r="C142" s="2">
        <v>4.1394081439585504</v>
      </c>
      <c r="D142" s="2">
        <v>0.85533350083168302</v>
      </c>
      <c r="E142" s="2">
        <v>4.8395253312697299</v>
      </c>
      <c r="F142" s="10">
        <v>1.30149602566622E-6</v>
      </c>
      <c r="G142" s="2">
        <v>4.0753988188306403E-4</v>
      </c>
      <c r="H142" s="11" t="s">
        <v>10</v>
      </c>
      <c r="I142" s="11" t="s">
        <v>10</v>
      </c>
      <c r="J142" s="33" t="s">
        <v>10</v>
      </c>
      <c r="K142" s="33"/>
      <c r="L142" s="33"/>
    </row>
    <row r="143" spans="1:12" x14ac:dyDescent="0.2">
      <c r="A143" s="2" t="s">
        <v>702</v>
      </c>
      <c r="B143" s="2">
        <v>24.479805340332099</v>
      </c>
      <c r="C143" s="2">
        <v>3.61524879577351</v>
      </c>
      <c r="D143" s="2">
        <v>0.75130109329996297</v>
      </c>
      <c r="E143" s="2">
        <v>4.8119839409445602</v>
      </c>
      <c r="F143" s="10">
        <v>1.4943936429286899E-6</v>
      </c>
      <c r="G143" s="2">
        <v>4.60138899366915E-4</v>
      </c>
      <c r="H143" s="11" t="s">
        <v>10</v>
      </c>
      <c r="I143" s="11" t="s">
        <v>10</v>
      </c>
      <c r="J143" s="33" t="s">
        <v>10</v>
      </c>
      <c r="K143" s="33"/>
      <c r="L143" s="33"/>
    </row>
    <row r="144" spans="1:12" x14ac:dyDescent="0.2">
      <c r="A144" s="2" t="s">
        <v>306</v>
      </c>
      <c r="B144" s="2">
        <v>46.317357682861598</v>
      </c>
      <c r="C144" s="2">
        <v>2.1248449491484598</v>
      </c>
      <c r="D144" s="2">
        <v>0.442456634895809</v>
      </c>
      <c r="E144" s="2">
        <v>4.8023801239839496</v>
      </c>
      <c r="F144" s="10">
        <v>1.5679068620801299E-6</v>
      </c>
      <c r="G144" s="2">
        <v>4.70351811748753E-4</v>
      </c>
      <c r="H144" s="11" t="s">
        <v>317</v>
      </c>
      <c r="I144" s="11" t="s">
        <v>320</v>
      </c>
      <c r="J144" s="33" t="s">
        <v>10</v>
      </c>
      <c r="K144" s="33"/>
      <c r="L144" s="33"/>
    </row>
    <row r="145" spans="1:12" x14ac:dyDescent="0.2">
      <c r="A145" s="2" t="s">
        <v>853</v>
      </c>
      <c r="B145" s="2">
        <v>16.7144404550064</v>
      </c>
      <c r="C145" s="2">
        <v>7.7092091760390797</v>
      </c>
      <c r="D145" s="2">
        <v>1.6116855798237499</v>
      </c>
      <c r="E145" s="2">
        <v>4.7833208117939101</v>
      </c>
      <c r="F145" s="10">
        <v>1.7242260100223501E-6</v>
      </c>
      <c r="G145" s="2">
        <v>5.0391610415986496E-4</v>
      </c>
      <c r="H145" s="11" t="s">
        <v>858</v>
      </c>
      <c r="I145" s="11" t="s">
        <v>859</v>
      </c>
      <c r="J145" s="33" t="s">
        <v>10</v>
      </c>
      <c r="K145" s="33"/>
      <c r="L145" s="33"/>
    </row>
    <row r="146" spans="1:12" x14ac:dyDescent="0.2">
      <c r="A146" s="2" t="s">
        <v>454</v>
      </c>
      <c r="B146" s="2">
        <v>39.874292543082099</v>
      </c>
      <c r="C146" s="2">
        <v>2.40918328340139</v>
      </c>
      <c r="D146" s="2">
        <v>0.50456930681955403</v>
      </c>
      <c r="E146" s="2">
        <v>4.7747321345944798</v>
      </c>
      <c r="F146" s="10">
        <v>1.7994660881780401E-6</v>
      </c>
      <c r="G146" s="2">
        <v>5.2322230798605501E-4</v>
      </c>
      <c r="H146" s="11" t="s">
        <v>10</v>
      </c>
      <c r="I146" s="11" t="s">
        <v>10</v>
      </c>
      <c r="J146" s="33" t="s">
        <v>10</v>
      </c>
      <c r="K146" s="33"/>
      <c r="L146" s="33"/>
    </row>
    <row r="147" spans="1:12" x14ac:dyDescent="0.2">
      <c r="A147" s="2" t="s">
        <v>833</v>
      </c>
      <c r="B147" s="2">
        <v>16.028331444317299</v>
      </c>
      <c r="C147" s="2">
        <v>7.6500624080425101</v>
      </c>
      <c r="D147" s="2">
        <v>1.6079960857606601</v>
      </c>
      <c r="E147" s="2">
        <v>4.7575130784125399</v>
      </c>
      <c r="F147" s="10">
        <v>1.9599256249220498E-6</v>
      </c>
      <c r="G147" s="2">
        <v>5.6128724303672101E-4</v>
      </c>
      <c r="H147" s="11" t="s">
        <v>839</v>
      </c>
      <c r="I147" s="11" t="s">
        <v>840</v>
      </c>
      <c r="J147" s="33" t="s">
        <v>10</v>
      </c>
      <c r="K147" s="33"/>
      <c r="L147" s="33"/>
    </row>
    <row r="148" spans="1:12" x14ac:dyDescent="0.2">
      <c r="A148" s="2" t="s">
        <v>601</v>
      </c>
      <c r="B148" s="2">
        <v>38.0949449887665</v>
      </c>
      <c r="C148" s="2">
        <v>3.0322298815829098</v>
      </c>
      <c r="D148" s="2">
        <v>0.63793067955788296</v>
      </c>
      <c r="E148" s="2">
        <v>4.7532278643259396</v>
      </c>
      <c r="F148" s="10">
        <v>2.00194505343872E-6</v>
      </c>
      <c r="G148" s="2">
        <v>5.6761616216653005E-4</v>
      </c>
      <c r="H148" s="11" t="s">
        <v>10</v>
      </c>
      <c r="I148" s="11" t="s">
        <v>10</v>
      </c>
      <c r="J148" s="33" t="s">
        <v>10</v>
      </c>
      <c r="K148" s="33"/>
      <c r="L148" s="33"/>
    </row>
    <row r="149" spans="1:12" x14ac:dyDescent="0.2">
      <c r="A149" s="2" t="s">
        <v>842</v>
      </c>
      <c r="B149" s="2">
        <v>16.102819656155098</v>
      </c>
      <c r="C149" s="2">
        <v>7.6558980856780599</v>
      </c>
      <c r="D149" s="2">
        <v>1.6128803861725001</v>
      </c>
      <c r="E149" s="2">
        <v>4.7467240294527597</v>
      </c>
      <c r="F149" s="10">
        <v>2.0673771848463601E-6</v>
      </c>
      <c r="G149" s="2">
        <v>5.8326646418017003E-4</v>
      </c>
      <c r="H149" s="11" t="s">
        <v>849</v>
      </c>
      <c r="I149" s="11" t="s">
        <v>851</v>
      </c>
      <c r="J149" s="33" t="s">
        <v>10</v>
      </c>
      <c r="K149" s="33"/>
      <c r="L149" s="33"/>
    </row>
    <row r="150" spans="1:12" x14ac:dyDescent="0.2">
      <c r="A150" s="2" t="s">
        <v>698</v>
      </c>
      <c r="B150" s="2">
        <v>22.699158901568499</v>
      </c>
      <c r="C150" s="2">
        <v>3.4941604996890701</v>
      </c>
      <c r="D150" s="2">
        <v>0.73752822910721205</v>
      </c>
      <c r="E150" s="2">
        <v>4.7376634029571996</v>
      </c>
      <c r="F150" s="10">
        <v>2.1619651598572199E-6</v>
      </c>
      <c r="G150" s="2">
        <v>5.9536592694869796E-4</v>
      </c>
      <c r="H150" s="11" t="s">
        <v>10</v>
      </c>
      <c r="I150" s="11" t="s">
        <v>10</v>
      </c>
      <c r="J150" s="33" t="s">
        <v>10</v>
      </c>
      <c r="K150" s="33"/>
      <c r="L150" s="33"/>
    </row>
    <row r="151" spans="1:12" x14ac:dyDescent="0.2">
      <c r="A151" s="2" t="s">
        <v>484</v>
      </c>
      <c r="B151" s="2">
        <v>36.950123858020604</v>
      </c>
      <c r="C151" s="2">
        <v>2.4440199588827101</v>
      </c>
      <c r="D151" s="2">
        <v>0.51638982836342195</v>
      </c>
      <c r="E151" s="2">
        <v>4.7328971731075002</v>
      </c>
      <c r="F151" s="10">
        <v>2.2133763257519999E-6</v>
      </c>
      <c r="G151" s="2">
        <v>6.0354218566797296E-4</v>
      </c>
      <c r="H151" s="11" t="s">
        <v>10</v>
      </c>
      <c r="I151" s="11" t="s">
        <v>10</v>
      </c>
      <c r="J151" s="33" t="s">
        <v>10</v>
      </c>
      <c r="K151" s="33"/>
      <c r="L151" s="33"/>
    </row>
    <row r="152" spans="1:12" x14ac:dyDescent="0.2">
      <c r="A152" s="2" t="s">
        <v>823</v>
      </c>
      <c r="B152" s="2">
        <v>15.883912170540199</v>
      </c>
      <c r="C152" s="2">
        <v>7.6355122656219701</v>
      </c>
      <c r="D152" s="2">
        <v>1.6247902262019001</v>
      </c>
      <c r="E152" s="2">
        <v>4.6993834296201502</v>
      </c>
      <c r="F152" s="10">
        <v>2.6094811906668198E-6</v>
      </c>
      <c r="G152" s="2">
        <v>6.9737451356595404E-4</v>
      </c>
      <c r="H152" s="11" t="s">
        <v>829</v>
      </c>
      <c r="I152" s="11" t="s">
        <v>830</v>
      </c>
      <c r="J152" s="33" t="s">
        <v>3355</v>
      </c>
      <c r="K152" s="33"/>
      <c r="L152" s="33"/>
    </row>
    <row r="153" spans="1:12" x14ac:dyDescent="0.2">
      <c r="A153" s="2" t="s">
        <v>819</v>
      </c>
      <c r="B153" s="2">
        <v>15.585959323189099</v>
      </c>
      <c r="C153" s="2">
        <v>7.6116288453273304</v>
      </c>
      <c r="D153" s="2">
        <v>1.6199555465361899</v>
      </c>
      <c r="E153" s="2">
        <v>4.6986652575761196</v>
      </c>
      <c r="F153" s="10">
        <v>2.61867250224801E-6</v>
      </c>
      <c r="G153" s="2">
        <v>6.9737451356595404E-4</v>
      </c>
      <c r="H153" s="11" t="s">
        <v>10</v>
      </c>
      <c r="I153" s="11" t="s">
        <v>10</v>
      </c>
      <c r="J153" s="33" t="s">
        <v>10</v>
      </c>
      <c r="K153" s="33"/>
      <c r="L153" s="33"/>
    </row>
    <row r="154" spans="1:12" x14ac:dyDescent="0.2">
      <c r="A154" s="2" t="s">
        <v>809</v>
      </c>
      <c r="B154" s="2">
        <v>15.1729737559052</v>
      </c>
      <c r="C154" s="2">
        <v>7.5710968074250697</v>
      </c>
      <c r="D154" s="2">
        <v>1.61881131989478</v>
      </c>
      <c r="E154" s="2">
        <v>4.6769482733276098</v>
      </c>
      <c r="F154" s="10">
        <v>2.9117566783242298E-6</v>
      </c>
      <c r="G154" s="2">
        <v>7.5146108063898402E-4</v>
      </c>
      <c r="H154" s="11" t="s">
        <v>10</v>
      </c>
      <c r="I154" s="11" t="s">
        <v>818</v>
      </c>
      <c r="J154" s="33" t="s">
        <v>10</v>
      </c>
      <c r="K154" s="33"/>
      <c r="L154" s="33"/>
    </row>
    <row r="155" spans="1:12" x14ac:dyDescent="0.2">
      <c r="A155" s="2" t="s">
        <v>800</v>
      </c>
      <c r="B155" s="2">
        <v>15.148144351959299</v>
      </c>
      <c r="C155" s="2">
        <v>7.5690489292861702</v>
      </c>
      <c r="D155" s="2">
        <v>1.61870877247917</v>
      </c>
      <c r="E155" s="2">
        <v>4.6759794337146996</v>
      </c>
      <c r="F155" s="10">
        <v>2.9255392756904001E-6</v>
      </c>
      <c r="G155" s="2">
        <v>7.5146108063898402E-4</v>
      </c>
      <c r="H155" s="11" t="s">
        <v>806</v>
      </c>
      <c r="I155" s="11" t="s">
        <v>807</v>
      </c>
      <c r="J155" s="33" t="s">
        <v>3364</v>
      </c>
      <c r="K155" s="33"/>
      <c r="L155" s="33"/>
    </row>
    <row r="156" spans="1:12" x14ac:dyDescent="0.2">
      <c r="A156" s="2" t="s">
        <v>442</v>
      </c>
      <c r="B156" s="2">
        <v>484.88701689121001</v>
      </c>
      <c r="C156" s="2">
        <v>2.3905935349634202</v>
      </c>
      <c r="D156" s="2">
        <v>0.51186927436716401</v>
      </c>
      <c r="E156" s="2">
        <v>4.6703204405440601</v>
      </c>
      <c r="F156" s="10">
        <v>3.0073025222824698E-6</v>
      </c>
      <c r="G156" s="2">
        <v>7.6171631442167897E-4</v>
      </c>
      <c r="H156" s="11" t="s">
        <v>10</v>
      </c>
      <c r="I156" s="11" t="s">
        <v>10</v>
      </c>
      <c r="J156" s="33" t="s">
        <v>10</v>
      </c>
      <c r="K156" s="33"/>
      <c r="L156" s="33"/>
    </row>
    <row r="157" spans="1:12" x14ac:dyDescent="0.2">
      <c r="A157" s="2" t="s">
        <v>503</v>
      </c>
      <c r="B157" s="2">
        <v>35.331865824687902</v>
      </c>
      <c r="C157" s="2">
        <v>2.5268050123749499</v>
      </c>
      <c r="D157" s="2">
        <v>0.54441397783302603</v>
      </c>
      <c r="E157" s="2">
        <v>4.6413301554684496</v>
      </c>
      <c r="F157" s="10">
        <v>3.4617349842435699E-6</v>
      </c>
      <c r="G157" s="2">
        <v>8.65281915579128E-4</v>
      </c>
      <c r="H157" s="11" t="s">
        <v>10</v>
      </c>
      <c r="I157" s="11" t="s">
        <v>10</v>
      </c>
      <c r="J157" s="33" t="s">
        <v>10</v>
      </c>
      <c r="K157" s="33"/>
      <c r="L157" s="33"/>
    </row>
    <row r="158" spans="1:12" x14ac:dyDescent="0.2">
      <c r="A158" s="2" t="s">
        <v>3210</v>
      </c>
      <c r="B158" s="2">
        <v>16.669338797013001</v>
      </c>
      <c r="C158" s="2">
        <v>7.7039070478818896</v>
      </c>
      <c r="D158" s="2">
        <v>1.6740531054444501</v>
      </c>
      <c r="E158" s="2">
        <v>4.6019490199127002</v>
      </c>
      <c r="F158" s="10">
        <v>4.1855566567260797E-6</v>
      </c>
      <c r="G158" s="2">
        <v>1.0107409909611001E-3</v>
      </c>
      <c r="H158" s="11" t="s">
        <v>10</v>
      </c>
      <c r="I158" s="11" t="s">
        <v>10</v>
      </c>
      <c r="J158" s="33" t="s">
        <v>10</v>
      </c>
      <c r="K158" s="33"/>
      <c r="L158" s="33"/>
    </row>
    <row r="159" spans="1:12" x14ac:dyDescent="0.2">
      <c r="A159" s="2" t="s">
        <v>3211</v>
      </c>
      <c r="B159" s="2">
        <v>14.9495091203918</v>
      </c>
      <c r="C159" s="2">
        <v>7.5522938506468602</v>
      </c>
      <c r="D159" s="2">
        <v>1.6425047668705799</v>
      </c>
      <c r="E159" s="2">
        <v>4.5980346620460901</v>
      </c>
      <c r="F159" s="10">
        <v>4.2649505063486503E-6</v>
      </c>
      <c r="G159" s="2">
        <v>1.0255676344169201E-3</v>
      </c>
      <c r="H159" s="11" t="s">
        <v>10</v>
      </c>
      <c r="I159" s="11" t="s">
        <v>10</v>
      </c>
      <c r="J159" s="33" t="s">
        <v>10</v>
      </c>
      <c r="K159" s="33"/>
      <c r="L159" s="33"/>
    </row>
    <row r="160" spans="1:12" x14ac:dyDescent="0.2">
      <c r="A160" s="2" t="s">
        <v>3212</v>
      </c>
      <c r="B160" s="2">
        <v>61.312973721756499</v>
      </c>
      <c r="C160" s="2">
        <v>2.25932056170423</v>
      </c>
      <c r="D160" s="2">
        <v>0.49187201866916302</v>
      </c>
      <c r="E160" s="2">
        <v>4.5933097959448403</v>
      </c>
      <c r="F160" s="10">
        <v>4.3627065988866599E-6</v>
      </c>
      <c r="G160" s="2">
        <v>1.0419247910232899E-3</v>
      </c>
      <c r="H160" s="11" t="s">
        <v>10</v>
      </c>
      <c r="I160" s="11" t="s">
        <v>10</v>
      </c>
      <c r="J160" s="33" t="s">
        <v>10</v>
      </c>
      <c r="K160" s="33"/>
      <c r="L160" s="33"/>
    </row>
    <row r="161" spans="1:12" x14ac:dyDescent="0.2">
      <c r="A161" s="2" t="s">
        <v>3213</v>
      </c>
      <c r="B161" s="2">
        <v>14.3921042793308</v>
      </c>
      <c r="C161" s="2">
        <v>7.4940838575757001</v>
      </c>
      <c r="D161" s="2">
        <v>1.6348048642303501</v>
      </c>
      <c r="E161" s="2">
        <v>4.5840846339198</v>
      </c>
      <c r="F161" s="10">
        <v>4.5597953244771298E-6</v>
      </c>
      <c r="G161" s="2">
        <v>1.0738129567849199E-3</v>
      </c>
      <c r="H161" s="11" t="s">
        <v>10</v>
      </c>
      <c r="I161" s="11" t="s">
        <v>10</v>
      </c>
      <c r="J161" s="33" t="s">
        <v>10</v>
      </c>
      <c r="K161" s="33"/>
      <c r="L161" s="33"/>
    </row>
    <row r="162" spans="1:12" x14ac:dyDescent="0.2">
      <c r="A162" s="2" t="s">
        <v>3214</v>
      </c>
      <c r="B162" s="2">
        <v>14.4620353412702</v>
      </c>
      <c r="C162" s="2">
        <v>7.5037534070886096</v>
      </c>
      <c r="D162" s="2">
        <v>1.6375666563300999</v>
      </c>
      <c r="E162" s="2">
        <v>4.5822583026360997</v>
      </c>
      <c r="F162" s="10">
        <v>4.5998121828021503E-6</v>
      </c>
      <c r="G162" s="2">
        <v>1.0787789971106799E-3</v>
      </c>
      <c r="H162" s="11" t="s">
        <v>3279</v>
      </c>
      <c r="I162" s="11" t="s">
        <v>3323</v>
      </c>
      <c r="J162" s="33" t="s">
        <v>10</v>
      </c>
      <c r="K162" s="33"/>
      <c r="L162" s="33"/>
    </row>
    <row r="163" spans="1:12" x14ac:dyDescent="0.2">
      <c r="A163" s="2" t="s">
        <v>3215</v>
      </c>
      <c r="B163" s="2">
        <v>14.049049773986299</v>
      </c>
      <c r="C163" s="2">
        <v>7.46007291946741</v>
      </c>
      <c r="D163" s="2">
        <v>1.6360299344479301</v>
      </c>
      <c r="E163" s="2">
        <v>4.5598633389216001</v>
      </c>
      <c r="F163" s="10">
        <v>5.1186921028895296E-6</v>
      </c>
      <c r="G163" s="2">
        <v>1.17346427690362E-3</v>
      </c>
      <c r="H163" s="11" t="s">
        <v>10</v>
      </c>
      <c r="I163" s="11" t="s">
        <v>10</v>
      </c>
      <c r="J163" s="33" t="s">
        <v>10</v>
      </c>
      <c r="K163" s="33"/>
      <c r="L163" s="33"/>
    </row>
    <row r="164" spans="1:12" x14ac:dyDescent="0.2">
      <c r="A164" s="2" t="s">
        <v>3216</v>
      </c>
      <c r="B164" s="2">
        <v>14.6561134229391</v>
      </c>
      <c r="C164" s="2">
        <v>7.5238418378609202</v>
      </c>
      <c r="D164" s="2">
        <v>1.6507476686590199</v>
      </c>
      <c r="E164" s="2">
        <v>4.5578388391563598</v>
      </c>
      <c r="F164" s="10">
        <v>5.1682669503914401E-6</v>
      </c>
      <c r="G164" s="2">
        <v>1.17346427690362E-3</v>
      </c>
      <c r="H164" s="11" t="s">
        <v>3282</v>
      </c>
      <c r="I164" s="11" t="s">
        <v>3313</v>
      </c>
      <c r="J164" s="33" t="s">
        <v>3353</v>
      </c>
      <c r="K164" s="33"/>
      <c r="L164" s="33"/>
    </row>
    <row r="165" spans="1:12" x14ac:dyDescent="0.2">
      <c r="A165" s="2" t="s">
        <v>3217</v>
      </c>
      <c r="B165" s="2">
        <v>14.6561134229391</v>
      </c>
      <c r="C165" s="2">
        <v>7.5238418378609202</v>
      </c>
      <c r="D165" s="2">
        <v>1.6507476686590199</v>
      </c>
      <c r="E165" s="2">
        <v>4.5578388391563598</v>
      </c>
      <c r="F165" s="10">
        <v>5.1682669503914401E-6</v>
      </c>
      <c r="G165" s="2">
        <v>1.17346427690362E-3</v>
      </c>
      <c r="H165" s="11" t="s">
        <v>10</v>
      </c>
      <c r="I165" s="11" t="s">
        <v>10</v>
      </c>
      <c r="J165" s="33" t="s">
        <v>10</v>
      </c>
      <c r="K165" s="33"/>
      <c r="L165" s="33"/>
    </row>
    <row r="166" spans="1:12" x14ac:dyDescent="0.2">
      <c r="A166" s="2" t="s">
        <v>3218</v>
      </c>
      <c r="B166" s="2">
        <v>15.4709266032563</v>
      </c>
      <c r="C166" s="2">
        <v>7.5964299612523796</v>
      </c>
      <c r="D166" s="2">
        <v>1.6707933416865599</v>
      </c>
      <c r="E166" s="2">
        <v>4.5466005709504804</v>
      </c>
      <c r="F166" s="10">
        <v>5.4519324225614002E-6</v>
      </c>
      <c r="G166" s="2">
        <v>1.2184534461246099E-3</v>
      </c>
      <c r="H166" s="11" t="s">
        <v>3280</v>
      </c>
      <c r="I166" s="11" t="s">
        <v>3320</v>
      </c>
      <c r="J166" s="33" t="s">
        <v>3356</v>
      </c>
      <c r="K166" s="33"/>
      <c r="L166" s="33"/>
    </row>
    <row r="167" spans="1:12" x14ac:dyDescent="0.2">
      <c r="A167" s="2" t="s">
        <v>3219</v>
      </c>
      <c r="B167" s="2">
        <v>13.7804834804795</v>
      </c>
      <c r="C167" s="2">
        <v>7.4320613415654702</v>
      </c>
      <c r="D167" s="2">
        <v>1.6411518946217301</v>
      </c>
      <c r="E167" s="2">
        <v>4.5285639713918799</v>
      </c>
      <c r="F167" s="10">
        <v>5.9385902641588098E-6</v>
      </c>
      <c r="G167" s="2">
        <v>1.30671914731433E-3</v>
      </c>
      <c r="H167" s="11" t="s">
        <v>10</v>
      </c>
      <c r="I167" s="11" t="s">
        <v>10</v>
      </c>
      <c r="J167" s="33" t="s">
        <v>10</v>
      </c>
      <c r="K167" s="33"/>
      <c r="L167" s="33"/>
    </row>
    <row r="168" spans="1:12" x14ac:dyDescent="0.2">
      <c r="A168" s="2" t="s">
        <v>3220</v>
      </c>
      <c r="B168" s="2">
        <v>13.805312884425501</v>
      </c>
      <c r="C168" s="2">
        <v>7.43432913617659</v>
      </c>
      <c r="D168" s="2">
        <v>1.6423755407838201</v>
      </c>
      <c r="E168" s="2">
        <v>4.5265707821175898</v>
      </c>
      <c r="F168" s="10">
        <v>5.9948525967863502E-6</v>
      </c>
      <c r="G168" s="2">
        <v>1.31402557496482E-3</v>
      </c>
      <c r="H168" s="11" t="s">
        <v>3285</v>
      </c>
      <c r="I168" s="11" t="s">
        <v>3309</v>
      </c>
      <c r="J168" s="33" t="s">
        <v>10</v>
      </c>
      <c r="K168" s="33"/>
      <c r="L168" s="33"/>
    </row>
    <row r="169" spans="1:12" x14ac:dyDescent="0.2">
      <c r="A169" s="2" t="s">
        <v>3221</v>
      </c>
      <c r="B169" s="2">
        <v>14.6064546150473</v>
      </c>
      <c r="C169" s="2">
        <v>7.5193379447584903</v>
      </c>
      <c r="D169" s="2">
        <v>1.66526007123514</v>
      </c>
      <c r="E169" s="2">
        <v>4.5154135829254001</v>
      </c>
      <c r="F169" s="10">
        <v>6.3193312760005897E-6</v>
      </c>
      <c r="G169" s="2">
        <v>1.36934862897062E-3</v>
      </c>
      <c r="H169" s="11" t="s">
        <v>3276</v>
      </c>
      <c r="I169" s="11" t="s">
        <v>3328</v>
      </c>
      <c r="J169" s="33" t="s">
        <v>3360</v>
      </c>
      <c r="K169" s="33"/>
      <c r="L169" s="33"/>
    </row>
    <row r="170" spans="1:12" x14ac:dyDescent="0.2">
      <c r="A170" s="2" t="s">
        <v>3222</v>
      </c>
      <c r="B170" s="2">
        <v>24.3207512011777</v>
      </c>
      <c r="C170" s="2">
        <v>3.6479561232536599</v>
      </c>
      <c r="D170" s="2">
        <v>0.80967663536864698</v>
      </c>
      <c r="E170" s="2">
        <v>4.5054481800536896</v>
      </c>
      <c r="F170" s="10">
        <v>6.6233001354101697E-6</v>
      </c>
      <c r="G170" s="2">
        <v>1.42977982847358E-3</v>
      </c>
      <c r="H170" s="11" t="s">
        <v>10</v>
      </c>
      <c r="I170" s="11" t="s">
        <v>10</v>
      </c>
      <c r="J170" s="33" t="s">
        <v>10</v>
      </c>
      <c r="K170" s="33"/>
      <c r="L170" s="33"/>
    </row>
    <row r="171" spans="1:12" x14ac:dyDescent="0.2">
      <c r="A171" s="2" t="s">
        <v>3223</v>
      </c>
      <c r="B171" s="2">
        <v>18.709100234652201</v>
      </c>
      <c r="C171" s="2">
        <v>6.4415370601193196</v>
      </c>
      <c r="D171" s="2">
        <v>1.4323593030033099</v>
      </c>
      <c r="E171" s="2">
        <v>4.4971516899516697</v>
      </c>
      <c r="F171" s="10">
        <v>6.8869854601681103E-6</v>
      </c>
      <c r="G171" s="2">
        <v>1.4755236893796301E-3</v>
      </c>
      <c r="H171" s="11" t="s">
        <v>10</v>
      </c>
      <c r="I171" s="11" t="s">
        <v>10</v>
      </c>
      <c r="J171" s="33" t="s">
        <v>10</v>
      </c>
      <c r="K171" s="33"/>
      <c r="L171" s="33"/>
    </row>
    <row r="172" spans="1:12" x14ac:dyDescent="0.2">
      <c r="A172" s="2" t="s">
        <v>3224</v>
      </c>
      <c r="B172" s="2">
        <v>14.0941514319797</v>
      </c>
      <c r="C172" s="2">
        <v>7.4675029890017903</v>
      </c>
      <c r="D172" s="2">
        <v>1.66202922721094</v>
      </c>
      <c r="E172" s="2">
        <v>4.4930034121800899</v>
      </c>
      <c r="F172" s="10">
        <v>7.0225659024571696E-6</v>
      </c>
      <c r="G172" s="2">
        <v>1.4989364448727901E-3</v>
      </c>
      <c r="H172" s="11" t="s">
        <v>3277</v>
      </c>
      <c r="I172" s="11" t="s">
        <v>3326</v>
      </c>
      <c r="J172" s="33" t="s">
        <v>3358</v>
      </c>
      <c r="K172" s="33"/>
      <c r="L172" s="33"/>
    </row>
    <row r="173" spans="1:12" x14ac:dyDescent="0.2">
      <c r="A173" s="2" t="s">
        <v>3225</v>
      </c>
      <c r="B173" s="2">
        <v>13.561575994864601</v>
      </c>
      <c r="C173" s="2">
        <v>7.4081457956761403</v>
      </c>
      <c r="D173" s="2">
        <v>1.6509422702132099</v>
      </c>
      <c r="E173" s="2">
        <v>4.4872227995709499</v>
      </c>
      <c r="F173" s="10">
        <v>7.2157604493929898E-6</v>
      </c>
      <c r="G173" s="2">
        <v>1.5344260746675601E-3</v>
      </c>
      <c r="H173" s="11" t="s">
        <v>10</v>
      </c>
      <c r="I173" s="11" t="s">
        <v>10</v>
      </c>
      <c r="J173" s="33" t="s">
        <v>10</v>
      </c>
      <c r="K173" s="33"/>
      <c r="L173" s="33"/>
    </row>
    <row r="174" spans="1:12" x14ac:dyDescent="0.2">
      <c r="A174" s="2" t="s">
        <v>3226</v>
      </c>
      <c r="B174" s="2">
        <v>37.408206946985302</v>
      </c>
      <c r="C174" s="2">
        <v>2.2440523912434802</v>
      </c>
      <c r="D174" s="2">
        <v>0.50110750009927996</v>
      </c>
      <c r="E174" s="2">
        <v>4.4781856004926803</v>
      </c>
      <c r="F174" s="10">
        <v>7.5280138375905597E-6</v>
      </c>
      <c r="G174" s="2">
        <v>1.5868411078539301E-3</v>
      </c>
      <c r="H174" s="11" t="s">
        <v>10</v>
      </c>
      <c r="I174" s="11" t="s">
        <v>10</v>
      </c>
      <c r="J174" s="33" t="s">
        <v>10</v>
      </c>
      <c r="K174" s="33"/>
      <c r="L174" s="33"/>
    </row>
    <row r="175" spans="1:12" x14ac:dyDescent="0.2">
      <c r="A175" s="2" t="s">
        <v>3227</v>
      </c>
      <c r="B175" s="2">
        <v>48.802780549329</v>
      </c>
      <c r="C175" s="2">
        <v>2.6472024783930501</v>
      </c>
      <c r="D175" s="2">
        <v>0.59119926553536595</v>
      </c>
      <c r="E175" s="2">
        <v>4.47768228533885</v>
      </c>
      <c r="F175" s="10">
        <v>7.5457789125884503E-6</v>
      </c>
      <c r="G175" s="2">
        <v>1.5868411078539301E-3</v>
      </c>
      <c r="H175" s="11" t="s">
        <v>10</v>
      </c>
      <c r="I175" s="11" t="s">
        <v>10</v>
      </c>
      <c r="J175" s="33" t="s">
        <v>10</v>
      </c>
      <c r="K175" s="33"/>
      <c r="L175" s="33"/>
    </row>
    <row r="176" spans="1:12" x14ac:dyDescent="0.2">
      <c r="A176" s="2" t="s">
        <v>3228</v>
      </c>
      <c r="B176" s="2">
        <v>13.293009701357899</v>
      </c>
      <c r="C176" s="2">
        <v>7.3791216638471901</v>
      </c>
      <c r="D176" s="2">
        <v>1.65799148510573</v>
      </c>
      <c r="E176" s="2">
        <v>4.4506390594500598</v>
      </c>
      <c r="F176" s="10">
        <v>8.5615133464672293E-6</v>
      </c>
      <c r="G176" s="2">
        <v>1.74881951833393E-3</v>
      </c>
      <c r="H176" s="11" t="s">
        <v>10</v>
      </c>
      <c r="I176" s="11" t="s">
        <v>10</v>
      </c>
      <c r="J176" s="33" t="s">
        <v>10</v>
      </c>
      <c r="K176" s="33"/>
      <c r="L176" s="33"/>
    </row>
    <row r="177" spans="1:12" x14ac:dyDescent="0.2">
      <c r="A177" s="2" t="s">
        <v>3229</v>
      </c>
      <c r="B177" s="2">
        <v>30.568204202592501</v>
      </c>
      <c r="C177" s="2">
        <v>2.47115505984448</v>
      </c>
      <c r="D177" s="2">
        <v>0.55684973590115605</v>
      </c>
      <c r="E177" s="2">
        <v>4.4377412801415499</v>
      </c>
      <c r="F177" s="10">
        <v>9.0907793707412798E-6</v>
      </c>
      <c r="G177" s="2">
        <v>1.8371755898529999E-3</v>
      </c>
      <c r="H177" s="11" t="s">
        <v>3291</v>
      </c>
      <c r="I177" s="11" t="s">
        <v>3299</v>
      </c>
      <c r="J177" s="33" t="s">
        <v>3344</v>
      </c>
      <c r="K177" s="33"/>
      <c r="L177" s="33"/>
    </row>
    <row r="178" spans="1:12" x14ac:dyDescent="0.2">
      <c r="A178" s="2" t="s">
        <v>3230</v>
      </c>
      <c r="B178" s="2">
        <v>12.582071286722799</v>
      </c>
      <c r="C178" s="2">
        <v>7.3018791873036104</v>
      </c>
      <c r="D178" s="2">
        <v>1.6644842581469099</v>
      </c>
      <c r="E178" s="2">
        <v>4.3868718803221798</v>
      </c>
      <c r="F178" s="10">
        <v>1.1499247781981E-5</v>
      </c>
      <c r="G178" s="2">
        <v>2.24485236533926E-3</v>
      </c>
      <c r="H178" s="11" t="s">
        <v>3274</v>
      </c>
      <c r="I178" s="11" t="s">
        <v>3332</v>
      </c>
      <c r="J178" s="33" t="s">
        <v>10</v>
      </c>
      <c r="K178" s="33"/>
      <c r="L178" s="33"/>
    </row>
    <row r="179" spans="1:12" x14ac:dyDescent="0.2">
      <c r="A179" s="2" t="s">
        <v>3231</v>
      </c>
      <c r="B179" s="2">
        <v>12.5572418827769</v>
      </c>
      <c r="C179" s="2">
        <v>7.2993819205745698</v>
      </c>
      <c r="D179" s="2">
        <v>1.66697474117445</v>
      </c>
      <c r="E179" s="2">
        <v>4.3788197507011297</v>
      </c>
      <c r="F179" s="10">
        <v>1.19323770752335E-5</v>
      </c>
      <c r="G179" s="2">
        <v>2.3051734559917099E-3</v>
      </c>
      <c r="H179" s="11" t="s">
        <v>10</v>
      </c>
      <c r="I179" s="11" t="s">
        <v>10</v>
      </c>
      <c r="J179" s="33" t="s">
        <v>10</v>
      </c>
      <c r="K179" s="33"/>
      <c r="L179" s="33"/>
    </row>
    <row r="180" spans="1:12" x14ac:dyDescent="0.2">
      <c r="A180" s="2" t="s">
        <v>3232</v>
      </c>
      <c r="B180" s="2">
        <v>43.269305582323298</v>
      </c>
      <c r="C180" s="2">
        <v>2.2062647779590301</v>
      </c>
      <c r="D180" s="2">
        <v>0.50507906823771398</v>
      </c>
      <c r="E180" s="2">
        <v>4.3681572187439297</v>
      </c>
      <c r="F180" s="10">
        <v>1.2529928424921999E-5</v>
      </c>
      <c r="G180" s="2">
        <v>2.4043118550043999E-3</v>
      </c>
      <c r="H180" s="11" t="s">
        <v>10</v>
      </c>
      <c r="I180" s="11" t="s">
        <v>10</v>
      </c>
      <c r="J180" s="33" t="s">
        <v>10</v>
      </c>
      <c r="K180" s="33"/>
      <c r="L180" s="33"/>
    </row>
    <row r="181" spans="1:12" x14ac:dyDescent="0.2">
      <c r="A181" s="2" t="s">
        <v>3233</v>
      </c>
      <c r="B181" s="2">
        <v>13.123761023634801</v>
      </c>
      <c r="C181" s="2">
        <v>7.3594534447839601</v>
      </c>
      <c r="D181" s="2">
        <v>1.6890118594099099</v>
      </c>
      <c r="E181" s="2">
        <v>4.3572538604643798</v>
      </c>
      <c r="F181" s="10">
        <v>1.31704479200458E-5</v>
      </c>
      <c r="G181" s="2">
        <v>2.5103138025532202E-3</v>
      </c>
      <c r="H181" s="11" t="s">
        <v>10</v>
      </c>
      <c r="I181" s="11" t="s">
        <v>3316</v>
      </c>
      <c r="J181" s="33" t="s">
        <v>3354</v>
      </c>
      <c r="K181" s="33"/>
      <c r="L181" s="33"/>
    </row>
    <row r="182" spans="1:12" x14ac:dyDescent="0.2">
      <c r="A182" s="2" t="s">
        <v>3234</v>
      </c>
      <c r="B182" s="2">
        <v>44.736837099852899</v>
      </c>
      <c r="C182" s="2">
        <v>2.16929163890119</v>
      </c>
      <c r="D182" s="2">
        <v>0.50106252156749997</v>
      </c>
      <c r="E182" s="2">
        <v>4.3293831518567396</v>
      </c>
      <c r="F182" s="10">
        <v>1.49527582735268E-5</v>
      </c>
      <c r="G182" s="2">
        <v>2.7312746602829799E-3</v>
      </c>
      <c r="H182" s="11" t="s">
        <v>10</v>
      </c>
      <c r="I182" s="11" t="s">
        <v>3325</v>
      </c>
      <c r="J182" s="33" t="s">
        <v>10</v>
      </c>
      <c r="K182" s="33"/>
      <c r="L182" s="33"/>
    </row>
    <row r="183" spans="1:12" x14ac:dyDescent="0.2">
      <c r="A183" s="2" t="s">
        <v>3235</v>
      </c>
      <c r="B183" s="2">
        <v>26.405610160497702</v>
      </c>
      <c r="C183" s="2">
        <v>3.06496493664419</v>
      </c>
      <c r="D183" s="2">
        <v>0.70984012767323601</v>
      </c>
      <c r="E183" s="2">
        <v>4.3178242778282296</v>
      </c>
      <c r="F183" s="10">
        <v>1.5757480064970901E-5</v>
      </c>
      <c r="G183" s="2">
        <v>2.8508532981037899E-3</v>
      </c>
      <c r="H183" s="11" t="s">
        <v>10</v>
      </c>
      <c r="I183" s="11" t="s">
        <v>10</v>
      </c>
      <c r="J183" s="33" t="s">
        <v>10</v>
      </c>
      <c r="K183" s="33"/>
      <c r="L183" s="33"/>
    </row>
    <row r="184" spans="1:12" x14ac:dyDescent="0.2">
      <c r="A184" s="2" t="s">
        <v>3236</v>
      </c>
      <c r="B184" s="2">
        <v>33.499691114182902</v>
      </c>
      <c r="C184" s="2">
        <v>2.7146976154596101</v>
      </c>
      <c r="D184" s="2">
        <v>0.63039839067663395</v>
      </c>
      <c r="E184" s="2">
        <v>4.3063206626301902</v>
      </c>
      <c r="F184" s="10">
        <v>1.6599238493086301E-5</v>
      </c>
      <c r="G184" s="2">
        <v>2.9562206303780998E-3</v>
      </c>
      <c r="H184" s="11" t="s">
        <v>3278</v>
      </c>
      <c r="I184" s="11" t="s">
        <v>3324</v>
      </c>
      <c r="J184" s="33" t="s">
        <v>3357</v>
      </c>
      <c r="K184" s="33"/>
      <c r="L184" s="33"/>
    </row>
    <row r="185" spans="1:12" x14ac:dyDescent="0.2">
      <c r="A185" s="2" t="s">
        <v>3237</v>
      </c>
      <c r="B185" s="2">
        <v>12.920568642168901</v>
      </c>
      <c r="C185" s="2">
        <v>7.34261258241209</v>
      </c>
      <c r="D185" s="2">
        <v>1.7075325854642001</v>
      </c>
      <c r="E185" s="2">
        <v>4.3001302844337603</v>
      </c>
      <c r="F185" s="10">
        <v>1.7069772681532502E-5</v>
      </c>
      <c r="G185" s="2">
        <v>3.0064185750114099E-3</v>
      </c>
      <c r="H185" s="11" t="s">
        <v>10</v>
      </c>
      <c r="I185" s="11" t="s">
        <v>10</v>
      </c>
      <c r="J185" s="33" t="s">
        <v>10</v>
      </c>
      <c r="K185" s="33"/>
      <c r="L185" s="33"/>
    </row>
    <row r="186" spans="1:12" x14ac:dyDescent="0.2">
      <c r="A186" s="2" t="s">
        <v>3238</v>
      </c>
      <c r="B186" s="2">
        <v>21.660328055471801</v>
      </c>
      <c r="C186" s="2">
        <v>3.7745801436190898</v>
      </c>
      <c r="D186" s="2">
        <v>0.87822443908188697</v>
      </c>
      <c r="E186" s="2">
        <v>4.2979675532203396</v>
      </c>
      <c r="F186" s="10">
        <v>1.7237138790598298E-5</v>
      </c>
      <c r="G186" s="2">
        <v>3.0225985836190598E-3</v>
      </c>
      <c r="H186" s="11" t="s">
        <v>10</v>
      </c>
      <c r="I186" s="11" t="s">
        <v>3334</v>
      </c>
      <c r="J186" s="33" t="s">
        <v>10</v>
      </c>
      <c r="K186" s="33"/>
      <c r="L186" s="33"/>
    </row>
    <row r="187" spans="1:12" x14ac:dyDescent="0.2">
      <c r="A187" s="2" t="s">
        <v>3239</v>
      </c>
      <c r="B187" s="2">
        <v>13.834699438269899</v>
      </c>
      <c r="C187" s="2">
        <v>7.4348484137388002</v>
      </c>
      <c r="D187" s="2">
        <v>1.7348109214233001</v>
      </c>
      <c r="E187" s="2">
        <v>4.2856822734543201</v>
      </c>
      <c r="F187" s="10">
        <v>1.8217920566865499E-5</v>
      </c>
      <c r="G187" s="2">
        <v>3.1461796760777799E-3</v>
      </c>
      <c r="H187" s="11" t="s">
        <v>10</v>
      </c>
      <c r="I187" s="11" t="s">
        <v>10</v>
      </c>
      <c r="J187" s="33" t="s">
        <v>10</v>
      </c>
      <c r="K187" s="33"/>
      <c r="L187" s="33"/>
    </row>
    <row r="188" spans="1:12" x14ac:dyDescent="0.2">
      <c r="A188" s="2" t="s">
        <v>3240</v>
      </c>
      <c r="B188" s="2">
        <v>33.892283468016899</v>
      </c>
      <c r="C188" s="2">
        <v>2.3822490237271898</v>
      </c>
      <c r="D188" s="2">
        <v>0.55712246840035995</v>
      </c>
      <c r="E188" s="2">
        <v>4.2759880615966299</v>
      </c>
      <c r="F188" s="10">
        <v>1.9029142096002001E-5</v>
      </c>
      <c r="G188" s="2">
        <v>3.25666909324672E-3</v>
      </c>
      <c r="H188" s="11" t="s">
        <v>10</v>
      </c>
      <c r="I188" s="11" t="s">
        <v>10</v>
      </c>
      <c r="J188" s="33" t="s">
        <v>10</v>
      </c>
      <c r="K188" s="33"/>
      <c r="L188" s="33"/>
    </row>
    <row r="189" spans="1:12" x14ac:dyDescent="0.2">
      <c r="A189" s="2" t="s">
        <v>3241</v>
      </c>
      <c r="B189" s="2">
        <v>29.749648980827601</v>
      </c>
      <c r="C189" s="2">
        <v>3.2510854474249098</v>
      </c>
      <c r="D189" s="2">
        <v>0.76218016329994598</v>
      </c>
      <c r="E189" s="2">
        <v>4.2655078208136104</v>
      </c>
      <c r="F189" s="10">
        <v>1.9944802688944E-5</v>
      </c>
      <c r="G189" s="2">
        <v>3.3728614398899699E-3</v>
      </c>
      <c r="H189" s="11" t="s">
        <v>10</v>
      </c>
      <c r="I189" s="11" t="s">
        <v>10</v>
      </c>
      <c r="J189" s="33" t="s">
        <v>10</v>
      </c>
      <c r="K189" s="33"/>
      <c r="L189" s="33"/>
    </row>
    <row r="190" spans="1:12" x14ac:dyDescent="0.2">
      <c r="A190" s="2" t="s">
        <v>3242</v>
      </c>
      <c r="B190" s="2">
        <v>19.456765115108499</v>
      </c>
      <c r="C190" s="2">
        <v>3.77183962972089</v>
      </c>
      <c r="D190" s="2">
        <v>0.88808908156031896</v>
      </c>
      <c r="E190" s="2">
        <v>4.2471410898262496</v>
      </c>
      <c r="F190" s="10">
        <v>2.16515620929318E-5</v>
      </c>
      <c r="G190" s="2">
        <v>3.5803898973151499E-3</v>
      </c>
      <c r="H190" s="11" t="s">
        <v>10</v>
      </c>
      <c r="I190" s="11" t="s">
        <v>10</v>
      </c>
      <c r="J190" s="33" t="s">
        <v>10</v>
      </c>
      <c r="K190" s="33"/>
      <c r="L190" s="33"/>
    </row>
    <row r="191" spans="1:12" x14ac:dyDescent="0.2">
      <c r="A191" s="2" t="s">
        <v>3243</v>
      </c>
      <c r="B191" s="2">
        <v>11.264069223134999</v>
      </c>
      <c r="C191" s="2">
        <v>7.1409651681046</v>
      </c>
      <c r="D191" s="2">
        <v>1.69743071412978</v>
      </c>
      <c r="E191" s="2">
        <v>4.2069258607504096</v>
      </c>
      <c r="F191" s="10">
        <v>2.58868020388527E-5</v>
      </c>
      <c r="G191" s="2">
        <v>4.1324617596476603E-3</v>
      </c>
      <c r="H191" s="11" t="s">
        <v>10</v>
      </c>
      <c r="I191" s="11" t="s">
        <v>10</v>
      </c>
      <c r="J191" s="33" t="s">
        <v>10</v>
      </c>
      <c r="K191" s="33"/>
      <c r="L191" s="33"/>
    </row>
    <row r="192" spans="1:12" x14ac:dyDescent="0.2">
      <c r="A192" s="2" t="s">
        <v>3244</v>
      </c>
      <c r="B192" s="2">
        <v>11.214410415243099</v>
      </c>
      <c r="C192" s="2">
        <v>7.1353672204699201</v>
      </c>
      <c r="D192" s="2">
        <v>1.6967033855949401</v>
      </c>
      <c r="E192" s="2">
        <v>4.2054299419977497</v>
      </c>
      <c r="F192" s="10">
        <v>2.60586302252099E-5</v>
      </c>
      <c r="G192" s="2">
        <v>4.1367168148599203E-3</v>
      </c>
      <c r="H192" s="11" t="s">
        <v>10</v>
      </c>
      <c r="I192" s="11" t="s">
        <v>3312</v>
      </c>
      <c r="J192" s="33" t="s">
        <v>10</v>
      </c>
      <c r="K192" s="33"/>
      <c r="L192" s="33"/>
    </row>
    <row r="193" spans="1:12" x14ac:dyDescent="0.2">
      <c r="A193" s="2" t="s">
        <v>3245</v>
      </c>
      <c r="B193" s="2">
        <v>11.214410415243099</v>
      </c>
      <c r="C193" s="2">
        <v>7.1353672204699201</v>
      </c>
      <c r="D193" s="2">
        <v>1.6967033855949401</v>
      </c>
      <c r="E193" s="2">
        <v>4.2054299419977497</v>
      </c>
      <c r="F193" s="10">
        <v>2.60586302252099E-5</v>
      </c>
      <c r="G193" s="2">
        <v>4.1367168148599203E-3</v>
      </c>
      <c r="H193" s="11" t="s">
        <v>10</v>
      </c>
      <c r="I193" s="11" t="s">
        <v>10</v>
      </c>
      <c r="J193" s="33" t="s">
        <v>10</v>
      </c>
      <c r="K193" s="33"/>
      <c r="L193" s="33"/>
    </row>
    <row r="194" spans="1:12" x14ac:dyDescent="0.2">
      <c r="A194" s="2" t="s">
        <v>3246</v>
      </c>
      <c r="B194" s="2">
        <v>11.6816119403173</v>
      </c>
      <c r="C194" s="2">
        <v>7.1917058568207501</v>
      </c>
      <c r="D194" s="2">
        <v>1.7154743767788001</v>
      </c>
      <c r="E194" s="2">
        <v>4.1922548970535196</v>
      </c>
      <c r="F194" s="10">
        <v>2.76195416164941E-5</v>
      </c>
      <c r="G194" s="2">
        <v>4.3242793316593401E-3</v>
      </c>
      <c r="H194" s="11" t="s">
        <v>10</v>
      </c>
      <c r="I194" s="11" t="s">
        <v>10</v>
      </c>
      <c r="J194" s="33" t="s">
        <v>10</v>
      </c>
      <c r="K194" s="33"/>
      <c r="L194" s="33"/>
    </row>
    <row r="195" spans="1:12" x14ac:dyDescent="0.2">
      <c r="A195" s="2" t="s">
        <v>3247</v>
      </c>
      <c r="B195" s="2">
        <v>12.024666445661801</v>
      </c>
      <c r="C195" s="2">
        <v>7.2329530441970702</v>
      </c>
      <c r="D195" s="2">
        <v>1.7294993869789801</v>
      </c>
      <c r="E195" s="2">
        <v>4.1821078970321501</v>
      </c>
      <c r="F195" s="10">
        <v>2.8881883864101199E-5</v>
      </c>
      <c r="G195" s="2">
        <v>4.4369014676951197E-3</v>
      </c>
      <c r="H195" s="11" t="s">
        <v>10</v>
      </c>
      <c r="I195" s="11" t="s">
        <v>10</v>
      </c>
      <c r="J195" s="33" t="s">
        <v>10</v>
      </c>
      <c r="K195" s="33"/>
      <c r="L195" s="33"/>
    </row>
    <row r="196" spans="1:12" x14ac:dyDescent="0.2">
      <c r="A196" s="2" t="s">
        <v>3248</v>
      </c>
      <c r="B196" s="2">
        <v>17.401914994167999</v>
      </c>
      <c r="C196" s="2">
        <v>3.5703861787353399</v>
      </c>
      <c r="D196" s="2">
        <v>0.85551420834969205</v>
      </c>
      <c r="E196" s="2">
        <v>4.1733803411900103</v>
      </c>
      <c r="F196" s="10">
        <v>3.00113313258007E-5</v>
      </c>
      <c r="G196" s="2">
        <v>4.5853774055157701E-3</v>
      </c>
      <c r="H196" s="11" t="s">
        <v>10</v>
      </c>
      <c r="I196" s="11" t="s">
        <v>10</v>
      </c>
      <c r="J196" s="33" t="s">
        <v>10</v>
      </c>
      <c r="K196" s="33"/>
      <c r="L196" s="33"/>
    </row>
    <row r="197" spans="1:12" x14ac:dyDescent="0.2">
      <c r="A197" s="2" t="s">
        <v>3249</v>
      </c>
      <c r="B197" s="2">
        <v>10.970673525682299</v>
      </c>
      <c r="C197" s="2">
        <v>7.1030797270711901</v>
      </c>
      <c r="D197" s="2">
        <v>1.7047413326157901</v>
      </c>
      <c r="E197" s="2">
        <v>4.1666612941049896</v>
      </c>
      <c r="F197" s="10">
        <v>3.0909321894642097E-5</v>
      </c>
      <c r="G197" s="2">
        <v>4.6973926794017396E-3</v>
      </c>
      <c r="H197" s="11" t="s">
        <v>10</v>
      </c>
      <c r="I197" s="11" t="s">
        <v>10</v>
      </c>
      <c r="J197" s="33" t="s">
        <v>10</v>
      </c>
      <c r="K197" s="33"/>
      <c r="L197" s="33"/>
    </row>
    <row r="198" spans="1:12" x14ac:dyDescent="0.2">
      <c r="A198" s="2" t="s">
        <v>3250</v>
      </c>
      <c r="B198" s="2">
        <v>11.0451617375201</v>
      </c>
      <c r="C198" s="2">
        <v>7.11172852257614</v>
      </c>
      <c r="D198" s="2">
        <v>1.71338500909999</v>
      </c>
      <c r="E198" s="2">
        <v>4.1506891240467896</v>
      </c>
      <c r="F198" s="10">
        <v>3.3147573912178699E-5</v>
      </c>
      <c r="G198" s="2">
        <v>4.9641158044110498E-3</v>
      </c>
      <c r="H198" s="11" t="s">
        <v>3288</v>
      </c>
      <c r="I198" s="11" t="s">
        <v>3304</v>
      </c>
      <c r="J198" s="33" t="s">
        <v>3347</v>
      </c>
      <c r="K198" s="33"/>
      <c r="L198" s="33"/>
    </row>
    <row r="199" spans="1:12" x14ac:dyDescent="0.2">
      <c r="A199" s="2" t="s">
        <v>3251</v>
      </c>
      <c r="B199" s="2">
        <v>23.232546836889899</v>
      </c>
      <c r="C199" s="2">
        <v>2.8744380718684002</v>
      </c>
      <c r="D199" s="2">
        <v>0.69532034132012299</v>
      </c>
      <c r="E199" s="2">
        <v>4.13397667384654</v>
      </c>
      <c r="F199" s="10">
        <v>3.5653967769436399E-5</v>
      </c>
      <c r="G199" s="2">
        <v>5.2349281842029296E-3</v>
      </c>
      <c r="H199" s="11" t="s">
        <v>10</v>
      </c>
      <c r="I199" s="11" t="s">
        <v>10</v>
      </c>
      <c r="J199" s="33" t="s">
        <v>10</v>
      </c>
      <c r="K199" s="33"/>
      <c r="L199" s="33"/>
    </row>
    <row r="200" spans="1:12" x14ac:dyDescent="0.2">
      <c r="A200" s="2" t="s">
        <v>3252</v>
      </c>
      <c r="B200" s="2">
        <v>10.6524484242836</v>
      </c>
      <c r="C200" s="2">
        <v>7.0612178860392198</v>
      </c>
      <c r="D200" s="2">
        <v>1.71313025618242</v>
      </c>
      <c r="E200" s="2">
        <v>4.1218219458540304</v>
      </c>
      <c r="F200" s="10">
        <v>3.7588768872081101E-5</v>
      </c>
      <c r="G200" s="2">
        <v>5.4275531087956104E-3</v>
      </c>
      <c r="H200" s="11" t="s">
        <v>10</v>
      </c>
      <c r="I200" s="11" t="s">
        <v>10</v>
      </c>
      <c r="J200" s="33" t="s">
        <v>10</v>
      </c>
      <c r="K200" s="33"/>
      <c r="L200" s="33"/>
    </row>
    <row r="201" spans="1:12" x14ac:dyDescent="0.2">
      <c r="A201" s="2" t="s">
        <v>3253</v>
      </c>
      <c r="B201" s="2">
        <v>21.6433424988798</v>
      </c>
      <c r="C201" s="2">
        <v>3.5718467700865402</v>
      </c>
      <c r="D201" s="2">
        <v>0.86702492596110303</v>
      </c>
      <c r="E201" s="2">
        <v>4.1196586893129101</v>
      </c>
      <c r="F201" s="10">
        <v>3.7943403017955501E-5</v>
      </c>
      <c r="G201" s="2">
        <v>5.4605922676598103E-3</v>
      </c>
      <c r="H201" s="11" t="s">
        <v>10</v>
      </c>
      <c r="I201" s="11" t="s">
        <v>10</v>
      </c>
      <c r="J201" s="33" t="s">
        <v>10</v>
      </c>
      <c r="K201" s="33"/>
      <c r="L201" s="33"/>
    </row>
    <row r="202" spans="1:12" x14ac:dyDescent="0.2">
      <c r="A202" s="2" t="s">
        <v>3254</v>
      </c>
      <c r="B202" s="2">
        <v>12.284118439371699</v>
      </c>
      <c r="C202" s="2">
        <v>7.2701789056843404</v>
      </c>
      <c r="D202" s="2">
        <v>1.76823920279191</v>
      </c>
      <c r="E202" s="2">
        <v>4.1115358681140499</v>
      </c>
      <c r="F202" s="10">
        <v>3.9303579958187797E-5</v>
      </c>
      <c r="G202" s="2">
        <v>5.6420932539474099E-3</v>
      </c>
      <c r="H202" s="11" t="s">
        <v>10</v>
      </c>
      <c r="I202" s="11" t="s">
        <v>10</v>
      </c>
      <c r="J202" s="33" t="s">
        <v>10</v>
      </c>
      <c r="K202" s="33"/>
      <c r="L202" s="33"/>
    </row>
    <row r="203" spans="1:12" x14ac:dyDescent="0.2">
      <c r="A203" s="2" t="s">
        <v>3255</v>
      </c>
      <c r="B203" s="2">
        <v>11.1196499493578</v>
      </c>
      <c r="C203" s="2">
        <v>7.1205151146046797</v>
      </c>
      <c r="D203" s="2">
        <v>1.7333447921835701</v>
      </c>
      <c r="E203" s="2">
        <v>4.1079623319689604</v>
      </c>
      <c r="F203" s="10">
        <v>3.9916518363383998E-5</v>
      </c>
      <c r="G203" s="2">
        <v>5.6947736815391404E-3</v>
      </c>
      <c r="H203" s="11" t="s">
        <v>10</v>
      </c>
      <c r="I203" s="11" t="s">
        <v>3322</v>
      </c>
      <c r="J203" s="33" t="s">
        <v>10</v>
      </c>
      <c r="K203" s="33"/>
      <c r="L203" s="33"/>
    </row>
    <row r="204" spans="1:12" x14ac:dyDescent="0.2">
      <c r="A204" s="2" t="s">
        <v>3256</v>
      </c>
      <c r="B204" s="2">
        <v>18.685899963431499</v>
      </c>
      <c r="C204" s="2">
        <v>3.6090483235808799</v>
      </c>
      <c r="D204" s="2">
        <v>0.88112319792758298</v>
      </c>
      <c r="E204" s="2">
        <v>4.0959633477695601</v>
      </c>
      <c r="F204" s="10">
        <v>4.2041644779768598E-5</v>
      </c>
      <c r="G204" s="2">
        <v>5.93057756435399E-3</v>
      </c>
      <c r="H204" s="11" t="s">
        <v>10</v>
      </c>
      <c r="I204" s="11" t="s">
        <v>10</v>
      </c>
      <c r="J204" s="33" t="s">
        <v>10</v>
      </c>
      <c r="K204" s="33"/>
      <c r="L204" s="33"/>
    </row>
    <row r="205" spans="1:12" x14ac:dyDescent="0.2">
      <c r="A205" s="2" t="s">
        <v>3257</v>
      </c>
      <c r="B205" s="2">
        <v>10.334223322885</v>
      </c>
      <c r="C205" s="2">
        <v>7.0180902972451999</v>
      </c>
      <c r="D205" s="2">
        <v>1.7253036621342299</v>
      </c>
      <c r="E205" s="2">
        <v>4.0677420742060697</v>
      </c>
      <c r="F205" s="10">
        <v>4.7470883237291103E-5</v>
      </c>
      <c r="G205" s="2">
        <v>6.5505221203225597E-3</v>
      </c>
      <c r="H205" s="11" t="s">
        <v>10</v>
      </c>
      <c r="I205" s="11" t="s">
        <v>10</v>
      </c>
      <c r="J205" s="33" t="s">
        <v>10</v>
      </c>
      <c r="K205" s="33"/>
      <c r="L205" s="33"/>
    </row>
    <row r="206" spans="1:12" x14ac:dyDescent="0.2">
      <c r="A206" s="2" t="s">
        <v>3258</v>
      </c>
      <c r="B206" s="2">
        <v>13.591779183227899</v>
      </c>
      <c r="C206" s="2">
        <v>6.0585568743814697</v>
      </c>
      <c r="D206" s="2">
        <v>1.4921844973534599</v>
      </c>
      <c r="E206" s="2">
        <v>4.06019288172938</v>
      </c>
      <c r="F206" s="10">
        <v>4.9032193748070499E-5</v>
      </c>
      <c r="G206" s="2">
        <v>6.7171748117849503E-3</v>
      </c>
      <c r="H206" s="11" t="s">
        <v>10</v>
      </c>
      <c r="I206" s="11" t="s">
        <v>10</v>
      </c>
      <c r="J206" s="33" t="s">
        <v>10</v>
      </c>
      <c r="K206" s="33"/>
      <c r="L206" s="33"/>
    </row>
    <row r="207" spans="1:12" x14ac:dyDescent="0.2">
      <c r="A207" s="2" t="s">
        <v>3259</v>
      </c>
      <c r="B207" s="2">
        <v>26.758548031337099</v>
      </c>
      <c r="C207" s="2">
        <v>2.5467312517626199</v>
      </c>
      <c r="D207" s="2">
        <v>0.62777795561937999</v>
      </c>
      <c r="E207" s="2">
        <v>4.0567388978320498</v>
      </c>
      <c r="F207" s="10">
        <v>4.97626596293934E-5</v>
      </c>
      <c r="G207" s="2">
        <v>6.7846267279404997E-3</v>
      </c>
      <c r="H207" s="11" t="s">
        <v>10</v>
      </c>
      <c r="I207" s="11" t="s">
        <v>3337</v>
      </c>
      <c r="J207" s="33" t="s">
        <v>10</v>
      </c>
      <c r="K207" s="33"/>
      <c r="L207" s="33"/>
    </row>
    <row r="208" spans="1:12" x14ac:dyDescent="0.2">
      <c r="A208" s="2" t="s">
        <v>3260</v>
      </c>
      <c r="B208" s="2">
        <v>13.3232128897212</v>
      </c>
      <c r="C208" s="2">
        <v>6.02963672733555</v>
      </c>
      <c r="D208" s="2">
        <v>1.49740566133359</v>
      </c>
      <c r="E208" s="2">
        <v>4.0267222724171701</v>
      </c>
      <c r="F208" s="10">
        <v>5.6559772217685797E-5</v>
      </c>
      <c r="G208" s="2">
        <v>7.4787503913826296E-3</v>
      </c>
      <c r="H208" s="11" t="s">
        <v>10</v>
      </c>
      <c r="I208" s="11" t="s">
        <v>10</v>
      </c>
      <c r="J208" s="33" t="s">
        <v>10</v>
      </c>
      <c r="K208" s="33"/>
      <c r="L208" s="33"/>
    </row>
    <row r="209" spans="1:12" x14ac:dyDescent="0.2">
      <c r="A209" s="2" t="s">
        <v>3261</v>
      </c>
      <c r="B209" s="2">
        <v>32.8271325937868</v>
      </c>
      <c r="C209" s="2">
        <v>2.3254265385461599</v>
      </c>
      <c r="D209" s="2">
        <v>0.57899897987210003</v>
      </c>
      <c r="E209" s="2">
        <v>4.0162877990904899</v>
      </c>
      <c r="F209" s="10">
        <v>5.91220495542067E-5</v>
      </c>
      <c r="G209" s="2">
        <v>7.7814448131506703E-3</v>
      </c>
      <c r="H209" s="11" t="s">
        <v>10</v>
      </c>
      <c r="I209" s="11" t="s">
        <v>3306</v>
      </c>
      <c r="J209" s="33" t="s">
        <v>10</v>
      </c>
      <c r="K209" s="33"/>
      <c r="L209" s="33"/>
    </row>
    <row r="210" spans="1:12" x14ac:dyDescent="0.2">
      <c r="A210" s="2" t="s">
        <v>3262</v>
      </c>
      <c r="B210" s="2">
        <v>10.2146334530538</v>
      </c>
      <c r="C210" s="2">
        <v>6.9987089955919703</v>
      </c>
      <c r="D210" s="2">
        <v>1.74412847022877</v>
      </c>
      <c r="E210" s="2">
        <v>4.0127256191592204</v>
      </c>
      <c r="F210" s="10">
        <v>6.0021665401961802E-5</v>
      </c>
      <c r="G210" s="2">
        <v>7.8454924570133099E-3</v>
      </c>
      <c r="H210" s="11" t="s">
        <v>10</v>
      </c>
      <c r="I210" s="11" t="s">
        <v>3301</v>
      </c>
      <c r="J210" s="33" t="s">
        <v>10</v>
      </c>
      <c r="K210" s="33"/>
      <c r="L210" s="33"/>
    </row>
    <row r="211" spans="1:12" x14ac:dyDescent="0.2">
      <c r="A211" s="2" t="s">
        <v>3263</v>
      </c>
      <c r="B211" s="2">
        <v>11.2189675651416</v>
      </c>
      <c r="C211" s="2">
        <v>7.1325676243272902</v>
      </c>
      <c r="D211" s="2">
        <v>1.77930862371576</v>
      </c>
      <c r="E211" s="2">
        <v>4.0086174648174504</v>
      </c>
      <c r="F211" s="10">
        <v>6.1075257412105595E-5</v>
      </c>
      <c r="G211" s="2">
        <v>7.9467555249221403E-3</v>
      </c>
      <c r="H211" s="11" t="s">
        <v>3271</v>
      </c>
      <c r="I211" s="11" t="s">
        <v>3339</v>
      </c>
      <c r="J211" s="33" t="s">
        <v>10</v>
      </c>
      <c r="K211" s="33"/>
      <c r="L211" s="33"/>
    </row>
    <row r="212" spans="1:12" x14ac:dyDescent="0.2">
      <c r="A212" s="2" t="s">
        <v>3264</v>
      </c>
      <c r="B212" s="2">
        <v>10.015998221486401</v>
      </c>
      <c r="C212" s="2">
        <v>6.9735947289309896</v>
      </c>
      <c r="D212" s="2">
        <v>1.7419351527476401</v>
      </c>
      <c r="E212" s="2">
        <v>4.0033606979750003</v>
      </c>
      <c r="F212" s="10">
        <v>6.2448978473841104E-5</v>
      </c>
      <c r="G212" s="2">
        <v>8.0459937934757395E-3</v>
      </c>
      <c r="H212" s="11" t="s">
        <v>10</v>
      </c>
      <c r="I212" s="11" t="s">
        <v>10</v>
      </c>
      <c r="J212" s="33" t="s">
        <v>10</v>
      </c>
      <c r="K212" s="33"/>
      <c r="L212" s="33"/>
    </row>
    <row r="213" spans="1:12" x14ac:dyDescent="0.2">
      <c r="A213" s="2" t="s">
        <v>3265</v>
      </c>
      <c r="B213" s="2">
        <v>9.8467495437633605</v>
      </c>
      <c r="C213" s="2">
        <v>6.9471418409792198</v>
      </c>
      <c r="D213" s="2">
        <v>1.7414016601085001</v>
      </c>
      <c r="E213" s="2">
        <v>3.9893965878879198</v>
      </c>
      <c r="F213" s="10">
        <v>6.6241590245675203E-5</v>
      </c>
      <c r="G213" s="2">
        <v>8.4454322776309401E-3</v>
      </c>
      <c r="H213" s="11" t="s">
        <v>3275</v>
      </c>
      <c r="I213" s="11" t="s">
        <v>3330</v>
      </c>
      <c r="J213" s="33" t="s">
        <v>3362</v>
      </c>
      <c r="K213" s="33"/>
      <c r="L213" s="33"/>
    </row>
    <row r="214" spans="1:12" x14ac:dyDescent="0.2">
      <c r="A214" s="2" t="s">
        <v>3266</v>
      </c>
      <c r="B214" s="2">
        <v>27.296423862288101</v>
      </c>
      <c r="C214" s="2">
        <v>2.50584588765195</v>
      </c>
      <c r="D214" s="2">
        <v>0.62999676869556098</v>
      </c>
      <c r="E214" s="2">
        <v>3.97755355609271</v>
      </c>
      <c r="F214" s="10">
        <v>6.9627943648256204E-5</v>
      </c>
      <c r="G214" s="2">
        <v>8.75959494153228E-3</v>
      </c>
      <c r="H214" s="11" t="s">
        <v>10</v>
      </c>
      <c r="I214" s="11" t="s">
        <v>3303</v>
      </c>
      <c r="J214" s="33" t="s">
        <v>10</v>
      </c>
      <c r="K214" s="33"/>
      <c r="L214" s="33"/>
    </row>
    <row r="215" spans="1:12" x14ac:dyDescent="0.2">
      <c r="A215" s="2" t="s">
        <v>3267</v>
      </c>
      <c r="B215" s="2">
        <v>34.354327244105498</v>
      </c>
      <c r="C215" s="2">
        <v>2.2304536238736499</v>
      </c>
      <c r="D215" s="2">
        <v>0.56168455002307205</v>
      </c>
      <c r="E215" s="2">
        <v>3.9710076123369</v>
      </c>
      <c r="F215" s="10">
        <v>7.1569292165718504E-5</v>
      </c>
      <c r="G215" s="2">
        <v>8.9445920186936399E-3</v>
      </c>
      <c r="H215" s="11" t="s">
        <v>10</v>
      </c>
      <c r="I215" s="11" t="s">
        <v>10</v>
      </c>
      <c r="J215" s="33" t="s">
        <v>10</v>
      </c>
      <c r="K215" s="33"/>
      <c r="L215" s="33"/>
    </row>
    <row r="216" spans="1:12" x14ac:dyDescent="0.2">
      <c r="A216" s="2" t="s">
        <v>3268</v>
      </c>
      <c r="B216" s="2">
        <v>9.9460671595470806</v>
      </c>
      <c r="C216" s="2">
        <v>6.9600702063917996</v>
      </c>
      <c r="D216" s="2">
        <v>1.75815498627814</v>
      </c>
      <c r="E216" s="2">
        <v>3.9587352996254701</v>
      </c>
      <c r="F216" s="10">
        <v>7.5347686703294497E-5</v>
      </c>
      <c r="G216" s="2">
        <v>9.2945122623825805E-3</v>
      </c>
      <c r="H216" s="11" t="s">
        <v>3284</v>
      </c>
      <c r="I216" s="11" t="s">
        <v>3310</v>
      </c>
      <c r="J216" s="33" t="s">
        <v>3351</v>
      </c>
      <c r="K216" s="33"/>
      <c r="L216" s="33"/>
    </row>
    <row r="217" spans="1:12" x14ac:dyDescent="0.2">
      <c r="A217" s="2" t="s">
        <v>3269</v>
      </c>
      <c r="B217" s="2">
        <v>26.240534069017901</v>
      </c>
      <c r="C217" s="2">
        <v>2.4522411838937201</v>
      </c>
      <c r="D217" s="2">
        <v>0.62179013824094898</v>
      </c>
      <c r="E217" s="2">
        <v>3.94384058716521</v>
      </c>
      <c r="F217" s="10">
        <v>8.0186972147259293E-5</v>
      </c>
      <c r="G217" s="2">
        <v>9.7024533814698694E-3</v>
      </c>
      <c r="H217" s="11" t="s">
        <v>10</v>
      </c>
      <c r="I217" s="11" t="s">
        <v>10</v>
      </c>
      <c r="J217" s="33" t="s">
        <v>10</v>
      </c>
      <c r="K217" s="33"/>
      <c r="L217" s="33"/>
    </row>
    <row r="218" spans="1:12" x14ac:dyDescent="0.2">
      <c r="A218" s="2" t="s">
        <v>3270</v>
      </c>
      <c r="B218" s="2">
        <v>9.9708965634930102</v>
      </c>
      <c r="C218" s="2">
        <v>6.9633458461986999</v>
      </c>
      <c r="D218" s="2">
        <v>1.7662818235214199</v>
      </c>
      <c r="E218" s="2">
        <v>3.9423753069688199</v>
      </c>
      <c r="F218" s="10">
        <v>8.0678597451793404E-5</v>
      </c>
      <c r="G218" s="2">
        <v>9.7412569253764996E-3</v>
      </c>
      <c r="H218" s="11" t="s">
        <v>10</v>
      </c>
      <c r="I218" s="11" t="s">
        <v>10</v>
      </c>
      <c r="J218" s="33" t="s">
        <v>10</v>
      </c>
      <c r="K218" s="33"/>
      <c r="L218" s="33"/>
    </row>
    <row r="219" spans="1:12" x14ac:dyDescent="0.2">
      <c r="A219" s="2"/>
      <c r="B219" s="2"/>
      <c r="C219" s="2"/>
      <c r="D219" s="2"/>
      <c r="E219" s="2"/>
      <c r="F219" s="2"/>
      <c r="G219" s="2"/>
    </row>
    <row r="220" spans="1:12" x14ac:dyDescent="0.2">
      <c r="A220" s="2"/>
      <c r="B220" s="2"/>
      <c r="C220" s="2"/>
      <c r="D220" s="2"/>
      <c r="E220" s="2"/>
      <c r="F220" s="2"/>
      <c r="G220" s="2"/>
    </row>
    <row r="221" spans="1:12" x14ac:dyDescent="0.2">
      <c r="A221" s="2"/>
      <c r="B221" s="2"/>
      <c r="C221" s="2"/>
      <c r="D221" s="2"/>
      <c r="E221" s="2"/>
      <c r="F221" s="2"/>
      <c r="G221" s="2"/>
    </row>
    <row r="222" spans="1:12" x14ac:dyDescent="0.2">
      <c r="A222" s="2"/>
      <c r="B222" s="2"/>
      <c r="C222" s="2"/>
      <c r="D222" s="2"/>
      <c r="E222" s="2"/>
      <c r="F222" s="2"/>
      <c r="G222" s="2"/>
    </row>
    <row r="223" spans="1:12" x14ac:dyDescent="0.2">
      <c r="A223" s="2"/>
      <c r="B223" s="2"/>
      <c r="C223" s="2"/>
      <c r="D223" s="2"/>
      <c r="E223" s="2"/>
      <c r="F223" s="2"/>
      <c r="G223" s="2"/>
    </row>
    <row r="224" spans="1:12" x14ac:dyDescent="0.2">
      <c r="A224" s="2"/>
      <c r="B224" s="2"/>
      <c r="C224" s="2"/>
      <c r="D224" s="2"/>
      <c r="E224" s="2"/>
      <c r="F224" s="2"/>
      <c r="G224" s="2"/>
    </row>
    <row r="225" spans="1:7" x14ac:dyDescent="0.2">
      <c r="A225" s="2"/>
      <c r="B225" s="2"/>
      <c r="C225" s="2"/>
      <c r="D225" s="2"/>
      <c r="E225" s="2"/>
      <c r="F225" s="2"/>
      <c r="G225" s="2"/>
    </row>
    <row r="226" spans="1:7" x14ac:dyDescent="0.2">
      <c r="A226" s="2"/>
      <c r="B226" s="2"/>
      <c r="C226" s="2"/>
      <c r="D226" s="2"/>
      <c r="E226" s="2"/>
      <c r="F226" s="2"/>
      <c r="G226" s="2"/>
    </row>
    <row r="227" spans="1:7" x14ac:dyDescent="0.2">
      <c r="A227" s="2"/>
      <c r="B227" s="2"/>
      <c r="C227" s="2"/>
      <c r="D227" s="2"/>
      <c r="E227" s="2"/>
      <c r="F227" s="2"/>
      <c r="G227" s="2"/>
    </row>
    <row r="228" spans="1:7" x14ac:dyDescent="0.2">
      <c r="A228" s="2"/>
      <c r="B228" s="2"/>
      <c r="C228" s="2"/>
      <c r="D228" s="2"/>
      <c r="E228" s="2"/>
      <c r="F228" s="2"/>
      <c r="G228" s="2"/>
    </row>
    <row r="229" spans="1:7" x14ac:dyDescent="0.2">
      <c r="A229" s="2"/>
      <c r="B229" s="2"/>
      <c r="C229" s="2"/>
      <c r="D229" s="2"/>
      <c r="E229" s="2"/>
      <c r="F229" s="2"/>
      <c r="G229" s="2"/>
    </row>
    <row r="230" spans="1:7" x14ac:dyDescent="0.2">
      <c r="A230" s="2"/>
      <c r="B230" s="2"/>
      <c r="C230" s="2"/>
      <c r="D230" s="2"/>
      <c r="E230" s="2"/>
      <c r="F230" s="2"/>
      <c r="G230" s="2"/>
    </row>
    <row r="231" spans="1:7" x14ac:dyDescent="0.2">
      <c r="A231" s="2"/>
      <c r="B231" s="2"/>
      <c r="C231" s="2"/>
      <c r="D231" s="2"/>
      <c r="E231" s="2"/>
      <c r="F231" s="2"/>
      <c r="G231" s="2"/>
    </row>
    <row r="232" spans="1:7" x14ac:dyDescent="0.2">
      <c r="A232" s="2"/>
      <c r="B232" s="2"/>
      <c r="C232" s="2"/>
      <c r="D232" s="2"/>
      <c r="E232" s="2"/>
      <c r="F232" s="2"/>
      <c r="G232" s="2"/>
    </row>
    <row r="233" spans="1:7" x14ac:dyDescent="0.2">
      <c r="A233" s="2"/>
      <c r="B233" s="2"/>
      <c r="C233" s="2"/>
      <c r="D233" s="2"/>
      <c r="E233" s="2"/>
      <c r="F233" s="2"/>
      <c r="G233" s="2"/>
    </row>
    <row r="234" spans="1:7" x14ac:dyDescent="0.2">
      <c r="A234" s="2"/>
      <c r="B234" s="2"/>
      <c r="C234" s="2"/>
      <c r="D234" s="2"/>
      <c r="E234" s="2"/>
      <c r="F234" s="2"/>
      <c r="G234" s="2"/>
    </row>
    <row r="235" spans="1:7" x14ac:dyDescent="0.2">
      <c r="A235" s="2"/>
      <c r="B235" s="2"/>
      <c r="C235" s="2"/>
      <c r="D235" s="2"/>
      <c r="E235" s="2"/>
      <c r="F235" s="2"/>
      <c r="G235" s="2"/>
    </row>
    <row r="236" spans="1:7" x14ac:dyDescent="0.2">
      <c r="A236" s="2"/>
      <c r="B236" s="2"/>
      <c r="C236" s="2"/>
      <c r="D236" s="2"/>
      <c r="E236" s="2"/>
      <c r="F236" s="2"/>
      <c r="G236" s="2"/>
    </row>
    <row r="237" spans="1:7" x14ac:dyDescent="0.2">
      <c r="A237" s="2"/>
      <c r="B237" s="2"/>
      <c r="C237" s="2"/>
      <c r="D237" s="2"/>
      <c r="E237" s="2"/>
      <c r="F237" s="2"/>
      <c r="G237" s="2"/>
    </row>
    <row r="238" spans="1:7" x14ac:dyDescent="0.2">
      <c r="A238" s="2"/>
      <c r="B238" s="2"/>
      <c r="C238" s="2"/>
      <c r="D238" s="2"/>
      <c r="E238" s="2"/>
      <c r="F238" s="2"/>
      <c r="G238" s="2"/>
    </row>
    <row r="239" spans="1:7" x14ac:dyDescent="0.2">
      <c r="A239" s="2"/>
      <c r="B239" s="2"/>
      <c r="C239" s="2"/>
      <c r="D239" s="2"/>
      <c r="E239" s="2"/>
      <c r="F239" s="2"/>
      <c r="G239" s="2"/>
    </row>
    <row r="240" spans="1:7" x14ac:dyDescent="0.2">
      <c r="A240" s="2"/>
      <c r="B240" s="2"/>
      <c r="C240" s="2"/>
      <c r="D240" s="2"/>
      <c r="E240" s="2"/>
      <c r="F240" s="2"/>
      <c r="G240" s="2"/>
    </row>
    <row r="241" spans="1:7" x14ac:dyDescent="0.2">
      <c r="A241" s="2"/>
      <c r="B241" s="2"/>
      <c r="C241" s="2"/>
      <c r="D241" s="2"/>
      <c r="E241" s="2"/>
      <c r="F241" s="2"/>
      <c r="G241" s="2"/>
    </row>
    <row r="242" spans="1:7" x14ac:dyDescent="0.2">
      <c r="A242" s="2"/>
      <c r="B242" s="2"/>
      <c r="C242" s="2"/>
      <c r="D242" s="2"/>
      <c r="E242" s="2"/>
      <c r="F242" s="2"/>
      <c r="G242" s="2"/>
    </row>
    <row r="243" spans="1:7" x14ac:dyDescent="0.2">
      <c r="A243" s="2"/>
      <c r="B243" s="2"/>
      <c r="C243" s="2"/>
      <c r="D243" s="2"/>
      <c r="E243" s="2"/>
      <c r="F243" s="2"/>
      <c r="G243" s="2"/>
    </row>
    <row r="244" spans="1:7" x14ac:dyDescent="0.2">
      <c r="A244" s="2"/>
      <c r="B244" s="2"/>
      <c r="C244" s="2"/>
      <c r="D244" s="2"/>
      <c r="E244" s="2"/>
      <c r="F244" s="2"/>
      <c r="G244" s="2"/>
    </row>
    <row r="245" spans="1:7" x14ac:dyDescent="0.2">
      <c r="A245" s="2"/>
      <c r="B245" s="2"/>
      <c r="C245" s="2"/>
      <c r="D245" s="2"/>
      <c r="E245" s="2"/>
      <c r="F245" s="2"/>
      <c r="G245" s="2"/>
    </row>
    <row r="246" spans="1:7" x14ac:dyDescent="0.2">
      <c r="A246" s="2"/>
      <c r="B246" s="2"/>
      <c r="C246" s="2"/>
      <c r="D246" s="2"/>
      <c r="E246" s="2"/>
      <c r="F246" s="2"/>
      <c r="G246" s="2"/>
    </row>
    <row r="247" spans="1:7" x14ac:dyDescent="0.2">
      <c r="A247" s="2"/>
      <c r="B247" s="2"/>
      <c r="C247" s="2"/>
      <c r="D247" s="2"/>
      <c r="E247" s="2"/>
      <c r="F247" s="2"/>
      <c r="G247" s="2"/>
    </row>
    <row r="248" spans="1:7" x14ac:dyDescent="0.2">
      <c r="A248" s="2"/>
      <c r="B248" s="2"/>
      <c r="C248" s="2"/>
      <c r="D248" s="2"/>
      <c r="E248" s="2"/>
      <c r="F248" s="2"/>
      <c r="G248" s="2"/>
    </row>
    <row r="249" spans="1:7" x14ac:dyDescent="0.2">
      <c r="A249" s="2"/>
      <c r="B249" s="2"/>
      <c r="C249" s="2"/>
      <c r="D249" s="2"/>
      <c r="E249" s="2"/>
      <c r="F249" s="2"/>
      <c r="G249" s="2"/>
    </row>
    <row r="250" spans="1:7" x14ac:dyDescent="0.2">
      <c r="A250" s="2"/>
      <c r="B250" s="2"/>
      <c r="C250" s="2"/>
      <c r="D250" s="2"/>
      <c r="E250" s="2"/>
      <c r="F250" s="2"/>
      <c r="G250" s="2"/>
    </row>
    <row r="251" spans="1:7" x14ac:dyDescent="0.2">
      <c r="A251" s="2"/>
      <c r="B251" s="2"/>
      <c r="C251" s="2"/>
      <c r="D251" s="2"/>
      <c r="E251" s="2"/>
      <c r="F251" s="2"/>
      <c r="G251" s="2"/>
    </row>
    <row r="252" spans="1:7" x14ac:dyDescent="0.2">
      <c r="A252" s="2"/>
      <c r="B252" s="2"/>
      <c r="C252" s="2"/>
      <c r="D252" s="2"/>
      <c r="E252" s="2"/>
      <c r="F252" s="2"/>
      <c r="G252" s="2"/>
    </row>
    <row r="253" spans="1:7" x14ac:dyDescent="0.2">
      <c r="A253" s="2"/>
      <c r="B253" s="2"/>
      <c r="C253" s="2"/>
      <c r="D253" s="2"/>
      <c r="E253" s="2"/>
      <c r="F253" s="2"/>
      <c r="G253" s="2"/>
    </row>
    <row r="254" spans="1:7" x14ac:dyDescent="0.2">
      <c r="A254" s="2"/>
      <c r="B254" s="2"/>
      <c r="C254" s="2"/>
      <c r="D254" s="2"/>
      <c r="E254" s="2"/>
      <c r="F254" s="2"/>
      <c r="G254" s="2"/>
    </row>
    <row r="255" spans="1:7" x14ac:dyDescent="0.2">
      <c r="A255" s="2"/>
      <c r="B255" s="2"/>
      <c r="C255" s="2"/>
      <c r="D255" s="2"/>
      <c r="E255" s="2"/>
      <c r="F255" s="2"/>
      <c r="G255" s="2"/>
    </row>
    <row r="256" spans="1:7" x14ac:dyDescent="0.2">
      <c r="A256" s="2"/>
      <c r="B256" s="2"/>
      <c r="C256" s="2"/>
      <c r="D256" s="2"/>
      <c r="E256" s="2"/>
      <c r="F256" s="2"/>
      <c r="G256" s="2"/>
    </row>
    <row r="257" spans="1:7" x14ac:dyDescent="0.2">
      <c r="A257" s="2"/>
      <c r="B257" s="2"/>
      <c r="C257" s="2"/>
      <c r="D257" s="2"/>
      <c r="E257" s="2"/>
      <c r="F257" s="2"/>
      <c r="G257" s="2"/>
    </row>
    <row r="258" spans="1:7" x14ac:dyDescent="0.2">
      <c r="A258" s="2"/>
      <c r="B258" s="2"/>
      <c r="C258" s="2"/>
      <c r="D258" s="2"/>
      <c r="E258" s="2"/>
      <c r="F258" s="2"/>
      <c r="G258" s="2"/>
    </row>
    <row r="259" spans="1:7" x14ac:dyDescent="0.2">
      <c r="A259" s="2"/>
      <c r="B259" s="2"/>
      <c r="C259" s="2"/>
      <c r="D259" s="2"/>
      <c r="E259" s="2"/>
      <c r="F259" s="2"/>
      <c r="G259" s="2"/>
    </row>
    <row r="260" spans="1:7" x14ac:dyDescent="0.2">
      <c r="A260" s="2"/>
      <c r="B260" s="2"/>
      <c r="C260" s="2"/>
      <c r="D260" s="2"/>
      <c r="E260" s="2"/>
      <c r="F260" s="2"/>
      <c r="G260" s="2"/>
    </row>
    <row r="261" spans="1:7" x14ac:dyDescent="0.2">
      <c r="A261" s="2"/>
      <c r="B261" s="2"/>
      <c r="C261" s="2"/>
      <c r="D261" s="2"/>
      <c r="E261" s="2"/>
      <c r="F261" s="2"/>
      <c r="G261" s="2"/>
    </row>
    <row r="262" spans="1:7" x14ac:dyDescent="0.2">
      <c r="A262" s="2"/>
      <c r="B262" s="2"/>
      <c r="C262" s="2"/>
      <c r="D262" s="2"/>
      <c r="E262" s="2"/>
      <c r="F262" s="2"/>
      <c r="G262" s="2"/>
    </row>
    <row r="263" spans="1:7" x14ac:dyDescent="0.2">
      <c r="A263" s="2"/>
      <c r="B263" s="2"/>
      <c r="C263" s="2"/>
      <c r="D263" s="2"/>
      <c r="E263" s="2"/>
      <c r="F263" s="2"/>
      <c r="G263" s="2"/>
    </row>
    <row r="264" spans="1:7" x14ac:dyDescent="0.2">
      <c r="A264" s="2"/>
      <c r="B264" s="2"/>
      <c r="C264" s="2"/>
      <c r="D264" s="2"/>
      <c r="E264" s="2"/>
      <c r="F264" s="2"/>
      <c r="G264" s="2"/>
    </row>
    <row r="265" spans="1:7" x14ac:dyDescent="0.2">
      <c r="A265" s="2"/>
      <c r="B265" s="2"/>
      <c r="C265" s="2"/>
      <c r="D265" s="2"/>
      <c r="E265" s="2"/>
      <c r="F265" s="2"/>
      <c r="G265" s="2"/>
    </row>
    <row r="266" spans="1:7" x14ac:dyDescent="0.2">
      <c r="A266" s="2"/>
      <c r="B266" s="2"/>
      <c r="C266" s="2"/>
      <c r="D266" s="2"/>
      <c r="E266" s="2"/>
      <c r="F266" s="2"/>
      <c r="G266" s="2"/>
    </row>
    <row r="267" spans="1:7" x14ac:dyDescent="0.2">
      <c r="A267" s="2"/>
      <c r="B267" s="2"/>
      <c r="C267" s="2"/>
      <c r="D267" s="2"/>
      <c r="E267" s="2"/>
      <c r="F267" s="2"/>
      <c r="G267" s="2"/>
    </row>
    <row r="268" spans="1:7" x14ac:dyDescent="0.2">
      <c r="A268" s="2"/>
      <c r="B268" s="2"/>
      <c r="C268" s="2"/>
      <c r="D268" s="2"/>
      <c r="E268" s="2"/>
      <c r="F268" s="2"/>
      <c r="G268" s="2"/>
    </row>
    <row r="269" spans="1:7" x14ac:dyDescent="0.2">
      <c r="A269" s="2"/>
      <c r="B269" s="2"/>
      <c r="C269" s="2"/>
      <c r="D269" s="2"/>
      <c r="E269" s="2"/>
      <c r="F269" s="2"/>
      <c r="G269" s="2"/>
    </row>
    <row r="270" spans="1:7" x14ac:dyDescent="0.2">
      <c r="A270" s="2"/>
      <c r="B270" s="2"/>
      <c r="C270" s="2"/>
      <c r="D270" s="2"/>
      <c r="E270" s="2"/>
      <c r="F270" s="2"/>
      <c r="G270" s="2"/>
    </row>
    <row r="271" spans="1:7" x14ac:dyDescent="0.2">
      <c r="A271" s="2"/>
      <c r="B271" s="2"/>
      <c r="C271" s="2"/>
      <c r="D271" s="2"/>
      <c r="E271" s="2"/>
      <c r="F271" s="2"/>
      <c r="G271" s="2"/>
    </row>
    <row r="272" spans="1:7" x14ac:dyDescent="0.2">
      <c r="A272" s="2"/>
      <c r="B272" s="2"/>
      <c r="C272" s="2"/>
      <c r="D272" s="2"/>
      <c r="E272" s="2"/>
      <c r="F272" s="2"/>
      <c r="G272" s="2"/>
    </row>
    <row r="273" spans="1:7" x14ac:dyDescent="0.2">
      <c r="A273" s="2"/>
      <c r="B273" s="2"/>
      <c r="C273" s="2"/>
      <c r="D273" s="2"/>
      <c r="E273" s="2"/>
      <c r="F273" s="2"/>
      <c r="G273" s="2"/>
    </row>
    <row r="274" spans="1:7" x14ac:dyDescent="0.2">
      <c r="A274" s="2"/>
      <c r="B274" s="2"/>
      <c r="C274" s="2"/>
      <c r="D274" s="2"/>
      <c r="E274" s="2"/>
      <c r="F274" s="2"/>
      <c r="G274" s="2"/>
    </row>
    <row r="275" spans="1:7" x14ac:dyDescent="0.2">
      <c r="A275" s="2"/>
      <c r="B275" s="2"/>
      <c r="C275" s="2"/>
      <c r="D275" s="2"/>
      <c r="E275" s="2"/>
      <c r="F275" s="2"/>
      <c r="G275" s="2"/>
    </row>
    <row r="276" spans="1:7" x14ac:dyDescent="0.2">
      <c r="A276" s="2"/>
      <c r="B276" s="2"/>
      <c r="C276" s="2"/>
      <c r="D276" s="2"/>
      <c r="E276" s="2"/>
      <c r="F276" s="2"/>
      <c r="G276" s="2"/>
    </row>
    <row r="277" spans="1:7" x14ac:dyDescent="0.2">
      <c r="A277" s="2"/>
      <c r="B277" s="2"/>
      <c r="C277" s="2"/>
      <c r="D277" s="2"/>
      <c r="E277" s="2"/>
      <c r="F277" s="2"/>
      <c r="G277" s="2"/>
    </row>
    <row r="278" spans="1:7" x14ac:dyDescent="0.2">
      <c r="A278" s="2"/>
      <c r="B278" s="2"/>
      <c r="C278" s="2"/>
      <c r="D278" s="2"/>
      <c r="E278" s="2"/>
      <c r="F278" s="2"/>
      <c r="G278" s="2"/>
    </row>
    <row r="279" spans="1:7" x14ac:dyDescent="0.2">
      <c r="A279" s="2"/>
      <c r="B279" s="2"/>
      <c r="C279" s="2"/>
      <c r="D279" s="2"/>
      <c r="E279" s="2"/>
      <c r="F279" s="2"/>
      <c r="G279" s="2"/>
    </row>
    <row r="280" spans="1:7" x14ac:dyDescent="0.2">
      <c r="A280" s="2"/>
      <c r="B280" s="2"/>
      <c r="C280" s="2"/>
      <c r="D280" s="2"/>
      <c r="E280" s="2"/>
      <c r="F280" s="2"/>
      <c r="G280" s="2"/>
    </row>
    <row r="281" spans="1:7" x14ac:dyDescent="0.2">
      <c r="A281" s="2"/>
      <c r="B281" s="2"/>
      <c r="C281" s="2"/>
      <c r="D281" s="2"/>
      <c r="E281" s="2"/>
      <c r="F281" s="2"/>
      <c r="G281" s="2"/>
    </row>
    <row r="282" spans="1:7" x14ac:dyDescent="0.2">
      <c r="A282" s="2"/>
      <c r="B282" s="2"/>
      <c r="C282" s="2"/>
      <c r="D282" s="2"/>
      <c r="E282" s="2"/>
      <c r="F282" s="2"/>
      <c r="G282" s="2"/>
    </row>
    <row r="283" spans="1:7" x14ac:dyDescent="0.2">
      <c r="A283" s="2"/>
      <c r="B283" s="2"/>
      <c r="C283" s="2"/>
      <c r="D283" s="2"/>
      <c r="E283" s="2"/>
      <c r="F283" s="2"/>
      <c r="G283" s="2"/>
    </row>
    <row r="284" spans="1:7" x14ac:dyDescent="0.2">
      <c r="A284" s="2"/>
      <c r="B284" s="2"/>
      <c r="C284" s="2"/>
      <c r="D284" s="2"/>
      <c r="E284" s="2"/>
      <c r="F284" s="2"/>
      <c r="G284" s="2"/>
    </row>
    <row r="285" spans="1:7" x14ac:dyDescent="0.2">
      <c r="A285" s="2"/>
      <c r="B285" s="2"/>
      <c r="C285" s="2"/>
      <c r="D285" s="2"/>
      <c r="E285" s="2"/>
      <c r="F285" s="2"/>
      <c r="G285" s="2"/>
    </row>
    <row r="286" spans="1:7" x14ac:dyDescent="0.2">
      <c r="A286" s="2"/>
      <c r="B286" s="2"/>
      <c r="C286" s="2"/>
      <c r="D286" s="2"/>
      <c r="E286" s="2"/>
      <c r="F286" s="2"/>
      <c r="G286" s="2"/>
    </row>
    <row r="287" spans="1:7" x14ac:dyDescent="0.2">
      <c r="A287" s="2"/>
      <c r="B287" s="2"/>
      <c r="C287" s="2"/>
      <c r="D287" s="2"/>
      <c r="E287" s="2"/>
      <c r="F287" s="2"/>
      <c r="G287" s="2"/>
    </row>
    <row r="288" spans="1:7" x14ac:dyDescent="0.2">
      <c r="A288" s="2"/>
      <c r="B288" s="2"/>
      <c r="C288" s="2"/>
      <c r="D288" s="2"/>
      <c r="E288" s="2"/>
      <c r="F288" s="2"/>
      <c r="G288" s="2"/>
    </row>
    <row r="289" spans="1:7" x14ac:dyDescent="0.2">
      <c r="A289" s="2"/>
      <c r="B289" s="2"/>
      <c r="C289" s="2"/>
      <c r="D289" s="2"/>
      <c r="E289" s="2"/>
      <c r="F289" s="2"/>
      <c r="G289" s="2"/>
    </row>
    <row r="290" spans="1:7" x14ac:dyDescent="0.2">
      <c r="A290" s="2"/>
      <c r="B290" s="2"/>
      <c r="C290" s="2"/>
      <c r="D290" s="2"/>
      <c r="E290" s="2"/>
      <c r="F290" s="2"/>
      <c r="G290" s="2"/>
    </row>
    <row r="291" spans="1:7" x14ac:dyDescent="0.2">
      <c r="A291" s="2"/>
      <c r="B291" s="2"/>
      <c r="C291" s="2"/>
      <c r="D291" s="2"/>
      <c r="E291" s="2"/>
      <c r="F291" s="2"/>
      <c r="G291" s="2"/>
    </row>
    <row r="292" spans="1:7" x14ac:dyDescent="0.2">
      <c r="A292" s="2"/>
      <c r="B292" s="2"/>
      <c r="C292" s="2"/>
      <c r="D292" s="2"/>
      <c r="E292" s="2"/>
      <c r="F292" s="2"/>
      <c r="G292" s="2"/>
    </row>
    <row r="293" spans="1:7" x14ac:dyDescent="0.2">
      <c r="A293" s="2"/>
      <c r="B293" s="2"/>
      <c r="C293" s="2"/>
      <c r="D293" s="2"/>
      <c r="E293" s="2"/>
      <c r="F293" s="2"/>
      <c r="G293" s="2"/>
    </row>
    <row r="294" spans="1:7" x14ac:dyDescent="0.2">
      <c r="A294" s="2"/>
      <c r="B294" s="2"/>
      <c r="C294" s="2"/>
      <c r="D294" s="2"/>
      <c r="E294" s="2"/>
      <c r="F294" s="2"/>
      <c r="G294" s="2"/>
    </row>
    <row r="295" spans="1:7" x14ac:dyDescent="0.2">
      <c r="A295" s="2"/>
      <c r="B295" s="2"/>
      <c r="C295" s="2"/>
      <c r="D295" s="2"/>
      <c r="E295" s="2"/>
      <c r="F295" s="2"/>
      <c r="G295" s="2"/>
    </row>
    <row r="296" spans="1:7" x14ac:dyDescent="0.2">
      <c r="A296" s="2"/>
      <c r="B296" s="2"/>
      <c r="C296" s="2"/>
      <c r="D296" s="2"/>
      <c r="E296" s="2"/>
      <c r="F296" s="2"/>
      <c r="G296" s="2"/>
    </row>
    <row r="297" spans="1:7" x14ac:dyDescent="0.2">
      <c r="A297" s="2"/>
      <c r="B297" s="2"/>
      <c r="C297" s="2"/>
      <c r="D297" s="2"/>
      <c r="E297" s="2"/>
      <c r="F297" s="2"/>
      <c r="G297" s="2"/>
    </row>
    <row r="298" spans="1:7" x14ac:dyDescent="0.2">
      <c r="A298" s="2"/>
      <c r="B298" s="2"/>
      <c r="C298" s="2"/>
      <c r="D298" s="2"/>
      <c r="E298" s="2"/>
      <c r="F298" s="2"/>
      <c r="G298" s="2"/>
    </row>
    <row r="299" spans="1:7" x14ac:dyDescent="0.2">
      <c r="A299" s="2"/>
      <c r="B299" s="2"/>
      <c r="C299" s="2"/>
      <c r="D299" s="2"/>
      <c r="E299" s="2"/>
      <c r="F299" s="2"/>
      <c r="G299" s="2"/>
    </row>
    <row r="300" spans="1:7" x14ac:dyDescent="0.2">
      <c r="A300" s="2"/>
      <c r="B300" s="2"/>
      <c r="C300" s="2"/>
      <c r="D300" s="2"/>
      <c r="E300" s="2"/>
      <c r="F300" s="2"/>
      <c r="G300" s="2"/>
    </row>
    <row r="301" spans="1:7" x14ac:dyDescent="0.2">
      <c r="A301" s="2"/>
      <c r="B301" s="2"/>
      <c r="C301" s="2"/>
      <c r="D301" s="2"/>
      <c r="E301" s="2"/>
      <c r="F301" s="2"/>
      <c r="G301" s="2"/>
    </row>
    <row r="302" spans="1:7" x14ac:dyDescent="0.2">
      <c r="A302" s="2"/>
      <c r="B302" s="2"/>
      <c r="C302" s="2"/>
      <c r="D302" s="2"/>
      <c r="E302" s="2"/>
      <c r="F302" s="2"/>
      <c r="G302" s="2"/>
    </row>
    <row r="303" spans="1:7" x14ac:dyDescent="0.2">
      <c r="A303" s="2"/>
      <c r="B303" s="2"/>
      <c r="C303" s="2"/>
      <c r="D303" s="2"/>
      <c r="E303" s="2"/>
      <c r="F303" s="2"/>
      <c r="G303" s="2"/>
    </row>
    <row r="304" spans="1:7" x14ac:dyDescent="0.2">
      <c r="A304" s="2"/>
      <c r="B304" s="2"/>
      <c r="C304" s="2"/>
      <c r="D304" s="2"/>
      <c r="E304" s="2"/>
      <c r="F304" s="2"/>
      <c r="G304" s="2"/>
    </row>
    <row r="305" spans="1:7" x14ac:dyDescent="0.2">
      <c r="A305" s="2"/>
      <c r="B305" s="2"/>
      <c r="C305" s="2"/>
      <c r="D305" s="2"/>
      <c r="E305" s="2"/>
      <c r="F305" s="2"/>
      <c r="G305" s="2"/>
    </row>
    <row r="306" spans="1:7" x14ac:dyDescent="0.2">
      <c r="A306" s="2"/>
      <c r="B306" s="2"/>
      <c r="C306" s="2"/>
      <c r="D306" s="2"/>
      <c r="E306" s="2"/>
      <c r="F306" s="2"/>
      <c r="G306" s="2"/>
    </row>
    <row r="307" spans="1:7" x14ac:dyDescent="0.2">
      <c r="A307" s="2"/>
      <c r="B307" s="2"/>
      <c r="C307" s="2"/>
      <c r="D307" s="2"/>
      <c r="E307" s="2"/>
      <c r="F307" s="2"/>
      <c r="G307" s="2"/>
    </row>
    <row r="308" spans="1:7" x14ac:dyDescent="0.2">
      <c r="A308" s="2"/>
      <c r="B308" s="2"/>
      <c r="C308" s="2"/>
      <c r="D308" s="2"/>
      <c r="E308" s="2"/>
      <c r="F308" s="2"/>
      <c r="G308" s="2"/>
    </row>
    <row r="309" spans="1:7" x14ac:dyDescent="0.2">
      <c r="A309" s="2"/>
      <c r="B309" s="2"/>
      <c r="C309" s="2"/>
      <c r="D309" s="2"/>
      <c r="E309" s="2"/>
      <c r="F309" s="2"/>
      <c r="G309" s="2"/>
    </row>
    <row r="310" spans="1:7" x14ac:dyDescent="0.2">
      <c r="A310" s="2"/>
      <c r="B310" s="2"/>
      <c r="C310" s="2"/>
      <c r="D310" s="2"/>
      <c r="E310" s="2"/>
      <c r="F310" s="2"/>
      <c r="G310" s="2"/>
    </row>
    <row r="311" spans="1:7" x14ac:dyDescent="0.2">
      <c r="A311" s="2"/>
      <c r="B311" s="2"/>
      <c r="C311" s="2"/>
      <c r="D311" s="2"/>
      <c r="E311" s="2"/>
      <c r="F311" s="2"/>
      <c r="G311" s="2"/>
    </row>
    <row r="312" spans="1:7" x14ac:dyDescent="0.2">
      <c r="A312" s="2"/>
      <c r="B312" s="2"/>
      <c r="C312" s="2"/>
      <c r="D312" s="2"/>
      <c r="E312" s="2"/>
      <c r="F312" s="2"/>
      <c r="G312" s="2"/>
    </row>
    <row r="313" spans="1:7" x14ac:dyDescent="0.2">
      <c r="A313" s="2"/>
      <c r="B313" s="2"/>
      <c r="C313" s="2"/>
      <c r="D313" s="2"/>
      <c r="E313" s="2"/>
      <c r="F313" s="2"/>
      <c r="G313" s="2"/>
    </row>
    <row r="314" spans="1:7" x14ac:dyDescent="0.2">
      <c r="A314" s="2"/>
      <c r="B314" s="2"/>
      <c r="C314" s="2"/>
      <c r="D314" s="2"/>
      <c r="E314" s="2"/>
      <c r="F314" s="2"/>
      <c r="G314" s="2"/>
    </row>
    <row r="315" spans="1:7" x14ac:dyDescent="0.2">
      <c r="A315" s="2"/>
      <c r="B315" s="2"/>
      <c r="C315" s="2"/>
      <c r="D315" s="2"/>
      <c r="E315" s="2"/>
      <c r="F315" s="2"/>
      <c r="G315" s="2"/>
    </row>
    <row r="316" spans="1:7" x14ac:dyDescent="0.2">
      <c r="A316" s="2"/>
      <c r="B316" s="2"/>
      <c r="C316" s="2"/>
      <c r="D316" s="2"/>
      <c r="E316" s="2"/>
      <c r="F316" s="2"/>
      <c r="G316" s="2"/>
    </row>
    <row r="317" spans="1:7" x14ac:dyDescent="0.2">
      <c r="A317" s="2"/>
      <c r="B317" s="2"/>
      <c r="C317" s="2"/>
      <c r="D317" s="2"/>
      <c r="E317" s="2"/>
      <c r="F317" s="2"/>
      <c r="G317" s="2"/>
    </row>
    <row r="318" spans="1:7" x14ac:dyDescent="0.2">
      <c r="A318" s="2"/>
      <c r="B318" s="2"/>
      <c r="C318" s="2"/>
      <c r="D318" s="2"/>
      <c r="E318" s="2"/>
      <c r="F318" s="2"/>
      <c r="G318" s="2"/>
    </row>
    <row r="319" spans="1:7" x14ac:dyDescent="0.2">
      <c r="A319" s="2"/>
      <c r="B319" s="2"/>
      <c r="C319" s="2"/>
      <c r="D319" s="2"/>
      <c r="E319" s="2"/>
      <c r="F319" s="2"/>
      <c r="G319" s="2"/>
    </row>
    <row r="320" spans="1:7" x14ac:dyDescent="0.2">
      <c r="A320" s="2"/>
      <c r="B320" s="2"/>
      <c r="C320" s="2"/>
      <c r="D320" s="2"/>
      <c r="E320" s="2"/>
      <c r="F320" s="2"/>
      <c r="G320" s="2"/>
    </row>
    <row r="321" spans="1:7" x14ac:dyDescent="0.2">
      <c r="A321" s="2"/>
      <c r="B321" s="2"/>
      <c r="C321" s="2"/>
      <c r="D321" s="2"/>
      <c r="E321" s="2"/>
      <c r="F321" s="2"/>
      <c r="G321" s="2"/>
    </row>
    <row r="322" spans="1:7" x14ac:dyDescent="0.2">
      <c r="A322" s="2"/>
      <c r="B322" s="2"/>
      <c r="C322" s="2"/>
      <c r="D322" s="2"/>
      <c r="E322" s="2"/>
      <c r="F322" s="2"/>
      <c r="G322" s="2"/>
    </row>
    <row r="323" spans="1:7" x14ac:dyDescent="0.2">
      <c r="A323" s="2"/>
      <c r="B323" s="2"/>
      <c r="C323" s="2"/>
      <c r="D323" s="2"/>
      <c r="E323" s="2"/>
      <c r="F323" s="2"/>
      <c r="G323" s="2"/>
    </row>
    <row r="324" spans="1:7" x14ac:dyDescent="0.2">
      <c r="A324" s="2"/>
      <c r="B324" s="2"/>
      <c r="C324" s="2"/>
      <c r="D324" s="2"/>
      <c r="E324" s="2"/>
      <c r="F324" s="2"/>
      <c r="G324" s="2"/>
    </row>
    <row r="325" spans="1:7" x14ac:dyDescent="0.2">
      <c r="A325" s="2"/>
      <c r="B325" s="2"/>
      <c r="C325" s="2"/>
      <c r="D325" s="2"/>
      <c r="E325" s="2"/>
      <c r="F325" s="2"/>
      <c r="G325" s="2"/>
    </row>
    <row r="326" spans="1:7" x14ac:dyDescent="0.2">
      <c r="A326" s="2"/>
      <c r="B326" s="2"/>
      <c r="C326" s="2"/>
      <c r="D326" s="2"/>
      <c r="E326" s="2"/>
      <c r="F326" s="2"/>
      <c r="G326" s="2"/>
    </row>
    <row r="327" spans="1:7" x14ac:dyDescent="0.2">
      <c r="A327" s="2"/>
      <c r="B327" s="2"/>
      <c r="C327" s="2"/>
      <c r="D327" s="2"/>
      <c r="E327" s="2"/>
      <c r="F327" s="2"/>
      <c r="G327" s="2"/>
    </row>
    <row r="328" spans="1:7" x14ac:dyDescent="0.2">
      <c r="A328" s="2"/>
      <c r="B328" s="2"/>
      <c r="C328" s="2"/>
      <c r="D328" s="2"/>
      <c r="E328" s="2"/>
      <c r="F328" s="2"/>
      <c r="G328" s="2"/>
    </row>
    <row r="329" spans="1:7" x14ac:dyDescent="0.2">
      <c r="A329" s="2"/>
      <c r="B329" s="2"/>
      <c r="C329" s="2"/>
      <c r="D329" s="2"/>
      <c r="E329" s="2"/>
      <c r="F329" s="2"/>
      <c r="G329" s="2"/>
    </row>
    <row r="330" spans="1:7" x14ac:dyDescent="0.2">
      <c r="A330" s="2"/>
      <c r="B330" s="2"/>
      <c r="C330" s="2"/>
      <c r="D330" s="2"/>
      <c r="E330" s="2"/>
      <c r="F330" s="2"/>
      <c r="G330" s="2"/>
    </row>
    <row r="331" spans="1:7" x14ac:dyDescent="0.2">
      <c r="A331" s="2"/>
      <c r="B331" s="2"/>
      <c r="C331" s="2"/>
      <c r="D331" s="2"/>
      <c r="E331" s="2"/>
      <c r="F331" s="2"/>
      <c r="G331" s="2"/>
    </row>
    <row r="332" spans="1:7" x14ac:dyDescent="0.2">
      <c r="A332" s="2"/>
      <c r="B332" s="2"/>
      <c r="C332" s="2"/>
      <c r="D332" s="2"/>
      <c r="E332" s="2"/>
      <c r="F332" s="2"/>
      <c r="G332" s="2"/>
    </row>
    <row r="333" spans="1:7" x14ac:dyDescent="0.2">
      <c r="A333" s="2"/>
      <c r="B333" s="2"/>
      <c r="C333" s="2"/>
      <c r="D333" s="2"/>
      <c r="E333" s="2"/>
      <c r="F333" s="2"/>
      <c r="G333" s="2"/>
    </row>
    <row r="334" spans="1:7" x14ac:dyDescent="0.2">
      <c r="A334" s="2"/>
      <c r="B334" s="2"/>
      <c r="C334" s="2"/>
      <c r="D334" s="2"/>
      <c r="E334" s="2"/>
      <c r="F334" s="2"/>
      <c r="G334" s="2"/>
    </row>
    <row r="335" spans="1:7" x14ac:dyDescent="0.2">
      <c r="A335" s="2"/>
      <c r="B335" s="2"/>
      <c r="C335" s="2"/>
      <c r="D335" s="2"/>
      <c r="E335" s="2"/>
      <c r="F335" s="2"/>
      <c r="G335" s="2"/>
    </row>
    <row r="336" spans="1:7" x14ac:dyDescent="0.2">
      <c r="A336" s="2"/>
      <c r="B336" s="2"/>
      <c r="C336" s="2"/>
      <c r="D336" s="2"/>
      <c r="E336" s="2"/>
      <c r="F336" s="2"/>
      <c r="G336" s="2"/>
    </row>
    <row r="337" spans="1:7" x14ac:dyDescent="0.2">
      <c r="A337" s="2"/>
      <c r="B337" s="2"/>
      <c r="C337" s="2"/>
      <c r="D337" s="2"/>
      <c r="E337" s="2"/>
      <c r="F337" s="2"/>
      <c r="G337" s="2"/>
    </row>
    <row r="338" spans="1:7" x14ac:dyDescent="0.2">
      <c r="A338" s="2"/>
      <c r="B338" s="2"/>
      <c r="C338" s="2"/>
      <c r="D338" s="2"/>
      <c r="E338" s="2"/>
      <c r="F338" s="2"/>
      <c r="G338" s="2"/>
    </row>
    <row r="339" spans="1:7" x14ac:dyDescent="0.2">
      <c r="A339" s="2"/>
      <c r="B339" s="2"/>
      <c r="C339" s="2"/>
      <c r="D339" s="2"/>
      <c r="E339" s="2"/>
      <c r="F339" s="2"/>
      <c r="G339" s="2"/>
    </row>
    <row r="340" spans="1:7" x14ac:dyDescent="0.2">
      <c r="A340" s="2"/>
      <c r="B340" s="2"/>
      <c r="C340" s="2"/>
      <c r="D340" s="2"/>
      <c r="E340" s="2"/>
      <c r="F340" s="2"/>
      <c r="G340" s="2"/>
    </row>
    <row r="341" spans="1:7" x14ac:dyDescent="0.2">
      <c r="A341" s="2"/>
      <c r="B341" s="2"/>
      <c r="C341" s="2"/>
      <c r="D341" s="2"/>
      <c r="E341" s="2"/>
      <c r="F341" s="2"/>
      <c r="G341" s="2"/>
    </row>
    <row r="342" spans="1:7" x14ac:dyDescent="0.2">
      <c r="A342" s="2"/>
      <c r="B342" s="2"/>
      <c r="C342" s="2"/>
      <c r="D342" s="2"/>
      <c r="E342" s="2"/>
      <c r="F342" s="2"/>
      <c r="G342" s="2"/>
    </row>
    <row r="343" spans="1:7" x14ac:dyDescent="0.2">
      <c r="A343" s="2"/>
      <c r="B343" s="2"/>
      <c r="C343" s="2"/>
      <c r="D343" s="2"/>
      <c r="E343" s="2"/>
      <c r="F343" s="2"/>
      <c r="G343" s="2"/>
    </row>
    <row r="344" spans="1:7" x14ac:dyDescent="0.2">
      <c r="A344" s="2"/>
      <c r="B344" s="2"/>
      <c r="C344" s="2"/>
      <c r="D344" s="2"/>
      <c r="E344" s="2"/>
      <c r="F344" s="2"/>
      <c r="G344" s="2"/>
    </row>
    <row r="345" spans="1:7" x14ac:dyDescent="0.2">
      <c r="A345" s="2"/>
      <c r="B345" s="2"/>
      <c r="C345" s="2"/>
      <c r="D345" s="2"/>
      <c r="E345" s="2"/>
      <c r="F345" s="2"/>
      <c r="G345" s="2"/>
    </row>
    <row r="346" spans="1:7" x14ac:dyDescent="0.2">
      <c r="A346" s="2"/>
      <c r="B346" s="2"/>
      <c r="C346" s="2"/>
      <c r="D346" s="2"/>
      <c r="E346" s="2"/>
      <c r="F346" s="2"/>
      <c r="G346" s="2"/>
    </row>
    <row r="347" spans="1:7" x14ac:dyDescent="0.2">
      <c r="A347" s="2"/>
      <c r="B347" s="2"/>
      <c r="C347" s="2"/>
      <c r="D347" s="2"/>
      <c r="E347" s="2"/>
      <c r="F347" s="2"/>
      <c r="G347" s="2"/>
    </row>
    <row r="348" spans="1:7" x14ac:dyDescent="0.2">
      <c r="A348" s="2"/>
      <c r="B348" s="2"/>
      <c r="C348" s="2"/>
      <c r="D348" s="2"/>
      <c r="E348" s="2"/>
      <c r="F348" s="2"/>
      <c r="G348" s="2"/>
    </row>
    <row r="349" spans="1:7" x14ac:dyDescent="0.2">
      <c r="A349" s="2"/>
      <c r="B349" s="2"/>
      <c r="C349" s="2"/>
      <c r="D349" s="2"/>
      <c r="E349" s="2"/>
      <c r="F349" s="2"/>
      <c r="G349" s="2"/>
    </row>
    <row r="350" spans="1:7" x14ac:dyDescent="0.2">
      <c r="A350" s="2"/>
      <c r="B350" s="2"/>
      <c r="C350" s="2"/>
      <c r="D350" s="2"/>
      <c r="E350" s="2"/>
      <c r="F350" s="2"/>
      <c r="G350" s="2"/>
    </row>
    <row r="351" spans="1:7" x14ac:dyDescent="0.2">
      <c r="A351" s="2"/>
      <c r="B351" s="2"/>
      <c r="C351" s="2"/>
      <c r="D351" s="2"/>
      <c r="E351" s="2"/>
      <c r="F351" s="2"/>
      <c r="G351" s="2"/>
    </row>
    <row r="352" spans="1:7" x14ac:dyDescent="0.2">
      <c r="A352" s="2"/>
      <c r="B352" s="2"/>
      <c r="C352" s="2"/>
      <c r="D352" s="2"/>
      <c r="E352" s="2"/>
      <c r="F352" s="2"/>
      <c r="G352" s="2"/>
    </row>
    <row r="353" spans="1:7" x14ac:dyDescent="0.2">
      <c r="A353" s="2"/>
      <c r="B353" s="2"/>
      <c r="C353" s="2"/>
      <c r="D353" s="2"/>
      <c r="E353" s="2"/>
      <c r="F353" s="2"/>
      <c r="G353" s="2"/>
    </row>
    <row r="354" spans="1:7" x14ac:dyDescent="0.2">
      <c r="A354" s="2"/>
      <c r="B354" s="2"/>
      <c r="C354" s="2"/>
      <c r="D354" s="2"/>
      <c r="E354" s="2"/>
      <c r="F354" s="2"/>
      <c r="G354" s="2"/>
    </row>
    <row r="355" spans="1:7" x14ac:dyDescent="0.2">
      <c r="A355" s="2"/>
      <c r="B355" s="2"/>
      <c r="C355" s="2"/>
      <c r="D355" s="2"/>
      <c r="E355" s="2"/>
      <c r="F355" s="2"/>
      <c r="G355" s="2"/>
    </row>
    <row r="356" spans="1:7" x14ac:dyDescent="0.2">
      <c r="A356" s="2"/>
      <c r="B356" s="2"/>
      <c r="C356" s="2"/>
      <c r="D356" s="2"/>
      <c r="E356" s="2"/>
      <c r="F356" s="2"/>
      <c r="G356" s="2"/>
    </row>
    <row r="357" spans="1:7" x14ac:dyDescent="0.2">
      <c r="A357" s="2"/>
      <c r="B357" s="2"/>
      <c r="C357" s="2"/>
      <c r="D357" s="2"/>
      <c r="E357" s="2"/>
      <c r="F357" s="2"/>
      <c r="G357" s="2"/>
    </row>
    <row r="358" spans="1:7" x14ac:dyDescent="0.2">
      <c r="A358" s="2"/>
      <c r="B358" s="2"/>
      <c r="C358" s="2"/>
      <c r="D358" s="2"/>
      <c r="E358" s="2"/>
      <c r="F358" s="2"/>
      <c r="G358" s="2"/>
    </row>
    <row r="359" spans="1:7" x14ac:dyDescent="0.2">
      <c r="A359" s="2"/>
      <c r="B359" s="2"/>
      <c r="C359" s="2"/>
      <c r="D359" s="2"/>
      <c r="E359" s="2"/>
      <c r="F359" s="2"/>
      <c r="G359" s="2"/>
    </row>
    <row r="360" spans="1:7" x14ac:dyDescent="0.2">
      <c r="A360" s="2"/>
      <c r="B360" s="2"/>
      <c r="C360" s="2"/>
      <c r="D360" s="2"/>
      <c r="E360" s="2"/>
      <c r="F360" s="2"/>
      <c r="G360" s="2"/>
    </row>
    <row r="361" spans="1:7" x14ac:dyDescent="0.2">
      <c r="A361" s="2"/>
      <c r="B361" s="2"/>
      <c r="C361" s="2"/>
      <c r="D361" s="2"/>
      <c r="E361" s="2"/>
      <c r="F361" s="2"/>
      <c r="G361" s="2"/>
    </row>
    <row r="362" spans="1:7" x14ac:dyDescent="0.2">
      <c r="A362" s="2"/>
      <c r="B362" s="2"/>
      <c r="C362" s="2"/>
      <c r="D362" s="2"/>
      <c r="E362" s="2"/>
      <c r="F362" s="2"/>
      <c r="G362" s="2"/>
    </row>
    <row r="363" spans="1:7" x14ac:dyDescent="0.2">
      <c r="A363" s="2"/>
      <c r="B363" s="2"/>
      <c r="C363" s="2"/>
      <c r="D363" s="2"/>
      <c r="E363" s="2"/>
      <c r="F363" s="2"/>
      <c r="G363" s="2"/>
    </row>
    <row r="364" spans="1:7" x14ac:dyDescent="0.2">
      <c r="A364" s="2"/>
      <c r="B364" s="2"/>
      <c r="C364" s="2"/>
      <c r="D364" s="2"/>
      <c r="E364" s="2"/>
      <c r="F364" s="2"/>
      <c r="G364" s="2"/>
    </row>
    <row r="365" spans="1:7" x14ac:dyDescent="0.2">
      <c r="A365" s="2"/>
      <c r="B365" s="2"/>
      <c r="C365" s="2"/>
      <c r="D365" s="2"/>
      <c r="E365" s="2"/>
      <c r="F365" s="2"/>
      <c r="G365" s="2"/>
    </row>
    <row r="366" spans="1:7" x14ac:dyDescent="0.2">
      <c r="A366" s="2"/>
      <c r="B366" s="2"/>
      <c r="C366" s="2"/>
      <c r="D366" s="2"/>
      <c r="E366" s="2"/>
      <c r="F366" s="2"/>
      <c r="G366" s="2"/>
    </row>
    <row r="367" spans="1:7" x14ac:dyDescent="0.2">
      <c r="A367" s="2"/>
      <c r="B367" s="2"/>
      <c r="C367" s="2"/>
      <c r="D367" s="2"/>
      <c r="E367" s="2"/>
      <c r="F367" s="2"/>
      <c r="G367" s="2"/>
    </row>
    <row r="368" spans="1:7" x14ac:dyDescent="0.2">
      <c r="A368" s="2"/>
      <c r="B368" s="2"/>
      <c r="C368" s="2"/>
      <c r="D368" s="2"/>
      <c r="E368" s="2"/>
      <c r="F368" s="2"/>
      <c r="G368" s="2"/>
    </row>
    <row r="369" spans="1:7" x14ac:dyDescent="0.2">
      <c r="A369" s="2"/>
      <c r="B369" s="2"/>
      <c r="C369" s="2"/>
      <c r="D369" s="2"/>
      <c r="E369" s="2"/>
      <c r="F369" s="2"/>
      <c r="G369" s="2"/>
    </row>
    <row r="370" spans="1:7" x14ac:dyDescent="0.2">
      <c r="A370" s="2"/>
      <c r="B370" s="2"/>
      <c r="C370" s="2"/>
      <c r="D370" s="2"/>
      <c r="E370" s="2"/>
      <c r="F370" s="2"/>
      <c r="G370" s="2"/>
    </row>
    <row r="371" spans="1:7" x14ac:dyDescent="0.2">
      <c r="A371" s="2"/>
      <c r="B371" s="2"/>
      <c r="C371" s="2"/>
      <c r="D371" s="2"/>
      <c r="E371" s="2"/>
      <c r="F371" s="2"/>
      <c r="G371" s="2"/>
    </row>
    <row r="372" spans="1:7" x14ac:dyDescent="0.2">
      <c r="A372" s="2"/>
      <c r="B372" s="2"/>
      <c r="C372" s="2"/>
      <c r="D372" s="2"/>
      <c r="E372" s="2"/>
      <c r="F372" s="2"/>
      <c r="G372" s="2"/>
    </row>
    <row r="373" spans="1:7" x14ac:dyDescent="0.2">
      <c r="A373" s="2"/>
      <c r="B373" s="2"/>
      <c r="C373" s="2"/>
      <c r="D373" s="2"/>
      <c r="E373" s="2"/>
      <c r="F373" s="2"/>
      <c r="G373" s="2"/>
    </row>
    <row r="374" spans="1:7" x14ac:dyDescent="0.2">
      <c r="A374" s="2"/>
      <c r="B374" s="2"/>
      <c r="C374" s="2"/>
      <c r="D374" s="2"/>
      <c r="E374" s="2"/>
      <c r="F374" s="2"/>
      <c r="G374" s="2"/>
    </row>
    <row r="375" spans="1:7" x14ac:dyDescent="0.2">
      <c r="A375" s="2"/>
      <c r="B375" s="2"/>
      <c r="C375" s="2"/>
      <c r="D375" s="2"/>
      <c r="E375" s="2"/>
      <c r="F375" s="2"/>
      <c r="G375" s="2"/>
    </row>
    <row r="376" spans="1:7" x14ac:dyDescent="0.2">
      <c r="A376" s="2"/>
      <c r="B376" s="2"/>
      <c r="C376" s="2"/>
      <c r="D376" s="2"/>
      <c r="E376" s="2"/>
      <c r="F376" s="2"/>
      <c r="G376" s="2"/>
    </row>
    <row r="377" spans="1:7" x14ac:dyDescent="0.2">
      <c r="A377" s="2"/>
      <c r="B377" s="2"/>
      <c r="C377" s="2"/>
      <c r="D377" s="2"/>
      <c r="E377" s="2"/>
      <c r="F377" s="2"/>
      <c r="G377" s="2"/>
    </row>
    <row r="378" spans="1:7" x14ac:dyDescent="0.2">
      <c r="A378" s="2"/>
      <c r="B378" s="2"/>
      <c r="C378" s="2"/>
      <c r="D378" s="2"/>
      <c r="E378" s="2"/>
      <c r="F378" s="2"/>
      <c r="G378" s="2"/>
    </row>
    <row r="379" spans="1:7" x14ac:dyDescent="0.2">
      <c r="A379" s="2"/>
      <c r="B379" s="2"/>
      <c r="C379" s="2"/>
      <c r="D379" s="2"/>
      <c r="E379" s="2"/>
      <c r="F379" s="2"/>
      <c r="G379" s="2"/>
    </row>
    <row r="380" spans="1:7" x14ac:dyDescent="0.2">
      <c r="A380" s="2"/>
      <c r="B380" s="2"/>
      <c r="C380" s="2"/>
      <c r="D380" s="2"/>
      <c r="E380" s="2"/>
      <c r="F380" s="2"/>
      <c r="G380" s="2"/>
    </row>
    <row r="381" spans="1:7" x14ac:dyDescent="0.2">
      <c r="A381" s="2"/>
      <c r="B381" s="2"/>
      <c r="C381" s="2"/>
      <c r="D381" s="2"/>
      <c r="E381" s="2"/>
      <c r="F381" s="2"/>
      <c r="G381" s="2"/>
    </row>
    <row r="382" spans="1:7" x14ac:dyDescent="0.2">
      <c r="A382" s="2"/>
      <c r="B382" s="2"/>
      <c r="C382" s="2"/>
      <c r="D382" s="2"/>
      <c r="E382" s="2"/>
      <c r="F382" s="2"/>
      <c r="G382" s="2"/>
    </row>
    <row r="383" spans="1:7" x14ac:dyDescent="0.2">
      <c r="A383" s="2"/>
      <c r="B383" s="2"/>
      <c r="C383" s="2"/>
      <c r="D383" s="2"/>
      <c r="E383" s="2"/>
      <c r="F383" s="2"/>
      <c r="G383" s="2"/>
    </row>
    <row r="384" spans="1:7" x14ac:dyDescent="0.2">
      <c r="A384" s="2"/>
      <c r="B384" s="2"/>
      <c r="C384" s="2"/>
      <c r="D384" s="2"/>
      <c r="E384" s="2"/>
      <c r="F384" s="2"/>
      <c r="G384" s="2"/>
    </row>
    <row r="385" spans="1:7" x14ac:dyDescent="0.2">
      <c r="A385" s="2"/>
      <c r="B385" s="2"/>
      <c r="C385" s="2"/>
      <c r="D385" s="2"/>
      <c r="E385" s="2"/>
      <c r="F385" s="2"/>
      <c r="G385" s="2"/>
    </row>
    <row r="386" spans="1:7" x14ac:dyDescent="0.2">
      <c r="A386" s="2"/>
      <c r="B386" s="2"/>
      <c r="C386" s="2"/>
      <c r="D386" s="2"/>
      <c r="E386" s="2"/>
      <c r="F386" s="2"/>
      <c r="G386" s="2"/>
    </row>
    <row r="387" spans="1:7" x14ac:dyDescent="0.2">
      <c r="A387" s="2"/>
      <c r="B387" s="2"/>
      <c r="C387" s="2"/>
      <c r="D387" s="2"/>
      <c r="E387" s="2"/>
      <c r="F387" s="2"/>
      <c r="G387" s="2"/>
    </row>
    <row r="388" spans="1:7" x14ac:dyDescent="0.2">
      <c r="A388" s="2"/>
      <c r="B388" s="2"/>
      <c r="C388" s="2"/>
      <c r="D388" s="2"/>
      <c r="E388" s="2"/>
      <c r="F388" s="2"/>
      <c r="G388" s="2"/>
    </row>
    <row r="389" spans="1:7" x14ac:dyDescent="0.2">
      <c r="A389" s="2"/>
      <c r="B389" s="2"/>
      <c r="C389" s="2"/>
      <c r="D389" s="2"/>
      <c r="E389" s="2"/>
      <c r="F389" s="2"/>
      <c r="G389" s="2"/>
    </row>
    <row r="390" spans="1:7" x14ac:dyDescent="0.2">
      <c r="A390" s="2"/>
      <c r="B390" s="2"/>
      <c r="C390" s="2"/>
      <c r="D390" s="2"/>
      <c r="E390" s="2"/>
      <c r="F390" s="2"/>
      <c r="G390" s="2"/>
    </row>
    <row r="391" spans="1:7" x14ac:dyDescent="0.2">
      <c r="A391" s="2"/>
      <c r="B391" s="2"/>
      <c r="C391" s="2"/>
      <c r="D391" s="2"/>
      <c r="E391" s="2"/>
      <c r="F391" s="2"/>
      <c r="G391" s="2"/>
    </row>
    <row r="392" spans="1:7" x14ac:dyDescent="0.2">
      <c r="A392" s="2"/>
      <c r="B392" s="2"/>
      <c r="C392" s="2"/>
      <c r="D392" s="2"/>
      <c r="E392" s="2"/>
      <c r="F392" s="2"/>
      <c r="G392" s="2"/>
    </row>
    <row r="393" spans="1:7" x14ac:dyDescent="0.2">
      <c r="A393" s="2"/>
      <c r="B393" s="2"/>
      <c r="C393" s="2"/>
      <c r="D393" s="2"/>
      <c r="E393" s="2"/>
      <c r="F393" s="2"/>
      <c r="G393" s="2"/>
    </row>
    <row r="394" spans="1:7" x14ac:dyDescent="0.2">
      <c r="A394" s="2"/>
      <c r="B394" s="2"/>
      <c r="C394" s="2"/>
      <c r="D394" s="2"/>
      <c r="E394" s="2"/>
      <c r="F394" s="2"/>
      <c r="G394" s="2"/>
    </row>
    <row r="395" spans="1:7" x14ac:dyDescent="0.2">
      <c r="A395" s="2"/>
      <c r="B395" s="2"/>
      <c r="C395" s="2"/>
      <c r="D395" s="2"/>
      <c r="E395" s="2"/>
      <c r="F395" s="2"/>
      <c r="G395" s="2"/>
    </row>
    <row r="396" spans="1:7" x14ac:dyDescent="0.2">
      <c r="A396" s="2"/>
      <c r="B396" s="2"/>
      <c r="C396" s="2"/>
      <c r="D396" s="2"/>
      <c r="E396" s="2"/>
      <c r="F396" s="2"/>
      <c r="G396" s="2"/>
    </row>
    <row r="397" spans="1:7" x14ac:dyDescent="0.2">
      <c r="A397" s="2"/>
      <c r="B397" s="2"/>
      <c r="C397" s="2"/>
      <c r="D397" s="2"/>
      <c r="E397" s="2"/>
      <c r="F397" s="2"/>
      <c r="G397" s="2"/>
    </row>
    <row r="398" spans="1:7" x14ac:dyDescent="0.2">
      <c r="A398" s="2"/>
      <c r="B398" s="2"/>
      <c r="C398" s="2"/>
      <c r="D398" s="2"/>
      <c r="E398" s="2"/>
      <c r="F398" s="2"/>
      <c r="G398" s="2"/>
    </row>
    <row r="399" spans="1:7" x14ac:dyDescent="0.2">
      <c r="A399" s="2"/>
      <c r="B399" s="2"/>
      <c r="C399" s="2"/>
      <c r="D399" s="2"/>
      <c r="E399" s="2"/>
      <c r="F399" s="2"/>
      <c r="G399" s="2"/>
    </row>
    <row r="400" spans="1:7" x14ac:dyDescent="0.2">
      <c r="A400" s="2"/>
      <c r="B400" s="2"/>
      <c r="C400" s="2"/>
      <c r="D400" s="2"/>
      <c r="E400" s="2"/>
      <c r="F400" s="2"/>
      <c r="G400" s="2"/>
    </row>
    <row r="401" spans="1:7" x14ac:dyDescent="0.2">
      <c r="A401" s="2"/>
      <c r="B401" s="2"/>
      <c r="C401" s="2"/>
      <c r="D401" s="2"/>
      <c r="E401" s="2"/>
      <c r="F401" s="2"/>
      <c r="G401" s="2"/>
    </row>
    <row r="402" spans="1:7" x14ac:dyDescent="0.2">
      <c r="A402" s="2"/>
      <c r="B402" s="2"/>
      <c r="C402" s="2"/>
      <c r="D402" s="2"/>
      <c r="E402" s="2"/>
      <c r="F402" s="2"/>
      <c r="G402" s="2"/>
    </row>
    <row r="403" spans="1:7" x14ac:dyDescent="0.2">
      <c r="A403" s="2"/>
      <c r="B403" s="2"/>
      <c r="C403" s="2"/>
      <c r="D403" s="2"/>
      <c r="E403" s="2"/>
      <c r="F403" s="2"/>
      <c r="G403" s="2"/>
    </row>
    <row r="404" spans="1:7" x14ac:dyDescent="0.2">
      <c r="A404" s="2"/>
      <c r="B404" s="2"/>
      <c r="C404" s="2"/>
      <c r="D404" s="2"/>
      <c r="E404" s="2"/>
      <c r="F404" s="2"/>
      <c r="G404" s="2"/>
    </row>
    <row r="405" spans="1:7" x14ac:dyDescent="0.2">
      <c r="A405" s="2"/>
      <c r="B405" s="2"/>
      <c r="C405" s="2"/>
      <c r="D405" s="2"/>
      <c r="E405" s="2"/>
      <c r="F405" s="2"/>
      <c r="G405" s="2"/>
    </row>
    <row r="406" spans="1:7" x14ac:dyDescent="0.2">
      <c r="A406" s="2"/>
      <c r="B406" s="2"/>
      <c r="C406" s="2"/>
      <c r="D406" s="2"/>
      <c r="E406" s="2"/>
      <c r="F406" s="2"/>
      <c r="G406" s="2"/>
    </row>
    <row r="407" spans="1:7" x14ac:dyDescent="0.2">
      <c r="A407" s="2"/>
      <c r="B407" s="2"/>
      <c r="C407" s="2"/>
      <c r="D407" s="2"/>
      <c r="E407" s="2"/>
      <c r="F407" s="2"/>
      <c r="G407" s="2"/>
    </row>
    <row r="408" spans="1:7" x14ac:dyDescent="0.2">
      <c r="A408" s="2"/>
      <c r="B408" s="2"/>
      <c r="C408" s="2"/>
      <c r="D408" s="2"/>
      <c r="E408" s="2"/>
      <c r="F408" s="2"/>
      <c r="G408" s="2"/>
    </row>
    <row r="409" spans="1:7" x14ac:dyDescent="0.2">
      <c r="A409" s="2"/>
      <c r="B409" s="2"/>
      <c r="C409" s="2"/>
      <c r="D409" s="2"/>
      <c r="E409" s="2"/>
      <c r="F409" s="2"/>
      <c r="G409" s="2"/>
    </row>
    <row r="410" spans="1:7" x14ac:dyDescent="0.2">
      <c r="A410" s="2"/>
      <c r="B410" s="2"/>
      <c r="C410" s="2"/>
      <c r="D410" s="2"/>
      <c r="E410" s="2"/>
      <c r="F410" s="2"/>
      <c r="G410" s="2"/>
    </row>
    <row r="411" spans="1:7" x14ac:dyDescent="0.2">
      <c r="A411" s="2"/>
      <c r="B411" s="2"/>
      <c r="C411" s="2"/>
      <c r="D411" s="2"/>
      <c r="E411" s="2"/>
      <c r="F411" s="2"/>
      <c r="G411" s="2"/>
    </row>
    <row r="412" spans="1:7" x14ac:dyDescent="0.2">
      <c r="A412" s="2"/>
      <c r="B412" s="2"/>
      <c r="C412" s="2"/>
      <c r="D412" s="2"/>
      <c r="E412" s="2"/>
      <c r="F412" s="2"/>
      <c r="G412" s="2"/>
    </row>
    <row r="413" spans="1:7" x14ac:dyDescent="0.2">
      <c r="A413" s="2"/>
      <c r="B413" s="2"/>
      <c r="C413" s="2"/>
      <c r="D413" s="2"/>
      <c r="E413" s="2"/>
      <c r="F413" s="2"/>
      <c r="G413" s="2"/>
    </row>
    <row r="414" spans="1:7" x14ac:dyDescent="0.2">
      <c r="A414" s="2"/>
      <c r="B414" s="2"/>
      <c r="C414" s="2"/>
      <c r="D414" s="2"/>
      <c r="E414" s="2"/>
      <c r="F414" s="2"/>
      <c r="G414" s="2"/>
    </row>
    <row r="415" spans="1:7" x14ac:dyDescent="0.2">
      <c r="A415" s="2"/>
      <c r="B415" s="2"/>
      <c r="C415" s="2"/>
      <c r="D415" s="2"/>
      <c r="E415" s="2"/>
      <c r="F415" s="2"/>
      <c r="G415" s="2"/>
    </row>
    <row r="416" spans="1:7" x14ac:dyDescent="0.2">
      <c r="A416" s="2"/>
      <c r="B416" s="2"/>
      <c r="C416" s="2"/>
      <c r="D416" s="2"/>
      <c r="E416" s="2"/>
      <c r="F416" s="2"/>
      <c r="G416" s="2"/>
    </row>
    <row r="417" spans="1:7" x14ac:dyDescent="0.2">
      <c r="A417" s="2"/>
      <c r="B417" s="2"/>
      <c r="C417" s="2"/>
      <c r="D417" s="2"/>
      <c r="E417" s="2"/>
      <c r="F417" s="2"/>
      <c r="G417" s="2"/>
    </row>
    <row r="418" spans="1:7" x14ac:dyDescent="0.2">
      <c r="A418" s="2"/>
      <c r="B418" s="2"/>
      <c r="C418" s="2"/>
      <c r="D418" s="2"/>
      <c r="E418" s="2"/>
      <c r="F418" s="2"/>
      <c r="G418" s="2"/>
    </row>
    <row r="419" spans="1:7" x14ac:dyDescent="0.2">
      <c r="A419" s="2"/>
      <c r="B419" s="2"/>
      <c r="C419" s="2"/>
      <c r="D419" s="2"/>
      <c r="E419" s="2"/>
      <c r="F419" s="2"/>
      <c r="G419" s="2"/>
    </row>
    <row r="420" spans="1:7" x14ac:dyDescent="0.2">
      <c r="A420" s="2"/>
      <c r="B420" s="2"/>
      <c r="C420" s="2"/>
      <c r="D420" s="2"/>
      <c r="E420" s="2"/>
      <c r="F420" s="2"/>
      <c r="G420" s="2"/>
    </row>
    <row r="421" spans="1:7" x14ac:dyDescent="0.2">
      <c r="A421" s="2"/>
      <c r="B421" s="2"/>
      <c r="C421" s="2"/>
      <c r="D421" s="2"/>
      <c r="E421" s="2"/>
      <c r="F421" s="2"/>
      <c r="G421" s="2"/>
    </row>
    <row r="422" spans="1:7" x14ac:dyDescent="0.2">
      <c r="A422" s="2"/>
      <c r="B422" s="2"/>
      <c r="C422" s="2"/>
      <c r="D422" s="2"/>
      <c r="E422" s="2"/>
      <c r="F422" s="2"/>
      <c r="G422" s="2"/>
    </row>
    <row r="423" spans="1:7" x14ac:dyDescent="0.2">
      <c r="A423" s="2"/>
      <c r="B423" s="2"/>
      <c r="C423" s="2"/>
      <c r="D423" s="2"/>
      <c r="E423" s="2"/>
      <c r="F423" s="2"/>
      <c r="G423" s="2"/>
    </row>
    <row r="424" spans="1:7" x14ac:dyDescent="0.2">
      <c r="A424" s="2"/>
      <c r="B424" s="2"/>
      <c r="C424" s="2"/>
      <c r="D424" s="2"/>
      <c r="E424" s="2"/>
      <c r="F424" s="2"/>
      <c r="G424" s="2"/>
    </row>
    <row r="425" spans="1:7" x14ac:dyDescent="0.2">
      <c r="A425" s="2"/>
      <c r="B425" s="2"/>
      <c r="C425" s="2"/>
      <c r="D425" s="2"/>
      <c r="E425" s="2"/>
      <c r="F425" s="2"/>
      <c r="G425" s="2"/>
    </row>
    <row r="426" spans="1:7" x14ac:dyDescent="0.2">
      <c r="A426" s="2"/>
      <c r="B426" s="2"/>
      <c r="C426" s="2"/>
      <c r="D426" s="2"/>
      <c r="E426" s="2"/>
      <c r="F426" s="2"/>
      <c r="G426" s="2"/>
    </row>
    <row r="427" spans="1:7" x14ac:dyDescent="0.2">
      <c r="A427" s="2"/>
      <c r="B427" s="2"/>
      <c r="C427" s="2"/>
      <c r="D427" s="2"/>
      <c r="E427" s="2"/>
      <c r="F427" s="2"/>
      <c r="G427" s="2"/>
    </row>
    <row r="428" spans="1:7" x14ac:dyDescent="0.2">
      <c r="A428" s="2"/>
      <c r="B428" s="2"/>
      <c r="C428" s="2"/>
      <c r="D428" s="2"/>
      <c r="E428" s="2"/>
      <c r="F428" s="2"/>
      <c r="G428" s="2"/>
    </row>
    <row r="429" spans="1:7" x14ac:dyDescent="0.2">
      <c r="A429" s="2"/>
      <c r="B429" s="2"/>
      <c r="C429" s="2"/>
      <c r="D429" s="2"/>
      <c r="E429" s="2"/>
      <c r="F429" s="2"/>
      <c r="G429" s="2"/>
    </row>
    <row r="430" spans="1:7" x14ac:dyDescent="0.2">
      <c r="A430" s="2"/>
      <c r="B430" s="2"/>
      <c r="C430" s="2"/>
      <c r="D430" s="2"/>
      <c r="E430" s="2"/>
      <c r="F430" s="2"/>
      <c r="G430" s="2"/>
    </row>
    <row r="431" spans="1:7" x14ac:dyDescent="0.2">
      <c r="A431" s="2"/>
      <c r="B431" s="2"/>
      <c r="C431" s="2"/>
      <c r="D431" s="2"/>
      <c r="E431" s="2"/>
      <c r="F431" s="2"/>
      <c r="G431" s="2"/>
    </row>
    <row r="432" spans="1:7" x14ac:dyDescent="0.2">
      <c r="A432" s="2"/>
      <c r="B432" s="2"/>
      <c r="C432" s="2"/>
      <c r="D432" s="2"/>
      <c r="E432" s="2"/>
      <c r="F432" s="2"/>
      <c r="G432" s="2"/>
    </row>
    <row r="433" spans="1:7" x14ac:dyDescent="0.2">
      <c r="A433" s="2"/>
      <c r="B433" s="2"/>
      <c r="C433" s="2"/>
      <c r="D433" s="2"/>
      <c r="E433" s="2"/>
      <c r="F433" s="2"/>
      <c r="G433" s="2"/>
    </row>
    <row r="434" spans="1:7" x14ac:dyDescent="0.2">
      <c r="A434" s="2"/>
      <c r="B434" s="2"/>
      <c r="C434" s="2"/>
      <c r="D434" s="2"/>
      <c r="E434" s="2"/>
      <c r="F434" s="2"/>
      <c r="G434" s="2"/>
    </row>
    <row r="435" spans="1:7" x14ac:dyDescent="0.2">
      <c r="A435" s="2"/>
      <c r="B435" s="2"/>
      <c r="C435" s="2"/>
      <c r="D435" s="2"/>
      <c r="E435" s="2"/>
      <c r="F435" s="2"/>
      <c r="G435" s="2"/>
    </row>
    <row r="436" spans="1:7" x14ac:dyDescent="0.2">
      <c r="A436" s="2"/>
      <c r="B436" s="2"/>
      <c r="C436" s="2"/>
      <c r="D436" s="2"/>
      <c r="E436" s="2"/>
      <c r="F436" s="2"/>
      <c r="G436" s="2"/>
    </row>
    <row r="437" spans="1:7" x14ac:dyDescent="0.2">
      <c r="A437" s="2"/>
      <c r="B437" s="2"/>
      <c r="C437" s="2"/>
      <c r="D437" s="2"/>
      <c r="E437" s="2"/>
      <c r="F437" s="2"/>
      <c r="G437" s="2"/>
    </row>
    <row r="438" spans="1:7" x14ac:dyDescent="0.2">
      <c r="A438" s="2"/>
      <c r="B438" s="2"/>
      <c r="C438" s="2"/>
      <c r="D438" s="2"/>
      <c r="E438" s="2"/>
      <c r="F438" s="2"/>
      <c r="G438" s="2"/>
    </row>
    <row r="439" spans="1:7" x14ac:dyDescent="0.2">
      <c r="A439" s="2"/>
      <c r="B439" s="2"/>
      <c r="C439" s="2"/>
      <c r="D439" s="2"/>
      <c r="E439" s="2"/>
      <c r="F439" s="2"/>
      <c r="G439" s="2"/>
    </row>
    <row r="440" spans="1:7" x14ac:dyDescent="0.2">
      <c r="A440" s="2"/>
      <c r="B440" s="2"/>
      <c r="C440" s="2"/>
      <c r="D440" s="2"/>
      <c r="E440" s="2"/>
      <c r="F440" s="2"/>
      <c r="G440" s="2"/>
    </row>
    <row r="441" spans="1:7" x14ac:dyDescent="0.2">
      <c r="A441" s="2"/>
      <c r="B441" s="2"/>
      <c r="C441" s="2"/>
      <c r="D441" s="2"/>
      <c r="E441" s="2"/>
      <c r="F441" s="2"/>
      <c r="G441" s="2"/>
    </row>
    <row r="442" spans="1:7" x14ac:dyDescent="0.2">
      <c r="A442" s="2"/>
      <c r="B442" s="2"/>
      <c r="C442" s="2"/>
      <c r="D442" s="2"/>
      <c r="E442" s="2"/>
      <c r="F442" s="2"/>
      <c r="G442" s="2"/>
    </row>
    <row r="443" spans="1:7" x14ac:dyDescent="0.2">
      <c r="A443" s="2"/>
      <c r="B443" s="2"/>
      <c r="C443" s="2"/>
      <c r="D443" s="2"/>
      <c r="E443" s="2"/>
      <c r="F443" s="2"/>
      <c r="G443" s="2"/>
    </row>
    <row r="444" spans="1:7" x14ac:dyDescent="0.2">
      <c r="A444" s="2"/>
      <c r="B444" s="2"/>
      <c r="C444" s="2"/>
      <c r="D444" s="2"/>
      <c r="E444" s="2"/>
      <c r="F444" s="2"/>
      <c r="G444" s="2"/>
    </row>
    <row r="445" spans="1:7" x14ac:dyDescent="0.2">
      <c r="A445" s="2"/>
      <c r="B445" s="2"/>
      <c r="C445" s="2"/>
      <c r="D445" s="2"/>
      <c r="E445" s="2"/>
      <c r="F445" s="2"/>
      <c r="G445" s="2"/>
    </row>
    <row r="446" spans="1:7" x14ac:dyDescent="0.2">
      <c r="A446" s="2"/>
      <c r="B446" s="2"/>
      <c r="C446" s="2"/>
      <c r="D446" s="2"/>
      <c r="E446" s="2"/>
      <c r="F446" s="2"/>
      <c r="G446" s="2"/>
    </row>
    <row r="447" spans="1:7" x14ac:dyDescent="0.2">
      <c r="A447" s="2"/>
      <c r="B447" s="2"/>
      <c r="C447" s="2"/>
      <c r="D447" s="2"/>
      <c r="E447" s="2"/>
      <c r="F447" s="2"/>
      <c r="G447" s="2"/>
    </row>
    <row r="448" spans="1:7" x14ac:dyDescent="0.2">
      <c r="A448" s="2"/>
      <c r="B448" s="2"/>
      <c r="C448" s="2"/>
      <c r="D448" s="2"/>
      <c r="E448" s="2"/>
      <c r="F448" s="2"/>
      <c r="G448" s="2"/>
    </row>
    <row r="449" spans="1:7" x14ac:dyDescent="0.2">
      <c r="A449" s="2"/>
      <c r="B449" s="2"/>
      <c r="C449" s="2"/>
      <c r="D449" s="2"/>
      <c r="E449" s="2"/>
      <c r="F449" s="2"/>
      <c r="G449" s="2"/>
    </row>
    <row r="450" spans="1:7" x14ac:dyDescent="0.2">
      <c r="A450" s="2"/>
      <c r="B450" s="2"/>
      <c r="C450" s="2"/>
      <c r="D450" s="2"/>
      <c r="E450" s="2"/>
      <c r="F450" s="2"/>
      <c r="G450" s="2"/>
    </row>
    <row r="451" spans="1:7" x14ac:dyDescent="0.2">
      <c r="A451" s="2"/>
      <c r="B451" s="2"/>
      <c r="C451" s="2"/>
      <c r="D451" s="2"/>
      <c r="E451" s="2"/>
      <c r="F451" s="2"/>
      <c r="G451" s="2"/>
    </row>
    <row r="452" spans="1:7" x14ac:dyDescent="0.2">
      <c r="A452" s="2"/>
      <c r="B452" s="2"/>
      <c r="C452" s="2"/>
      <c r="D452" s="2"/>
      <c r="E452" s="2"/>
      <c r="F452" s="2"/>
      <c r="G452" s="2"/>
    </row>
    <row r="453" spans="1:7" x14ac:dyDescent="0.2">
      <c r="A453" s="2"/>
      <c r="B453" s="2"/>
      <c r="C453" s="2"/>
      <c r="D453" s="2"/>
      <c r="E453" s="2"/>
      <c r="F453" s="2"/>
      <c r="G453" s="2"/>
    </row>
    <row r="454" spans="1:7" x14ac:dyDescent="0.2">
      <c r="A454" s="2"/>
      <c r="B454" s="2"/>
      <c r="C454" s="2"/>
      <c r="D454" s="2"/>
      <c r="E454" s="2"/>
      <c r="F454" s="2"/>
      <c r="G454" s="2"/>
    </row>
    <row r="455" spans="1:7" x14ac:dyDescent="0.2">
      <c r="A455" s="2"/>
      <c r="B455" s="2"/>
      <c r="C455" s="2"/>
      <c r="D455" s="2"/>
      <c r="E455" s="2"/>
      <c r="F455" s="2"/>
      <c r="G455" s="2"/>
    </row>
    <row r="456" spans="1:7" x14ac:dyDescent="0.2">
      <c r="A456" s="2"/>
      <c r="B456" s="2"/>
      <c r="C456" s="2"/>
      <c r="D456" s="2"/>
      <c r="E456" s="2"/>
      <c r="F456" s="2"/>
      <c r="G456" s="2"/>
    </row>
    <row r="457" spans="1:7" x14ac:dyDescent="0.2">
      <c r="A457" s="2"/>
      <c r="B457" s="2"/>
      <c r="C457" s="2"/>
      <c r="D457" s="2"/>
      <c r="E457" s="2"/>
      <c r="F457" s="2"/>
      <c r="G457" s="2"/>
    </row>
    <row r="458" spans="1:7" x14ac:dyDescent="0.2">
      <c r="A458" s="2"/>
      <c r="B458" s="2"/>
      <c r="C458" s="2"/>
      <c r="D458" s="2"/>
      <c r="E458" s="2"/>
      <c r="F458" s="2"/>
      <c r="G458" s="2"/>
    </row>
    <row r="459" spans="1:7" x14ac:dyDescent="0.2">
      <c r="A459" s="2"/>
      <c r="B459" s="2"/>
      <c r="C459" s="2"/>
      <c r="D459" s="2"/>
      <c r="E459" s="2"/>
      <c r="F459" s="2"/>
      <c r="G459" s="2"/>
    </row>
    <row r="460" spans="1:7" x14ac:dyDescent="0.2">
      <c r="A460" s="2"/>
      <c r="B460" s="2"/>
      <c r="C460" s="2"/>
      <c r="D460" s="2"/>
      <c r="E460" s="2"/>
      <c r="F460" s="2"/>
      <c r="G460" s="2"/>
    </row>
    <row r="461" spans="1:7" x14ac:dyDescent="0.2">
      <c r="A461" s="2"/>
      <c r="B461" s="2"/>
      <c r="C461" s="2"/>
      <c r="D461" s="2"/>
      <c r="E461" s="2"/>
      <c r="F461" s="2"/>
      <c r="G461" s="2"/>
    </row>
    <row r="462" spans="1:7" x14ac:dyDescent="0.2">
      <c r="A462" s="2"/>
      <c r="B462" s="2"/>
      <c r="C462" s="2"/>
      <c r="D462" s="2"/>
      <c r="E462" s="2"/>
      <c r="F462" s="2"/>
      <c r="G462" s="2"/>
    </row>
    <row r="463" spans="1:7" x14ac:dyDescent="0.2">
      <c r="A463" s="2"/>
      <c r="B463" s="2"/>
      <c r="C463" s="2"/>
      <c r="D463" s="2"/>
      <c r="E463" s="2"/>
      <c r="F463" s="2"/>
      <c r="G463" s="2"/>
    </row>
    <row r="464" spans="1:7" x14ac:dyDescent="0.2">
      <c r="A464" s="2"/>
      <c r="B464" s="2"/>
      <c r="C464" s="2"/>
      <c r="D464" s="2"/>
      <c r="E464" s="2"/>
      <c r="F464" s="2"/>
      <c r="G464" s="2"/>
    </row>
    <row r="465" spans="1:7" x14ac:dyDescent="0.2">
      <c r="A465" s="2"/>
      <c r="B465" s="2"/>
      <c r="C465" s="2"/>
      <c r="D465" s="2"/>
      <c r="E465" s="2"/>
      <c r="F465" s="2"/>
      <c r="G465" s="2"/>
    </row>
    <row r="466" spans="1:7" x14ac:dyDescent="0.2">
      <c r="A466" s="2"/>
      <c r="B466" s="2"/>
      <c r="C466" s="2"/>
      <c r="D466" s="2"/>
      <c r="E466" s="2"/>
      <c r="F466" s="2"/>
      <c r="G466" s="2"/>
    </row>
    <row r="467" spans="1:7" x14ac:dyDescent="0.2">
      <c r="A467" s="2"/>
      <c r="B467" s="2"/>
      <c r="C467" s="2"/>
      <c r="D467" s="2"/>
      <c r="E467" s="2"/>
      <c r="F467" s="2"/>
      <c r="G467" s="2"/>
    </row>
    <row r="468" spans="1:7" x14ac:dyDescent="0.2">
      <c r="A468" s="2"/>
      <c r="B468" s="2"/>
      <c r="C468" s="2"/>
      <c r="D468" s="2"/>
      <c r="E468" s="2"/>
      <c r="F468" s="2"/>
      <c r="G468" s="2"/>
    </row>
    <row r="469" spans="1:7" x14ac:dyDescent="0.2">
      <c r="A469" s="2"/>
      <c r="B469" s="2"/>
      <c r="C469" s="2"/>
      <c r="D469" s="2"/>
      <c r="E469" s="2"/>
      <c r="F469" s="2"/>
      <c r="G469" s="2"/>
    </row>
    <row r="470" spans="1:7" x14ac:dyDescent="0.2">
      <c r="A470" s="2"/>
      <c r="B470" s="2"/>
      <c r="C470" s="2"/>
      <c r="D470" s="2"/>
      <c r="E470" s="2"/>
      <c r="F470" s="2"/>
      <c r="G470" s="2"/>
    </row>
    <row r="471" spans="1:7" x14ac:dyDescent="0.2">
      <c r="A471" s="2"/>
      <c r="B471" s="2"/>
      <c r="C471" s="2"/>
      <c r="D471" s="2"/>
      <c r="E471" s="2"/>
      <c r="F471" s="2"/>
      <c r="G471" s="2"/>
    </row>
    <row r="472" spans="1:7" x14ac:dyDescent="0.2">
      <c r="A472" s="2"/>
      <c r="B472" s="2"/>
      <c r="C472" s="2"/>
      <c r="D472" s="2"/>
      <c r="E472" s="2"/>
      <c r="F472" s="2"/>
      <c r="G472" s="2"/>
    </row>
    <row r="473" spans="1:7" x14ac:dyDescent="0.2">
      <c r="A473" s="2"/>
      <c r="B473" s="2"/>
      <c r="C473" s="2"/>
      <c r="D473" s="2"/>
      <c r="E473" s="2"/>
      <c r="F473" s="2"/>
      <c r="G473" s="2"/>
    </row>
    <row r="474" spans="1:7" x14ac:dyDescent="0.2">
      <c r="A474" s="2"/>
      <c r="B474" s="2"/>
      <c r="C474" s="2"/>
      <c r="D474" s="2"/>
      <c r="E474" s="2"/>
      <c r="F474" s="2"/>
      <c r="G474" s="2"/>
    </row>
    <row r="475" spans="1:7" x14ac:dyDescent="0.2">
      <c r="A475" s="2"/>
      <c r="B475" s="2"/>
      <c r="C475" s="2"/>
      <c r="D475" s="2"/>
      <c r="E475" s="2"/>
      <c r="F475" s="2"/>
      <c r="G475" s="2"/>
    </row>
    <row r="476" spans="1:7" x14ac:dyDescent="0.2">
      <c r="A476" s="2"/>
      <c r="B476" s="2"/>
      <c r="C476" s="2"/>
      <c r="D476" s="2"/>
      <c r="E476" s="2"/>
      <c r="F476" s="2"/>
      <c r="G476" s="2"/>
    </row>
    <row r="477" spans="1:7" x14ac:dyDescent="0.2">
      <c r="A477" s="2"/>
      <c r="B477" s="2"/>
      <c r="C477" s="2"/>
      <c r="D477" s="2"/>
      <c r="E477" s="2"/>
      <c r="F477" s="2"/>
      <c r="G477" s="2"/>
    </row>
    <row r="478" spans="1:7" x14ac:dyDescent="0.2">
      <c r="A478" s="2"/>
      <c r="B478" s="2"/>
      <c r="C478" s="2"/>
      <c r="D478" s="2"/>
      <c r="E478" s="2"/>
      <c r="F478" s="2"/>
      <c r="G478" s="2"/>
    </row>
    <row r="479" spans="1:7" x14ac:dyDescent="0.2">
      <c r="A479" s="2"/>
      <c r="B479" s="2"/>
      <c r="C479" s="2"/>
      <c r="D479" s="2"/>
      <c r="E479" s="2"/>
      <c r="F479" s="2"/>
      <c r="G479" s="2"/>
    </row>
    <row r="480" spans="1:7" x14ac:dyDescent="0.2">
      <c r="A480" s="2"/>
      <c r="B480" s="2"/>
      <c r="C480" s="2"/>
      <c r="D480" s="2"/>
      <c r="E480" s="2"/>
      <c r="F480" s="2"/>
      <c r="G480" s="2"/>
    </row>
    <row r="481" spans="1:7" x14ac:dyDescent="0.2">
      <c r="A481" s="2"/>
      <c r="B481" s="2"/>
      <c r="C481" s="2"/>
      <c r="D481" s="2"/>
      <c r="E481" s="2"/>
      <c r="F481" s="2"/>
      <c r="G481" s="2"/>
    </row>
    <row r="482" spans="1:7" x14ac:dyDescent="0.2">
      <c r="A482" s="2"/>
      <c r="B482" s="2"/>
      <c r="C482" s="2"/>
      <c r="D482" s="2"/>
      <c r="E482" s="2"/>
      <c r="F482" s="2"/>
      <c r="G482" s="2"/>
    </row>
    <row r="483" spans="1:7" x14ac:dyDescent="0.2">
      <c r="A483" s="2"/>
      <c r="B483" s="2"/>
      <c r="C483" s="2"/>
      <c r="D483" s="2"/>
      <c r="E483" s="2"/>
      <c r="F483" s="2"/>
      <c r="G483" s="2"/>
    </row>
    <row r="484" spans="1:7" x14ac:dyDescent="0.2">
      <c r="A484" s="2"/>
      <c r="B484" s="2"/>
      <c r="C484" s="2"/>
      <c r="D484" s="2"/>
      <c r="E484" s="2"/>
      <c r="F484" s="2"/>
      <c r="G484" s="2"/>
    </row>
    <row r="485" spans="1:7" x14ac:dyDescent="0.2">
      <c r="A485" s="2"/>
      <c r="B485" s="2"/>
      <c r="C485" s="2"/>
      <c r="D485" s="2"/>
      <c r="E485" s="2"/>
      <c r="F485" s="2"/>
      <c r="G485" s="2"/>
    </row>
    <row r="486" spans="1:7" x14ac:dyDescent="0.2">
      <c r="A486" s="2"/>
      <c r="B486" s="2"/>
      <c r="C486" s="2"/>
      <c r="D486" s="2"/>
      <c r="E486" s="2"/>
      <c r="F486" s="2"/>
      <c r="G486" s="2"/>
    </row>
    <row r="487" spans="1:7" x14ac:dyDescent="0.2">
      <c r="A487" s="2"/>
      <c r="B487" s="2"/>
      <c r="C487" s="2"/>
      <c r="D487" s="2"/>
      <c r="E487" s="2"/>
      <c r="F487" s="2"/>
      <c r="G487" s="2"/>
    </row>
    <row r="488" spans="1:7" x14ac:dyDescent="0.2">
      <c r="A488" s="2"/>
      <c r="B488" s="2"/>
      <c r="C488" s="2"/>
      <c r="D488" s="2"/>
      <c r="E488" s="2"/>
      <c r="F488" s="2"/>
      <c r="G488" s="2"/>
    </row>
    <row r="489" spans="1:7" x14ac:dyDescent="0.2">
      <c r="A489" s="2"/>
      <c r="B489" s="2"/>
      <c r="C489" s="2"/>
      <c r="D489" s="2"/>
      <c r="E489" s="2"/>
      <c r="F489" s="2"/>
      <c r="G489" s="2"/>
    </row>
    <row r="490" spans="1:7" x14ac:dyDescent="0.2">
      <c r="A490" s="2"/>
      <c r="B490" s="2"/>
      <c r="C490" s="2"/>
      <c r="D490" s="2"/>
      <c r="E490" s="2"/>
      <c r="F490" s="2"/>
      <c r="G490" s="2"/>
    </row>
    <row r="491" spans="1:7" x14ac:dyDescent="0.2">
      <c r="A491" s="2"/>
      <c r="B491" s="2"/>
      <c r="C491" s="2"/>
      <c r="D491" s="2"/>
      <c r="E491" s="2"/>
      <c r="F491" s="2"/>
      <c r="G491" s="2"/>
    </row>
    <row r="492" spans="1:7" x14ac:dyDescent="0.2">
      <c r="A492" s="2"/>
      <c r="B492" s="2"/>
      <c r="C492" s="2"/>
      <c r="D492" s="2"/>
      <c r="E492" s="2"/>
      <c r="F492" s="2"/>
      <c r="G492" s="2"/>
    </row>
    <row r="493" spans="1:7" x14ac:dyDescent="0.2">
      <c r="A493" s="2"/>
      <c r="B493" s="2"/>
      <c r="C493" s="2"/>
      <c r="D493" s="2"/>
      <c r="E493" s="2"/>
      <c r="F493" s="2"/>
      <c r="G493" s="2"/>
    </row>
    <row r="494" spans="1:7" x14ac:dyDescent="0.2">
      <c r="A494" s="2"/>
      <c r="B494" s="2"/>
      <c r="C494" s="2"/>
      <c r="D494" s="2"/>
      <c r="E494" s="2"/>
      <c r="F494" s="2"/>
      <c r="G494" s="2"/>
    </row>
    <row r="495" spans="1:7" x14ac:dyDescent="0.2">
      <c r="A495" s="2"/>
      <c r="B495" s="2"/>
      <c r="C495" s="2"/>
      <c r="D495" s="2"/>
      <c r="E495" s="2"/>
      <c r="F495" s="2"/>
      <c r="G495" s="2"/>
    </row>
    <row r="496" spans="1:7" x14ac:dyDescent="0.2">
      <c r="A496" s="2"/>
      <c r="B496" s="2"/>
      <c r="C496" s="2"/>
      <c r="D496" s="2"/>
      <c r="E496" s="2"/>
      <c r="F496" s="2"/>
      <c r="G496" s="2"/>
    </row>
    <row r="497" spans="1:7" x14ac:dyDescent="0.2">
      <c r="A497" s="2"/>
      <c r="B497" s="2"/>
      <c r="C497" s="2"/>
      <c r="D497" s="2"/>
      <c r="E497" s="2"/>
      <c r="F497" s="2"/>
      <c r="G497" s="2"/>
    </row>
    <row r="498" spans="1:7" x14ac:dyDescent="0.2">
      <c r="A498" s="2"/>
      <c r="B498" s="2"/>
      <c r="C498" s="2"/>
      <c r="D498" s="2"/>
      <c r="E498" s="2"/>
      <c r="F498" s="2"/>
      <c r="G498" s="2"/>
    </row>
    <row r="499" spans="1:7" x14ac:dyDescent="0.2">
      <c r="A499" s="2"/>
      <c r="B499" s="2"/>
      <c r="C499" s="2"/>
      <c r="D499" s="2"/>
      <c r="E499" s="2"/>
      <c r="F499" s="2"/>
      <c r="G499" s="2"/>
    </row>
    <row r="500" spans="1:7" x14ac:dyDescent="0.2">
      <c r="A500" s="2"/>
      <c r="B500" s="2"/>
      <c r="C500" s="2"/>
      <c r="D500" s="2"/>
      <c r="E500" s="2"/>
      <c r="F500" s="2"/>
      <c r="G500" s="2"/>
    </row>
    <row r="501" spans="1:7" x14ac:dyDescent="0.2">
      <c r="A501" s="2"/>
      <c r="B501" s="2"/>
      <c r="C501" s="2"/>
      <c r="D501" s="2"/>
      <c r="E501" s="2"/>
      <c r="F501" s="2"/>
      <c r="G501" s="2"/>
    </row>
    <row r="502" spans="1:7" x14ac:dyDescent="0.2">
      <c r="A502" s="2"/>
      <c r="B502" s="2"/>
      <c r="C502" s="2"/>
      <c r="D502" s="2"/>
      <c r="E502" s="2"/>
      <c r="F502" s="2"/>
      <c r="G502" s="2"/>
    </row>
    <row r="503" spans="1:7" x14ac:dyDescent="0.2">
      <c r="A503" s="2"/>
      <c r="B503" s="2"/>
      <c r="C503" s="2"/>
      <c r="D503" s="2"/>
      <c r="E503" s="2"/>
      <c r="F503" s="2"/>
      <c r="G503" s="2"/>
    </row>
    <row r="504" spans="1:7" x14ac:dyDescent="0.2">
      <c r="A504" s="2"/>
      <c r="B504" s="2"/>
      <c r="C504" s="2"/>
      <c r="D504" s="2"/>
      <c r="E504" s="2"/>
      <c r="F504" s="2"/>
      <c r="G504" s="2"/>
    </row>
    <row r="505" spans="1:7" x14ac:dyDescent="0.2">
      <c r="A505" s="2"/>
      <c r="B505" s="2"/>
      <c r="C505" s="2"/>
      <c r="D505" s="2"/>
      <c r="E505" s="2"/>
      <c r="F505" s="2"/>
      <c r="G505" s="2"/>
    </row>
    <row r="506" spans="1:7" x14ac:dyDescent="0.2">
      <c r="A506" s="2"/>
      <c r="B506" s="2"/>
      <c r="C506" s="2"/>
      <c r="D506" s="2"/>
      <c r="E506" s="2"/>
      <c r="F506" s="2"/>
      <c r="G506" s="2"/>
    </row>
    <row r="507" spans="1:7" x14ac:dyDescent="0.2">
      <c r="A507" s="2"/>
      <c r="B507" s="2"/>
      <c r="C507" s="2"/>
      <c r="D507" s="2"/>
      <c r="E507" s="2"/>
      <c r="F507" s="2"/>
      <c r="G507" s="2"/>
    </row>
    <row r="508" spans="1:7" x14ac:dyDescent="0.2">
      <c r="A508" s="2"/>
      <c r="B508" s="2"/>
      <c r="C508" s="2"/>
      <c r="D508" s="2"/>
      <c r="E508" s="2"/>
      <c r="F508" s="2"/>
      <c r="G508" s="2"/>
    </row>
    <row r="509" spans="1:7" x14ac:dyDescent="0.2">
      <c r="A509" s="2"/>
      <c r="B509" s="2"/>
      <c r="C509" s="2"/>
      <c r="D509" s="2"/>
      <c r="E509" s="2"/>
      <c r="F509" s="2"/>
      <c r="G509" s="2"/>
    </row>
    <row r="510" spans="1:7" x14ac:dyDescent="0.2">
      <c r="A510" s="2"/>
      <c r="B510" s="2"/>
      <c r="C510" s="2"/>
      <c r="D510" s="2"/>
      <c r="E510" s="2"/>
      <c r="F510" s="2"/>
      <c r="G510" s="2"/>
    </row>
    <row r="511" spans="1:7" x14ac:dyDescent="0.2">
      <c r="A511" s="2"/>
      <c r="B511" s="2"/>
      <c r="C511" s="2"/>
      <c r="D511" s="2"/>
      <c r="E511" s="2"/>
      <c r="F511" s="2"/>
      <c r="G511" s="2"/>
    </row>
    <row r="512" spans="1:7" x14ac:dyDescent="0.2">
      <c r="A512" s="2"/>
      <c r="B512" s="2"/>
      <c r="C512" s="2"/>
      <c r="D512" s="2"/>
      <c r="E512" s="2"/>
      <c r="F512" s="2"/>
      <c r="G512" s="2"/>
    </row>
    <row r="513" spans="1:7" x14ac:dyDescent="0.2">
      <c r="A513" s="2"/>
      <c r="B513" s="2"/>
      <c r="C513" s="2"/>
      <c r="D513" s="2"/>
      <c r="E513" s="2"/>
      <c r="F513" s="2"/>
      <c r="G513" s="2"/>
    </row>
    <row r="514" spans="1:7" x14ac:dyDescent="0.2">
      <c r="A514" s="2"/>
      <c r="B514" s="2"/>
      <c r="C514" s="2"/>
      <c r="D514" s="2"/>
      <c r="E514" s="2"/>
      <c r="F514" s="2"/>
      <c r="G514" s="2"/>
    </row>
    <row r="515" spans="1:7" x14ac:dyDescent="0.2">
      <c r="A515" s="2"/>
      <c r="B515" s="2"/>
      <c r="C515" s="2"/>
      <c r="D515" s="2"/>
      <c r="E515" s="2"/>
      <c r="F515" s="2"/>
      <c r="G515" s="2"/>
    </row>
    <row r="516" spans="1:7" x14ac:dyDescent="0.2">
      <c r="A516" s="2"/>
      <c r="B516" s="2"/>
      <c r="C516" s="2"/>
      <c r="D516" s="2"/>
      <c r="E516" s="2"/>
      <c r="F516" s="2"/>
      <c r="G516" s="2"/>
    </row>
    <row r="517" spans="1:7" x14ac:dyDescent="0.2">
      <c r="A517" s="2"/>
      <c r="B517" s="2"/>
      <c r="C517" s="2"/>
      <c r="D517" s="2"/>
      <c r="E517" s="2"/>
      <c r="F517" s="2"/>
      <c r="G517" s="2"/>
    </row>
    <row r="518" spans="1:7" x14ac:dyDescent="0.2">
      <c r="A518" s="2"/>
      <c r="B518" s="2"/>
      <c r="C518" s="2"/>
      <c r="D518" s="2"/>
      <c r="E518" s="2"/>
      <c r="F518" s="2"/>
      <c r="G518" s="2"/>
    </row>
    <row r="519" spans="1:7" x14ac:dyDescent="0.2">
      <c r="A519" s="2"/>
      <c r="B519" s="2"/>
      <c r="C519" s="2"/>
      <c r="D519" s="2"/>
      <c r="E519" s="2"/>
      <c r="F519" s="2"/>
      <c r="G519" s="2"/>
    </row>
    <row r="520" spans="1:7" x14ac:dyDescent="0.2">
      <c r="A520" s="2"/>
      <c r="B520" s="2"/>
      <c r="C520" s="2"/>
      <c r="D520" s="2"/>
      <c r="E520" s="2"/>
      <c r="F520" s="2"/>
      <c r="G520" s="2"/>
    </row>
    <row r="521" spans="1:7" x14ac:dyDescent="0.2">
      <c r="A521" s="2"/>
      <c r="B521" s="2"/>
      <c r="C521" s="2"/>
      <c r="D521" s="2"/>
      <c r="E521" s="2"/>
      <c r="F521" s="2"/>
      <c r="G521" s="2"/>
    </row>
    <row r="522" spans="1:7" x14ac:dyDescent="0.2">
      <c r="A522" s="2"/>
      <c r="B522" s="2"/>
      <c r="C522" s="2"/>
      <c r="D522" s="2"/>
      <c r="E522" s="2"/>
      <c r="F522" s="2"/>
      <c r="G522" s="2"/>
    </row>
    <row r="523" spans="1:7" x14ac:dyDescent="0.2">
      <c r="A523" s="2"/>
      <c r="B523" s="2"/>
      <c r="C523" s="2"/>
      <c r="D523" s="2"/>
      <c r="E523" s="2"/>
      <c r="F523" s="2"/>
      <c r="G523" s="2"/>
    </row>
    <row r="524" spans="1:7" x14ac:dyDescent="0.2">
      <c r="A524" s="2"/>
      <c r="B524" s="2"/>
      <c r="C524" s="2"/>
      <c r="D524" s="2"/>
      <c r="E524" s="2"/>
      <c r="F524" s="2"/>
      <c r="G524" s="2"/>
    </row>
    <row r="525" spans="1:7" x14ac:dyDescent="0.2">
      <c r="A525" s="2"/>
      <c r="B525" s="2"/>
      <c r="C525" s="2"/>
      <c r="D525" s="2"/>
      <c r="E525" s="2"/>
      <c r="F525" s="2"/>
      <c r="G525" s="2"/>
    </row>
    <row r="526" spans="1:7" x14ac:dyDescent="0.2">
      <c r="A526" s="2"/>
      <c r="B526" s="2"/>
      <c r="C526" s="2"/>
      <c r="D526" s="2"/>
      <c r="E526" s="2"/>
      <c r="F526" s="2"/>
      <c r="G526" s="2"/>
    </row>
    <row r="527" spans="1:7" x14ac:dyDescent="0.2">
      <c r="A527" s="2"/>
      <c r="B527" s="2"/>
      <c r="C527" s="2"/>
      <c r="D527" s="2"/>
      <c r="E527" s="2"/>
      <c r="F527" s="2"/>
      <c r="G527" s="2"/>
    </row>
    <row r="528" spans="1:7" x14ac:dyDescent="0.2">
      <c r="A528" s="2"/>
      <c r="B528" s="2"/>
      <c r="C528" s="2"/>
      <c r="D528" s="2"/>
      <c r="E528" s="2"/>
      <c r="F528" s="2"/>
      <c r="G528" s="2"/>
    </row>
    <row r="529" spans="1:7" x14ac:dyDescent="0.2">
      <c r="A529" s="2"/>
      <c r="B529" s="2"/>
      <c r="C529" s="2"/>
      <c r="D529" s="2"/>
      <c r="E529" s="2"/>
      <c r="F529" s="2"/>
      <c r="G529" s="2"/>
    </row>
    <row r="530" spans="1:7" x14ac:dyDescent="0.2">
      <c r="A530" s="2"/>
      <c r="B530" s="2"/>
      <c r="C530" s="2"/>
      <c r="D530" s="2"/>
      <c r="E530" s="2"/>
      <c r="F530" s="2"/>
      <c r="G530" s="2"/>
    </row>
    <row r="531" spans="1:7" x14ac:dyDescent="0.2">
      <c r="A531" s="2"/>
      <c r="B531" s="2"/>
      <c r="C531" s="2"/>
      <c r="D531" s="2"/>
      <c r="E531" s="2"/>
      <c r="F531" s="2"/>
      <c r="G531" s="2"/>
    </row>
    <row r="532" spans="1:7" x14ac:dyDescent="0.2">
      <c r="A532" s="2"/>
      <c r="B532" s="2"/>
      <c r="C532" s="2"/>
      <c r="D532" s="2"/>
      <c r="E532" s="2"/>
      <c r="F532" s="2"/>
      <c r="G532" s="2"/>
    </row>
    <row r="533" spans="1:7" x14ac:dyDescent="0.2">
      <c r="A533" s="2"/>
      <c r="B533" s="2"/>
      <c r="C533" s="2"/>
      <c r="D533" s="2"/>
      <c r="E533" s="2"/>
      <c r="F533" s="2"/>
      <c r="G533" s="2"/>
    </row>
    <row r="534" spans="1:7" x14ac:dyDescent="0.2">
      <c r="A534" s="2"/>
      <c r="B534" s="2"/>
      <c r="C534" s="2"/>
      <c r="D534" s="2"/>
      <c r="E534" s="2"/>
      <c r="F534" s="2"/>
      <c r="G534" s="2"/>
    </row>
    <row r="535" spans="1:7" x14ac:dyDescent="0.2">
      <c r="A535" s="2"/>
      <c r="B535" s="2"/>
      <c r="C535" s="2"/>
      <c r="D535" s="2"/>
      <c r="E535" s="2"/>
      <c r="F535" s="2"/>
      <c r="G535" s="2"/>
    </row>
    <row r="536" spans="1:7" x14ac:dyDescent="0.2">
      <c r="A536" s="2"/>
      <c r="B536" s="2"/>
      <c r="C536" s="2"/>
      <c r="D536" s="2"/>
      <c r="E536" s="2"/>
      <c r="F536" s="2"/>
      <c r="G536" s="2"/>
    </row>
    <row r="537" spans="1:7" x14ac:dyDescent="0.2">
      <c r="A537" s="2"/>
      <c r="B537" s="2"/>
      <c r="C537" s="2"/>
      <c r="D537" s="2"/>
      <c r="E537" s="2"/>
      <c r="F537" s="2"/>
      <c r="G537" s="2"/>
    </row>
    <row r="538" spans="1:7" x14ac:dyDescent="0.2">
      <c r="A538" s="2"/>
      <c r="B538" s="2"/>
      <c r="C538" s="2"/>
      <c r="D538" s="2"/>
      <c r="E538" s="2"/>
      <c r="F538" s="2"/>
      <c r="G538" s="2"/>
    </row>
    <row r="539" spans="1:7" x14ac:dyDescent="0.2">
      <c r="A539" s="2"/>
      <c r="B539" s="2"/>
      <c r="C539" s="2"/>
      <c r="D539" s="2"/>
      <c r="E539" s="2"/>
      <c r="F539" s="2"/>
      <c r="G539" s="2"/>
    </row>
    <row r="540" spans="1:7" x14ac:dyDescent="0.2">
      <c r="A540" s="2"/>
      <c r="B540" s="2"/>
      <c r="C540" s="2"/>
      <c r="D540" s="2"/>
      <c r="E540" s="2"/>
      <c r="F540" s="2"/>
      <c r="G540" s="2"/>
    </row>
    <row r="541" spans="1:7" x14ac:dyDescent="0.2">
      <c r="A541" s="2"/>
      <c r="B541" s="2"/>
      <c r="C541" s="2"/>
      <c r="D541" s="2"/>
      <c r="E541" s="2"/>
      <c r="F541" s="2"/>
      <c r="G541" s="2"/>
    </row>
    <row r="542" spans="1:7" x14ac:dyDescent="0.2">
      <c r="A542" s="2"/>
      <c r="B542" s="2"/>
      <c r="C542" s="2"/>
      <c r="D542" s="2"/>
      <c r="E542" s="2"/>
      <c r="F542" s="2"/>
      <c r="G542" s="2"/>
    </row>
    <row r="543" spans="1:7" x14ac:dyDescent="0.2">
      <c r="A543" s="2"/>
      <c r="B543" s="2"/>
      <c r="C543" s="2"/>
      <c r="D543" s="2"/>
      <c r="E543" s="2"/>
      <c r="F543" s="2"/>
      <c r="G543" s="2"/>
    </row>
    <row r="544" spans="1:7" x14ac:dyDescent="0.2">
      <c r="A544" s="2"/>
      <c r="B544" s="2"/>
      <c r="C544" s="2"/>
      <c r="D544" s="2"/>
      <c r="E544" s="2"/>
      <c r="F544" s="2"/>
      <c r="G544" s="2"/>
    </row>
    <row r="545" spans="1:7" x14ac:dyDescent="0.2">
      <c r="A545" s="2"/>
      <c r="B545" s="2"/>
      <c r="C545" s="2"/>
      <c r="D545" s="2"/>
      <c r="E545" s="2"/>
      <c r="F545" s="2"/>
      <c r="G545" s="2"/>
    </row>
    <row r="546" spans="1:7" x14ac:dyDescent="0.2">
      <c r="A546" s="2"/>
      <c r="B546" s="2"/>
      <c r="C546" s="2"/>
      <c r="D546" s="2"/>
      <c r="E546" s="2"/>
      <c r="F546" s="2"/>
      <c r="G546" s="2"/>
    </row>
    <row r="547" spans="1:7" x14ac:dyDescent="0.2">
      <c r="A547" s="2"/>
      <c r="B547" s="2"/>
      <c r="C547" s="2"/>
      <c r="D547" s="2"/>
      <c r="E547" s="2"/>
      <c r="F547" s="2"/>
      <c r="G547" s="2"/>
    </row>
    <row r="548" spans="1:7" x14ac:dyDescent="0.2">
      <c r="A548" s="2"/>
      <c r="B548" s="2"/>
      <c r="C548" s="2"/>
      <c r="D548" s="2"/>
      <c r="E548" s="2"/>
      <c r="F548" s="2"/>
      <c r="G548" s="2"/>
    </row>
    <row r="549" spans="1:7" x14ac:dyDescent="0.2">
      <c r="A549" s="2"/>
      <c r="B549" s="2"/>
      <c r="C549" s="2"/>
      <c r="D549" s="2"/>
      <c r="E549" s="2"/>
      <c r="F549" s="2"/>
      <c r="G549" s="2"/>
    </row>
    <row r="550" spans="1:7" x14ac:dyDescent="0.2">
      <c r="A550" s="2"/>
      <c r="B550" s="2"/>
      <c r="C550" s="2"/>
      <c r="D550" s="2"/>
      <c r="E550" s="2"/>
      <c r="F550" s="2"/>
      <c r="G550" s="2"/>
    </row>
    <row r="551" spans="1:7" x14ac:dyDescent="0.2">
      <c r="A551" s="2"/>
      <c r="B551" s="2"/>
      <c r="C551" s="2"/>
      <c r="D551" s="2"/>
      <c r="E551" s="2"/>
      <c r="F551" s="2"/>
      <c r="G551" s="2"/>
    </row>
    <row r="552" spans="1:7" x14ac:dyDescent="0.2">
      <c r="A552" s="2"/>
      <c r="B552" s="2"/>
      <c r="C552" s="2"/>
      <c r="D552" s="2"/>
      <c r="E552" s="2"/>
      <c r="F552" s="2"/>
      <c r="G552" s="2"/>
    </row>
    <row r="553" spans="1:7" x14ac:dyDescent="0.2">
      <c r="A553" s="2"/>
      <c r="B553" s="2"/>
      <c r="C553" s="2"/>
      <c r="D553" s="2"/>
      <c r="E553" s="2"/>
      <c r="F553" s="2"/>
      <c r="G553" s="2"/>
    </row>
    <row r="554" spans="1:7" x14ac:dyDescent="0.2">
      <c r="A554" s="2"/>
      <c r="B554" s="2"/>
      <c r="C554" s="2"/>
      <c r="D554" s="2"/>
      <c r="E554" s="2"/>
      <c r="F554" s="2"/>
      <c r="G554" s="2"/>
    </row>
    <row r="555" spans="1:7" x14ac:dyDescent="0.2">
      <c r="A555" s="2"/>
      <c r="B555" s="2"/>
      <c r="C555" s="2"/>
      <c r="D555" s="2"/>
      <c r="E555" s="2"/>
      <c r="F555" s="2"/>
      <c r="G555" s="2"/>
    </row>
    <row r="556" spans="1:7" x14ac:dyDescent="0.2">
      <c r="A556" s="2"/>
      <c r="B556" s="2"/>
      <c r="C556" s="2"/>
      <c r="D556" s="2"/>
      <c r="E556" s="2"/>
      <c r="F556" s="2"/>
      <c r="G556" s="2"/>
    </row>
    <row r="557" spans="1:7" x14ac:dyDescent="0.2">
      <c r="A557" s="2"/>
      <c r="B557" s="2"/>
      <c r="C557" s="2"/>
      <c r="D557" s="2"/>
      <c r="E557" s="2"/>
      <c r="F557" s="2"/>
      <c r="G557" s="2"/>
    </row>
    <row r="558" spans="1:7" x14ac:dyDescent="0.2">
      <c r="A558" s="2"/>
      <c r="B558" s="2"/>
      <c r="C558" s="2"/>
      <c r="D558" s="2"/>
      <c r="E558" s="2"/>
      <c r="F558" s="2"/>
      <c r="G558" s="2"/>
    </row>
    <row r="559" spans="1:7" x14ac:dyDescent="0.2">
      <c r="A559" s="2"/>
      <c r="B559" s="2"/>
      <c r="C559" s="2"/>
      <c r="D559" s="2"/>
      <c r="E559" s="2"/>
      <c r="F559" s="2"/>
      <c r="G559" s="2"/>
    </row>
    <row r="560" spans="1:7" x14ac:dyDescent="0.2">
      <c r="A560" s="2"/>
      <c r="B560" s="2"/>
      <c r="C560" s="2"/>
      <c r="D560" s="2"/>
      <c r="E560" s="2"/>
      <c r="F560" s="2"/>
      <c r="G560" s="2"/>
    </row>
    <row r="561" spans="1:7" x14ac:dyDescent="0.2">
      <c r="A561" s="2"/>
      <c r="B561" s="2"/>
      <c r="C561" s="2"/>
      <c r="D561" s="2"/>
      <c r="E561" s="2"/>
      <c r="F561" s="2"/>
      <c r="G561" s="2"/>
    </row>
    <row r="562" spans="1:7" x14ac:dyDescent="0.2">
      <c r="A562" s="2"/>
      <c r="B562" s="2"/>
      <c r="C562" s="2"/>
      <c r="D562" s="2"/>
      <c r="E562" s="2"/>
      <c r="F562" s="2"/>
      <c r="G562" s="2"/>
    </row>
    <row r="563" spans="1:7" x14ac:dyDescent="0.2">
      <c r="A563" s="2"/>
      <c r="B563" s="2"/>
      <c r="C563" s="2"/>
      <c r="D563" s="2"/>
      <c r="E563" s="2"/>
      <c r="F563" s="2"/>
      <c r="G563" s="2"/>
    </row>
    <row r="564" spans="1:7" x14ac:dyDescent="0.2">
      <c r="A564" s="2"/>
      <c r="B564" s="2"/>
      <c r="C564" s="2"/>
      <c r="D564" s="2"/>
      <c r="E564" s="2"/>
      <c r="F564" s="2"/>
      <c r="G564" s="2"/>
    </row>
    <row r="565" spans="1:7" x14ac:dyDescent="0.2">
      <c r="A565" s="2"/>
      <c r="B565" s="2"/>
      <c r="C565" s="2"/>
      <c r="D565" s="2"/>
      <c r="E565" s="2"/>
      <c r="F565" s="2"/>
      <c r="G565" s="2"/>
    </row>
    <row r="566" spans="1:7" x14ac:dyDescent="0.2">
      <c r="A566" s="2"/>
      <c r="B566" s="2"/>
      <c r="C566" s="2"/>
      <c r="D566" s="2"/>
      <c r="E566" s="2"/>
      <c r="F566" s="2"/>
      <c r="G566" s="2"/>
    </row>
    <row r="567" spans="1:7" x14ac:dyDescent="0.2">
      <c r="A567" s="2"/>
      <c r="B567" s="2"/>
      <c r="C567" s="2"/>
      <c r="D567" s="2"/>
      <c r="E567" s="2"/>
      <c r="F567" s="2"/>
      <c r="G567" s="2"/>
    </row>
    <row r="568" spans="1:7" x14ac:dyDescent="0.2">
      <c r="A568" s="2"/>
      <c r="B568" s="2"/>
      <c r="C568" s="2"/>
      <c r="D568" s="2"/>
      <c r="E568" s="2"/>
      <c r="F568" s="2"/>
      <c r="G568" s="2"/>
    </row>
    <row r="569" spans="1:7" x14ac:dyDescent="0.2">
      <c r="A569" s="2"/>
      <c r="B569" s="2"/>
      <c r="C569" s="2"/>
      <c r="D569" s="2"/>
      <c r="E569" s="2"/>
      <c r="F569" s="2"/>
      <c r="G569" s="2"/>
    </row>
    <row r="570" spans="1:7" x14ac:dyDescent="0.2">
      <c r="A570" s="2"/>
      <c r="B570" s="2"/>
      <c r="C570" s="2"/>
      <c r="D570" s="2"/>
      <c r="E570" s="2"/>
      <c r="F570" s="2"/>
      <c r="G570" s="2"/>
    </row>
    <row r="571" spans="1:7" x14ac:dyDescent="0.2">
      <c r="A571" s="2"/>
      <c r="B571" s="2"/>
      <c r="C571" s="2"/>
      <c r="D571" s="2"/>
      <c r="E571" s="2"/>
      <c r="F571" s="2"/>
      <c r="G571" s="2"/>
    </row>
    <row r="572" spans="1:7" x14ac:dyDescent="0.2">
      <c r="A572" s="2"/>
      <c r="B572" s="2"/>
      <c r="C572" s="2"/>
      <c r="D572" s="2"/>
      <c r="E572" s="2"/>
      <c r="F572" s="2"/>
      <c r="G572" s="2"/>
    </row>
    <row r="573" spans="1:7" x14ac:dyDescent="0.2">
      <c r="A573" s="2"/>
      <c r="B573" s="2"/>
      <c r="C573" s="2"/>
      <c r="D573" s="2"/>
      <c r="E573" s="2"/>
      <c r="F573" s="2"/>
      <c r="G573" s="2"/>
    </row>
    <row r="574" spans="1:7" x14ac:dyDescent="0.2">
      <c r="A574" s="2"/>
      <c r="B574" s="2"/>
      <c r="C574" s="2"/>
      <c r="D574" s="2"/>
      <c r="E574" s="2"/>
      <c r="F574" s="2"/>
      <c r="G574" s="2"/>
    </row>
    <row r="575" spans="1:7" x14ac:dyDescent="0.2">
      <c r="A575" s="2"/>
      <c r="B575" s="2"/>
      <c r="C575" s="2"/>
      <c r="D575" s="2"/>
      <c r="E575" s="2"/>
      <c r="F575" s="2"/>
      <c r="G575" s="2"/>
    </row>
    <row r="576" spans="1:7" x14ac:dyDescent="0.2">
      <c r="A576" s="2"/>
      <c r="B576" s="2"/>
      <c r="C576" s="2"/>
      <c r="D576" s="2"/>
      <c r="E576" s="2"/>
      <c r="F576" s="2"/>
      <c r="G576" s="2"/>
    </row>
    <row r="577" spans="1:7" x14ac:dyDescent="0.2">
      <c r="A577" s="2"/>
      <c r="B577" s="2"/>
      <c r="C577" s="2"/>
      <c r="D577" s="2"/>
      <c r="E577" s="2"/>
      <c r="F577" s="2"/>
      <c r="G577" s="2"/>
    </row>
    <row r="578" spans="1:7" x14ac:dyDescent="0.2">
      <c r="A578" s="2"/>
      <c r="B578" s="2"/>
      <c r="C578" s="2"/>
      <c r="D578" s="2"/>
      <c r="E578" s="2"/>
      <c r="F578" s="2"/>
      <c r="G578" s="2"/>
    </row>
    <row r="579" spans="1:7" x14ac:dyDescent="0.2">
      <c r="A579" s="2"/>
      <c r="B579" s="2"/>
      <c r="C579" s="2"/>
      <c r="D579" s="2"/>
      <c r="E579" s="2"/>
      <c r="F579" s="2"/>
      <c r="G579" s="2"/>
    </row>
    <row r="580" spans="1:7" x14ac:dyDescent="0.2">
      <c r="A580" s="2"/>
      <c r="B580" s="2"/>
      <c r="C580" s="2"/>
      <c r="D580" s="2"/>
      <c r="E580" s="2"/>
      <c r="F580" s="2"/>
      <c r="G580" s="2"/>
    </row>
    <row r="581" spans="1:7" x14ac:dyDescent="0.2">
      <c r="A581" s="2"/>
      <c r="B581" s="2"/>
      <c r="C581" s="2"/>
      <c r="D581" s="2"/>
      <c r="E581" s="2"/>
      <c r="F581" s="2"/>
      <c r="G581" s="2"/>
    </row>
    <row r="582" spans="1:7" x14ac:dyDescent="0.2">
      <c r="A582" s="2"/>
      <c r="B582" s="2"/>
      <c r="C582" s="2"/>
      <c r="D582" s="2"/>
      <c r="E582" s="2"/>
      <c r="F582" s="2"/>
      <c r="G582" s="2"/>
    </row>
    <row r="583" spans="1:7" x14ac:dyDescent="0.2">
      <c r="A583" s="2"/>
      <c r="B583" s="2"/>
      <c r="C583" s="2"/>
      <c r="D583" s="2"/>
      <c r="E583" s="2"/>
      <c r="F583" s="2"/>
      <c r="G583" s="2"/>
    </row>
    <row r="584" spans="1:7" x14ac:dyDescent="0.2">
      <c r="A584" s="2"/>
      <c r="B584" s="2"/>
      <c r="C584" s="2"/>
      <c r="D584" s="2"/>
      <c r="E584" s="2"/>
      <c r="F584" s="2"/>
      <c r="G584" s="2"/>
    </row>
    <row r="585" spans="1:7" x14ac:dyDescent="0.2">
      <c r="A585" s="2"/>
      <c r="B585" s="2"/>
      <c r="C585" s="2"/>
      <c r="D585" s="2"/>
      <c r="E585" s="2"/>
      <c r="F585" s="2"/>
      <c r="G585" s="2"/>
    </row>
    <row r="586" spans="1:7" x14ac:dyDescent="0.2">
      <c r="A586" s="2"/>
      <c r="B586" s="2"/>
      <c r="C586" s="2"/>
      <c r="D586" s="2"/>
      <c r="E586" s="2"/>
      <c r="F586" s="2"/>
      <c r="G586" s="2"/>
    </row>
    <row r="587" spans="1:7" x14ac:dyDescent="0.2">
      <c r="A587" s="2"/>
      <c r="B587" s="2"/>
      <c r="C587" s="2"/>
      <c r="D587" s="2"/>
      <c r="E587" s="2"/>
      <c r="F587" s="2"/>
      <c r="G587" s="2"/>
    </row>
    <row r="588" spans="1:7" x14ac:dyDescent="0.2">
      <c r="A588" s="2"/>
      <c r="B588" s="2"/>
      <c r="C588" s="2"/>
      <c r="D588" s="2"/>
      <c r="E588" s="2"/>
      <c r="F588" s="2"/>
      <c r="G588" s="2"/>
    </row>
    <row r="589" spans="1:7" x14ac:dyDescent="0.2">
      <c r="A589" s="2"/>
      <c r="B589" s="2"/>
      <c r="C589" s="2"/>
      <c r="D589" s="2"/>
      <c r="E589" s="2"/>
      <c r="F589" s="2"/>
      <c r="G589" s="2"/>
    </row>
    <row r="590" spans="1:7" x14ac:dyDescent="0.2">
      <c r="A590" s="2"/>
      <c r="B590" s="2"/>
      <c r="C590" s="2"/>
      <c r="D590" s="2"/>
      <c r="E590" s="2"/>
      <c r="F590" s="2"/>
      <c r="G590" s="2"/>
    </row>
    <row r="591" spans="1:7" x14ac:dyDescent="0.2">
      <c r="A591" s="2"/>
      <c r="B591" s="2"/>
      <c r="C591" s="2"/>
      <c r="D591" s="2"/>
      <c r="E591" s="2"/>
      <c r="F591" s="2"/>
      <c r="G591" s="2"/>
    </row>
    <row r="592" spans="1:7" x14ac:dyDescent="0.2">
      <c r="A592" s="2"/>
      <c r="B592" s="2"/>
      <c r="C592" s="2"/>
      <c r="D592" s="2"/>
      <c r="E592" s="2"/>
      <c r="F592" s="2"/>
      <c r="G592" s="2"/>
    </row>
    <row r="593" spans="1:7" x14ac:dyDescent="0.2">
      <c r="A593" s="2"/>
      <c r="B593" s="2"/>
      <c r="C593" s="2"/>
      <c r="D593" s="2"/>
      <c r="E593" s="2"/>
      <c r="F593" s="2"/>
      <c r="G593" s="2"/>
    </row>
    <row r="594" spans="1:7" x14ac:dyDescent="0.2">
      <c r="A594" s="2"/>
      <c r="B594" s="2"/>
      <c r="C594" s="2"/>
      <c r="D594" s="2"/>
      <c r="E594" s="2"/>
      <c r="F594" s="2"/>
      <c r="G594" s="2"/>
    </row>
    <row r="595" spans="1:7" x14ac:dyDescent="0.2">
      <c r="A595" s="2"/>
      <c r="B595" s="2"/>
      <c r="C595" s="2"/>
      <c r="D595" s="2"/>
      <c r="E595" s="2"/>
      <c r="F595" s="2"/>
      <c r="G595" s="2"/>
    </row>
    <row r="596" spans="1:7" x14ac:dyDescent="0.2">
      <c r="A596" s="2"/>
      <c r="B596" s="2"/>
      <c r="C596" s="2"/>
      <c r="D596" s="2"/>
      <c r="E596" s="2"/>
      <c r="F596" s="2"/>
      <c r="G596" s="2"/>
    </row>
    <row r="597" spans="1:7" x14ac:dyDescent="0.2">
      <c r="A597" s="2"/>
      <c r="B597" s="2"/>
      <c r="C597" s="2"/>
      <c r="D597" s="2"/>
      <c r="E597" s="2"/>
      <c r="F597" s="2"/>
      <c r="G597" s="2"/>
    </row>
    <row r="598" spans="1:7" x14ac:dyDescent="0.2">
      <c r="A598" s="2"/>
      <c r="B598" s="2"/>
      <c r="C598" s="2"/>
      <c r="D598" s="2"/>
      <c r="E598" s="2"/>
      <c r="F598" s="2"/>
      <c r="G598" s="2"/>
    </row>
    <row r="599" spans="1:7" x14ac:dyDescent="0.2">
      <c r="A599" s="2"/>
      <c r="B599" s="2"/>
      <c r="C599" s="2"/>
      <c r="D599" s="2"/>
      <c r="E599" s="2"/>
      <c r="F599" s="2"/>
      <c r="G599" s="2"/>
    </row>
    <row r="600" spans="1:7" x14ac:dyDescent="0.2">
      <c r="A600" s="2"/>
      <c r="B600" s="2"/>
      <c r="C600" s="2"/>
      <c r="D600" s="2"/>
      <c r="E600" s="2"/>
      <c r="F600" s="2"/>
      <c r="G600" s="2"/>
    </row>
    <row r="601" spans="1:7" x14ac:dyDescent="0.2">
      <c r="A601" s="2"/>
      <c r="B601" s="2"/>
      <c r="C601" s="2"/>
      <c r="D601" s="2"/>
      <c r="E601" s="2"/>
      <c r="F601" s="2"/>
      <c r="G601" s="2"/>
    </row>
    <row r="602" spans="1:7" x14ac:dyDescent="0.2">
      <c r="A602" s="2"/>
      <c r="B602" s="2"/>
      <c r="C602" s="2"/>
      <c r="D602" s="2"/>
      <c r="E602" s="2"/>
      <c r="F602" s="2"/>
      <c r="G602" s="2"/>
    </row>
    <row r="603" spans="1:7" x14ac:dyDescent="0.2">
      <c r="A603" s="2"/>
      <c r="B603" s="2"/>
      <c r="C603" s="2"/>
      <c r="D603" s="2"/>
      <c r="E603" s="2"/>
      <c r="F603" s="2"/>
      <c r="G603" s="2"/>
    </row>
    <row r="604" spans="1:7" x14ac:dyDescent="0.2">
      <c r="A604" s="2"/>
      <c r="B604" s="2"/>
      <c r="C604" s="2"/>
      <c r="D604" s="2"/>
      <c r="E604" s="2"/>
      <c r="F604" s="2"/>
      <c r="G604" s="2"/>
    </row>
    <row r="605" spans="1:7" x14ac:dyDescent="0.2">
      <c r="A605" s="2"/>
      <c r="B605" s="2"/>
      <c r="C605" s="2"/>
      <c r="D605" s="2"/>
      <c r="E605" s="2"/>
      <c r="F605" s="2"/>
      <c r="G605" s="2"/>
    </row>
    <row r="606" spans="1:7" x14ac:dyDescent="0.2">
      <c r="A606" s="2"/>
      <c r="B606" s="2"/>
      <c r="C606" s="2"/>
      <c r="D606" s="2"/>
      <c r="E606" s="2"/>
      <c r="F606" s="2"/>
      <c r="G606" s="2"/>
    </row>
    <row r="607" spans="1:7" x14ac:dyDescent="0.2">
      <c r="A607" s="2"/>
      <c r="B607" s="2"/>
      <c r="C607" s="2"/>
      <c r="D607" s="2"/>
      <c r="E607" s="2"/>
      <c r="F607" s="2"/>
      <c r="G607" s="2"/>
    </row>
    <row r="608" spans="1:7" x14ac:dyDescent="0.2">
      <c r="A608" s="2"/>
      <c r="B608" s="2"/>
      <c r="C608" s="2"/>
      <c r="D608" s="2"/>
      <c r="E608" s="2"/>
      <c r="F608" s="2"/>
      <c r="G608" s="2"/>
    </row>
    <row r="609" spans="1:7" x14ac:dyDescent="0.2">
      <c r="A609" s="2"/>
      <c r="B609" s="2"/>
      <c r="C609" s="2"/>
      <c r="D609" s="2"/>
      <c r="E609" s="2"/>
      <c r="F609" s="2"/>
      <c r="G609" s="2"/>
    </row>
    <row r="610" spans="1:7" x14ac:dyDescent="0.2">
      <c r="A610" s="2"/>
      <c r="B610" s="2"/>
      <c r="C610" s="2"/>
      <c r="D610" s="2"/>
      <c r="E610" s="2"/>
      <c r="F610" s="2"/>
      <c r="G610" s="2"/>
    </row>
    <row r="611" spans="1:7" x14ac:dyDescent="0.2">
      <c r="A611" s="2"/>
      <c r="B611" s="2"/>
      <c r="C611" s="2"/>
      <c r="D611" s="2"/>
      <c r="E611" s="2"/>
      <c r="F611" s="2"/>
      <c r="G611" s="2"/>
    </row>
    <row r="612" spans="1:7" x14ac:dyDescent="0.2">
      <c r="A612" s="2"/>
      <c r="B612" s="2"/>
      <c r="C612" s="2"/>
      <c r="D612" s="2"/>
      <c r="E612" s="2"/>
      <c r="F612" s="2"/>
      <c r="G612" s="2"/>
    </row>
    <row r="613" spans="1:7" x14ac:dyDescent="0.2">
      <c r="A613" s="2"/>
      <c r="B613" s="2"/>
      <c r="C613" s="2"/>
      <c r="D613" s="2"/>
      <c r="E613" s="2"/>
      <c r="F613" s="2"/>
      <c r="G613" s="2"/>
    </row>
    <row r="614" spans="1:7" x14ac:dyDescent="0.2">
      <c r="A614" s="2"/>
      <c r="B614" s="2"/>
      <c r="C614" s="2"/>
      <c r="D614" s="2"/>
      <c r="E614" s="2"/>
      <c r="F614" s="2"/>
      <c r="G614" s="2"/>
    </row>
    <row r="615" spans="1:7" x14ac:dyDescent="0.2">
      <c r="A615" s="2"/>
      <c r="B615" s="2"/>
      <c r="C615" s="2"/>
      <c r="D615" s="2"/>
      <c r="E615" s="2"/>
      <c r="F615" s="2"/>
      <c r="G615" s="2"/>
    </row>
    <row r="616" spans="1:7" x14ac:dyDescent="0.2">
      <c r="A616" s="2"/>
      <c r="B616" s="2"/>
      <c r="C616" s="2"/>
      <c r="D616" s="2"/>
      <c r="E616" s="2"/>
      <c r="F616" s="2"/>
      <c r="G616" s="2"/>
    </row>
    <row r="617" spans="1:7" x14ac:dyDescent="0.2">
      <c r="A617" s="2"/>
      <c r="B617" s="2"/>
      <c r="C617" s="2"/>
      <c r="D617" s="2"/>
      <c r="E617" s="2"/>
      <c r="F617" s="2"/>
      <c r="G617" s="2"/>
    </row>
    <row r="618" spans="1:7" x14ac:dyDescent="0.2">
      <c r="A618" s="2"/>
      <c r="B618" s="2"/>
      <c r="C618" s="2"/>
      <c r="D618" s="2"/>
      <c r="E618" s="2"/>
      <c r="F618" s="2"/>
      <c r="G618" s="2"/>
    </row>
    <row r="619" spans="1:7" x14ac:dyDescent="0.2">
      <c r="A619" s="2"/>
      <c r="B619" s="2"/>
      <c r="C619" s="2"/>
      <c r="D619" s="2"/>
      <c r="E619" s="2"/>
      <c r="F619" s="2"/>
      <c r="G619" s="2"/>
    </row>
    <row r="620" spans="1:7" x14ac:dyDescent="0.2">
      <c r="A620" s="2"/>
      <c r="B620" s="2"/>
      <c r="C620" s="2"/>
      <c r="D620" s="2"/>
      <c r="E620" s="2"/>
      <c r="F620" s="2"/>
      <c r="G620" s="2"/>
    </row>
    <row r="621" spans="1:7" x14ac:dyDescent="0.2">
      <c r="A621" s="2"/>
      <c r="B621" s="2"/>
      <c r="C621" s="2"/>
      <c r="D621" s="2"/>
      <c r="E621" s="2"/>
      <c r="F621" s="2"/>
      <c r="G621" s="2"/>
    </row>
    <row r="622" spans="1:7" x14ac:dyDescent="0.2">
      <c r="A622" s="2"/>
      <c r="B622" s="2"/>
      <c r="C622" s="2"/>
      <c r="D622" s="2"/>
      <c r="E622" s="2"/>
      <c r="F622" s="2"/>
      <c r="G622" s="2"/>
    </row>
    <row r="623" spans="1:7" x14ac:dyDescent="0.2">
      <c r="A623" s="2"/>
      <c r="B623" s="2"/>
      <c r="C623" s="2"/>
      <c r="D623" s="2"/>
      <c r="E623" s="2"/>
      <c r="F623" s="2"/>
      <c r="G623" s="2"/>
    </row>
    <row r="624" spans="1:7" x14ac:dyDescent="0.2">
      <c r="A624" s="2"/>
      <c r="B624" s="2"/>
      <c r="C624" s="2"/>
      <c r="D624" s="2"/>
      <c r="E624" s="2"/>
      <c r="F624" s="2"/>
      <c r="G624" s="2"/>
    </row>
    <row r="625" spans="1:7" x14ac:dyDescent="0.2">
      <c r="A625" s="2"/>
      <c r="B625" s="2"/>
      <c r="C625" s="2"/>
      <c r="D625" s="2"/>
      <c r="E625" s="2"/>
      <c r="F625" s="2"/>
      <c r="G625" s="2"/>
    </row>
    <row r="626" spans="1:7" x14ac:dyDescent="0.2">
      <c r="A626" s="2"/>
      <c r="B626" s="2"/>
      <c r="C626" s="2"/>
      <c r="D626" s="2"/>
      <c r="E626" s="2"/>
      <c r="F626" s="2"/>
      <c r="G626" s="2"/>
    </row>
    <row r="627" spans="1:7" x14ac:dyDescent="0.2">
      <c r="A627" s="2"/>
      <c r="B627" s="2"/>
      <c r="C627" s="2"/>
      <c r="D627" s="2"/>
      <c r="E627" s="2"/>
      <c r="F627" s="2"/>
      <c r="G627" s="2"/>
    </row>
    <row r="628" spans="1:7" x14ac:dyDescent="0.2">
      <c r="A628" s="2"/>
      <c r="B628" s="2"/>
      <c r="C628" s="2"/>
      <c r="D628" s="2"/>
      <c r="E628" s="2"/>
      <c r="F628" s="2"/>
      <c r="G628" s="2"/>
    </row>
    <row r="629" spans="1:7" x14ac:dyDescent="0.2">
      <c r="A629" s="2"/>
      <c r="B629" s="2"/>
      <c r="C629" s="2"/>
      <c r="D629" s="2"/>
      <c r="E629" s="2"/>
      <c r="F629" s="2"/>
      <c r="G629" s="2"/>
    </row>
    <row r="630" spans="1:7" x14ac:dyDescent="0.2">
      <c r="A630" s="2"/>
      <c r="B630" s="2"/>
      <c r="C630" s="2"/>
      <c r="D630" s="2"/>
      <c r="E630" s="2"/>
      <c r="F630" s="2"/>
      <c r="G630" s="2"/>
    </row>
    <row r="631" spans="1:7" x14ac:dyDescent="0.2">
      <c r="A631" s="2"/>
      <c r="B631" s="2"/>
      <c r="C631" s="2"/>
      <c r="D631" s="2"/>
      <c r="E631" s="2"/>
      <c r="F631" s="2"/>
      <c r="G631" s="2"/>
    </row>
    <row r="632" spans="1:7" x14ac:dyDescent="0.2">
      <c r="A632" s="2"/>
      <c r="B632" s="2"/>
      <c r="C632" s="2"/>
      <c r="D632" s="2"/>
      <c r="E632" s="2"/>
      <c r="F632" s="2"/>
      <c r="G632" s="2"/>
    </row>
    <row r="633" spans="1:7" x14ac:dyDescent="0.2">
      <c r="A633" s="2"/>
      <c r="B633" s="2"/>
      <c r="C633" s="2"/>
      <c r="D633" s="2"/>
      <c r="E633" s="2"/>
      <c r="F633" s="2"/>
      <c r="G633" s="2"/>
    </row>
    <row r="634" spans="1:7" x14ac:dyDescent="0.2">
      <c r="A634" s="2"/>
      <c r="B634" s="2"/>
      <c r="C634" s="2"/>
      <c r="D634" s="2"/>
      <c r="E634" s="2"/>
      <c r="F634" s="2"/>
      <c r="G634" s="2"/>
    </row>
    <row r="635" spans="1:7" x14ac:dyDescent="0.2">
      <c r="A635" s="2"/>
      <c r="B635" s="2"/>
      <c r="C635" s="2"/>
      <c r="D635" s="2"/>
      <c r="E635" s="2"/>
      <c r="F635" s="2"/>
      <c r="G635" s="2"/>
    </row>
    <row r="636" spans="1:7" x14ac:dyDescent="0.2">
      <c r="A636" s="2"/>
      <c r="B636" s="2"/>
      <c r="C636" s="2"/>
      <c r="D636" s="2"/>
      <c r="E636" s="2"/>
      <c r="F636" s="2"/>
      <c r="G636" s="2"/>
    </row>
    <row r="637" spans="1:7" x14ac:dyDescent="0.2">
      <c r="A637" s="2"/>
      <c r="B637" s="2"/>
      <c r="C637" s="2"/>
      <c r="D637" s="2"/>
      <c r="E637" s="2"/>
      <c r="F637" s="2"/>
      <c r="G637" s="2"/>
    </row>
    <row r="638" spans="1:7" x14ac:dyDescent="0.2">
      <c r="A638" s="2"/>
      <c r="B638" s="2"/>
      <c r="C638" s="2"/>
      <c r="D638" s="2"/>
      <c r="E638" s="2"/>
      <c r="F638" s="2"/>
      <c r="G638" s="2"/>
    </row>
    <row r="639" spans="1:7" x14ac:dyDescent="0.2">
      <c r="A639" s="2"/>
      <c r="B639" s="2"/>
      <c r="C639" s="2"/>
      <c r="D639" s="2"/>
      <c r="E639" s="2"/>
      <c r="F639" s="2"/>
      <c r="G639" s="2"/>
    </row>
    <row r="640" spans="1:7" x14ac:dyDescent="0.2">
      <c r="A640" s="2"/>
      <c r="B640" s="2"/>
      <c r="C640" s="2"/>
      <c r="D640" s="2"/>
      <c r="E640" s="2"/>
      <c r="F640" s="2"/>
      <c r="G640" s="2"/>
    </row>
    <row r="641" spans="1:7" x14ac:dyDescent="0.2">
      <c r="A641" s="2"/>
      <c r="B641" s="2"/>
      <c r="C641" s="2"/>
      <c r="D641" s="2"/>
      <c r="E641" s="2"/>
      <c r="F641" s="2"/>
      <c r="G641" s="2"/>
    </row>
    <row r="642" spans="1:7" x14ac:dyDescent="0.2">
      <c r="A642" s="2"/>
      <c r="B642" s="2"/>
      <c r="C642" s="2"/>
      <c r="D642" s="2"/>
      <c r="E642" s="2"/>
      <c r="F642" s="2"/>
      <c r="G642" s="2"/>
    </row>
    <row r="643" spans="1:7" x14ac:dyDescent="0.2">
      <c r="A643" s="2"/>
      <c r="B643" s="2"/>
      <c r="C643" s="2"/>
      <c r="D643" s="2"/>
      <c r="E643" s="2"/>
      <c r="F643" s="2"/>
      <c r="G643" s="2"/>
    </row>
    <row r="644" spans="1:7" x14ac:dyDescent="0.2">
      <c r="A644" s="2"/>
      <c r="B644" s="2"/>
      <c r="C644" s="2"/>
      <c r="D644" s="2"/>
      <c r="E644" s="2"/>
      <c r="F644" s="2"/>
      <c r="G644" s="2"/>
    </row>
    <row r="645" spans="1:7" x14ac:dyDescent="0.2">
      <c r="A645" s="2"/>
      <c r="B645" s="2"/>
      <c r="C645" s="2"/>
      <c r="D645" s="2"/>
      <c r="E645" s="2"/>
      <c r="F645" s="2"/>
      <c r="G645" s="2"/>
    </row>
    <row r="646" spans="1:7" x14ac:dyDescent="0.2">
      <c r="A646" s="2"/>
      <c r="B646" s="2"/>
      <c r="C646" s="2"/>
      <c r="D646" s="2"/>
      <c r="E646" s="2"/>
      <c r="F646" s="2"/>
      <c r="G646" s="2"/>
    </row>
    <row r="647" spans="1:7" x14ac:dyDescent="0.2">
      <c r="A647" s="2"/>
      <c r="B647" s="2"/>
      <c r="C647" s="2"/>
      <c r="D647" s="2"/>
      <c r="E647" s="2"/>
      <c r="F647" s="2"/>
      <c r="G647" s="2"/>
    </row>
    <row r="648" spans="1:7" x14ac:dyDescent="0.2">
      <c r="A648" s="2"/>
      <c r="B648" s="2"/>
      <c r="C648" s="2"/>
      <c r="D648" s="2"/>
      <c r="E648" s="2"/>
      <c r="F648" s="2"/>
      <c r="G648" s="2"/>
    </row>
    <row r="649" spans="1:7" x14ac:dyDescent="0.2">
      <c r="A649" s="2"/>
      <c r="B649" s="2"/>
      <c r="C649" s="2"/>
      <c r="D649" s="2"/>
      <c r="E649" s="2"/>
      <c r="F649" s="2"/>
      <c r="G649" s="2"/>
    </row>
    <row r="650" spans="1:7" x14ac:dyDescent="0.2">
      <c r="A650" s="2"/>
      <c r="B650" s="2"/>
      <c r="C650" s="2"/>
      <c r="D650" s="2"/>
      <c r="E650" s="2"/>
      <c r="F650" s="2"/>
      <c r="G650" s="2"/>
    </row>
    <row r="651" spans="1:7" x14ac:dyDescent="0.2">
      <c r="A651" s="2"/>
      <c r="B651" s="2"/>
      <c r="C651" s="2"/>
      <c r="D651" s="2"/>
      <c r="E651" s="2"/>
      <c r="F651" s="2"/>
      <c r="G651" s="2"/>
    </row>
    <row r="652" spans="1:7" x14ac:dyDescent="0.2">
      <c r="A652" s="2"/>
      <c r="B652" s="2"/>
      <c r="C652" s="2"/>
      <c r="D652" s="2"/>
      <c r="E652" s="2"/>
      <c r="F652" s="2"/>
      <c r="G652" s="2"/>
    </row>
    <row r="653" spans="1:7" x14ac:dyDescent="0.2">
      <c r="A653" s="2"/>
      <c r="B653" s="2"/>
      <c r="C653" s="2"/>
      <c r="D653" s="2"/>
      <c r="E653" s="2"/>
      <c r="F653" s="2"/>
      <c r="G653" s="2"/>
    </row>
    <row r="654" spans="1:7" x14ac:dyDescent="0.2">
      <c r="A654" s="2"/>
      <c r="B654" s="2"/>
      <c r="C654" s="2"/>
      <c r="D654" s="2"/>
      <c r="E654" s="2"/>
      <c r="F654" s="2"/>
      <c r="G654" s="2"/>
    </row>
    <row r="655" spans="1:7" x14ac:dyDescent="0.2">
      <c r="A655" s="2"/>
      <c r="B655" s="2"/>
      <c r="C655" s="2"/>
      <c r="D655" s="2"/>
      <c r="E655" s="2"/>
      <c r="F655" s="2"/>
      <c r="G655" s="2"/>
    </row>
    <row r="656" spans="1:7" x14ac:dyDescent="0.2">
      <c r="A656" s="2"/>
      <c r="B656" s="2"/>
      <c r="C656" s="2"/>
      <c r="D656" s="2"/>
      <c r="E656" s="2"/>
      <c r="F656" s="2"/>
      <c r="G656" s="2"/>
    </row>
    <row r="657" spans="1:7" x14ac:dyDescent="0.2">
      <c r="A657" s="2"/>
      <c r="B657" s="2"/>
      <c r="C657" s="2"/>
      <c r="D657" s="2"/>
      <c r="E657" s="2"/>
      <c r="F657" s="2"/>
      <c r="G657" s="2"/>
    </row>
    <row r="658" spans="1:7" x14ac:dyDescent="0.2">
      <c r="A658" s="2"/>
      <c r="B658" s="2"/>
      <c r="C658" s="2"/>
      <c r="D658" s="2"/>
      <c r="E658" s="2"/>
      <c r="F658" s="2"/>
      <c r="G658" s="2"/>
    </row>
    <row r="659" spans="1:7" x14ac:dyDescent="0.2">
      <c r="A659" s="2"/>
      <c r="B659" s="2"/>
      <c r="C659" s="2"/>
      <c r="D659" s="2"/>
      <c r="E659" s="2"/>
      <c r="F659" s="2"/>
      <c r="G659" s="2"/>
    </row>
    <row r="660" spans="1:7" x14ac:dyDescent="0.2">
      <c r="A660" s="2"/>
      <c r="B660" s="2"/>
      <c r="C660" s="2"/>
      <c r="D660" s="2"/>
      <c r="E660" s="2"/>
      <c r="F660" s="2"/>
      <c r="G660" s="2"/>
    </row>
    <row r="661" spans="1:7" x14ac:dyDescent="0.2">
      <c r="A661" s="2"/>
      <c r="B661" s="2"/>
      <c r="C661" s="2"/>
      <c r="D661" s="2"/>
      <c r="E661" s="2"/>
      <c r="F661" s="2"/>
      <c r="G661" s="2"/>
    </row>
    <row r="662" spans="1:7" x14ac:dyDescent="0.2">
      <c r="A662" s="2"/>
      <c r="B662" s="2"/>
      <c r="C662" s="2"/>
      <c r="D662" s="2"/>
      <c r="E662" s="2"/>
      <c r="F662" s="2"/>
      <c r="G662" s="2"/>
    </row>
    <row r="663" spans="1:7" x14ac:dyDescent="0.2">
      <c r="A663" s="2"/>
      <c r="B663" s="2"/>
      <c r="C663" s="2"/>
      <c r="D663" s="2"/>
      <c r="E663" s="2"/>
      <c r="F663" s="2"/>
      <c r="G663" s="2"/>
    </row>
    <row r="664" spans="1:7" x14ac:dyDescent="0.2">
      <c r="A664" s="2"/>
      <c r="B664" s="2"/>
      <c r="C664" s="2"/>
      <c r="D664" s="2"/>
      <c r="E664" s="2"/>
      <c r="F664" s="2"/>
      <c r="G664" s="2"/>
    </row>
    <row r="665" spans="1:7" x14ac:dyDescent="0.2">
      <c r="A665" s="2"/>
      <c r="B665" s="2"/>
      <c r="C665" s="2"/>
      <c r="D665" s="2"/>
      <c r="E665" s="2"/>
      <c r="F665" s="2"/>
      <c r="G665" s="2"/>
    </row>
    <row r="666" spans="1:7" x14ac:dyDescent="0.2">
      <c r="A666" s="2"/>
      <c r="B666" s="2"/>
      <c r="C666" s="2"/>
      <c r="D666" s="2"/>
      <c r="E666" s="2"/>
      <c r="F666" s="2"/>
      <c r="G666" s="2"/>
    </row>
    <row r="667" spans="1:7" x14ac:dyDescent="0.2">
      <c r="A667" s="2"/>
      <c r="B667" s="2"/>
      <c r="C667" s="2"/>
      <c r="D667" s="2"/>
      <c r="E667" s="2"/>
      <c r="F667" s="2"/>
      <c r="G667" s="2"/>
    </row>
    <row r="668" spans="1:7" x14ac:dyDescent="0.2">
      <c r="A668" s="2"/>
      <c r="B668" s="2"/>
      <c r="C668" s="2"/>
      <c r="D668" s="2"/>
      <c r="E668" s="2"/>
      <c r="F668" s="2"/>
      <c r="G668" s="2"/>
    </row>
    <row r="669" spans="1:7" x14ac:dyDescent="0.2">
      <c r="A669" s="2"/>
      <c r="B669" s="2"/>
      <c r="C669" s="2"/>
      <c r="D669" s="2"/>
      <c r="E669" s="2"/>
      <c r="F669" s="2"/>
      <c r="G669" s="2"/>
    </row>
    <row r="670" spans="1:7" x14ac:dyDescent="0.2">
      <c r="A670" s="2"/>
      <c r="B670" s="2"/>
      <c r="C670" s="2"/>
      <c r="D670" s="2"/>
      <c r="E670" s="2"/>
      <c r="F670" s="2"/>
      <c r="G670" s="2"/>
    </row>
    <row r="671" spans="1:7" x14ac:dyDescent="0.2">
      <c r="A671" s="2"/>
      <c r="B671" s="2"/>
      <c r="C671" s="2"/>
      <c r="D671" s="2"/>
      <c r="E671" s="2"/>
      <c r="F671" s="2"/>
      <c r="G671" s="2"/>
    </row>
    <row r="672" spans="1:7" x14ac:dyDescent="0.2">
      <c r="A672" s="2"/>
      <c r="B672" s="2"/>
      <c r="C672" s="2"/>
      <c r="D672" s="2"/>
      <c r="E672" s="2"/>
      <c r="F672" s="2"/>
      <c r="G672" s="2"/>
    </row>
    <row r="673" spans="1:7" x14ac:dyDescent="0.2">
      <c r="A673" s="2"/>
      <c r="B673" s="2"/>
      <c r="C673" s="2"/>
      <c r="D673" s="2"/>
      <c r="E673" s="2"/>
      <c r="F673" s="2"/>
      <c r="G673" s="2"/>
    </row>
    <row r="674" spans="1:7" x14ac:dyDescent="0.2">
      <c r="A674" s="2"/>
      <c r="B674" s="2"/>
      <c r="C674" s="2"/>
      <c r="D674" s="2"/>
      <c r="E674" s="2"/>
      <c r="F674" s="2"/>
      <c r="G674" s="2"/>
    </row>
    <row r="675" spans="1:7" x14ac:dyDescent="0.2">
      <c r="A675" s="2"/>
      <c r="B675" s="2"/>
      <c r="C675" s="2"/>
      <c r="D675" s="2"/>
      <c r="E675" s="2"/>
      <c r="F675" s="2"/>
      <c r="G675" s="2"/>
    </row>
    <row r="676" spans="1:7" x14ac:dyDescent="0.2">
      <c r="A676" s="2"/>
      <c r="B676" s="2"/>
      <c r="C676" s="2"/>
      <c r="D676" s="2"/>
      <c r="E676" s="2"/>
      <c r="F676" s="2"/>
      <c r="G676" s="2"/>
    </row>
    <row r="677" spans="1:7" x14ac:dyDescent="0.2">
      <c r="A677" s="2"/>
      <c r="B677" s="2"/>
      <c r="C677" s="2"/>
      <c r="D677" s="2"/>
      <c r="E677" s="2"/>
      <c r="F677" s="2"/>
      <c r="G677" s="2"/>
    </row>
    <row r="678" spans="1:7" x14ac:dyDescent="0.2">
      <c r="A678" s="2"/>
      <c r="B678" s="2"/>
      <c r="C678" s="2"/>
      <c r="D678" s="2"/>
      <c r="E678" s="2"/>
      <c r="F678" s="2"/>
      <c r="G678" s="2"/>
    </row>
    <row r="679" spans="1:7" x14ac:dyDescent="0.2">
      <c r="A679" s="2"/>
      <c r="B679" s="2"/>
      <c r="C679" s="2"/>
      <c r="D679" s="2"/>
      <c r="E679" s="2"/>
      <c r="F679" s="2"/>
      <c r="G679" s="2"/>
    </row>
    <row r="680" spans="1:7" x14ac:dyDescent="0.2">
      <c r="A680" s="2"/>
      <c r="B680" s="2"/>
      <c r="C680" s="2"/>
      <c r="D680" s="2"/>
      <c r="E680" s="2"/>
      <c r="F680" s="2"/>
      <c r="G680" s="2"/>
    </row>
    <row r="681" spans="1:7" x14ac:dyDescent="0.2">
      <c r="A681" s="2"/>
      <c r="B681" s="2"/>
      <c r="C681" s="2"/>
      <c r="D681" s="2"/>
      <c r="E681" s="2"/>
      <c r="F681" s="2"/>
      <c r="G681" s="2"/>
    </row>
    <row r="682" spans="1:7" x14ac:dyDescent="0.2">
      <c r="A682" s="2"/>
      <c r="B682" s="2"/>
      <c r="C682" s="2"/>
      <c r="D682" s="2"/>
      <c r="E682" s="2"/>
      <c r="F682" s="2"/>
      <c r="G682" s="2"/>
    </row>
    <row r="683" spans="1:7" x14ac:dyDescent="0.2">
      <c r="A683" s="2"/>
      <c r="B683" s="2"/>
      <c r="C683" s="2"/>
      <c r="D683" s="2"/>
      <c r="E683" s="2"/>
      <c r="F683" s="2"/>
      <c r="G683" s="2"/>
    </row>
    <row r="684" spans="1:7" x14ac:dyDescent="0.2">
      <c r="A684" s="2"/>
      <c r="B684" s="2"/>
      <c r="C684" s="2"/>
      <c r="D684" s="2"/>
      <c r="E684" s="2"/>
      <c r="F684" s="2"/>
      <c r="G684" s="2"/>
    </row>
    <row r="685" spans="1:7" x14ac:dyDescent="0.2">
      <c r="A685" s="2"/>
      <c r="B685" s="2"/>
      <c r="C685" s="2"/>
      <c r="D685" s="2"/>
      <c r="E685" s="2"/>
      <c r="F685" s="2"/>
      <c r="G685" s="2"/>
    </row>
    <row r="686" spans="1:7" x14ac:dyDescent="0.2">
      <c r="A686" s="2"/>
      <c r="B686" s="2"/>
      <c r="C686" s="2"/>
      <c r="D686" s="2"/>
      <c r="E686" s="2"/>
      <c r="F686" s="2"/>
      <c r="G686" s="2"/>
    </row>
    <row r="687" spans="1:7" x14ac:dyDescent="0.2">
      <c r="A687" s="2"/>
      <c r="B687" s="2"/>
      <c r="C687" s="2"/>
      <c r="D687" s="2"/>
      <c r="E687" s="2"/>
      <c r="F687" s="2"/>
      <c r="G687" s="2"/>
    </row>
    <row r="688" spans="1:7" x14ac:dyDescent="0.2">
      <c r="A688" s="2"/>
      <c r="B688" s="2"/>
      <c r="C688" s="2"/>
      <c r="D688" s="2"/>
      <c r="E688" s="2"/>
      <c r="F688" s="2"/>
      <c r="G688" s="2"/>
    </row>
    <row r="689" spans="1:7" x14ac:dyDescent="0.2">
      <c r="A689" s="2"/>
      <c r="B689" s="2"/>
      <c r="C689" s="2"/>
      <c r="D689" s="2"/>
      <c r="E689" s="2"/>
      <c r="F689" s="2"/>
      <c r="G689" s="2"/>
    </row>
    <row r="690" spans="1:7" x14ac:dyDescent="0.2">
      <c r="A690" s="2"/>
      <c r="B690" s="2"/>
      <c r="C690" s="2"/>
      <c r="D690" s="2"/>
      <c r="E690" s="2"/>
      <c r="F690" s="2"/>
      <c r="G690" s="2"/>
    </row>
    <row r="691" spans="1:7" x14ac:dyDescent="0.2">
      <c r="A691" s="2"/>
      <c r="B691" s="2"/>
      <c r="C691" s="2"/>
      <c r="D691" s="2"/>
      <c r="E691" s="2"/>
      <c r="F691" s="2"/>
      <c r="G691" s="2"/>
    </row>
    <row r="692" spans="1:7" x14ac:dyDescent="0.2">
      <c r="A692" s="2"/>
      <c r="B692" s="2"/>
      <c r="C692" s="2"/>
      <c r="D692" s="2"/>
      <c r="E692" s="2"/>
      <c r="F692" s="2"/>
      <c r="G692" s="2"/>
    </row>
    <row r="693" spans="1:7" x14ac:dyDescent="0.2">
      <c r="A693" s="2"/>
      <c r="B693" s="2"/>
      <c r="C693" s="2"/>
      <c r="D693" s="2"/>
      <c r="E693" s="2"/>
      <c r="F693" s="2"/>
      <c r="G693" s="2"/>
    </row>
    <row r="694" spans="1:7" x14ac:dyDescent="0.2">
      <c r="A694" s="2"/>
      <c r="B694" s="2"/>
      <c r="C694" s="2"/>
      <c r="D694" s="2"/>
      <c r="E694" s="2"/>
      <c r="F694" s="2"/>
      <c r="G694" s="2"/>
    </row>
    <row r="695" spans="1:7" x14ac:dyDescent="0.2">
      <c r="A695" s="2"/>
      <c r="B695" s="2"/>
      <c r="C695" s="2"/>
      <c r="D695" s="2"/>
      <c r="E695" s="2"/>
      <c r="F695" s="2"/>
      <c r="G695" s="2"/>
    </row>
    <row r="696" spans="1:7" x14ac:dyDescent="0.2">
      <c r="A696" s="2"/>
      <c r="B696" s="2"/>
      <c r="C696" s="2"/>
      <c r="D696" s="2"/>
      <c r="E696" s="2"/>
      <c r="F696" s="2"/>
      <c r="G696" s="2"/>
    </row>
    <row r="697" spans="1:7" x14ac:dyDescent="0.2">
      <c r="A697" s="2"/>
      <c r="B697" s="2"/>
      <c r="C697" s="2"/>
      <c r="D697" s="2"/>
      <c r="E697" s="2"/>
      <c r="F697" s="2"/>
      <c r="G697" s="2"/>
    </row>
    <row r="698" spans="1:7" x14ac:dyDescent="0.2">
      <c r="A698" s="2"/>
      <c r="B698" s="2"/>
      <c r="C698" s="2"/>
      <c r="D698" s="2"/>
      <c r="E698" s="2"/>
      <c r="F698" s="2"/>
      <c r="G698" s="2"/>
    </row>
    <row r="699" spans="1:7" x14ac:dyDescent="0.2">
      <c r="A699" s="2"/>
      <c r="B699" s="2"/>
      <c r="C699" s="2"/>
      <c r="D699" s="2"/>
      <c r="E699" s="2"/>
      <c r="F699" s="2"/>
      <c r="G699" s="2"/>
    </row>
    <row r="700" spans="1:7" x14ac:dyDescent="0.2">
      <c r="A700" s="2"/>
      <c r="B700" s="2"/>
      <c r="C700" s="2"/>
      <c r="D700" s="2"/>
      <c r="E700" s="2"/>
      <c r="F700" s="2"/>
      <c r="G700" s="2"/>
    </row>
    <row r="701" spans="1:7" x14ac:dyDescent="0.2">
      <c r="A701" s="2"/>
      <c r="B701" s="2"/>
      <c r="C701" s="2"/>
      <c r="D701" s="2"/>
      <c r="E701" s="2"/>
      <c r="F701" s="2"/>
      <c r="G701" s="2"/>
    </row>
    <row r="702" spans="1:7" x14ac:dyDescent="0.2">
      <c r="A702" s="2"/>
      <c r="B702" s="2"/>
      <c r="C702" s="2"/>
      <c r="D702" s="2"/>
      <c r="E702" s="2"/>
      <c r="F702" s="2"/>
      <c r="G702" s="2"/>
    </row>
    <row r="703" spans="1:7" x14ac:dyDescent="0.2">
      <c r="A703" s="2"/>
      <c r="B703" s="2"/>
      <c r="C703" s="2"/>
      <c r="D703" s="2"/>
      <c r="E703" s="2"/>
      <c r="F703" s="2"/>
      <c r="G703" s="2"/>
    </row>
    <row r="704" spans="1:7" x14ac:dyDescent="0.2">
      <c r="A704" s="2"/>
      <c r="B704" s="2"/>
      <c r="C704" s="2"/>
      <c r="D704" s="2"/>
      <c r="E704" s="2"/>
      <c r="F704" s="2"/>
      <c r="G704" s="2"/>
    </row>
    <row r="705" spans="1:7" x14ac:dyDescent="0.2">
      <c r="A705" s="2"/>
      <c r="B705" s="2"/>
      <c r="C705" s="2"/>
      <c r="D705" s="2"/>
      <c r="E705" s="2"/>
      <c r="F705" s="2"/>
      <c r="G705" s="2"/>
    </row>
    <row r="706" spans="1:7" x14ac:dyDescent="0.2">
      <c r="A706" s="2"/>
      <c r="B706" s="2"/>
      <c r="C706" s="2"/>
      <c r="D706" s="2"/>
      <c r="E706" s="2"/>
      <c r="F706" s="2"/>
      <c r="G706" s="2"/>
    </row>
    <row r="707" spans="1:7" x14ac:dyDescent="0.2">
      <c r="A707" s="2"/>
      <c r="B707" s="2"/>
      <c r="C707" s="2"/>
      <c r="D707" s="2"/>
      <c r="E707" s="2"/>
      <c r="F707" s="2"/>
      <c r="G707" s="2"/>
    </row>
    <row r="708" spans="1:7" x14ac:dyDescent="0.2">
      <c r="A708" s="2"/>
      <c r="B708" s="2"/>
      <c r="C708" s="2"/>
      <c r="D708" s="2"/>
      <c r="E708" s="2"/>
      <c r="F708" s="2"/>
      <c r="G708" s="2"/>
    </row>
    <row r="709" spans="1:7" x14ac:dyDescent="0.2">
      <c r="A709" s="2"/>
      <c r="B709" s="2"/>
      <c r="C709" s="2"/>
      <c r="D709" s="2"/>
      <c r="E709" s="2"/>
      <c r="F709" s="2"/>
      <c r="G709" s="2"/>
    </row>
    <row r="710" spans="1:7" x14ac:dyDescent="0.2">
      <c r="A710" s="2"/>
      <c r="B710" s="2"/>
      <c r="C710" s="2"/>
      <c r="D710" s="2"/>
      <c r="E710" s="2"/>
      <c r="F710" s="2"/>
      <c r="G710" s="2"/>
    </row>
    <row r="711" spans="1:7" x14ac:dyDescent="0.2">
      <c r="A711" s="2"/>
      <c r="B711" s="2"/>
      <c r="C711" s="2"/>
      <c r="D711" s="2"/>
      <c r="E711" s="2"/>
      <c r="F711" s="2"/>
      <c r="G711" s="2"/>
    </row>
    <row r="712" spans="1:7" x14ac:dyDescent="0.2">
      <c r="A712" s="2"/>
      <c r="B712" s="2"/>
      <c r="C712" s="2"/>
      <c r="D712" s="2"/>
      <c r="E712" s="2"/>
      <c r="F712" s="2"/>
      <c r="G712" s="2"/>
    </row>
    <row r="713" spans="1:7" x14ac:dyDescent="0.2">
      <c r="A713" s="2"/>
      <c r="B713" s="2"/>
      <c r="C713" s="2"/>
      <c r="D713" s="2"/>
      <c r="E713" s="2"/>
      <c r="F713" s="2"/>
      <c r="G713" s="2"/>
    </row>
    <row r="714" spans="1:7" x14ac:dyDescent="0.2">
      <c r="A714" s="2"/>
      <c r="B714" s="2"/>
      <c r="C714" s="2"/>
      <c r="D714" s="2"/>
      <c r="E714" s="2"/>
      <c r="F714" s="2"/>
      <c r="G714" s="2"/>
    </row>
    <row r="715" spans="1:7" x14ac:dyDescent="0.2">
      <c r="A715" s="2"/>
      <c r="B715" s="2"/>
      <c r="C715" s="2"/>
      <c r="D715" s="2"/>
      <c r="E715" s="2"/>
      <c r="F715" s="2"/>
      <c r="G715" s="2"/>
    </row>
    <row r="716" spans="1:7" x14ac:dyDescent="0.2">
      <c r="A716" s="2"/>
      <c r="B716" s="2"/>
      <c r="C716" s="2"/>
      <c r="D716" s="2"/>
      <c r="E716" s="2"/>
      <c r="F716" s="2"/>
      <c r="G716" s="2"/>
    </row>
    <row r="717" spans="1:7" x14ac:dyDescent="0.2">
      <c r="A717" s="2"/>
      <c r="B717" s="2"/>
      <c r="C717" s="2"/>
      <c r="D717" s="2"/>
      <c r="E717" s="2"/>
      <c r="F717" s="2"/>
      <c r="G717" s="2"/>
    </row>
    <row r="718" spans="1:7" x14ac:dyDescent="0.2">
      <c r="A718" s="2"/>
      <c r="B718" s="2"/>
      <c r="C718" s="2"/>
      <c r="D718" s="2"/>
      <c r="E718" s="2"/>
      <c r="F718" s="2"/>
      <c r="G718" s="2"/>
    </row>
    <row r="719" spans="1:7" x14ac:dyDescent="0.2">
      <c r="A719" s="2"/>
      <c r="B719" s="2"/>
      <c r="C719" s="2"/>
      <c r="D719" s="2"/>
      <c r="E719" s="2"/>
      <c r="F719" s="2"/>
      <c r="G719" s="2"/>
    </row>
    <row r="720" spans="1:7" x14ac:dyDescent="0.2">
      <c r="A720" s="2"/>
      <c r="B720" s="2"/>
      <c r="C720" s="2"/>
      <c r="D720" s="2"/>
      <c r="E720" s="2"/>
      <c r="F720" s="2"/>
      <c r="G720" s="2"/>
    </row>
    <row r="721" spans="1:7" x14ac:dyDescent="0.2">
      <c r="A721" s="2"/>
      <c r="B721" s="2"/>
      <c r="C721" s="2"/>
      <c r="D721" s="2"/>
      <c r="E721" s="2"/>
      <c r="F721" s="2"/>
      <c r="G721" s="2"/>
    </row>
    <row r="722" spans="1:7" x14ac:dyDescent="0.2">
      <c r="A722" s="2"/>
      <c r="B722" s="2"/>
      <c r="C722" s="2"/>
      <c r="D722" s="2"/>
      <c r="E722" s="2"/>
      <c r="F722" s="2"/>
      <c r="G722" s="2"/>
    </row>
    <row r="723" spans="1:7" x14ac:dyDescent="0.2">
      <c r="A723" s="2"/>
      <c r="B723" s="2"/>
      <c r="C723" s="2"/>
      <c r="D723" s="2"/>
      <c r="E723" s="2"/>
      <c r="F723" s="2"/>
      <c r="G723" s="2"/>
    </row>
    <row r="724" spans="1:7" x14ac:dyDescent="0.2">
      <c r="A724" s="2"/>
      <c r="B724" s="2"/>
      <c r="C724" s="2"/>
      <c r="D724" s="2"/>
      <c r="E724" s="2"/>
      <c r="F724" s="2"/>
      <c r="G724" s="2"/>
    </row>
    <row r="725" spans="1:7" x14ac:dyDescent="0.2">
      <c r="A725" s="2"/>
      <c r="B725" s="2"/>
      <c r="C725" s="2"/>
      <c r="D725" s="2"/>
      <c r="E725" s="2"/>
      <c r="F725" s="2"/>
      <c r="G725" s="2"/>
    </row>
    <row r="726" spans="1:7" x14ac:dyDescent="0.2">
      <c r="A726" s="2"/>
      <c r="B726" s="2"/>
      <c r="C726" s="2"/>
      <c r="D726" s="2"/>
      <c r="E726" s="2"/>
      <c r="F726" s="2"/>
      <c r="G726" s="2"/>
    </row>
    <row r="727" spans="1:7" x14ac:dyDescent="0.2">
      <c r="A727" s="2"/>
      <c r="B727" s="2"/>
      <c r="C727" s="2"/>
      <c r="D727" s="2"/>
      <c r="E727" s="2"/>
      <c r="F727" s="2"/>
      <c r="G727" s="2"/>
    </row>
    <row r="728" spans="1:7" x14ac:dyDescent="0.2">
      <c r="A728" s="2"/>
      <c r="B728" s="2"/>
      <c r="C728" s="2"/>
      <c r="D728" s="2"/>
      <c r="E728" s="2"/>
      <c r="F728" s="2"/>
      <c r="G728" s="2"/>
    </row>
    <row r="729" spans="1:7" x14ac:dyDescent="0.2">
      <c r="A729" s="2"/>
      <c r="B729" s="2"/>
      <c r="C729" s="2"/>
      <c r="D729" s="2"/>
      <c r="E729" s="2"/>
      <c r="F729" s="2"/>
      <c r="G729" s="2"/>
    </row>
    <row r="730" spans="1:7" x14ac:dyDescent="0.2">
      <c r="A730" s="2"/>
      <c r="B730" s="2"/>
      <c r="C730" s="2"/>
      <c r="D730" s="2"/>
      <c r="E730" s="2"/>
      <c r="F730" s="2"/>
      <c r="G730" s="2"/>
    </row>
    <row r="731" spans="1:7" x14ac:dyDescent="0.2">
      <c r="A731" s="2"/>
      <c r="B731" s="2"/>
      <c r="C731" s="2"/>
      <c r="D731" s="2"/>
      <c r="E731" s="2"/>
      <c r="F731" s="2"/>
      <c r="G731" s="2"/>
    </row>
    <row r="732" spans="1:7" x14ac:dyDescent="0.2">
      <c r="A732" s="2"/>
      <c r="B732" s="2"/>
      <c r="C732" s="2"/>
      <c r="D732" s="2"/>
      <c r="E732" s="2"/>
      <c r="F732" s="2"/>
      <c r="G732" s="2"/>
    </row>
    <row r="733" spans="1:7" x14ac:dyDescent="0.2">
      <c r="A733" s="2"/>
      <c r="B733" s="2"/>
      <c r="C733" s="2"/>
      <c r="D733" s="2"/>
      <c r="E733" s="2"/>
      <c r="F733" s="2"/>
      <c r="G733" s="2"/>
    </row>
    <row r="734" spans="1:7" x14ac:dyDescent="0.2">
      <c r="A734" s="2"/>
      <c r="B734" s="2"/>
      <c r="C734" s="2"/>
      <c r="D734" s="2"/>
      <c r="E734" s="2"/>
      <c r="F734" s="2"/>
      <c r="G734" s="2"/>
    </row>
    <row r="735" spans="1:7" x14ac:dyDescent="0.2">
      <c r="A735" s="2"/>
      <c r="B735" s="2"/>
      <c r="C735" s="2"/>
      <c r="D735" s="2"/>
      <c r="E735" s="2"/>
      <c r="F735" s="2"/>
      <c r="G735" s="2"/>
    </row>
    <row r="736" spans="1:7" x14ac:dyDescent="0.2">
      <c r="A736" s="2"/>
      <c r="B736" s="2"/>
      <c r="C736" s="2"/>
      <c r="D736" s="2"/>
      <c r="E736" s="2"/>
      <c r="F736" s="2"/>
      <c r="G736" s="2"/>
    </row>
    <row r="737" spans="1:7" x14ac:dyDescent="0.2">
      <c r="A737" s="2"/>
      <c r="B737" s="2"/>
      <c r="C737" s="2"/>
      <c r="D737" s="2"/>
      <c r="E737" s="2"/>
      <c r="F737" s="2"/>
      <c r="G737" s="2"/>
    </row>
    <row r="738" spans="1:7" x14ac:dyDescent="0.2">
      <c r="A738" s="2"/>
      <c r="B738" s="2"/>
      <c r="C738" s="2"/>
      <c r="D738" s="2"/>
      <c r="E738" s="2"/>
      <c r="F738" s="2"/>
      <c r="G738" s="2"/>
    </row>
    <row r="739" spans="1:7" x14ac:dyDescent="0.2">
      <c r="A739" s="2"/>
      <c r="B739" s="2"/>
      <c r="C739" s="2"/>
      <c r="D739" s="2"/>
      <c r="E739" s="2"/>
      <c r="F739" s="2"/>
      <c r="G739" s="2"/>
    </row>
    <row r="740" spans="1:7" x14ac:dyDescent="0.2">
      <c r="A740" s="2"/>
      <c r="B740" s="2"/>
      <c r="C740" s="2"/>
      <c r="D740" s="2"/>
      <c r="E740" s="2"/>
      <c r="F740" s="2"/>
      <c r="G740" s="2"/>
    </row>
    <row r="741" spans="1:7" x14ac:dyDescent="0.2">
      <c r="A741" s="2"/>
      <c r="B741" s="2"/>
      <c r="C741" s="2"/>
      <c r="D741" s="2"/>
      <c r="E741" s="2"/>
      <c r="F741" s="2"/>
      <c r="G741" s="2"/>
    </row>
    <row r="742" spans="1:7" x14ac:dyDescent="0.2">
      <c r="A742" s="2"/>
      <c r="B742" s="2"/>
      <c r="C742" s="2"/>
      <c r="D742" s="2"/>
      <c r="E742" s="2"/>
      <c r="F742" s="2"/>
      <c r="G742" s="2"/>
    </row>
    <row r="743" spans="1:7" x14ac:dyDescent="0.2">
      <c r="A743" s="2"/>
      <c r="B743" s="2"/>
      <c r="C743" s="2"/>
      <c r="D743" s="2"/>
      <c r="E743" s="2"/>
      <c r="F743" s="2"/>
      <c r="G743" s="2"/>
    </row>
    <row r="744" spans="1:7" x14ac:dyDescent="0.2">
      <c r="A744" s="2"/>
      <c r="B744" s="2"/>
      <c r="C744" s="2"/>
      <c r="D744" s="2"/>
      <c r="E744" s="2"/>
      <c r="F744" s="2"/>
      <c r="G744" s="2"/>
    </row>
    <row r="745" spans="1:7" x14ac:dyDescent="0.2">
      <c r="A745" s="2"/>
      <c r="B745" s="2"/>
      <c r="C745" s="2"/>
      <c r="D745" s="2"/>
      <c r="E745" s="2"/>
      <c r="F745" s="2"/>
      <c r="G745" s="2"/>
    </row>
    <row r="746" spans="1:7" x14ac:dyDescent="0.2">
      <c r="A746" s="2"/>
      <c r="B746" s="2"/>
      <c r="C746" s="2"/>
      <c r="D746" s="2"/>
      <c r="E746" s="2"/>
      <c r="F746" s="2"/>
      <c r="G746" s="2"/>
    </row>
    <row r="747" spans="1:7" x14ac:dyDescent="0.2">
      <c r="A747" s="2"/>
      <c r="B747" s="2"/>
      <c r="C747" s="2"/>
      <c r="D747" s="2"/>
      <c r="E747" s="2"/>
      <c r="F747" s="2"/>
      <c r="G747" s="2"/>
    </row>
    <row r="748" spans="1:7" x14ac:dyDescent="0.2">
      <c r="A748" s="2"/>
      <c r="B748" s="2"/>
      <c r="C748" s="2"/>
      <c r="D748" s="2"/>
      <c r="E748" s="2"/>
      <c r="F748" s="2"/>
      <c r="G748" s="2"/>
    </row>
    <row r="749" spans="1:7" x14ac:dyDescent="0.2">
      <c r="A749" s="2"/>
      <c r="B749" s="2"/>
      <c r="C749" s="2"/>
      <c r="D749" s="2"/>
      <c r="E749" s="2"/>
      <c r="F749" s="2"/>
      <c r="G749" s="2"/>
    </row>
    <row r="750" spans="1:7" x14ac:dyDescent="0.2">
      <c r="A750" s="2"/>
      <c r="B750" s="2"/>
      <c r="C750" s="2"/>
      <c r="D750" s="2"/>
      <c r="E750" s="2"/>
      <c r="F750" s="2"/>
      <c r="G750" s="2"/>
    </row>
    <row r="751" spans="1:7" x14ac:dyDescent="0.2">
      <c r="A751" s="2"/>
      <c r="B751" s="2"/>
      <c r="C751" s="2"/>
      <c r="D751" s="2"/>
      <c r="E751" s="2"/>
      <c r="F751" s="2"/>
      <c r="G751" s="2"/>
    </row>
    <row r="752" spans="1:7" x14ac:dyDescent="0.2">
      <c r="A752" s="2"/>
      <c r="B752" s="2"/>
      <c r="C752" s="2"/>
      <c r="D752" s="2"/>
      <c r="E752" s="2"/>
      <c r="F752" s="2"/>
      <c r="G752" s="2"/>
    </row>
    <row r="753" spans="1:7" x14ac:dyDescent="0.2">
      <c r="A753" s="2"/>
      <c r="B753" s="2"/>
      <c r="C753" s="2"/>
      <c r="D753" s="2"/>
      <c r="E753" s="2"/>
      <c r="F753" s="2"/>
      <c r="G753" s="2"/>
    </row>
    <row r="754" spans="1:7" x14ac:dyDescent="0.2">
      <c r="A754" s="2"/>
      <c r="B754" s="2"/>
      <c r="C754" s="2"/>
      <c r="D754" s="2"/>
      <c r="E754" s="2"/>
      <c r="F754" s="2"/>
      <c r="G754" s="2"/>
    </row>
    <row r="755" spans="1:7" x14ac:dyDescent="0.2">
      <c r="A755" s="2"/>
      <c r="B755" s="2"/>
      <c r="C755" s="2"/>
      <c r="D755" s="2"/>
      <c r="E755" s="2"/>
      <c r="F755" s="2"/>
      <c r="G755" s="2"/>
    </row>
    <row r="756" spans="1:7" x14ac:dyDescent="0.2">
      <c r="A756" s="2"/>
      <c r="B756" s="2"/>
      <c r="C756" s="2"/>
      <c r="D756" s="2"/>
      <c r="E756" s="2"/>
      <c r="F756" s="2"/>
      <c r="G756" s="2"/>
    </row>
    <row r="757" spans="1:7" x14ac:dyDescent="0.2">
      <c r="A757" s="2"/>
      <c r="B757" s="2"/>
      <c r="C757" s="2"/>
      <c r="D757" s="2"/>
      <c r="E757" s="2"/>
      <c r="F757" s="2"/>
      <c r="G757" s="2"/>
    </row>
    <row r="758" spans="1:7" x14ac:dyDescent="0.2">
      <c r="A758" s="2"/>
      <c r="B758" s="2"/>
      <c r="C758" s="2"/>
      <c r="D758" s="2"/>
      <c r="E758" s="2"/>
      <c r="F758" s="2"/>
      <c r="G758" s="2"/>
    </row>
    <row r="759" spans="1:7" x14ac:dyDescent="0.2">
      <c r="A759" s="2"/>
      <c r="B759" s="2"/>
      <c r="C759" s="2"/>
      <c r="D759" s="2"/>
      <c r="E759" s="2"/>
      <c r="F759" s="2"/>
      <c r="G759" s="2"/>
    </row>
    <row r="760" spans="1:7" x14ac:dyDescent="0.2">
      <c r="A760" s="2"/>
      <c r="B760" s="2"/>
      <c r="C760" s="2"/>
      <c r="D760" s="2"/>
      <c r="E760" s="2"/>
      <c r="F760" s="2"/>
      <c r="G760" s="2"/>
    </row>
    <row r="761" spans="1:7" x14ac:dyDescent="0.2">
      <c r="A761" s="2"/>
      <c r="B761" s="2"/>
      <c r="C761" s="2"/>
      <c r="D761" s="2"/>
      <c r="E761" s="2"/>
      <c r="F761" s="2"/>
      <c r="G761" s="2"/>
    </row>
    <row r="762" spans="1:7" x14ac:dyDescent="0.2">
      <c r="A762" s="2"/>
      <c r="B762" s="2"/>
      <c r="C762" s="2"/>
      <c r="D762" s="2"/>
      <c r="E762" s="2"/>
      <c r="F762" s="2"/>
      <c r="G762" s="2"/>
    </row>
    <row r="763" spans="1:7" x14ac:dyDescent="0.2">
      <c r="A763" s="2"/>
      <c r="B763" s="2"/>
      <c r="C763" s="2"/>
      <c r="D763" s="2"/>
      <c r="E763" s="2"/>
      <c r="F763" s="2"/>
      <c r="G763" s="2"/>
    </row>
    <row r="764" spans="1:7" x14ac:dyDescent="0.2">
      <c r="A764" s="2"/>
      <c r="B764" s="2"/>
      <c r="C764" s="2"/>
      <c r="D764" s="2"/>
      <c r="E764" s="2"/>
      <c r="F764" s="2"/>
      <c r="G764" s="2"/>
    </row>
    <row r="765" spans="1:7" x14ac:dyDescent="0.2">
      <c r="A765" s="2"/>
      <c r="B765" s="2"/>
      <c r="C765" s="2"/>
      <c r="D765" s="2"/>
      <c r="E765" s="2"/>
      <c r="F765" s="2"/>
      <c r="G765" s="2"/>
    </row>
    <row r="766" spans="1:7" x14ac:dyDescent="0.2">
      <c r="A766" s="2"/>
      <c r="B766" s="2"/>
      <c r="C766" s="2"/>
      <c r="D766" s="2"/>
      <c r="E766" s="2"/>
      <c r="F766" s="2"/>
      <c r="G766" s="2"/>
    </row>
    <row r="767" spans="1:7" x14ac:dyDescent="0.2">
      <c r="A767" s="2"/>
      <c r="B767" s="2"/>
      <c r="C767" s="2"/>
      <c r="D767" s="2"/>
      <c r="E767" s="2"/>
      <c r="F767" s="2"/>
      <c r="G767" s="2"/>
    </row>
    <row r="768" spans="1:7" x14ac:dyDescent="0.2">
      <c r="A768" s="2"/>
      <c r="B768" s="2"/>
      <c r="C768" s="2"/>
      <c r="D768" s="2"/>
      <c r="E768" s="2"/>
      <c r="F768" s="2"/>
      <c r="G768" s="2"/>
    </row>
    <row r="769" spans="1:7" x14ac:dyDescent="0.2">
      <c r="A769" s="2"/>
      <c r="B769" s="2"/>
      <c r="C769" s="2"/>
      <c r="D769" s="2"/>
      <c r="E769" s="2"/>
      <c r="F769" s="2"/>
      <c r="G769" s="2"/>
    </row>
    <row r="770" spans="1:7" x14ac:dyDescent="0.2">
      <c r="A770" s="2"/>
      <c r="B770" s="2"/>
      <c r="C770" s="2"/>
      <c r="D770" s="2"/>
      <c r="E770" s="2"/>
      <c r="F770" s="2"/>
      <c r="G770" s="2"/>
    </row>
    <row r="771" spans="1:7" x14ac:dyDescent="0.2">
      <c r="A771" s="2"/>
      <c r="B771" s="2"/>
      <c r="C771" s="2"/>
      <c r="D771" s="2"/>
      <c r="E771" s="2"/>
      <c r="F771" s="2"/>
      <c r="G771" s="2"/>
    </row>
    <row r="772" spans="1:7" x14ac:dyDescent="0.2">
      <c r="A772" s="2"/>
      <c r="B772" s="2"/>
      <c r="C772" s="2"/>
      <c r="D772" s="2"/>
      <c r="E772" s="2"/>
      <c r="F772" s="2"/>
      <c r="G772" s="2"/>
    </row>
    <row r="773" spans="1:7" x14ac:dyDescent="0.2">
      <c r="A773" s="2"/>
      <c r="B773" s="2"/>
      <c r="C773" s="2"/>
      <c r="D773" s="2"/>
      <c r="E773" s="2"/>
      <c r="F773" s="2"/>
      <c r="G773" s="2"/>
    </row>
    <row r="774" spans="1:7" x14ac:dyDescent="0.2">
      <c r="A774" s="2"/>
      <c r="B774" s="2"/>
      <c r="C774" s="2"/>
      <c r="D774" s="2"/>
      <c r="E774" s="2"/>
      <c r="F774" s="2"/>
      <c r="G774" s="2"/>
    </row>
    <row r="775" spans="1:7" x14ac:dyDescent="0.2">
      <c r="A775" s="2"/>
      <c r="B775" s="2"/>
      <c r="C775" s="2"/>
      <c r="D775" s="2"/>
      <c r="E775" s="2"/>
      <c r="F775" s="2"/>
      <c r="G775" s="2"/>
    </row>
    <row r="776" spans="1:7" x14ac:dyDescent="0.2">
      <c r="A776" s="2"/>
      <c r="B776" s="2"/>
      <c r="C776" s="2"/>
      <c r="D776" s="2"/>
      <c r="E776" s="2"/>
      <c r="F776" s="2"/>
      <c r="G776" s="2"/>
    </row>
    <row r="777" spans="1:7" x14ac:dyDescent="0.2">
      <c r="A777" s="2"/>
      <c r="B777" s="2"/>
      <c r="C777" s="2"/>
      <c r="D777" s="2"/>
      <c r="E777" s="2"/>
      <c r="F777" s="2"/>
      <c r="G777" s="2"/>
    </row>
    <row r="778" spans="1:7" x14ac:dyDescent="0.2">
      <c r="A778" s="2"/>
      <c r="B778" s="2"/>
      <c r="C778" s="2"/>
      <c r="D778" s="2"/>
      <c r="E778" s="2"/>
      <c r="F778" s="2"/>
      <c r="G778" s="2"/>
    </row>
    <row r="779" spans="1:7" x14ac:dyDescent="0.2">
      <c r="A779" s="2"/>
      <c r="B779" s="2"/>
      <c r="C779" s="2"/>
      <c r="D779" s="2"/>
      <c r="E779" s="2"/>
      <c r="F779" s="2"/>
      <c r="G779" s="2"/>
    </row>
    <row r="780" spans="1:7" x14ac:dyDescent="0.2">
      <c r="A780" s="2"/>
      <c r="B780" s="2"/>
      <c r="C780" s="2"/>
      <c r="D780" s="2"/>
      <c r="E780" s="2"/>
      <c r="F780" s="2"/>
      <c r="G780" s="2"/>
    </row>
    <row r="781" spans="1:7" x14ac:dyDescent="0.2">
      <c r="A781" s="2"/>
      <c r="B781" s="2"/>
      <c r="C781" s="2"/>
      <c r="D781" s="2"/>
      <c r="E781" s="2"/>
      <c r="F781" s="2"/>
      <c r="G781" s="2"/>
    </row>
    <row r="782" spans="1:7" x14ac:dyDescent="0.2">
      <c r="A782" s="2"/>
      <c r="B782" s="2"/>
      <c r="C782" s="2"/>
      <c r="D782" s="2"/>
      <c r="E782" s="2"/>
      <c r="F782" s="2"/>
      <c r="G782" s="2"/>
    </row>
    <row r="783" spans="1:7" x14ac:dyDescent="0.2">
      <c r="A783" s="2"/>
      <c r="B783" s="2"/>
      <c r="C783" s="2"/>
      <c r="D783" s="2"/>
      <c r="E783" s="2"/>
      <c r="F783" s="2"/>
      <c r="G783" s="2"/>
    </row>
    <row r="784" spans="1:7" x14ac:dyDescent="0.2">
      <c r="A784" s="2"/>
      <c r="B784" s="2"/>
      <c r="C784" s="2"/>
      <c r="D784" s="2"/>
      <c r="E784" s="2"/>
      <c r="F784" s="2"/>
      <c r="G784" s="2"/>
    </row>
    <row r="785" spans="1:7" x14ac:dyDescent="0.2">
      <c r="A785" s="2"/>
      <c r="B785" s="2"/>
      <c r="C785" s="2"/>
      <c r="D785" s="2"/>
      <c r="E785" s="2"/>
      <c r="F785" s="2"/>
      <c r="G785" s="2"/>
    </row>
    <row r="786" spans="1:7" x14ac:dyDescent="0.2">
      <c r="A786" s="2"/>
      <c r="B786" s="2"/>
      <c r="C786" s="2"/>
      <c r="D786" s="2"/>
      <c r="E786" s="2"/>
      <c r="F786" s="2"/>
      <c r="G786" s="2"/>
    </row>
    <row r="787" spans="1:7" x14ac:dyDescent="0.2">
      <c r="A787" s="2"/>
      <c r="B787" s="2"/>
      <c r="C787" s="2"/>
      <c r="D787" s="2"/>
      <c r="E787" s="2"/>
      <c r="F787" s="2"/>
      <c r="G787" s="2"/>
    </row>
    <row r="788" spans="1:7" x14ac:dyDescent="0.2">
      <c r="A788" s="2"/>
      <c r="B788" s="2"/>
      <c r="C788" s="2"/>
      <c r="D788" s="2"/>
      <c r="E788" s="2"/>
      <c r="F788" s="2"/>
      <c r="G788" s="2"/>
    </row>
    <row r="789" spans="1:7" x14ac:dyDescent="0.2">
      <c r="A789" s="2"/>
      <c r="B789" s="2"/>
      <c r="C789" s="2"/>
      <c r="D789" s="2"/>
      <c r="E789" s="2"/>
      <c r="F789" s="2"/>
      <c r="G789" s="2"/>
    </row>
    <row r="790" spans="1:7" x14ac:dyDescent="0.2">
      <c r="A790" s="2"/>
      <c r="B790" s="2"/>
      <c r="C790" s="2"/>
      <c r="D790" s="2"/>
      <c r="E790" s="2"/>
      <c r="F790" s="2"/>
      <c r="G790" s="2"/>
    </row>
    <row r="791" spans="1:7" x14ac:dyDescent="0.2">
      <c r="A791" s="2"/>
      <c r="B791" s="2"/>
      <c r="C791" s="2"/>
      <c r="D791" s="2"/>
      <c r="E791" s="2"/>
      <c r="F791" s="2"/>
      <c r="G791" s="2"/>
    </row>
    <row r="792" spans="1:7" x14ac:dyDescent="0.2">
      <c r="A792" s="2"/>
      <c r="B792" s="2"/>
      <c r="C792" s="2"/>
      <c r="D792" s="2"/>
      <c r="E792" s="2"/>
      <c r="F792" s="2"/>
      <c r="G792" s="2"/>
    </row>
    <row r="793" spans="1:7" x14ac:dyDescent="0.2">
      <c r="A793" s="2"/>
      <c r="B793" s="2"/>
      <c r="C793" s="2"/>
      <c r="D793" s="2"/>
      <c r="E793" s="2"/>
      <c r="F793" s="2"/>
      <c r="G793" s="2"/>
    </row>
    <row r="794" spans="1:7" x14ac:dyDescent="0.2">
      <c r="A794" s="2"/>
      <c r="B794" s="2"/>
      <c r="C794" s="2"/>
      <c r="D794" s="2"/>
      <c r="E794" s="2"/>
      <c r="F794" s="2"/>
      <c r="G794" s="2"/>
    </row>
    <row r="795" spans="1:7" x14ac:dyDescent="0.2">
      <c r="A795" s="2"/>
      <c r="B795" s="2"/>
      <c r="C795" s="2"/>
      <c r="D795" s="2"/>
      <c r="E795" s="2"/>
      <c r="F795" s="2"/>
      <c r="G795" s="2"/>
    </row>
    <row r="796" spans="1:7" x14ac:dyDescent="0.2">
      <c r="A796" s="2"/>
      <c r="B796" s="2"/>
      <c r="C796" s="2"/>
      <c r="D796" s="2"/>
      <c r="E796" s="2"/>
      <c r="F796" s="2"/>
      <c r="G796" s="2"/>
    </row>
    <row r="797" spans="1:7" x14ac:dyDescent="0.2">
      <c r="A797" s="2"/>
      <c r="B797" s="2"/>
      <c r="C797" s="2"/>
      <c r="D797" s="2"/>
      <c r="E797" s="2"/>
      <c r="F797" s="2"/>
      <c r="G797" s="2"/>
    </row>
    <row r="798" spans="1:7" x14ac:dyDescent="0.2">
      <c r="A798" s="2"/>
      <c r="B798" s="2"/>
      <c r="C798" s="2"/>
      <c r="D798" s="2"/>
      <c r="E798" s="2"/>
      <c r="F798" s="2"/>
      <c r="G798" s="2"/>
    </row>
    <row r="799" spans="1:7" x14ac:dyDescent="0.2">
      <c r="A799" s="2"/>
      <c r="B799" s="2"/>
      <c r="C799" s="2"/>
      <c r="D799" s="2"/>
      <c r="E799" s="2"/>
      <c r="F799" s="2"/>
      <c r="G799" s="2"/>
    </row>
    <row r="800" spans="1:7" x14ac:dyDescent="0.2">
      <c r="A800" s="2"/>
      <c r="B800" s="2"/>
      <c r="C800" s="2"/>
      <c r="D800" s="2"/>
      <c r="E800" s="2"/>
      <c r="F800" s="2"/>
      <c r="G800" s="2"/>
    </row>
    <row r="801" spans="1:7" x14ac:dyDescent="0.2">
      <c r="A801" s="2"/>
      <c r="B801" s="2"/>
      <c r="C801" s="2"/>
      <c r="D801" s="2"/>
      <c r="E801" s="2"/>
      <c r="F801" s="2"/>
      <c r="G801" s="2"/>
    </row>
    <row r="802" spans="1:7" x14ac:dyDescent="0.2">
      <c r="A802" s="2"/>
      <c r="B802" s="2"/>
      <c r="C802" s="2"/>
      <c r="D802" s="2"/>
      <c r="E802" s="2"/>
      <c r="F802" s="2"/>
      <c r="G802" s="2"/>
    </row>
    <row r="803" spans="1:7" x14ac:dyDescent="0.2">
      <c r="A803" s="2"/>
      <c r="B803" s="2"/>
      <c r="C803" s="2"/>
      <c r="D803" s="2"/>
      <c r="E803" s="2"/>
      <c r="F803" s="2"/>
      <c r="G803" s="2"/>
    </row>
    <row r="804" spans="1:7" x14ac:dyDescent="0.2">
      <c r="A804" s="2"/>
      <c r="B804" s="2"/>
      <c r="C804" s="2"/>
      <c r="D804" s="2"/>
      <c r="E804" s="2"/>
      <c r="F804" s="2"/>
      <c r="G804" s="2"/>
    </row>
    <row r="805" spans="1:7" x14ac:dyDescent="0.2">
      <c r="A805" s="2"/>
      <c r="B805" s="2"/>
      <c r="C805" s="2"/>
      <c r="D805" s="2"/>
      <c r="E805" s="2"/>
      <c r="F805" s="2"/>
      <c r="G805" s="2"/>
    </row>
    <row r="806" spans="1:7" x14ac:dyDescent="0.2">
      <c r="A806" s="2"/>
      <c r="B806" s="2"/>
      <c r="C806" s="2"/>
      <c r="D806" s="2"/>
      <c r="E806" s="2"/>
      <c r="F806" s="2"/>
      <c r="G806" s="2"/>
    </row>
    <row r="807" spans="1:7" x14ac:dyDescent="0.2">
      <c r="A807" s="2"/>
      <c r="B807" s="2"/>
      <c r="C807" s="2"/>
      <c r="D807" s="2"/>
      <c r="E807" s="2"/>
      <c r="F807" s="2"/>
      <c r="G807" s="2"/>
    </row>
    <row r="808" spans="1:7" x14ac:dyDescent="0.2">
      <c r="A808" s="2"/>
      <c r="B808" s="2"/>
      <c r="C808" s="2"/>
      <c r="D808" s="2"/>
      <c r="E808" s="2"/>
      <c r="F808" s="2"/>
      <c r="G808" s="2"/>
    </row>
    <row r="809" spans="1:7" x14ac:dyDescent="0.2">
      <c r="A809" s="2"/>
      <c r="B809" s="2"/>
      <c r="C809" s="2"/>
      <c r="D809" s="2"/>
      <c r="E809" s="2"/>
      <c r="F809" s="2"/>
      <c r="G809" s="2"/>
    </row>
    <row r="810" spans="1:7" x14ac:dyDescent="0.2">
      <c r="A810" s="2"/>
      <c r="B810" s="2"/>
      <c r="C810" s="2"/>
      <c r="D810" s="2"/>
      <c r="E810" s="2"/>
      <c r="F810" s="2"/>
      <c r="G810" s="2"/>
    </row>
    <row r="811" spans="1:7" x14ac:dyDescent="0.2">
      <c r="A811" s="2"/>
      <c r="B811" s="2"/>
      <c r="C811" s="2"/>
      <c r="D811" s="2"/>
      <c r="E811" s="2"/>
      <c r="F811" s="2"/>
      <c r="G811" s="2"/>
    </row>
    <row r="812" spans="1:7" x14ac:dyDescent="0.2">
      <c r="A812" s="2"/>
      <c r="B812" s="2"/>
      <c r="C812" s="2"/>
      <c r="D812" s="2"/>
      <c r="E812" s="2"/>
      <c r="F812" s="2"/>
      <c r="G812" s="2"/>
    </row>
    <row r="813" spans="1:7" x14ac:dyDescent="0.2">
      <c r="A813" s="2"/>
      <c r="B813" s="2"/>
      <c r="C813" s="2"/>
      <c r="D813" s="2"/>
      <c r="E813" s="2"/>
      <c r="F813" s="2"/>
      <c r="G813" s="2"/>
    </row>
    <row r="814" spans="1:7" x14ac:dyDescent="0.2">
      <c r="A814" s="2"/>
      <c r="B814" s="2"/>
      <c r="C814" s="2"/>
      <c r="D814" s="2"/>
      <c r="E814" s="2"/>
      <c r="F814" s="2"/>
      <c r="G814" s="2"/>
    </row>
    <row r="815" spans="1:7" x14ac:dyDescent="0.2">
      <c r="A815" s="2"/>
      <c r="B815" s="2"/>
      <c r="C815" s="2"/>
      <c r="D815" s="2"/>
      <c r="E815" s="2"/>
      <c r="F815" s="2"/>
      <c r="G815" s="2"/>
    </row>
    <row r="816" spans="1:7" x14ac:dyDescent="0.2">
      <c r="A816" s="2"/>
      <c r="B816" s="2"/>
      <c r="C816" s="2"/>
      <c r="D816" s="2"/>
      <c r="E816" s="2"/>
      <c r="F816" s="2"/>
      <c r="G816" s="2"/>
    </row>
    <row r="817" spans="1:7" x14ac:dyDescent="0.2">
      <c r="A817" s="2"/>
      <c r="B817" s="2"/>
      <c r="C817" s="2"/>
      <c r="D817" s="2"/>
      <c r="E817" s="2"/>
      <c r="F817" s="2"/>
      <c r="G817" s="2"/>
    </row>
    <row r="818" spans="1:7" x14ac:dyDescent="0.2">
      <c r="A818" s="2"/>
      <c r="B818" s="2"/>
      <c r="C818" s="2"/>
      <c r="D818" s="2"/>
      <c r="E818" s="2"/>
      <c r="F818" s="2"/>
      <c r="G818" s="2"/>
    </row>
    <row r="819" spans="1:7" x14ac:dyDescent="0.2">
      <c r="A819" s="2"/>
      <c r="B819" s="2"/>
      <c r="C819" s="2"/>
      <c r="D819" s="2"/>
      <c r="E819" s="2"/>
      <c r="F819" s="2"/>
      <c r="G819" s="2"/>
    </row>
    <row r="820" spans="1:7" x14ac:dyDescent="0.2">
      <c r="A820" s="2"/>
      <c r="B820" s="2"/>
      <c r="C820" s="2"/>
      <c r="D820" s="2"/>
      <c r="E820" s="2"/>
      <c r="F820" s="2"/>
      <c r="G820" s="2"/>
    </row>
    <row r="821" spans="1:7" x14ac:dyDescent="0.2">
      <c r="A821" s="2"/>
      <c r="B821" s="2"/>
      <c r="C821" s="2"/>
      <c r="D821" s="2"/>
      <c r="E821" s="2"/>
      <c r="F821" s="2"/>
      <c r="G821" s="2"/>
    </row>
    <row r="822" spans="1:7" x14ac:dyDescent="0.2">
      <c r="A822" s="2"/>
      <c r="B822" s="2"/>
      <c r="C822" s="2"/>
      <c r="D822" s="2"/>
      <c r="E822" s="2"/>
      <c r="F822" s="2"/>
      <c r="G822" s="2"/>
    </row>
    <row r="823" spans="1:7" x14ac:dyDescent="0.2">
      <c r="A823" s="2"/>
      <c r="B823" s="2"/>
      <c r="C823" s="2"/>
      <c r="D823" s="2"/>
      <c r="E823" s="2"/>
      <c r="F823" s="2"/>
      <c r="G823" s="2"/>
    </row>
    <row r="824" spans="1:7" x14ac:dyDescent="0.2">
      <c r="A824" s="2"/>
      <c r="B824" s="2"/>
      <c r="C824" s="2"/>
      <c r="D824" s="2"/>
      <c r="E824" s="2"/>
      <c r="F824" s="2"/>
      <c r="G824" s="2"/>
    </row>
    <row r="825" spans="1:7" x14ac:dyDescent="0.2">
      <c r="A825" s="2"/>
      <c r="B825" s="2"/>
      <c r="C825" s="2"/>
      <c r="D825" s="2"/>
      <c r="E825" s="2"/>
      <c r="F825" s="2"/>
      <c r="G825" s="2"/>
    </row>
    <row r="826" spans="1:7" x14ac:dyDescent="0.2">
      <c r="A826" s="2"/>
      <c r="B826" s="2"/>
      <c r="C826" s="2"/>
      <c r="D826" s="2"/>
      <c r="E826" s="2"/>
      <c r="F826" s="2"/>
      <c r="G826" s="2"/>
    </row>
    <row r="827" spans="1:7" x14ac:dyDescent="0.2">
      <c r="A827" s="2"/>
      <c r="B827" s="2"/>
      <c r="C827" s="2"/>
      <c r="D827" s="2"/>
      <c r="E827" s="2"/>
      <c r="F827" s="2"/>
      <c r="G827" s="2"/>
    </row>
    <row r="828" spans="1:7" x14ac:dyDescent="0.2">
      <c r="A828" s="2"/>
      <c r="B828" s="2"/>
      <c r="C828" s="2"/>
      <c r="D828" s="2"/>
      <c r="E828" s="2"/>
      <c r="F828" s="2"/>
      <c r="G828" s="2"/>
    </row>
    <row r="829" spans="1:7" x14ac:dyDescent="0.2">
      <c r="A829" s="2"/>
      <c r="B829" s="2"/>
      <c r="C829" s="2"/>
      <c r="D829" s="2"/>
      <c r="E829" s="2"/>
      <c r="F829" s="2"/>
      <c r="G829" s="2"/>
    </row>
    <row r="830" spans="1:7" x14ac:dyDescent="0.2">
      <c r="A830" s="2"/>
      <c r="B830" s="2"/>
      <c r="C830" s="2"/>
      <c r="D830" s="2"/>
      <c r="E830" s="2"/>
      <c r="F830" s="2"/>
      <c r="G830" s="2"/>
    </row>
    <row r="831" spans="1:7" x14ac:dyDescent="0.2">
      <c r="A831" s="2"/>
      <c r="B831" s="2"/>
      <c r="C831" s="2"/>
      <c r="D831" s="2"/>
      <c r="E831" s="2"/>
      <c r="F831" s="2"/>
      <c r="G831" s="2"/>
    </row>
    <row r="832" spans="1:7" x14ac:dyDescent="0.2">
      <c r="A832" s="2"/>
      <c r="B832" s="2"/>
      <c r="C832" s="2"/>
      <c r="D832" s="2"/>
      <c r="E832" s="2"/>
      <c r="F832" s="2"/>
      <c r="G832" s="2"/>
    </row>
    <row r="833" spans="1:7" x14ac:dyDescent="0.2">
      <c r="A833" s="2"/>
      <c r="B833" s="2"/>
      <c r="C833" s="2"/>
      <c r="D833" s="2"/>
      <c r="E833" s="2"/>
      <c r="F833" s="2"/>
      <c r="G833" s="2"/>
    </row>
    <row r="834" spans="1:7" x14ac:dyDescent="0.2">
      <c r="A834" s="2"/>
      <c r="B834" s="2"/>
      <c r="C834" s="2"/>
      <c r="D834" s="2"/>
      <c r="E834" s="2"/>
      <c r="F834" s="2"/>
      <c r="G834" s="2"/>
    </row>
    <row r="835" spans="1:7" x14ac:dyDescent="0.2">
      <c r="A835" s="2"/>
      <c r="B835" s="2"/>
      <c r="C835" s="2"/>
      <c r="D835" s="2"/>
      <c r="E835" s="2"/>
      <c r="F835" s="2"/>
      <c r="G835" s="2"/>
    </row>
    <row r="836" spans="1:7" x14ac:dyDescent="0.2">
      <c r="A836" s="2"/>
      <c r="B836" s="2"/>
      <c r="C836" s="2"/>
      <c r="D836" s="2"/>
      <c r="E836" s="2"/>
      <c r="F836" s="2"/>
      <c r="G836" s="2"/>
    </row>
    <row r="837" spans="1:7" x14ac:dyDescent="0.2">
      <c r="A837" s="2"/>
      <c r="B837" s="2"/>
      <c r="C837" s="2"/>
      <c r="D837" s="2"/>
      <c r="E837" s="2"/>
      <c r="F837" s="2"/>
      <c r="G837" s="2"/>
    </row>
    <row r="838" spans="1:7" x14ac:dyDescent="0.2">
      <c r="A838" s="2"/>
      <c r="B838" s="2"/>
      <c r="C838" s="2"/>
      <c r="D838" s="2"/>
      <c r="E838" s="2"/>
      <c r="F838" s="2"/>
      <c r="G838" s="2"/>
    </row>
    <row r="839" spans="1:7" x14ac:dyDescent="0.2">
      <c r="A839" s="2"/>
      <c r="B839" s="2"/>
      <c r="C839" s="2"/>
      <c r="D839" s="2"/>
      <c r="E839" s="2"/>
      <c r="F839" s="2"/>
      <c r="G839" s="2"/>
    </row>
    <row r="840" spans="1:7" x14ac:dyDescent="0.2">
      <c r="A840" s="2"/>
      <c r="B840" s="2"/>
      <c r="C840" s="2"/>
      <c r="D840" s="2"/>
      <c r="E840" s="2"/>
      <c r="F840" s="2"/>
      <c r="G840" s="2"/>
    </row>
    <row r="841" spans="1:7" x14ac:dyDescent="0.2">
      <c r="A841" s="2"/>
      <c r="B841" s="2"/>
      <c r="C841" s="2"/>
      <c r="D841" s="2"/>
      <c r="E841" s="2"/>
      <c r="F841" s="2"/>
      <c r="G841" s="2"/>
    </row>
    <row r="842" spans="1:7" x14ac:dyDescent="0.2">
      <c r="A842" s="2"/>
      <c r="B842" s="2"/>
      <c r="C842" s="2"/>
      <c r="D842" s="2"/>
      <c r="E842" s="2"/>
      <c r="F842" s="2"/>
      <c r="G842" s="2"/>
    </row>
    <row r="843" spans="1:7" x14ac:dyDescent="0.2">
      <c r="A843" s="2"/>
      <c r="B843" s="2"/>
      <c r="C843" s="2"/>
      <c r="D843" s="2"/>
      <c r="E843" s="2"/>
      <c r="F843" s="2"/>
      <c r="G843" s="2"/>
    </row>
    <row r="844" spans="1:7" x14ac:dyDescent="0.2">
      <c r="A844" s="2"/>
      <c r="B844" s="2"/>
      <c r="C844" s="2"/>
      <c r="D844" s="2"/>
      <c r="E844" s="2"/>
      <c r="F844" s="2"/>
      <c r="G844" s="2"/>
    </row>
    <row r="845" spans="1:7" x14ac:dyDescent="0.2">
      <c r="A845" s="2"/>
      <c r="B845" s="2"/>
      <c r="C845" s="2"/>
      <c r="D845" s="2"/>
      <c r="E845" s="2"/>
      <c r="F845" s="2"/>
      <c r="G845" s="2"/>
    </row>
    <row r="846" spans="1:7" x14ac:dyDescent="0.2">
      <c r="A846" s="2"/>
      <c r="B846" s="2"/>
      <c r="C846" s="2"/>
      <c r="D846" s="2"/>
      <c r="E846" s="2"/>
      <c r="F846" s="2"/>
      <c r="G846" s="2"/>
    </row>
    <row r="847" spans="1:7" x14ac:dyDescent="0.2">
      <c r="A847" s="2"/>
      <c r="B847" s="2"/>
      <c r="C847" s="2"/>
      <c r="D847" s="2"/>
      <c r="E847" s="2"/>
      <c r="F847" s="2"/>
      <c r="G847" s="2"/>
    </row>
    <row r="848" spans="1:7" x14ac:dyDescent="0.2">
      <c r="A848" s="2"/>
      <c r="B848" s="2"/>
      <c r="C848" s="2"/>
      <c r="D848" s="2"/>
      <c r="E848" s="2"/>
      <c r="F848" s="2"/>
      <c r="G848" s="2"/>
    </row>
    <row r="849" spans="1:7" x14ac:dyDescent="0.2">
      <c r="A849" s="2"/>
      <c r="B849" s="2"/>
      <c r="C849" s="2"/>
      <c r="D849" s="2"/>
      <c r="E849" s="2"/>
      <c r="F849" s="2"/>
      <c r="G849" s="2"/>
    </row>
    <row r="850" spans="1:7" x14ac:dyDescent="0.2">
      <c r="A850" s="2"/>
      <c r="B850" s="2"/>
      <c r="C850" s="2"/>
      <c r="D850" s="2"/>
      <c r="E850" s="2"/>
      <c r="F850" s="2"/>
      <c r="G850" s="2"/>
    </row>
    <row r="851" spans="1:7" x14ac:dyDescent="0.2">
      <c r="A851" s="2"/>
      <c r="B851" s="2"/>
      <c r="C851" s="2"/>
      <c r="D851" s="2"/>
      <c r="E851" s="2"/>
      <c r="F851" s="2"/>
      <c r="G851" s="2"/>
    </row>
    <row r="852" spans="1:7" x14ac:dyDescent="0.2">
      <c r="A852" s="2"/>
      <c r="B852" s="2"/>
      <c r="C852" s="2"/>
      <c r="D852" s="2"/>
      <c r="E852" s="2"/>
      <c r="F852" s="2"/>
      <c r="G852" s="2"/>
    </row>
    <row r="853" spans="1:7" x14ac:dyDescent="0.2">
      <c r="A853" s="2"/>
      <c r="B853" s="2"/>
      <c r="C853" s="2"/>
      <c r="D853" s="2"/>
      <c r="E853" s="2"/>
      <c r="F853" s="2"/>
      <c r="G853" s="2"/>
    </row>
    <row r="854" spans="1:7" x14ac:dyDescent="0.2">
      <c r="A854" s="2"/>
      <c r="B854" s="2"/>
      <c r="C854" s="2"/>
      <c r="D854" s="2"/>
      <c r="E854" s="2"/>
      <c r="F854" s="2"/>
      <c r="G854" s="2"/>
    </row>
    <row r="855" spans="1:7" x14ac:dyDescent="0.2">
      <c r="A855" s="2"/>
      <c r="B855" s="2"/>
      <c r="C855" s="2"/>
      <c r="D855" s="2"/>
      <c r="E855" s="2"/>
      <c r="F855" s="2"/>
      <c r="G855" s="2"/>
    </row>
    <row r="856" spans="1:7" x14ac:dyDescent="0.2">
      <c r="A856" s="2"/>
      <c r="B856" s="2"/>
      <c r="C856" s="2"/>
      <c r="D856" s="2"/>
      <c r="E856" s="2"/>
      <c r="F856" s="2"/>
      <c r="G856" s="2"/>
    </row>
    <row r="857" spans="1:7" x14ac:dyDescent="0.2">
      <c r="A857" s="2"/>
      <c r="B857" s="2"/>
      <c r="C857" s="2"/>
      <c r="D857" s="2"/>
      <c r="E857" s="2"/>
      <c r="F857" s="2"/>
      <c r="G857" s="2"/>
    </row>
    <row r="858" spans="1:7" x14ac:dyDescent="0.2">
      <c r="A858" s="2"/>
      <c r="B858" s="2"/>
      <c r="C858" s="2"/>
      <c r="D858" s="2"/>
      <c r="E858" s="2"/>
      <c r="F858" s="2"/>
      <c r="G858" s="2"/>
    </row>
    <row r="859" spans="1:7" x14ac:dyDescent="0.2">
      <c r="A859" s="2"/>
      <c r="B859" s="2"/>
      <c r="C859" s="2"/>
      <c r="D859" s="2"/>
      <c r="E859" s="2"/>
      <c r="F859" s="2"/>
      <c r="G859" s="2"/>
    </row>
    <row r="860" spans="1:7" x14ac:dyDescent="0.2">
      <c r="A860" s="2"/>
      <c r="B860" s="2"/>
      <c r="C860" s="2"/>
      <c r="D860" s="2"/>
      <c r="E860" s="2"/>
      <c r="F860" s="2"/>
      <c r="G860" s="2"/>
    </row>
    <row r="861" spans="1:7" x14ac:dyDescent="0.2">
      <c r="A861" s="2"/>
      <c r="B861" s="2"/>
      <c r="C861" s="2"/>
      <c r="D861" s="2"/>
      <c r="E861" s="2"/>
      <c r="F861" s="2"/>
      <c r="G861" s="2"/>
    </row>
    <row r="862" spans="1:7" x14ac:dyDescent="0.2">
      <c r="A862" s="2"/>
      <c r="B862" s="2"/>
      <c r="C862" s="2"/>
      <c r="D862" s="2"/>
      <c r="E862" s="2"/>
      <c r="F862" s="2"/>
      <c r="G862" s="2"/>
    </row>
    <row r="863" spans="1:7" x14ac:dyDescent="0.2">
      <c r="A863" s="2"/>
      <c r="B863" s="2"/>
      <c r="C863" s="2"/>
      <c r="D863" s="2"/>
      <c r="E863" s="2"/>
      <c r="F863" s="2"/>
      <c r="G863" s="2"/>
    </row>
    <row r="864" spans="1:7" x14ac:dyDescent="0.2">
      <c r="A864" s="2"/>
      <c r="B864" s="2"/>
      <c r="C864" s="2"/>
      <c r="D864" s="2"/>
      <c r="E864" s="2"/>
      <c r="F864" s="2"/>
      <c r="G864" s="2"/>
    </row>
    <row r="865" spans="1:7" x14ac:dyDescent="0.2">
      <c r="A865" s="2"/>
      <c r="B865" s="2"/>
      <c r="C865" s="2"/>
      <c r="D865" s="2"/>
      <c r="E865" s="2"/>
      <c r="F865" s="2"/>
      <c r="G865" s="2"/>
    </row>
    <row r="866" spans="1:7" x14ac:dyDescent="0.2">
      <c r="A866" s="2"/>
      <c r="B866" s="2"/>
      <c r="C866" s="2"/>
      <c r="D866" s="2"/>
      <c r="E866" s="2"/>
      <c r="F866" s="2"/>
      <c r="G866" s="2"/>
    </row>
    <row r="867" spans="1:7" x14ac:dyDescent="0.2">
      <c r="A867" s="2"/>
      <c r="B867" s="2"/>
      <c r="C867" s="2"/>
      <c r="D867" s="2"/>
      <c r="E867" s="2"/>
      <c r="F867" s="2"/>
      <c r="G867" s="2"/>
    </row>
    <row r="868" spans="1:7" x14ac:dyDescent="0.2">
      <c r="A868" s="2"/>
      <c r="B868" s="2"/>
      <c r="C868" s="2"/>
      <c r="D868" s="2"/>
      <c r="E868" s="2"/>
      <c r="F868" s="2"/>
      <c r="G868" s="2"/>
    </row>
    <row r="869" spans="1:7" x14ac:dyDescent="0.2">
      <c r="A869" s="2"/>
      <c r="B869" s="2"/>
      <c r="C869" s="2"/>
      <c r="D869" s="2"/>
      <c r="E869" s="2"/>
      <c r="F869" s="2"/>
      <c r="G869" s="2"/>
    </row>
    <row r="870" spans="1:7" x14ac:dyDescent="0.2">
      <c r="A870" s="2"/>
      <c r="B870" s="2"/>
      <c r="C870" s="2"/>
      <c r="D870" s="2"/>
      <c r="E870" s="2"/>
      <c r="F870" s="2"/>
      <c r="G870" s="2"/>
    </row>
    <row r="871" spans="1:7" x14ac:dyDescent="0.2">
      <c r="A871" s="2"/>
      <c r="B871" s="2"/>
      <c r="C871" s="2"/>
      <c r="D871" s="2"/>
      <c r="E871" s="2"/>
      <c r="F871" s="2"/>
      <c r="G871" s="2"/>
    </row>
    <row r="872" spans="1:7" x14ac:dyDescent="0.2">
      <c r="A872" s="2"/>
      <c r="B872" s="2"/>
      <c r="C872" s="2"/>
      <c r="D872" s="2"/>
      <c r="E872" s="2"/>
      <c r="F872" s="2"/>
      <c r="G872" s="2"/>
    </row>
    <row r="873" spans="1:7" x14ac:dyDescent="0.2">
      <c r="A873" s="2"/>
      <c r="B873" s="2"/>
      <c r="C873" s="2"/>
      <c r="D873" s="2"/>
      <c r="E873" s="2"/>
      <c r="F873" s="2"/>
      <c r="G873" s="2"/>
    </row>
    <row r="874" spans="1:7" x14ac:dyDescent="0.2">
      <c r="A874" s="2"/>
      <c r="B874" s="2"/>
      <c r="C874" s="2"/>
      <c r="D874" s="2"/>
      <c r="E874" s="2"/>
      <c r="F874" s="2"/>
      <c r="G874" s="2"/>
    </row>
    <row r="875" spans="1:7" x14ac:dyDescent="0.2">
      <c r="A875" s="2"/>
      <c r="B875" s="2"/>
      <c r="C875" s="2"/>
      <c r="D875" s="2"/>
      <c r="E875" s="2"/>
      <c r="F875" s="2"/>
      <c r="G875" s="2"/>
    </row>
    <row r="876" spans="1:7" x14ac:dyDescent="0.2">
      <c r="A876" s="2"/>
      <c r="B876" s="2"/>
      <c r="C876" s="2"/>
      <c r="D876" s="2"/>
      <c r="E876" s="2"/>
      <c r="F876" s="2"/>
      <c r="G876" s="2"/>
    </row>
    <row r="877" spans="1:7" x14ac:dyDescent="0.2">
      <c r="A877" s="2"/>
      <c r="B877" s="2"/>
      <c r="C877" s="2"/>
      <c r="D877" s="2"/>
      <c r="E877" s="2"/>
      <c r="F877" s="2"/>
      <c r="G877" s="2"/>
    </row>
    <row r="878" spans="1:7" x14ac:dyDescent="0.2">
      <c r="A878" s="2"/>
      <c r="B878" s="2"/>
      <c r="C878" s="2"/>
      <c r="D878" s="2"/>
      <c r="E878" s="2"/>
      <c r="F878" s="2"/>
      <c r="G878" s="2"/>
    </row>
    <row r="879" spans="1:7" x14ac:dyDescent="0.2">
      <c r="A879" s="2"/>
      <c r="B879" s="2"/>
      <c r="C879" s="2"/>
      <c r="D879" s="2"/>
      <c r="E879" s="2"/>
      <c r="F879" s="2"/>
      <c r="G879" s="2"/>
    </row>
    <row r="880" spans="1:7" x14ac:dyDescent="0.2">
      <c r="A880" s="2"/>
      <c r="B880" s="2"/>
      <c r="C880" s="2"/>
      <c r="D880" s="2"/>
      <c r="E880" s="2"/>
      <c r="F880" s="2"/>
      <c r="G880" s="2"/>
    </row>
    <row r="881" spans="1:7" x14ac:dyDescent="0.2">
      <c r="A881" s="2"/>
      <c r="B881" s="2"/>
      <c r="C881" s="2"/>
      <c r="D881" s="2"/>
      <c r="E881" s="2"/>
      <c r="F881" s="2"/>
      <c r="G881" s="2"/>
    </row>
    <row r="882" spans="1:7" x14ac:dyDescent="0.2">
      <c r="A882" s="2"/>
      <c r="B882" s="2"/>
      <c r="C882" s="2"/>
      <c r="D882" s="2"/>
      <c r="E882" s="2"/>
      <c r="F882" s="2"/>
      <c r="G882" s="2"/>
    </row>
    <row r="883" spans="1:7" x14ac:dyDescent="0.2">
      <c r="A883" s="2"/>
      <c r="B883" s="2"/>
      <c r="C883" s="2"/>
      <c r="D883" s="2"/>
      <c r="E883" s="2"/>
      <c r="F883" s="2"/>
      <c r="G883" s="2"/>
    </row>
    <row r="884" spans="1:7" x14ac:dyDescent="0.2">
      <c r="A884" s="2"/>
      <c r="B884" s="2"/>
      <c r="C884" s="2"/>
      <c r="D884" s="2"/>
      <c r="E884" s="2"/>
      <c r="F884" s="2"/>
      <c r="G884" s="2"/>
    </row>
    <row r="885" spans="1:7" x14ac:dyDescent="0.2">
      <c r="A885" s="2"/>
      <c r="B885" s="2"/>
      <c r="C885" s="2"/>
      <c r="D885" s="2"/>
      <c r="E885" s="2"/>
      <c r="F885" s="2"/>
      <c r="G885" s="2"/>
    </row>
    <row r="886" spans="1:7" x14ac:dyDescent="0.2">
      <c r="A886" s="2"/>
      <c r="B886" s="2"/>
      <c r="C886" s="2"/>
      <c r="D886" s="2"/>
      <c r="E886" s="2"/>
      <c r="F886" s="2"/>
      <c r="G886" s="2"/>
    </row>
    <row r="887" spans="1:7" x14ac:dyDescent="0.2">
      <c r="A887" s="2"/>
      <c r="B887" s="2"/>
      <c r="C887" s="2"/>
      <c r="D887" s="2"/>
      <c r="E887" s="2"/>
      <c r="F887" s="2"/>
      <c r="G887" s="2"/>
    </row>
    <row r="888" spans="1:7" x14ac:dyDescent="0.2">
      <c r="A888" s="2"/>
      <c r="B888" s="2"/>
      <c r="C888" s="2"/>
      <c r="D888" s="2"/>
      <c r="E888" s="2"/>
      <c r="F888" s="2"/>
      <c r="G888" s="2"/>
    </row>
    <row r="889" spans="1:7" x14ac:dyDescent="0.2">
      <c r="A889" s="2"/>
      <c r="B889" s="2"/>
      <c r="C889" s="2"/>
      <c r="D889" s="2"/>
      <c r="E889" s="2"/>
      <c r="F889" s="2"/>
      <c r="G889" s="2"/>
    </row>
    <row r="890" spans="1:7" x14ac:dyDescent="0.2">
      <c r="A890" s="2"/>
      <c r="B890" s="2"/>
      <c r="C890" s="2"/>
      <c r="D890" s="2"/>
      <c r="E890" s="2"/>
      <c r="F890" s="2"/>
      <c r="G890" s="2"/>
    </row>
    <row r="891" spans="1:7" x14ac:dyDescent="0.2">
      <c r="A891" s="2"/>
      <c r="B891" s="2"/>
      <c r="C891" s="2"/>
      <c r="D891" s="2"/>
      <c r="E891" s="2"/>
      <c r="F891" s="2"/>
      <c r="G891" s="2"/>
    </row>
    <row r="892" spans="1:7" x14ac:dyDescent="0.2">
      <c r="A892" s="2"/>
      <c r="B892" s="2"/>
      <c r="C892" s="2"/>
      <c r="D892" s="2"/>
      <c r="E892" s="2"/>
      <c r="F892" s="2"/>
      <c r="G892" s="2"/>
    </row>
    <row r="893" spans="1:7" x14ac:dyDescent="0.2">
      <c r="A893" s="2"/>
      <c r="B893" s="2"/>
      <c r="C893" s="2"/>
      <c r="D893" s="2"/>
      <c r="E893" s="2"/>
      <c r="F893" s="2"/>
      <c r="G893" s="2"/>
    </row>
    <row r="894" spans="1:7" x14ac:dyDescent="0.2">
      <c r="A894" s="2"/>
      <c r="B894" s="2"/>
      <c r="C894" s="2"/>
      <c r="D894" s="2"/>
      <c r="E894" s="2"/>
      <c r="F894" s="2"/>
      <c r="G894" s="2"/>
    </row>
    <row r="895" spans="1:7" x14ac:dyDescent="0.2">
      <c r="A895" s="2"/>
      <c r="B895" s="2"/>
      <c r="C895" s="2"/>
      <c r="D895" s="2"/>
      <c r="E895" s="2"/>
      <c r="F895" s="2"/>
      <c r="G895" s="2"/>
    </row>
    <row r="896" spans="1:7" x14ac:dyDescent="0.2">
      <c r="A896" s="2"/>
      <c r="B896" s="2"/>
      <c r="C896" s="2"/>
      <c r="D896" s="2"/>
      <c r="E896" s="2"/>
      <c r="F896" s="2"/>
      <c r="G896" s="2"/>
    </row>
    <row r="897" spans="1:7" x14ac:dyDescent="0.2">
      <c r="A897" s="2"/>
      <c r="B897" s="2"/>
      <c r="C897" s="2"/>
      <c r="D897" s="2"/>
      <c r="E897" s="2"/>
      <c r="F897" s="2"/>
      <c r="G897" s="2"/>
    </row>
    <row r="898" spans="1:7" x14ac:dyDescent="0.2">
      <c r="A898" s="2"/>
      <c r="B898" s="2"/>
      <c r="C898" s="2"/>
      <c r="D898" s="2"/>
      <c r="E898" s="2"/>
      <c r="F898" s="2"/>
      <c r="G898" s="2"/>
    </row>
    <row r="899" spans="1:7" x14ac:dyDescent="0.2">
      <c r="A899" s="2"/>
      <c r="B899" s="2"/>
      <c r="C899" s="2"/>
      <c r="D899" s="2"/>
      <c r="E899" s="2"/>
      <c r="F899" s="2"/>
      <c r="G899" s="2"/>
    </row>
    <row r="900" spans="1:7" x14ac:dyDescent="0.2">
      <c r="A900" s="2"/>
      <c r="B900" s="2"/>
      <c r="C900" s="2"/>
      <c r="D900" s="2"/>
      <c r="E900" s="2"/>
      <c r="F900" s="2"/>
      <c r="G900" s="2"/>
    </row>
    <row r="901" spans="1:7" x14ac:dyDescent="0.2">
      <c r="A901" s="2"/>
      <c r="B901" s="2"/>
      <c r="C901" s="2"/>
      <c r="D901" s="2"/>
      <c r="E901" s="2"/>
      <c r="F901" s="2"/>
      <c r="G901" s="2"/>
    </row>
    <row r="902" spans="1:7" x14ac:dyDescent="0.2">
      <c r="A902" s="2"/>
      <c r="B902" s="2"/>
      <c r="C902" s="2"/>
      <c r="D902" s="2"/>
      <c r="E902" s="2"/>
      <c r="F902" s="2"/>
      <c r="G902" s="2"/>
    </row>
    <row r="903" spans="1:7" x14ac:dyDescent="0.2">
      <c r="A903" s="2"/>
      <c r="B903" s="2"/>
      <c r="C903" s="2"/>
      <c r="D903" s="2"/>
      <c r="E903" s="2"/>
      <c r="F903" s="2"/>
      <c r="G903" s="2"/>
    </row>
    <row r="904" spans="1:7" x14ac:dyDescent="0.2">
      <c r="A904" s="2"/>
      <c r="B904" s="2"/>
      <c r="C904" s="2"/>
      <c r="D904" s="2"/>
      <c r="E904" s="2"/>
      <c r="F904" s="2"/>
      <c r="G904" s="2"/>
    </row>
    <row r="905" spans="1:7" x14ac:dyDescent="0.2">
      <c r="A905" s="2"/>
      <c r="B905" s="2"/>
      <c r="C905" s="2"/>
      <c r="D905" s="2"/>
      <c r="E905" s="2"/>
      <c r="F905" s="2"/>
      <c r="G905" s="2"/>
    </row>
    <row r="906" spans="1:7" x14ac:dyDescent="0.2">
      <c r="A906" s="2"/>
      <c r="B906" s="2"/>
      <c r="C906" s="2"/>
      <c r="D906" s="2"/>
      <c r="E906" s="2"/>
      <c r="F906" s="2"/>
      <c r="G906" s="2"/>
    </row>
    <row r="907" spans="1:7" x14ac:dyDescent="0.2">
      <c r="A907" s="2"/>
      <c r="B907" s="2"/>
      <c r="C907" s="2"/>
      <c r="D907" s="2"/>
      <c r="E907" s="2"/>
      <c r="F907" s="2"/>
      <c r="G907" s="2"/>
    </row>
    <row r="908" spans="1:7" x14ac:dyDescent="0.2">
      <c r="A908" s="2"/>
      <c r="B908" s="2"/>
      <c r="C908" s="2"/>
      <c r="D908" s="2"/>
      <c r="E908" s="2"/>
      <c r="F908" s="2"/>
      <c r="G908" s="2"/>
    </row>
    <row r="909" spans="1:7" x14ac:dyDescent="0.2">
      <c r="A909" s="2"/>
      <c r="B909" s="2"/>
      <c r="C909" s="2"/>
      <c r="D909" s="2"/>
      <c r="E909" s="2"/>
      <c r="F909" s="2"/>
      <c r="G909" s="2"/>
    </row>
    <row r="910" spans="1:7" x14ac:dyDescent="0.2">
      <c r="A910" s="2"/>
      <c r="B910" s="2"/>
      <c r="C910" s="2"/>
      <c r="D910" s="2"/>
      <c r="E910" s="2"/>
      <c r="F910" s="2"/>
      <c r="G910" s="2"/>
    </row>
    <row r="911" spans="1:7" x14ac:dyDescent="0.2">
      <c r="A911" s="2"/>
      <c r="B911" s="2"/>
      <c r="C911" s="2"/>
      <c r="D911" s="2"/>
      <c r="E911" s="2"/>
      <c r="F911" s="2"/>
      <c r="G911" s="2"/>
    </row>
    <row r="912" spans="1:7" x14ac:dyDescent="0.2">
      <c r="A912" s="2"/>
      <c r="B912" s="2"/>
      <c r="C912" s="2"/>
      <c r="D912" s="2"/>
      <c r="E912" s="2"/>
      <c r="F912" s="2"/>
      <c r="G912" s="2"/>
    </row>
    <row r="913" spans="1:7" x14ac:dyDescent="0.2">
      <c r="A913" s="2"/>
      <c r="B913" s="2"/>
      <c r="C913" s="2"/>
      <c r="D913" s="2"/>
      <c r="E913" s="2"/>
      <c r="F913" s="2"/>
      <c r="G913" s="2"/>
    </row>
    <row r="914" spans="1:7" x14ac:dyDescent="0.2">
      <c r="A914" s="2"/>
      <c r="B914" s="2"/>
      <c r="C914" s="2"/>
      <c r="D914" s="2"/>
      <c r="E914" s="2"/>
      <c r="F914" s="2"/>
      <c r="G914" s="2"/>
    </row>
    <row r="915" spans="1:7" x14ac:dyDescent="0.2">
      <c r="A915" s="2"/>
      <c r="B915" s="2"/>
      <c r="C915" s="2"/>
      <c r="D915" s="2"/>
      <c r="E915" s="2"/>
      <c r="F915" s="2"/>
      <c r="G915" s="2"/>
    </row>
    <row r="916" spans="1:7" x14ac:dyDescent="0.2">
      <c r="A916" s="2"/>
      <c r="B916" s="2"/>
      <c r="C916" s="2"/>
      <c r="D916" s="2"/>
      <c r="E916" s="2"/>
      <c r="F916" s="2"/>
      <c r="G916" s="2"/>
    </row>
    <row r="917" spans="1:7" x14ac:dyDescent="0.2">
      <c r="A917" s="2"/>
      <c r="B917" s="2"/>
      <c r="C917" s="2"/>
      <c r="D917" s="2"/>
      <c r="E917" s="2"/>
      <c r="F917" s="2"/>
      <c r="G917" s="2"/>
    </row>
    <row r="918" spans="1:7" x14ac:dyDescent="0.2">
      <c r="A918" s="2"/>
      <c r="B918" s="2"/>
      <c r="C918" s="2"/>
      <c r="D918" s="2"/>
      <c r="E918" s="2"/>
      <c r="F918" s="2"/>
      <c r="G918" s="2"/>
    </row>
    <row r="919" spans="1:7" x14ac:dyDescent="0.2">
      <c r="A919" s="2"/>
      <c r="B919" s="2"/>
      <c r="C919" s="2"/>
      <c r="D919" s="2"/>
      <c r="E919" s="2"/>
      <c r="F919" s="2"/>
      <c r="G919" s="2"/>
    </row>
    <row r="920" spans="1:7" x14ac:dyDescent="0.2">
      <c r="A920" s="2"/>
      <c r="B920" s="2"/>
      <c r="C920" s="2"/>
      <c r="D920" s="2"/>
      <c r="E920" s="2"/>
      <c r="F920" s="2"/>
      <c r="G920" s="2"/>
    </row>
    <row r="921" spans="1:7" x14ac:dyDescent="0.2">
      <c r="A921" s="2"/>
      <c r="B921" s="2"/>
      <c r="C921" s="2"/>
      <c r="D921" s="2"/>
      <c r="E921" s="2"/>
      <c r="F921" s="2"/>
      <c r="G921" s="2"/>
    </row>
    <row r="922" spans="1:7" x14ac:dyDescent="0.2">
      <c r="A922" s="2"/>
      <c r="B922" s="2"/>
      <c r="C922" s="2"/>
      <c r="D922" s="2"/>
      <c r="E922" s="2"/>
      <c r="F922" s="2"/>
      <c r="G922" s="2"/>
    </row>
    <row r="923" spans="1:7" x14ac:dyDescent="0.2">
      <c r="A923" s="2"/>
      <c r="B923" s="2"/>
      <c r="C923" s="2"/>
      <c r="D923" s="2"/>
      <c r="E923" s="2"/>
      <c r="F923" s="2"/>
      <c r="G923" s="2"/>
    </row>
    <row r="924" spans="1:7" x14ac:dyDescent="0.2">
      <c r="A924" s="2"/>
      <c r="B924" s="2"/>
      <c r="C924" s="2"/>
      <c r="D924" s="2"/>
      <c r="E924" s="2"/>
      <c r="F924" s="2"/>
      <c r="G924" s="2"/>
    </row>
    <row r="925" spans="1:7" x14ac:dyDescent="0.2">
      <c r="A925" s="2"/>
      <c r="B925" s="2"/>
      <c r="C925" s="2"/>
      <c r="D925" s="2"/>
      <c r="E925" s="2"/>
      <c r="F925" s="2"/>
      <c r="G925" s="2"/>
    </row>
    <row r="926" spans="1:7" x14ac:dyDescent="0.2">
      <c r="A926" s="2"/>
      <c r="B926" s="2"/>
      <c r="C926" s="2"/>
      <c r="D926" s="2"/>
      <c r="E926" s="2"/>
      <c r="F926" s="2"/>
      <c r="G926" s="2"/>
    </row>
    <row r="927" spans="1:7" x14ac:dyDescent="0.2">
      <c r="A927" s="2"/>
      <c r="B927" s="2"/>
      <c r="C927" s="2"/>
      <c r="D927" s="2"/>
      <c r="E927" s="2"/>
      <c r="F927" s="2"/>
      <c r="G927" s="2"/>
    </row>
    <row r="928" spans="1:7" x14ac:dyDescent="0.2">
      <c r="A928" s="2"/>
      <c r="B928" s="2"/>
      <c r="C928" s="2"/>
      <c r="D928" s="2"/>
      <c r="E928" s="2"/>
      <c r="F928" s="2"/>
      <c r="G928" s="2"/>
    </row>
    <row r="929" spans="1:7" x14ac:dyDescent="0.2">
      <c r="A929" s="2"/>
      <c r="B929" s="2"/>
      <c r="C929" s="2"/>
      <c r="D929" s="2"/>
      <c r="E929" s="2"/>
      <c r="F929" s="2"/>
      <c r="G929" s="2"/>
    </row>
    <row r="930" spans="1:7" x14ac:dyDescent="0.2">
      <c r="A930" s="2"/>
      <c r="B930" s="2"/>
      <c r="C930" s="2"/>
      <c r="D930" s="2"/>
      <c r="E930" s="2"/>
      <c r="F930" s="2"/>
      <c r="G930" s="2"/>
    </row>
    <row r="931" spans="1:7" x14ac:dyDescent="0.2">
      <c r="A931" s="2"/>
      <c r="B931" s="2"/>
      <c r="C931" s="2"/>
      <c r="D931" s="2"/>
      <c r="E931" s="2"/>
      <c r="F931" s="2"/>
      <c r="G931" s="2"/>
    </row>
    <row r="932" spans="1:7" x14ac:dyDescent="0.2">
      <c r="A932" s="2"/>
      <c r="B932" s="2"/>
      <c r="C932" s="2"/>
      <c r="D932" s="2"/>
      <c r="E932" s="2"/>
      <c r="F932" s="2"/>
      <c r="G932" s="2"/>
    </row>
    <row r="933" spans="1:7" x14ac:dyDescent="0.2">
      <c r="A933" s="2"/>
      <c r="B933" s="2"/>
      <c r="C933" s="2"/>
      <c r="D933" s="2"/>
      <c r="E933" s="2"/>
      <c r="F933" s="2"/>
      <c r="G933" s="2"/>
    </row>
    <row r="934" spans="1:7" x14ac:dyDescent="0.2">
      <c r="A934" s="2"/>
      <c r="B934" s="2"/>
      <c r="C934" s="2"/>
      <c r="D934" s="2"/>
      <c r="E934" s="2"/>
      <c r="F934" s="2"/>
      <c r="G934" s="2"/>
    </row>
    <row r="935" spans="1:7" x14ac:dyDescent="0.2">
      <c r="A935" s="2"/>
      <c r="B935" s="2"/>
      <c r="C935" s="2"/>
      <c r="D935" s="2"/>
      <c r="E935" s="2"/>
      <c r="F935" s="2"/>
      <c r="G935" s="2"/>
    </row>
    <row r="936" spans="1:7" x14ac:dyDescent="0.2">
      <c r="A936" s="2"/>
      <c r="B936" s="2"/>
      <c r="C936" s="2"/>
      <c r="D936" s="2"/>
      <c r="E936" s="2"/>
      <c r="F936" s="2"/>
      <c r="G936" s="2"/>
    </row>
    <row r="937" spans="1:7" x14ac:dyDescent="0.2">
      <c r="A937" s="2"/>
      <c r="B937" s="2"/>
      <c r="C937" s="2"/>
      <c r="D937" s="2"/>
      <c r="E937" s="2"/>
      <c r="F937" s="2"/>
      <c r="G937" s="2"/>
    </row>
    <row r="938" spans="1:7" x14ac:dyDescent="0.2">
      <c r="A938" s="2"/>
      <c r="B938" s="2"/>
      <c r="C938" s="2"/>
      <c r="D938" s="2"/>
      <c r="E938" s="2"/>
      <c r="F938" s="2"/>
      <c r="G938" s="2"/>
    </row>
    <row r="939" spans="1:7" x14ac:dyDescent="0.2">
      <c r="A939" s="2"/>
      <c r="B939" s="2"/>
      <c r="C939" s="2"/>
      <c r="D939" s="2"/>
      <c r="E939" s="2"/>
      <c r="F939" s="2"/>
      <c r="G939" s="2"/>
    </row>
    <row r="940" spans="1:7" x14ac:dyDescent="0.2">
      <c r="A940" s="2"/>
      <c r="B940" s="2"/>
      <c r="C940" s="2"/>
      <c r="D940" s="2"/>
      <c r="E940" s="2"/>
      <c r="F940" s="2"/>
      <c r="G940" s="2"/>
    </row>
    <row r="941" spans="1:7" x14ac:dyDescent="0.2">
      <c r="A941" s="2"/>
      <c r="B941" s="2"/>
      <c r="C941" s="2"/>
      <c r="D941" s="2"/>
      <c r="E941" s="2"/>
      <c r="F941" s="2"/>
      <c r="G941" s="2"/>
    </row>
    <row r="942" spans="1:7" x14ac:dyDescent="0.2">
      <c r="A942" s="2"/>
      <c r="B942" s="2"/>
      <c r="C942" s="2"/>
      <c r="D942" s="2"/>
      <c r="E942" s="2"/>
      <c r="F942" s="2"/>
      <c r="G942" s="2"/>
    </row>
    <row r="943" spans="1:7" x14ac:dyDescent="0.2">
      <c r="A943" s="2"/>
      <c r="B943" s="2"/>
      <c r="C943" s="2"/>
      <c r="D943" s="2"/>
      <c r="E943" s="2"/>
      <c r="F943" s="2"/>
      <c r="G943" s="2"/>
    </row>
    <row r="944" spans="1:7" x14ac:dyDescent="0.2">
      <c r="A944" s="2"/>
      <c r="B944" s="2"/>
      <c r="C944" s="2"/>
      <c r="D944" s="2"/>
      <c r="E944" s="2"/>
      <c r="F944" s="2"/>
      <c r="G944" s="2"/>
    </row>
    <row r="945" spans="1:7" x14ac:dyDescent="0.2">
      <c r="A945" s="2"/>
      <c r="B945" s="2"/>
      <c r="C945" s="2"/>
      <c r="D945" s="2"/>
      <c r="E945" s="2"/>
      <c r="F945" s="2"/>
      <c r="G945" s="2"/>
    </row>
    <row r="946" spans="1:7" x14ac:dyDescent="0.2">
      <c r="A946" s="2"/>
      <c r="B946" s="2"/>
      <c r="C946" s="2"/>
      <c r="D946" s="2"/>
      <c r="E946" s="2"/>
      <c r="F946" s="2"/>
      <c r="G946" s="2"/>
    </row>
    <row r="947" spans="1:7" x14ac:dyDescent="0.2">
      <c r="A947" s="2"/>
      <c r="B947" s="2"/>
      <c r="C947" s="2"/>
      <c r="D947" s="2"/>
      <c r="E947" s="2"/>
      <c r="F947" s="2"/>
      <c r="G947" s="2"/>
    </row>
    <row r="948" spans="1:7" x14ac:dyDescent="0.2">
      <c r="A948" s="2"/>
      <c r="B948" s="2"/>
      <c r="C948" s="2"/>
      <c r="D948" s="2"/>
      <c r="E948" s="2"/>
      <c r="F948" s="2"/>
      <c r="G948" s="2"/>
    </row>
    <row r="949" spans="1:7" x14ac:dyDescent="0.2">
      <c r="A949" s="2"/>
      <c r="B949" s="2"/>
      <c r="C949" s="2"/>
      <c r="D949" s="2"/>
      <c r="E949" s="2"/>
      <c r="F949" s="2"/>
      <c r="G949" s="2"/>
    </row>
    <row r="950" spans="1:7" x14ac:dyDescent="0.2">
      <c r="A950" s="2"/>
      <c r="B950" s="2"/>
      <c r="C950" s="2"/>
      <c r="D950" s="2"/>
      <c r="E950" s="2"/>
      <c r="F950" s="2"/>
      <c r="G950" s="2"/>
    </row>
    <row r="951" spans="1:7" x14ac:dyDescent="0.2">
      <c r="A951" s="2"/>
      <c r="B951" s="2"/>
      <c r="C951" s="2"/>
      <c r="D951" s="2"/>
      <c r="E951" s="2"/>
      <c r="F951" s="2"/>
      <c r="G951" s="2"/>
    </row>
    <row r="952" spans="1:7" x14ac:dyDescent="0.2">
      <c r="A952" s="2"/>
      <c r="B952" s="2"/>
      <c r="C952" s="2"/>
      <c r="D952" s="2"/>
      <c r="E952" s="2"/>
      <c r="F952" s="2"/>
      <c r="G952" s="2"/>
    </row>
    <row r="953" spans="1:7" x14ac:dyDescent="0.2">
      <c r="A953" s="2"/>
      <c r="B953" s="2"/>
      <c r="C953" s="2"/>
      <c r="D953" s="2"/>
      <c r="E953" s="2"/>
      <c r="F953" s="2"/>
      <c r="G953" s="2"/>
    </row>
    <row r="954" spans="1:7" x14ac:dyDescent="0.2">
      <c r="A954" s="2"/>
      <c r="B954" s="2"/>
      <c r="C954" s="2"/>
      <c r="D954" s="2"/>
      <c r="E954" s="2"/>
      <c r="F954" s="2"/>
      <c r="G954" s="2"/>
    </row>
    <row r="955" spans="1:7" x14ac:dyDescent="0.2">
      <c r="A955" s="2"/>
      <c r="B955" s="2"/>
      <c r="C955" s="2"/>
      <c r="D955" s="2"/>
      <c r="E955" s="2"/>
      <c r="F955" s="2"/>
      <c r="G955" s="2"/>
    </row>
    <row r="956" spans="1:7" x14ac:dyDescent="0.2">
      <c r="A956" s="2"/>
      <c r="B956" s="2"/>
      <c r="C956" s="2"/>
      <c r="D956" s="2"/>
      <c r="E956" s="2"/>
      <c r="F956" s="2"/>
      <c r="G956" s="2"/>
    </row>
    <row r="957" spans="1:7" x14ac:dyDescent="0.2">
      <c r="A957" s="2"/>
      <c r="B957" s="2"/>
      <c r="C957" s="2"/>
      <c r="D957" s="2"/>
      <c r="E957" s="2"/>
      <c r="F957" s="2"/>
      <c r="G957" s="2"/>
    </row>
    <row r="958" spans="1:7" x14ac:dyDescent="0.2">
      <c r="A958" s="2"/>
      <c r="B958" s="2"/>
      <c r="C958" s="2"/>
      <c r="D958" s="2"/>
      <c r="E958" s="2"/>
      <c r="F958" s="2"/>
      <c r="G958" s="2"/>
    </row>
    <row r="959" spans="1:7" x14ac:dyDescent="0.2">
      <c r="A959" s="2"/>
      <c r="B959" s="2"/>
      <c r="C959" s="2"/>
      <c r="D959" s="2"/>
      <c r="E959" s="2"/>
      <c r="F959" s="2"/>
      <c r="G959" s="2"/>
    </row>
    <row r="960" spans="1:7" x14ac:dyDescent="0.2">
      <c r="A960" s="2"/>
      <c r="B960" s="2"/>
      <c r="C960" s="2"/>
      <c r="D960" s="2"/>
      <c r="E960" s="2"/>
      <c r="F960" s="2"/>
      <c r="G960" s="2"/>
    </row>
    <row r="961" spans="1:7" x14ac:dyDescent="0.2">
      <c r="A961" s="2"/>
      <c r="B961" s="2"/>
      <c r="C961" s="2"/>
      <c r="D961" s="2"/>
      <c r="E961" s="2"/>
      <c r="F961" s="2"/>
      <c r="G961" s="2"/>
    </row>
    <row r="962" spans="1:7" x14ac:dyDescent="0.2">
      <c r="A962" s="2"/>
      <c r="B962" s="2"/>
      <c r="C962" s="2"/>
      <c r="D962" s="2"/>
      <c r="E962" s="2"/>
      <c r="F962" s="2"/>
      <c r="G962" s="2"/>
    </row>
    <row r="963" spans="1:7" x14ac:dyDescent="0.2">
      <c r="A963" s="2"/>
      <c r="B963" s="2"/>
      <c r="C963" s="2"/>
      <c r="D963" s="2"/>
      <c r="E963" s="2"/>
      <c r="F963" s="2"/>
      <c r="G963" s="2"/>
    </row>
    <row r="964" spans="1:7" x14ac:dyDescent="0.2">
      <c r="A964" s="2"/>
      <c r="B964" s="2"/>
      <c r="C964" s="2"/>
      <c r="D964" s="2"/>
      <c r="E964" s="2"/>
      <c r="F964" s="2"/>
      <c r="G964" s="2"/>
    </row>
    <row r="965" spans="1:7" x14ac:dyDescent="0.2">
      <c r="A965" s="2"/>
      <c r="B965" s="2"/>
      <c r="C965" s="2"/>
      <c r="D965" s="2"/>
      <c r="E965" s="2"/>
      <c r="F965" s="2"/>
      <c r="G965" s="2"/>
    </row>
    <row r="966" spans="1:7" x14ac:dyDescent="0.2">
      <c r="A966" s="2"/>
      <c r="B966" s="2"/>
      <c r="C966" s="2"/>
      <c r="D966" s="2"/>
      <c r="E966" s="2"/>
      <c r="F966" s="2"/>
      <c r="G966" s="2"/>
    </row>
    <row r="967" spans="1:7" x14ac:dyDescent="0.2">
      <c r="A967" s="2"/>
      <c r="B967" s="2"/>
      <c r="C967" s="2"/>
      <c r="D967" s="2"/>
      <c r="E967" s="2"/>
      <c r="F967" s="2"/>
      <c r="G967" s="2"/>
    </row>
    <row r="968" spans="1:7" x14ac:dyDescent="0.2">
      <c r="A968" s="2"/>
      <c r="B968" s="2"/>
      <c r="C968" s="2"/>
      <c r="D968" s="2"/>
      <c r="E968" s="2"/>
      <c r="F968" s="2"/>
      <c r="G968" s="2"/>
    </row>
    <row r="969" spans="1:7" x14ac:dyDescent="0.2">
      <c r="A969" s="2"/>
      <c r="B969" s="2"/>
      <c r="C969" s="2"/>
      <c r="D969" s="2"/>
      <c r="E969" s="2"/>
      <c r="F969" s="2"/>
      <c r="G969" s="2"/>
    </row>
    <row r="970" spans="1:7" x14ac:dyDescent="0.2">
      <c r="A970" s="2"/>
      <c r="B970" s="2"/>
      <c r="C970" s="2"/>
      <c r="D970" s="2"/>
      <c r="E970" s="2"/>
      <c r="F970" s="2"/>
      <c r="G970" s="2"/>
    </row>
    <row r="971" spans="1:7" x14ac:dyDescent="0.2">
      <c r="A971" s="2"/>
      <c r="B971" s="2"/>
      <c r="C971" s="2"/>
      <c r="D971" s="2"/>
      <c r="E971" s="2"/>
      <c r="F971" s="2"/>
      <c r="G971" s="2"/>
    </row>
    <row r="972" spans="1:7" x14ac:dyDescent="0.2">
      <c r="A972" s="2"/>
      <c r="B972" s="2"/>
      <c r="C972" s="2"/>
      <c r="D972" s="2"/>
      <c r="E972" s="2"/>
      <c r="F972" s="2"/>
      <c r="G972" s="2"/>
    </row>
    <row r="973" spans="1:7" x14ac:dyDescent="0.2">
      <c r="A973" s="2"/>
      <c r="B973" s="2"/>
      <c r="C973" s="2"/>
      <c r="D973" s="2"/>
      <c r="E973" s="2"/>
      <c r="F973" s="2"/>
      <c r="G973" s="2"/>
    </row>
    <row r="974" spans="1:7" x14ac:dyDescent="0.2">
      <c r="A974" s="2"/>
      <c r="B974" s="2"/>
      <c r="C974" s="2"/>
      <c r="D974" s="2"/>
      <c r="E974" s="2"/>
      <c r="F974" s="2"/>
      <c r="G974" s="2"/>
    </row>
    <row r="975" spans="1:7" x14ac:dyDescent="0.2">
      <c r="A975" s="2"/>
      <c r="B975" s="2"/>
      <c r="C975" s="2"/>
      <c r="D975" s="2"/>
      <c r="E975" s="2"/>
      <c r="F975" s="2"/>
      <c r="G975" s="2"/>
    </row>
    <row r="976" spans="1:7" x14ac:dyDescent="0.2">
      <c r="A976" s="2"/>
      <c r="B976" s="2"/>
      <c r="C976" s="2"/>
      <c r="D976" s="2"/>
      <c r="E976" s="2"/>
      <c r="F976" s="2"/>
      <c r="G976" s="2"/>
    </row>
    <row r="977" spans="1:7" x14ac:dyDescent="0.2">
      <c r="A977" s="2"/>
      <c r="B977" s="2"/>
      <c r="C977" s="2"/>
      <c r="D977" s="2"/>
      <c r="E977" s="2"/>
      <c r="F977" s="2"/>
      <c r="G977" s="2"/>
    </row>
    <row r="978" spans="1:7" x14ac:dyDescent="0.2">
      <c r="A978" s="2"/>
      <c r="B978" s="2"/>
      <c r="C978" s="2"/>
      <c r="D978" s="2"/>
      <c r="E978" s="2"/>
      <c r="F978" s="2"/>
      <c r="G978" s="2"/>
    </row>
    <row r="979" spans="1:7" x14ac:dyDescent="0.2">
      <c r="A979" s="2"/>
      <c r="B979" s="2"/>
      <c r="C979" s="2"/>
      <c r="D979" s="2"/>
      <c r="E979" s="2"/>
      <c r="F979" s="2"/>
      <c r="G979" s="2"/>
    </row>
    <row r="980" spans="1:7" x14ac:dyDescent="0.2">
      <c r="A980" s="2"/>
      <c r="B980" s="2"/>
      <c r="C980" s="2"/>
      <c r="D980" s="2"/>
      <c r="E980" s="2"/>
      <c r="F980" s="2"/>
      <c r="G980" s="2"/>
    </row>
    <row r="981" spans="1:7" x14ac:dyDescent="0.2">
      <c r="A981" s="2"/>
      <c r="B981" s="2"/>
      <c r="C981" s="2"/>
      <c r="D981" s="2"/>
      <c r="E981" s="2"/>
      <c r="F981" s="2"/>
      <c r="G981" s="2"/>
    </row>
    <row r="982" spans="1:7" x14ac:dyDescent="0.2">
      <c r="A982" s="2"/>
      <c r="B982" s="2"/>
      <c r="C982" s="2"/>
      <c r="D982" s="2"/>
      <c r="E982" s="2"/>
      <c r="F982" s="2"/>
      <c r="G982" s="2"/>
    </row>
    <row r="983" spans="1:7" x14ac:dyDescent="0.2">
      <c r="A983" s="2"/>
      <c r="B983" s="2"/>
      <c r="C983" s="2"/>
      <c r="D983" s="2"/>
      <c r="E983" s="2"/>
      <c r="F983" s="2"/>
      <c r="G983" s="2"/>
    </row>
    <row r="984" spans="1:7" x14ac:dyDescent="0.2">
      <c r="A984" s="2"/>
      <c r="B984" s="2"/>
      <c r="C984" s="2"/>
      <c r="D984" s="2"/>
      <c r="E984" s="2"/>
      <c r="F984" s="2"/>
      <c r="G984" s="2"/>
    </row>
    <row r="985" spans="1:7" x14ac:dyDescent="0.2">
      <c r="A985" s="2"/>
      <c r="B985" s="2"/>
      <c r="C985" s="2"/>
      <c r="D985" s="2"/>
      <c r="E985" s="2"/>
      <c r="F985" s="2"/>
      <c r="G985" s="2"/>
    </row>
    <row r="986" spans="1:7" x14ac:dyDescent="0.2">
      <c r="A986" s="2"/>
      <c r="B986" s="2"/>
      <c r="C986" s="2"/>
      <c r="D986" s="2"/>
      <c r="E986" s="2"/>
      <c r="F986" s="2"/>
      <c r="G986" s="2"/>
    </row>
    <row r="987" spans="1:7" x14ac:dyDescent="0.2">
      <c r="A987" s="2"/>
      <c r="B987" s="2"/>
      <c r="C987" s="2"/>
      <c r="D987" s="2"/>
      <c r="E987" s="2"/>
      <c r="F987" s="2"/>
      <c r="G987" s="2"/>
    </row>
    <row r="988" spans="1:7" x14ac:dyDescent="0.2">
      <c r="A988" s="2"/>
      <c r="B988" s="2"/>
      <c r="C988" s="2"/>
      <c r="D988" s="2"/>
      <c r="E988" s="2"/>
      <c r="F988" s="2"/>
      <c r="G988" s="2"/>
    </row>
    <row r="989" spans="1:7" x14ac:dyDescent="0.2">
      <c r="A989" s="2"/>
      <c r="B989" s="2"/>
      <c r="C989" s="2"/>
      <c r="D989" s="2"/>
      <c r="E989" s="2"/>
      <c r="F989" s="2"/>
      <c r="G989" s="2"/>
    </row>
    <row r="990" spans="1:7" x14ac:dyDescent="0.2">
      <c r="A990" s="2"/>
      <c r="B990" s="2"/>
      <c r="C990" s="2"/>
      <c r="D990" s="2"/>
      <c r="E990" s="2"/>
      <c r="F990" s="2"/>
      <c r="G990" s="2"/>
    </row>
    <row r="991" spans="1:7" x14ac:dyDescent="0.2">
      <c r="A991" s="2"/>
      <c r="B991" s="2"/>
      <c r="C991" s="2"/>
      <c r="D991" s="2"/>
      <c r="E991" s="2"/>
      <c r="F991" s="2"/>
      <c r="G991" s="2"/>
    </row>
    <row r="992" spans="1:7" x14ac:dyDescent="0.2">
      <c r="A992" s="2"/>
      <c r="B992" s="2"/>
      <c r="C992" s="2"/>
      <c r="D992" s="2"/>
      <c r="E992" s="2"/>
      <c r="F992" s="2"/>
      <c r="G992" s="2"/>
    </row>
    <row r="993" spans="1:7" x14ac:dyDescent="0.2">
      <c r="A993" s="2"/>
      <c r="B993" s="2"/>
      <c r="C993" s="2"/>
      <c r="D993" s="2"/>
      <c r="E993" s="2"/>
      <c r="F993" s="2"/>
      <c r="G993" s="2"/>
    </row>
    <row r="994" spans="1:7" x14ac:dyDescent="0.2">
      <c r="A994" s="2"/>
      <c r="B994" s="2"/>
      <c r="C994" s="2"/>
      <c r="D994" s="2"/>
      <c r="E994" s="2"/>
      <c r="F994" s="2"/>
      <c r="G994" s="2"/>
    </row>
    <row r="995" spans="1:7" x14ac:dyDescent="0.2">
      <c r="A995" s="2"/>
      <c r="B995" s="2"/>
      <c r="C995" s="2"/>
      <c r="D995" s="2"/>
      <c r="E995" s="2"/>
      <c r="F995" s="2"/>
      <c r="G995" s="2"/>
    </row>
    <row r="996" spans="1:7" x14ac:dyDescent="0.2">
      <c r="A996" s="2"/>
      <c r="B996" s="2"/>
      <c r="C996" s="2"/>
      <c r="D996" s="2"/>
      <c r="E996" s="2"/>
      <c r="F996" s="2"/>
      <c r="G996" s="2"/>
    </row>
    <row r="997" spans="1:7" x14ac:dyDescent="0.2">
      <c r="A997" s="2"/>
      <c r="B997" s="2"/>
      <c r="C997" s="2"/>
      <c r="D997" s="2"/>
      <c r="E997" s="2"/>
      <c r="F997" s="2"/>
      <c r="G997" s="2"/>
    </row>
    <row r="998" spans="1:7" x14ac:dyDescent="0.2">
      <c r="A998" s="2"/>
      <c r="B998" s="2"/>
      <c r="C998" s="2"/>
      <c r="D998" s="2"/>
      <c r="E998" s="2"/>
      <c r="F998" s="2"/>
      <c r="G998" s="2"/>
    </row>
    <row r="999" spans="1:7" x14ac:dyDescent="0.2">
      <c r="A999" s="2"/>
      <c r="B999" s="2"/>
      <c r="C999" s="2"/>
      <c r="D999" s="2"/>
      <c r="E999" s="2"/>
      <c r="F999" s="2"/>
      <c r="G999" s="2"/>
    </row>
    <row r="1000" spans="1:7" x14ac:dyDescent="0.2">
      <c r="A1000" s="2"/>
      <c r="B1000" s="2"/>
      <c r="C1000" s="2"/>
      <c r="D1000" s="2"/>
      <c r="E1000" s="2"/>
      <c r="F1000" s="2"/>
      <c r="G1000" s="2"/>
    </row>
  </sheetData>
  <mergeCells count="1">
    <mergeCell ref="A1:G1"/>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146" workbookViewId="0">
      <selection sqref="A1:G1"/>
    </sheetView>
  </sheetViews>
  <sheetFormatPr baseColWidth="10" defaultColWidth="11.28515625" defaultRowHeight="15" customHeight="1" x14ac:dyDescent="0.2"/>
  <cols>
    <col min="1" max="6" width="10.7109375" style="27" customWidth="1"/>
    <col min="7" max="7" width="12" style="27" customWidth="1"/>
    <col min="8" max="8" width="10.7109375" style="27" customWidth="1"/>
    <col min="9" max="9" width="70.28515625" style="27" bestFit="1" customWidth="1"/>
    <col min="10" max="10" width="42" customWidth="1"/>
    <col min="11" max="26" width="10.5703125" customWidth="1"/>
  </cols>
  <sheetData>
    <row r="1" spans="1:26" ht="31.5" customHeight="1" x14ac:dyDescent="0.2">
      <c r="A1" s="57" t="s">
        <v>5248</v>
      </c>
      <c r="B1" s="58"/>
      <c r="C1" s="58"/>
      <c r="D1" s="58"/>
      <c r="E1" s="58"/>
      <c r="F1" s="58"/>
      <c r="G1" s="58"/>
      <c r="H1" s="23"/>
      <c r="I1" s="23"/>
    </row>
    <row r="2" spans="1:26" ht="15.75" customHeight="1" x14ac:dyDescent="0.2">
      <c r="A2" s="24" t="s">
        <v>0</v>
      </c>
      <c r="B2" s="24" t="s">
        <v>1</v>
      </c>
      <c r="C2" s="24" t="s">
        <v>2</v>
      </c>
      <c r="D2" s="24" t="s">
        <v>3</v>
      </c>
      <c r="E2" s="24" t="s">
        <v>4</v>
      </c>
      <c r="F2" s="24" t="s">
        <v>5</v>
      </c>
      <c r="G2" s="24" t="s">
        <v>6</v>
      </c>
      <c r="H2" s="24" t="s">
        <v>7</v>
      </c>
      <c r="I2" s="25" t="s">
        <v>8</v>
      </c>
      <c r="J2" s="39" t="s">
        <v>3155</v>
      </c>
      <c r="S2" s="13" t="s">
        <v>0</v>
      </c>
      <c r="T2" s="13" t="s">
        <v>1</v>
      </c>
      <c r="U2" s="13" t="s">
        <v>2</v>
      </c>
      <c r="V2" s="13" t="s">
        <v>3</v>
      </c>
      <c r="W2" s="13" t="s">
        <v>4</v>
      </c>
      <c r="X2" s="13" t="s">
        <v>5</v>
      </c>
      <c r="Y2" s="13" t="s">
        <v>6</v>
      </c>
      <c r="Z2" s="13" t="s">
        <v>181</v>
      </c>
    </row>
    <row r="3" spans="1:26" ht="15.75" customHeight="1" x14ac:dyDescent="0.2">
      <c r="A3" s="24" t="s">
        <v>183</v>
      </c>
      <c r="B3" s="24">
        <v>1932.9537001604201</v>
      </c>
      <c r="C3" s="24">
        <v>11.424780663900901</v>
      </c>
      <c r="D3" s="24">
        <v>0.43329560140441498</v>
      </c>
      <c r="E3" s="24">
        <v>10.902745405400699</v>
      </c>
      <c r="F3" s="26">
        <v>1.1183118541870899E-27</v>
      </c>
      <c r="G3" s="26">
        <v>9.6030557230899394E-23</v>
      </c>
      <c r="H3" t="s">
        <v>186</v>
      </c>
      <c r="I3" s="24" t="s">
        <v>187</v>
      </c>
      <c r="J3" t="s">
        <v>10</v>
      </c>
    </row>
    <row r="4" spans="1:26" ht="15.75" customHeight="1" x14ac:dyDescent="0.2">
      <c r="A4" s="24" t="s">
        <v>188</v>
      </c>
      <c r="B4" s="24">
        <v>2378.7837782073302</v>
      </c>
      <c r="C4" s="24">
        <v>9.7357464250766093</v>
      </c>
      <c r="D4" s="24">
        <v>0.44965790199716199</v>
      </c>
      <c r="E4" s="24">
        <v>9.9352166850169592</v>
      </c>
      <c r="F4" s="26">
        <v>2.9253922859039399E-23</v>
      </c>
      <c r="G4" s="26">
        <v>1.2560318049142801E-18</v>
      </c>
      <c r="H4" s="33" t="s">
        <v>191</v>
      </c>
      <c r="I4" s="33" t="s">
        <v>3972</v>
      </c>
      <c r="J4" s="33" t="s">
        <v>10</v>
      </c>
    </row>
    <row r="5" spans="1:26" ht="15.75" customHeight="1" x14ac:dyDescent="0.2">
      <c r="A5" s="24" t="s">
        <v>192</v>
      </c>
      <c r="B5" s="24">
        <v>2444.9222765711602</v>
      </c>
      <c r="C5" s="24">
        <v>9.4440802924074791</v>
      </c>
      <c r="D5" s="24">
        <v>0.34450377526251003</v>
      </c>
      <c r="E5" s="24">
        <v>9.7962067406876301</v>
      </c>
      <c r="F5" s="26">
        <v>1.16893170633815E-22</v>
      </c>
      <c r="G5" s="26">
        <v>3.3459111518321201E-18</v>
      </c>
      <c r="H5" s="33" t="s">
        <v>194</v>
      </c>
      <c r="I5" s="33" t="s">
        <v>4193</v>
      </c>
      <c r="J5" s="33" t="s">
        <v>10</v>
      </c>
    </row>
    <row r="6" spans="1:26" ht="15.75" customHeight="1" x14ac:dyDescent="0.2">
      <c r="A6" s="24" t="s">
        <v>196</v>
      </c>
      <c r="B6" s="24">
        <v>611.74518624871598</v>
      </c>
      <c r="C6" s="24">
        <v>9.1346708286910001</v>
      </c>
      <c r="D6" s="24">
        <v>0.39656022571001598</v>
      </c>
      <c r="E6" s="24">
        <v>9.4915068181571502</v>
      </c>
      <c r="F6" s="26">
        <v>2.2771840037542601E-21</v>
      </c>
      <c r="G6" s="26">
        <v>4.8886016896595499E-17</v>
      </c>
      <c r="H6" s="33" t="s">
        <v>4137</v>
      </c>
      <c r="I6" s="33" t="s">
        <v>4194</v>
      </c>
      <c r="J6" s="33" t="s">
        <v>10</v>
      </c>
    </row>
    <row r="7" spans="1:26" ht="15.75" customHeight="1" x14ac:dyDescent="0.2">
      <c r="A7" s="24" t="s">
        <v>202</v>
      </c>
      <c r="B7" s="24">
        <v>1533.7939554227</v>
      </c>
      <c r="C7" s="24">
        <v>9.1251914352454104</v>
      </c>
      <c r="D7" s="24">
        <v>0.61337794950191604</v>
      </c>
      <c r="E7" s="24">
        <v>8.5466311007001803</v>
      </c>
      <c r="F7" s="26">
        <v>1.26733455511E-17</v>
      </c>
      <c r="G7" s="26">
        <v>1.08827285581851E-13</v>
      </c>
      <c r="H7" s="33" t="s">
        <v>640</v>
      </c>
      <c r="I7" s="33" t="s">
        <v>111</v>
      </c>
      <c r="J7" s="33" t="s">
        <v>3039</v>
      </c>
    </row>
    <row r="8" spans="1:26" ht="15.75" customHeight="1" x14ac:dyDescent="0.2">
      <c r="A8" s="24" t="s">
        <v>205</v>
      </c>
      <c r="B8" s="24">
        <v>2819.41719129374</v>
      </c>
      <c r="C8" s="24">
        <v>8.5609210526265596</v>
      </c>
      <c r="D8" s="24">
        <v>0.57138401352480905</v>
      </c>
      <c r="E8" s="24">
        <v>8.4841659433212406</v>
      </c>
      <c r="F8" s="26">
        <v>2.1727150759334599E-17</v>
      </c>
      <c r="G8" s="26">
        <v>1.6961201480498401E-13</v>
      </c>
      <c r="H8" s="33" t="s">
        <v>504</v>
      </c>
      <c r="I8" s="33" t="s">
        <v>3137</v>
      </c>
      <c r="J8" s="33" t="s">
        <v>10</v>
      </c>
    </row>
    <row r="9" spans="1:26" ht="15.75" customHeight="1" x14ac:dyDescent="0.2">
      <c r="A9" s="24" t="s">
        <v>210</v>
      </c>
      <c r="B9" s="24">
        <v>12731.618914856001</v>
      </c>
      <c r="C9" s="24">
        <v>8.3969863904713105</v>
      </c>
      <c r="D9" s="24">
        <v>0.83132547867083195</v>
      </c>
      <c r="E9" s="24">
        <v>8.3096842629895793</v>
      </c>
      <c r="F9" s="26">
        <v>9.5957045799837399E-17</v>
      </c>
      <c r="G9" s="26">
        <v>6.4855083127734399E-13</v>
      </c>
      <c r="H9" s="33" t="s">
        <v>212</v>
      </c>
      <c r="I9" s="33" t="s">
        <v>213</v>
      </c>
      <c r="J9" s="33" t="s">
        <v>10</v>
      </c>
    </row>
    <row r="10" spans="1:26" ht="15.75" customHeight="1" x14ac:dyDescent="0.2">
      <c r="A10" s="24" t="s">
        <v>215</v>
      </c>
      <c r="B10" s="24">
        <v>557.51428045708099</v>
      </c>
      <c r="C10" s="24">
        <v>8.1110169174148297</v>
      </c>
      <c r="D10" s="24">
        <v>0.82183432690871905</v>
      </c>
      <c r="E10" s="24">
        <v>8.3069612053378492</v>
      </c>
      <c r="F10" s="26">
        <v>9.8184029609594404E-17</v>
      </c>
      <c r="G10" s="26">
        <v>6.4855083127734399E-13</v>
      </c>
      <c r="H10" s="33" t="s">
        <v>10</v>
      </c>
      <c r="I10" s="33" t="s">
        <v>10</v>
      </c>
      <c r="J10" s="33" t="s">
        <v>10</v>
      </c>
    </row>
    <row r="11" spans="1:26" ht="15.75" customHeight="1" x14ac:dyDescent="0.2">
      <c r="A11" s="24" t="s">
        <v>219</v>
      </c>
      <c r="B11" s="24">
        <v>2898.7996937833</v>
      </c>
      <c r="C11" s="24">
        <v>7.8115641798610396</v>
      </c>
      <c r="D11" s="24">
        <v>0.28646714309786098</v>
      </c>
      <c r="E11" s="24">
        <v>8.2574032583179093</v>
      </c>
      <c r="F11" s="26">
        <v>1.4887577902488801E-16</v>
      </c>
      <c r="G11" s="26">
        <v>9.1315085861758508E-13</v>
      </c>
      <c r="H11" s="33" t="s">
        <v>10</v>
      </c>
      <c r="I11" s="33" t="s">
        <v>10</v>
      </c>
      <c r="J11" s="33" t="s">
        <v>10</v>
      </c>
    </row>
    <row r="12" spans="1:26" ht="15.75" customHeight="1" x14ac:dyDescent="0.2">
      <c r="A12" s="24" t="s">
        <v>221</v>
      </c>
      <c r="B12" s="24">
        <v>592.78517285394901</v>
      </c>
      <c r="C12" s="24">
        <v>7.7991121142179303</v>
      </c>
      <c r="D12" s="24">
        <v>0.48251514948951801</v>
      </c>
      <c r="E12" s="24">
        <v>8.0871244600974208</v>
      </c>
      <c r="F12" s="26">
        <v>6.1089833506525303E-16</v>
      </c>
      <c r="G12" s="26">
        <v>3.4972300620258899E-12</v>
      </c>
      <c r="H12" s="33" t="s">
        <v>10</v>
      </c>
      <c r="I12" s="33" t="s">
        <v>10</v>
      </c>
      <c r="J12" s="33" t="s">
        <v>10</v>
      </c>
    </row>
    <row r="13" spans="1:26" ht="15.75" customHeight="1" x14ac:dyDescent="0.2">
      <c r="A13" s="24" t="s">
        <v>225</v>
      </c>
      <c r="B13" s="24">
        <v>1262.4942790160101</v>
      </c>
      <c r="C13" s="24">
        <v>7.6770041621531799</v>
      </c>
      <c r="D13" s="24">
        <v>0.31358017949267702</v>
      </c>
      <c r="E13" s="24">
        <v>8.0731025997452406</v>
      </c>
      <c r="F13" s="26">
        <v>6.8533970839163101E-16</v>
      </c>
      <c r="G13" s="26">
        <v>3.6781753812061097E-12</v>
      </c>
      <c r="H13" s="33" t="s">
        <v>10</v>
      </c>
      <c r="I13" s="33" t="s">
        <v>10</v>
      </c>
      <c r="J13" s="33" t="s">
        <v>10</v>
      </c>
    </row>
    <row r="14" spans="1:26" ht="15.75" customHeight="1" x14ac:dyDescent="0.2">
      <c r="A14" s="24" t="s">
        <v>228</v>
      </c>
      <c r="B14" s="24">
        <v>863.71535418515805</v>
      </c>
      <c r="C14" s="24">
        <v>7.6390661756020499</v>
      </c>
      <c r="D14" s="24">
        <v>0.58043760786828802</v>
      </c>
      <c r="E14" s="24">
        <v>8.0404411750262899</v>
      </c>
      <c r="F14" s="26">
        <v>8.9515595891618309E-16</v>
      </c>
      <c r="G14" s="26">
        <v>4.5216433734171499E-12</v>
      </c>
      <c r="H14" s="33" t="s">
        <v>10</v>
      </c>
      <c r="I14" s="33" t="s">
        <v>10</v>
      </c>
      <c r="J14" s="33" t="s">
        <v>10</v>
      </c>
    </row>
    <row r="15" spans="1:26" ht="15.75" customHeight="1" x14ac:dyDescent="0.2">
      <c r="A15" s="24" t="s">
        <v>230</v>
      </c>
      <c r="B15" s="24">
        <v>9108.9342539238496</v>
      </c>
      <c r="C15" s="24">
        <v>7.6253443195164001</v>
      </c>
      <c r="D15" s="24">
        <v>0.37078467758364703</v>
      </c>
      <c r="E15" s="24">
        <v>7.9484075424645004</v>
      </c>
      <c r="F15" s="26">
        <v>1.8892425937560001E-15</v>
      </c>
      <c r="G15" s="26">
        <v>9.0128417093567605E-12</v>
      </c>
      <c r="H15" s="33" t="s">
        <v>232</v>
      </c>
      <c r="I15" s="33" t="s">
        <v>233</v>
      </c>
      <c r="J15" s="33" t="s">
        <v>4075</v>
      </c>
    </row>
    <row r="16" spans="1:26" ht="15.75" customHeight="1" x14ac:dyDescent="0.2">
      <c r="A16" s="24" t="s">
        <v>234</v>
      </c>
      <c r="B16" s="24">
        <v>288.96582951948602</v>
      </c>
      <c r="C16" s="24">
        <v>7.2547942349203201</v>
      </c>
      <c r="D16" s="24">
        <v>0.48671767763906099</v>
      </c>
      <c r="E16" s="24">
        <v>7.9236038351137097</v>
      </c>
      <c r="F16" s="26">
        <v>2.3072391921486399E-15</v>
      </c>
      <c r="G16" s="26">
        <v>1.01247744880883E-11</v>
      </c>
      <c r="H16" s="33" t="s">
        <v>10</v>
      </c>
      <c r="I16" s="33" t="s">
        <v>10</v>
      </c>
      <c r="J16" s="33" t="s">
        <v>10</v>
      </c>
    </row>
    <row r="17" spans="1:10" ht="15.75" customHeight="1" x14ac:dyDescent="0.2">
      <c r="A17" s="24" t="s">
        <v>240</v>
      </c>
      <c r="B17" s="24">
        <v>5600.4114278181896</v>
      </c>
      <c r="C17" s="24">
        <v>7.2417360320970898</v>
      </c>
      <c r="D17" s="24">
        <v>0.45567313130741499</v>
      </c>
      <c r="E17" s="24">
        <v>7.9208915299863003</v>
      </c>
      <c r="F17" s="26">
        <v>2.3581359220431301E-15</v>
      </c>
      <c r="G17" s="26">
        <v>1.01247744880883E-11</v>
      </c>
      <c r="H17" s="33" t="s">
        <v>10</v>
      </c>
      <c r="I17" s="33" t="s">
        <v>10</v>
      </c>
      <c r="J17" s="33" t="s">
        <v>10</v>
      </c>
    </row>
    <row r="18" spans="1:10" ht="15.75" customHeight="1" x14ac:dyDescent="0.2">
      <c r="A18" s="24" t="s">
        <v>245</v>
      </c>
      <c r="B18" s="24">
        <v>327.29870264815798</v>
      </c>
      <c r="C18" s="24">
        <v>7.20389181332171</v>
      </c>
      <c r="D18" s="24">
        <v>0.61031700408811296</v>
      </c>
      <c r="E18" s="24">
        <v>7.7835857986831201</v>
      </c>
      <c r="F18" s="26">
        <v>7.0497303900245598E-15</v>
      </c>
      <c r="G18" s="26">
        <v>2.8827018967704701E-11</v>
      </c>
      <c r="H18" s="33" t="s">
        <v>10</v>
      </c>
      <c r="I18" s="33" t="s">
        <v>10</v>
      </c>
      <c r="J18" s="33" t="s">
        <v>10</v>
      </c>
    </row>
    <row r="19" spans="1:10" ht="15.75" customHeight="1" x14ac:dyDescent="0.2">
      <c r="A19" s="24" t="s">
        <v>248</v>
      </c>
      <c r="B19" s="24">
        <v>3976.6895821294602</v>
      </c>
      <c r="C19" s="24">
        <v>7.1148996424711397</v>
      </c>
      <c r="D19" s="24">
        <v>0.474959285103775</v>
      </c>
      <c r="E19" s="24">
        <v>7.7727800122464004</v>
      </c>
      <c r="F19" s="26">
        <v>7.6782024806848894E-15</v>
      </c>
      <c r="G19" s="26">
        <v>2.9969769328131398E-11</v>
      </c>
      <c r="H19" s="33" t="s">
        <v>250</v>
      </c>
      <c r="I19" s="33" t="s">
        <v>3902</v>
      </c>
      <c r="J19" s="33" t="s">
        <v>10</v>
      </c>
    </row>
    <row r="20" spans="1:10" ht="15.75" customHeight="1" x14ac:dyDescent="0.2">
      <c r="A20" s="24" t="s">
        <v>253</v>
      </c>
      <c r="B20" s="24">
        <v>1022.72985474651</v>
      </c>
      <c r="C20" s="24">
        <v>7.0390314164553898</v>
      </c>
      <c r="D20" s="24">
        <v>0.32968244350766301</v>
      </c>
      <c r="E20" s="24">
        <v>7.6550922049290202</v>
      </c>
      <c r="F20" s="26">
        <v>1.9317359118814701E-14</v>
      </c>
      <c r="G20" s="26">
        <v>7.2121780212684394E-11</v>
      </c>
      <c r="H20" s="33" t="s">
        <v>10</v>
      </c>
      <c r="I20" s="33" t="s">
        <v>10</v>
      </c>
      <c r="J20" s="33" t="s">
        <v>10</v>
      </c>
    </row>
    <row r="21" spans="1:10" ht="15.75" customHeight="1" x14ac:dyDescent="0.2">
      <c r="A21" s="24" t="s">
        <v>256</v>
      </c>
      <c r="B21" s="24">
        <v>1189.2347057230299</v>
      </c>
      <c r="C21" s="24">
        <v>6.9502650302086204</v>
      </c>
      <c r="D21" s="24">
        <v>0.35014322747049398</v>
      </c>
      <c r="E21" s="24">
        <v>7.4950778872022203</v>
      </c>
      <c r="F21" s="26">
        <v>6.6259005482295505E-14</v>
      </c>
      <c r="G21" s="26">
        <v>2.1093927074925999E-10</v>
      </c>
      <c r="H21" s="33" t="s">
        <v>10</v>
      </c>
      <c r="I21" s="33" t="s">
        <v>10</v>
      </c>
      <c r="J21" s="33" t="s">
        <v>10</v>
      </c>
    </row>
    <row r="22" spans="1:10" ht="15.75" customHeight="1" x14ac:dyDescent="0.2">
      <c r="A22" s="24" t="s">
        <v>259</v>
      </c>
      <c r="B22" s="24">
        <v>1674.2566774746399</v>
      </c>
      <c r="C22" s="24">
        <v>6.9379478362457796</v>
      </c>
      <c r="D22" s="24">
        <v>0.28871428158633</v>
      </c>
      <c r="E22" s="24">
        <v>7.4949480896719196</v>
      </c>
      <c r="F22" s="26">
        <v>6.6324606796590397E-14</v>
      </c>
      <c r="G22" s="26">
        <v>2.1093927074925999E-10</v>
      </c>
      <c r="H22" s="33" t="s">
        <v>3884</v>
      </c>
      <c r="I22" s="33" t="s">
        <v>4017</v>
      </c>
      <c r="J22" s="33" t="s">
        <v>4108</v>
      </c>
    </row>
    <row r="23" spans="1:10" ht="15.75" customHeight="1" x14ac:dyDescent="0.2">
      <c r="A23" s="24" t="s">
        <v>264</v>
      </c>
      <c r="B23" s="24">
        <v>143.82718013451199</v>
      </c>
      <c r="C23" s="24">
        <v>6.9332274952514998</v>
      </c>
      <c r="D23" s="24">
        <v>0.55397434968403003</v>
      </c>
      <c r="E23" s="24">
        <v>7.4326313278100598</v>
      </c>
      <c r="F23" s="26">
        <v>1.0645831712354599E-13</v>
      </c>
      <c r="G23" s="26">
        <v>3.1523041895572601E-10</v>
      </c>
      <c r="H23" s="33" t="s">
        <v>10</v>
      </c>
      <c r="I23" s="33" t="s">
        <v>10</v>
      </c>
      <c r="J23" s="33" t="s">
        <v>10</v>
      </c>
    </row>
    <row r="24" spans="1:10" ht="15.75" customHeight="1" x14ac:dyDescent="0.2">
      <c r="A24" s="24" t="s">
        <v>268</v>
      </c>
      <c r="B24" s="24">
        <v>114.264645555941</v>
      </c>
      <c r="C24" s="24">
        <v>6.9080522475332904</v>
      </c>
      <c r="D24" s="24">
        <v>0.40682161072453898</v>
      </c>
      <c r="E24" s="24">
        <v>7.4110296005117098</v>
      </c>
      <c r="F24" s="26">
        <v>1.2532260548133301E-13</v>
      </c>
      <c r="G24" s="26">
        <v>3.58719248509584E-10</v>
      </c>
      <c r="H24" s="33" t="s">
        <v>10</v>
      </c>
      <c r="I24" s="33" t="s">
        <v>10</v>
      </c>
      <c r="J24" s="33" t="s">
        <v>10</v>
      </c>
    </row>
    <row r="25" spans="1:10" ht="15.75" customHeight="1" x14ac:dyDescent="0.2">
      <c r="A25" s="24" t="s">
        <v>271</v>
      </c>
      <c r="B25" s="24">
        <v>3352.4645142279401</v>
      </c>
      <c r="C25" s="24">
        <v>6.8449882634653596</v>
      </c>
      <c r="D25" s="24">
        <v>0.55401741859106701</v>
      </c>
      <c r="E25" s="24">
        <v>7.394242461787</v>
      </c>
      <c r="F25" s="26">
        <v>1.4221670329195799E-13</v>
      </c>
      <c r="G25" s="26">
        <v>3.9394485575431402E-10</v>
      </c>
      <c r="H25" s="33" t="s">
        <v>275</v>
      </c>
      <c r="I25" s="33" t="s">
        <v>10</v>
      </c>
      <c r="J25" s="33" t="s">
        <v>10</v>
      </c>
    </row>
    <row r="26" spans="1:10" ht="15.75" customHeight="1" x14ac:dyDescent="0.2">
      <c r="A26" s="24" t="s">
        <v>276</v>
      </c>
      <c r="B26" s="24">
        <v>358.263330813153</v>
      </c>
      <c r="C26" s="24">
        <v>6.8390934883587704</v>
      </c>
      <c r="D26" s="24">
        <v>0.89080624491298799</v>
      </c>
      <c r="E26" s="24">
        <v>7.3455218768876698</v>
      </c>
      <c r="F26" s="26">
        <v>2.04957801005685E-13</v>
      </c>
      <c r="G26" s="26">
        <v>5.3333125242906503E-10</v>
      </c>
      <c r="H26" s="33" t="s">
        <v>278</v>
      </c>
      <c r="I26" s="33" t="s">
        <v>10</v>
      </c>
      <c r="J26" s="33" t="s">
        <v>10</v>
      </c>
    </row>
    <row r="27" spans="1:10" ht="15.75" customHeight="1" x14ac:dyDescent="0.2">
      <c r="A27" s="24" t="s">
        <v>279</v>
      </c>
      <c r="B27" s="24">
        <v>1001.89403872495</v>
      </c>
      <c r="C27" s="24">
        <v>6.8269458708456803</v>
      </c>
      <c r="D27" s="24">
        <v>0.45829772536825403</v>
      </c>
      <c r="E27" s="24">
        <v>7.26711700275363</v>
      </c>
      <c r="F27" s="26">
        <v>3.67240708397839E-13</v>
      </c>
      <c r="G27" s="26">
        <v>9.1984508820487696E-10</v>
      </c>
      <c r="H27" s="33" t="s">
        <v>280</v>
      </c>
      <c r="I27" s="33" t="s">
        <v>10</v>
      </c>
      <c r="J27" s="33" t="s">
        <v>10</v>
      </c>
    </row>
    <row r="28" spans="1:10" ht="15.75" customHeight="1" x14ac:dyDescent="0.2">
      <c r="A28" s="24" t="s">
        <v>282</v>
      </c>
      <c r="B28" s="24">
        <v>260.69121974816699</v>
      </c>
      <c r="C28" s="24">
        <v>6.7610263295195399</v>
      </c>
      <c r="D28" s="24">
        <v>1.3402143171871601</v>
      </c>
      <c r="E28" s="24">
        <v>7.2643205644228699</v>
      </c>
      <c r="F28" s="26">
        <v>3.7491793605723298E-13</v>
      </c>
      <c r="G28" s="26">
        <v>9.1984508820487696E-10</v>
      </c>
      <c r="H28" s="33" t="s">
        <v>10</v>
      </c>
      <c r="I28" s="33" t="s">
        <v>10</v>
      </c>
      <c r="J28" s="33" t="s">
        <v>10</v>
      </c>
    </row>
    <row r="29" spans="1:10" ht="15.75" customHeight="1" x14ac:dyDescent="0.2">
      <c r="A29" s="24" t="s">
        <v>286</v>
      </c>
      <c r="B29" s="24">
        <v>125.666768529019</v>
      </c>
      <c r="C29" s="24">
        <v>6.6453936037949797</v>
      </c>
      <c r="D29" s="24">
        <v>0.42571718188122099</v>
      </c>
      <c r="E29" s="24">
        <v>7.1152841855760398</v>
      </c>
      <c r="F29" s="26">
        <v>1.1168247483257301E-12</v>
      </c>
      <c r="G29" s="26">
        <v>2.3975714490869701E-9</v>
      </c>
      <c r="H29" s="33" t="s">
        <v>10</v>
      </c>
      <c r="I29" s="33" t="s">
        <v>10</v>
      </c>
      <c r="J29" s="33" t="s">
        <v>10</v>
      </c>
    </row>
    <row r="30" spans="1:10" ht="15.75" customHeight="1" x14ac:dyDescent="0.2">
      <c r="A30" s="24" t="s">
        <v>288</v>
      </c>
      <c r="B30" s="24">
        <v>54.283453362340197</v>
      </c>
      <c r="C30" s="24">
        <v>6.54343676007651</v>
      </c>
      <c r="D30" s="24">
        <v>0.52612833596587305</v>
      </c>
      <c r="E30" s="24">
        <v>7.0699658757590598</v>
      </c>
      <c r="F30" s="26">
        <v>1.54971801466972E-12</v>
      </c>
      <c r="G30" s="26">
        <v>3.24575208872447E-9</v>
      </c>
      <c r="H30" s="33" t="s">
        <v>10</v>
      </c>
      <c r="I30" s="33" t="s">
        <v>3968</v>
      </c>
      <c r="J30" s="33" t="s">
        <v>10</v>
      </c>
    </row>
    <row r="31" spans="1:10" ht="15.75" customHeight="1" x14ac:dyDescent="0.2">
      <c r="A31" s="24" t="s">
        <v>293</v>
      </c>
      <c r="B31" s="24">
        <v>5685.6201805655401</v>
      </c>
      <c r="C31" s="24">
        <v>6.4861802884381099</v>
      </c>
      <c r="D31" s="24">
        <v>0.40439631899351097</v>
      </c>
      <c r="E31" s="24">
        <v>7.0561974454280998</v>
      </c>
      <c r="F31" s="26">
        <v>1.71120635088207E-12</v>
      </c>
      <c r="G31" s="26">
        <v>3.4986428703950999E-9</v>
      </c>
      <c r="H31" s="33" t="s">
        <v>10</v>
      </c>
      <c r="I31" s="33" t="s">
        <v>10</v>
      </c>
      <c r="J31" s="33" t="s">
        <v>10</v>
      </c>
    </row>
    <row r="32" spans="1:10" ht="15.75" customHeight="1" x14ac:dyDescent="0.2">
      <c r="A32" s="24" t="s">
        <v>298</v>
      </c>
      <c r="B32" s="24">
        <v>3445.9452968785499</v>
      </c>
      <c r="C32" s="24">
        <v>6.3506234222803402</v>
      </c>
      <c r="D32" s="24">
        <v>0.52440433001188502</v>
      </c>
      <c r="E32" s="24">
        <v>7.0248007859536399</v>
      </c>
      <c r="F32" s="26">
        <v>2.1437188936237302E-12</v>
      </c>
      <c r="G32" s="26">
        <v>4.2810066305665802E-9</v>
      </c>
      <c r="H32" s="33" t="s">
        <v>302</v>
      </c>
      <c r="I32" s="33" t="s">
        <v>3902</v>
      </c>
      <c r="J32" s="33" t="s">
        <v>10</v>
      </c>
    </row>
    <row r="33" spans="1:10" ht="15.75" customHeight="1" x14ac:dyDescent="0.2">
      <c r="A33" s="24" t="s">
        <v>304</v>
      </c>
      <c r="B33" s="24">
        <v>995.134402660197</v>
      </c>
      <c r="C33" s="24">
        <v>6.2730420370758697</v>
      </c>
      <c r="D33" s="24">
        <v>0.374895452759611</v>
      </c>
      <c r="E33" s="24">
        <v>7.0068235212654502</v>
      </c>
      <c r="F33" s="26">
        <v>2.4378944783671199E-12</v>
      </c>
      <c r="G33" s="26">
        <v>4.69334077187828E-9</v>
      </c>
      <c r="H33" s="33" t="s">
        <v>10</v>
      </c>
      <c r="I33" s="33" t="s">
        <v>10</v>
      </c>
      <c r="J33" s="33" t="s">
        <v>10</v>
      </c>
    </row>
    <row r="34" spans="1:10" ht="15.75" customHeight="1" x14ac:dyDescent="0.2">
      <c r="A34" s="24" t="s">
        <v>307</v>
      </c>
      <c r="B34" s="24">
        <v>190.81627294148601</v>
      </c>
      <c r="C34" s="24">
        <v>6.1223651405475401</v>
      </c>
      <c r="D34" s="24">
        <v>0.323312039433651</v>
      </c>
      <c r="E34" s="24">
        <v>6.9731339272281296</v>
      </c>
      <c r="F34" s="26">
        <v>3.0995729080028799E-12</v>
      </c>
      <c r="G34" s="26">
        <v>5.6630515996407504E-9</v>
      </c>
      <c r="H34" s="33" t="s">
        <v>309</v>
      </c>
      <c r="I34" s="33" t="s">
        <v>310</v>
      </c>
      <c r="J34" s="33" t="s">
        <v>10</v>
      </c>
    </row>
    <row r="35" spans="1:10" ht="15.75" customHeight="1" x14ac:dyDescent="0.2">
      <c r="A35" s="24" t="s">
        <v>311</v>
      </c>
      <c r="B35" s="24">
        <v>321.45563160396898</v>
      </c>
      <c r="C35" s="24">
        <v>6.0757488287096804</v>
      </c>
      <c r="D35" s="24">
        <v>0.45223046031110198</v>
      </c>
      <c r="E35" s="24">
        <v>6.9641348600097102</v>
      </c>
      <c r="F35" s="26">
        <v>3.3042796686257001E-12</v>
      </c>
      <c r="G35" s="26">
        <v>5.8353033588310701E-9</v>
      </c>
      <c r="H35" s="33" t="s">
        <v>313</v>
      </c>
      <c r="I35" s="33" t="s">
        <v>315</v>
      </c>
      <c r="J35" s="33" t="s">
        <v>10</v>
      </c>
    </row>
    <row r="36" spans="1:10" ht="15.75" customHeight="1" x14ac:dyDescent="0.2">
      <c r="A36" s="24" t="s">
        <v>319</v>
      </c>
      <c r="B36" s="24">
        <v>134.31488661853101</v>
      </c>
      <c r="C36" s="24">
        <v>5.9447157978438403</v>
      </c>
      <c r="D36" s="24">
        <v>0.83724821988134102</v>
      </c>
      <c r="E36" s="24">
        <v>6.9630531798546702</v>
      </c>
      <c r="F36" s="26">
        <v>3.3297605080029599E-12</v>
      </c>
      <c r="G36" s="26">
        <v>5.8353033588310701E-9</v>
      </c>
      <c r="H36" s="33" t="s">
        <v>10</v>
      </c>
      <c r="I36" s="33" t="s">
        <v>10</v>
      </c>
      <c r="J36" s="33" t="s">
        <v>10</v>
      </c>
    </row>
    <row r="37" spans="1:10" ht="15.75" customHeight="1" x14ac:dyDescent="0.2">
      <c r="A37" s="24" t="s">
        <v>323</v>
      </c>
      <c r="B37" s="24">
        <v>92.091599057271495</v>
      </c>
      <c r="C37" s="24">
        <v>5.8488263094444903</v>
      </c>
      <c r="D37" s="24">
        <v>0.43190406056665298</v>
      </c>
      <c r="E37" s="24">
        <v>6.9313890222047103</v>
      </c>
      <c r="F37" s="26">
        <v>4.1672830879261597E-12</v>
      </c>
      <c r="G37" s="26">
        <v>7.1569753208661401E-9</v>
      </c>
      <c r="H37" s="33" t="s">
        <v>10</v>
      </c>
      <c r="I37" s="33" t="s">
        <v>10</v>
      </c>
      <c r="J37" s="33" t="s">
        <v>10</v>
      </c>
    </row>
    <row r="38" spans="1:10" ht="15.75" customHeight="1" x14ac:dyDescent="0.2">
      <c r="A38" s="24" t="s">
        <v>324</v>
      </c>
      <c r="B38" s="24">
        <v>99.702346207955202</v>
      </c>
      <c r="C38" s="24">
        <v>5.8298038797724301</v>
      </c>
      <c r="D38" s="24">
        <v>0.56307687803485995</v>
      </c>
      <c r="E38" s="24">
        <v>6.90923471106432</v>
      </c>
      <c r="F38" s="26">
        <v>4.8727518149274302E-12</v>
      </c>
      <c r="G38" s="26">
        <v>8.0466936749929495E-9</v>
      </c>
      <c r="H38" s="33" t="s">
        <v>328</v>
      </c>
      <c r="I38" s="33" t="s">
        <v>329</v>
      </c>
      <c r="J38" s="33" t="s">
        <v>10</v>
      </c>
    </row>
    <row r="39" spans="1:10" ht="15.75" customHeight="1" x14ac:dyDescent="0.2">
      <c r="A39" s="24" t="s">
        <v>330</v>
      </c>
      <c r="B39" s="24">
        <v>1203.2595700332299</v>
      </c>
      <c r="C39" s="24">
        <v>5.8022289197266996</v>
      </c>
      <c r="D39" s="24">
        <v>0.34863482087733</v>
      </c>
      <c r="E39" s="24">
        <v>6.8616170822682099</v>
      </c>
      <c r="F39" s="26">
        <v>6.8085367091086E-12</v>
      </c>
      <c r="G39" s="26">
        <v>1.0630106468143001E-8</v>
      </c>
      <c r="H39" s="33" t="s">
        <v>10</v>
      </c>
      <c r="I39" s="33" t="s">
        <v>10</v>
      </c>
      <c r="J39" s="33" t="s">
        <v>10</v>
      </c>
    </row>
    <row r="40" spans="1:10" ht="15.75" customHeight="1" x14ac:dyDescent="0.2">
      <c r="A40" s="24" t="s">
        <v>332</v>
      </c>
      <c r="B40" s="24">
        <v>229.58436803061801</v>
      </c>
      <c r="C40" s="24">
        <v>5.79722834615455</v>
      </c>
      <c r="D40" s="24">
        <v>0.451508054141533</v>
      </c>
      <c r="E40" s="24">
        <v>6.7591638818900499</v>
      </c>
      <c r="F40" s="26">
        <v>1.38790337563633E-11</v>
      </c>
      <c r="G40" s="26">
        <v>1.9537811601519301E-8</v>
      </c>
      <c r="H40" s="33" t="s">
        <v>4138</v>
      </c>
      <c r="I40" s="33" t="s">
        <v>3938</v>
      </c>
      <c r="J40" s="33" t="s">
        <v>4083</v>
      </c>
    </row>
    <row r="41" spans="1:10" ht="15.75" customHeight="1" x14ac:dyDescent="0.2">
      <c r="A41" s="24" t="s">
        <v>338</v>
      </c>
      <c r="B41" s="24">
        <v>1090.15081413792</v>
      </c>
      <c r="C41" s="24">
        <v>5.7533563171351201</v>
      </c>
      <c r="D41" s="24">
        <v>0.56102748700261396</v>
      </c>
      <c r="E41" s="24">
        <v>6.7311996742821103</v>
      </c>
      <c r="F41" s="26">
        <v>1.6826985662868499E-11</v>
      </c>
      <c r="G41" s="26">
        <v>2.25773450915029E-8</v>
      </c>
      <c r="H41" s="33" t="s">
        <v>341</v>
      </c>
      <c r="I41" s="33" t="s">
        <v>4195</v>
      </c>
      <c r="J41" s="33" t="s">
        <v>10</v>
      </c>
    </row>
    <row r="42" spans="1:10" ht="15.75" customHeight="1" x14ac:dyDescent="0.2">
      <c r="A42" s="24" t="s">
        <v>344</v>
      </c>
      <c r="B42" s="24">
        <v>243.972140435824</v>
      </c>
      <c r="C42" s="24">
        <v>5.5714652893444496</v>
      </c>
      <c r="D42" s="24">
        <v>0.48236004873099197</v>
      </c>
      <c r="E42" s="24">
        <v>6.7167799406313904</v>
      </c>
      <c r="F42" s="26">
        <v>1.8578421073019099E-11</v>
      </c>
      <c r="G42" s="26">
        <v>2.4171933272139799E-8</v>
      </c>
      <c r="H42" s="33" t="s">
        <v>4139</v>
      </c>
      <c r="I42" s="33" t="s">
        <v>4196</v>
      </c>
      <c r="J42" s="33"/>
    </row>
    <row r="43" spans="1:10" ht="15.75" customHeight="1" x14ac:dyDescent="0.2">
      <c r="A43" s="24" t="s">
        <v>348</v>
      </c>
      <c r="B43" s="24">
        <v>77.341302900417602</v>
      </c>
      <c r="C43" s="24">
        <v>5.5634737040622904</v>
      </c>
      <c r="D43" s="24">
        <v>0.44410103105609</v>
      </c>
      <c r="E43" s="24">
        <v>6.7077231846499696</v>
      </c>
      <c r="F43" s="26">
        <v>1.97684475067E-11</v>
      </c>
      <c r="G43" s="26">
        <v>2.5336363520116901E-8</v>
      </c>
      <c r="H43" s="33" t="s">
        <v>10</v>
      </c>
      <c r="I43" s="33" t="s">
        <v>350</v>
      </c>
      <c r="J43" s="42" t="s">
        <v>10</v>
      </c>
    </row>
    <row r="44" spans="1:10" ht="15.75" customHeight="1" x14ac:dyDescent="0.2">
      <c r="A44" s="24" t="s">
        <v>351</v>
      </c>
      <c r="B44" s="24">
        <v>259.24645824494797</v>
      </c>
      <c r="C44" s="24">
        <v>5.5338698108539699</v>
      </c>
      <c r="D44" s="24">
        <v>0.52662082421477796</v>
      </c>
      <c r="E44" s="24">
        <v>6.6833163091993297</v>
      </c>
      <c r="F44" s="26">
        <v>2.3359461587033501E-11</v>
      </c>
      <c r="G44" s="26">
        <v>2.92345107260975E-8</v>
      </c>
      <c r="H44" s="33" t="s">
        <v>10</v>
      </c>
      <c r="I44" s="33" t="s">
        <v>10</v>
      </c>
      <c r="J44" s="42" t="s">
        <v>10</v>
      </c>
    </row>
    <row r="45" spans="1:10" ht="15.75" customHeight="1" x14ac:dyDescent="0.2">
      <c r="A45" s="24" t="s">
        <v>353</v>
      </c>
      <c r="B45" s="24">
        <v>87.664619206468103</v>
      </c>
      <c r="C45" s="24">
        <v>5.4498375330156099</v>
      </c>
      <c r="D45" s="24">
        <v>1.1431458488328601</v>
      </c>
      <c r="E45" s="24">
        <v>6.6824947869962896</v>
      </c>
      <c r="F45" s="26">
        <v>2.3490832063219501E-11</v>
      </c>
      <c r="G45" s="26">
        <v>2.92345107260975E-8</v>
      </c>
      <c r="H45" s="33" t="s">
        <v>357</v>
      </c>
      <c r="I45" s="33" t="s">
        <v>358</v>
      </c>
      <c r="J45" s="42" t="s">
        <v>10</v>
      </c>
    </row>
    <row r="46" spans="1:10" ht="15.75" customHeight="1" x14ac:dyDescent="0.2">
      <c r="A46" s="24" t="s">
        <v>359</v>
      </c>
      <c r="B46" s="24">
        <v>244.107509740936</v>
      </c>
      <c r="C46" s="24">
        <v>5.4428905521233002</v>
      </c>
      <c r="D46" s="24">
        <v>0.58068587761486201</v>
      </c>
      <c r="E46" s="24">
        <v>6.67915743147943</v>
      </c>
      <c r="F46" s="26">
        <v>2.40319893627963E-11</v>
      </c>
      <c r="G46" s="26">
        <v>2.9480727979609701E-8</v>
      </c>
      <c r="H46" s="33" t="s">
        <v>362</v>
      </c>
      <c r="I46" s="33" t="s">
        <v>363</v>
      </c>
      <c r="J46" s="42" t="s">
        <v>10</v>
      </c>
    </row>
    <row r="47" spans="1:10" ht="15.75" customHeight="1" x14ac:dyDescent="0.2">
      <c r="A47" s="24" t="s">
        <v>364</v>
      </c>
      <c r="B47" s="24">
        <v>1187.7388078433501</v>
      </c>
      <c r="C47" s="24">
        <v>5.41513205045867</v>
      </c>
      <c r="D47" s="24">
        <v>0.55842594987760696</v>
      </c>
      <c r="E47" s="24">
        <v>6.6749053229201403</v>
      </c>
      <c r="F47" s="26">
        <v>2.4739182340528699E-11</v>
      </c>
      <c r="G47" s="26">
        <v>2.9920821503711799E-8</v>
      </c>
      <c r="H47" s="33" t="s">
        <v>341</v>
      </c>
      <c r="I47" s="33" t="s">
        <v>10</v>
      </c>
      <c r="J47" s="42" t="s">
        <v>10</v>
      </c>
    </row>
    <row r="48" spans="1:10" ht="15.75" customHeight="1" x14ac:dyDescent="0.2">
      <c r="A48" s="24" t="s">
        <v>366</v>
      </c>
      <c r="B48" s="24">
        <v>5900.3592986130998</v>
      </c>
      <c r="C48" s="24">
        <v>5.2540382899215796</v>
      </c>
      <c r="D48" s="24">
        <v>0.34236800018284802</v>
      </c>
      <c r="E48" s="24">
        <v>6.6445972259945796</v>
      </c>
      <c r="F48" s="26">
        <v>3.0404735383570202E-11</v>
      </c>
      <c r="G48" s="26">
        <v>3.5282230163818401E-8</v>
      </c>
      <c r="H48" s="33" t="s">
        <v>368</v>
      </c>
      <c r="I48" s="33" t="s">
        <v>606</v>
      </c>
      <c r="J48" s="30" t="s">
        <v>10</v>
      </c>
    </row>
    <row r="49" spans="1:10" ht="15.75" customHeight="1" x14ac:dyDescent="0.2">
      <c r="A49" s="24" t="s">
        <v>370</v>
      </c>
      <c r="B49" s="24">
        <v>484.71776907824801</v>
      </c>
      <c r="C49" s="24">
        <v>5.2423150596967796</v>
      </c>
      <c r="D49" s="24">
        <v>0.50638044507603497</v>
      </c>
      <c r="E49" s="24">
        <v>6.6415094357128801</v>
      </c>
      <c r="F49" s="26">
        <v>3.1048687155565903E-11</v>
      </c>
      <c r="G49" s="26">
        <v>3.5549090863141302E-8</v>
      </c>
      <c r="H49" s="33" t="s">
        <v>10</v>
      </c>
      <c r="I49" s="33" t="s">
        <v>10</v>
      </c>
      <c r="J49" s="52" t="s">
        <v>10</v>
      </c>
    </row>
    <row r="50" spans="1:10" ht="15.75" customHeight="1" x14ac:dyDescent="0.2">
      <c r="A50" s="24" t="s">
        <v>372</v>
      </c>
      <c r="B50" s="24">
        <v>1675.7686903722599</v>
      </c>
      <c r="C50" s="24">
        <v>5.2330453209629901</v>
      </c>
      <c r="D50" s="24">
        <v>0.36966406616918601</v>
      </c>
      <c r="E50" s="24">
        <v>6.6191001527331803</v>
      </c>
      <c r="F50" s="26">
        <v>3.61391953850823E-11</v>
      </c>
      <c r="G50" s="26">
        <v>3.9786010857851298E-8</v>
      </c>
      <c r="H50" s="33" t="s">
        <v>10</v>
      </c>
      <c r="I50" s="33" t="s">
        <v>3121</v>
      </c>
      <c r="J50" s="52" t="s">
        <v>10</v>
      </c>
    </row>
    <row r="51" spans="1:10" ht="15.75" customHeight="1" x14ac:dyDescent="0.2">
      <c r="A51" s="24" t="s">
        <v>377</v>
      </c>
      <c r="B51" s="24">
        <v>247.530562622687</v>
      </c>
      <c r="C51" s="24">
        <v>5.2280902305791601</v>
      </c>
      <c r="D51" s="24">
        <v>0.45566239820391402</v>
      </c>
      <c r="E51" s="24">
        <v>6.5498693124038896</v>
      </c>
      <c r="F51" s="26">
        <v>5.7587456820124203E-11</v>
      </c>
      <c r="G51" s="26">
        <v>6.0306006153669306E-8</v>
      </c>
      <c r="H51" s="33" t="s">
        <v>379</v>
      </c>
      <c r="I51" s="33" t="s">
        <v>4197</v>
      </c>
      <c r="J51" s="33" t="s">
        <v>4041</v>
      </c>
    </row>
    <row r="52" spans="1:10" ht="15.75" customHeight="1" x14ac:dyDescent="0.2">
      <c r="A52" s="24" t="s">
        <v>381</v>
      </c>
      <c r="B52" s="24">
        <v>2843.0988404242598</v>
      </c>
      <c r="C52" s="24">
        <v>5.1743185909398202</v>
      </c>
      <c r="D52" s="24">
        <v>0.36551672311981698</v>
      </c>
      <c r="E52" s="24">
        <v>6.5081997942056704</v>
      </c>
      <c r="F52" s="26">
        <v>7.6056720175637599E-11</v>
      </c>
      <c r="G52" s="26">
        <v>7.86875496168937E-8</v>
      </c>
      <c r="H52" s="33" t="s">
        <v>10</v>
      </c>
      <c r="I52" s="33" t="s">
        <v>10</v>
      </c>
      <c r="J52" s="33" t="s">
        <v>10</v>
      </c>
    </row>
    <row r="53" spans="1:10" ht="15.75" customHeight="1" x14ac:dyDescent="0.2">
      <c r="A53" s="24" t="s">
        <v>384</v>
      </c>
      <c r="B53" s="24">
        <v>258.192823061941</v>
      </c>
      <c r="C53" s="24">
        <v>5.1105490817663197</v>
      </c>
      <c r="D53" s="24">
        <v>0.35761987921358401</v>
      </c>
      <c r="E53" s="24">
        <v>6.4815721218124001</v>
      </c>
      <c r="F53" s="26">
        <v>9.07717589776494E-11</v>
      </c>
      <c r="G53" s="26">
        <v>9.2793591847258697E-8</v>
      </c>
      <c r="H53" s="33" t="s">
        <v>10</v>
      </c>
      <c r="I53" s="33" t="s">
        <v>10</v>
      </c>
      <c r="J53" s="33" t="s">
        <v>10</v>
      </c>
    </row>
    <row r="54" spans="1:10" ht="15.75" customHeight="1" x14ac:dyDescent="0.2">
      <c r="A54" s="24" t="s">
        <v>387</v>
      </c>
      <c r="B54" s="24">
        <v>66.808168007961498</v>
      </c>
      <c r="C54" s="24">
        <v>5.0170946060461299</v>
      </c>
      <c r="D54" s="24">
        <v>1.1307751709432501</v>
      </c>
      <c r="E54" s="24">
        <v>6.4042227121561899</v>
      </c>
      <c r="F54" s="26">
        <v>1.5113736022802599E-10</v>
      </c>
      <c r="G54" s="26">
        <v>1.5091065418768401E-7</v>
      </c>
      <c r="H54" s="33" t="s">
        <v>10</v>
      </c>
      <c r="I54" s="33" t="s">
        <v>10</v>
      </c>
      <c r="J54" s="33" t="s">
        <v>10</v>
      </c>
    </row>
    <row r="55" spans="1:10" ht="15.75" customHeight="1" x14ac:dyDescent="0.2">
      <c r="A55" s="24" t="s">
        <v>390</v>
      </c>
      <c r="B55" s="24">
        <v>50.514609189706803</v>
      </c>
      <c r="C55" s="24">
        <v>4.9142161990439401</v>
      </c>
      <c r="D55" s="24">
        <v>0.61981967881923405</v>
      </c>
      <c r="E55" s="24">
        <v>6.3976445139645799</v>
      </c>
      <c r="F55" s="26">
        <v>1.57792116787326E-10</v>
      </c>
      <c r="G55" s="26">
        <v>1.5569309475988701E-7</v>
      </c>
      <c r="H55" s="33" t="s">
        <v>3869</v>
      </c>
      <c r="I55" s="33" t="s">
        <v>3996</v>
      </c>
      <c r="J55" s="33" t="s">
        <v>10</v>
      </c>
    </row>
    <row r="56" spans="1:10" ht="15.75" customHeight="1" x14ac:dyDescent="0.2">
      <c r="A56" s="24" t="s">
        <v>393</v>
      </c>
      <c r="B56" s="24">
        <v>86.666175457186</v>
      </c>
      <c r="C56" s="24">
        <v>4.8802071264007498</v>
      </c>
      <c r="D56" s="24">
        <v>0.55335398053749596</v>
      </c>
      <c r="E56" s="24">
        <v>6.3687914643046604</v>
      </c>
      <c r="F56" s="26">
        <v>1.9052343821322701E-10</v>
      </c>
      <c r="G56" s="26">
        <v>1.8178264625342201E-7</v>
      </c>
      <c r="H56" s="33" t="s">
        <v>10</v>
      </c>
      <c r="I56" s="33" t="s">
        <v>10</v>
      </c>
      <c r="J56" s="33" t="s">
        <v>10</v>
      </c>
    </row>
    <row r="57" spans="1:10" ht="15.75" customHeight="1" x14ac:dyDescent="0.2">
      <c r="A57" s="24" t="s">
        <v>395</v>
      </c>
      <c r="B57" s="24">
        <v>882.80729642280005</v>
      </c>
      <c r="C57" s="24">
        <v>4.8725700146428004</v>
      </c>
      <c r="D57" s="24">
        <v>0.68953155074672701</v>
      </c>
      <c r="E57" s="24">
        <v>6.3093043047934403</v>
      </c>
      <c r="F57" s="26">
        <v>2.8029252912638402E-10</v>
      </c>
      <c r="G57" s="26">
        <v>2.61619562702302E-7</v>
      </c>
      <c r="H57" s="33" t="s">
        <v>397</v>
      </c>
      <c r="I57" s="33" t="s">
        <v>3927</v>
      </c>
      <c r="J57" s="33" t="s">
        <v>4048</v>
      </c>
    </row>
    <row r="58" spans="1:10" ht="15.75" customHeight="1" x14ac:dyDescent="0.2">
      <c r="A58" s="24" t="s">
        <v>398</v>
      </c>
      <c r="B58" s="24">
        <v>1229.2115392547801</v>
      </c>
      <c r="C58" s="24">
        <v>4.8639475544444997</v>
      </c>
      <c r="D58" s="24">
        <v>0.50181209324222398</v>
      </c>
      <c r="E58" s="24">
        <v>6.2923069667902496</v>
      </c>
      <c r="F58" s="26">
        <v>3.1278216740211498E-10</v>
      </c>
      <c r="G58" s="26">
        <v>2.85733164861564E-7</v>
      </c>
      <c r="H58" s="33" t="s">
        <v>10</v>
      </c>
      <c r="I58" s="33" t="s">
        <v>4019</v>
      </c>
      <c r="J58" s="33" t="s">
        <v>10</v>
      </c>
    </row>
    <row r="59" spans="1:10" ht="15.75" customHeight="1" x14ac:dyDescent="0.2">
      <c r="A59" s="24" t="s">
        <v>403</v>
      </c>
      <c r="B59" s="24">
        <v>160.32260624579899</v>
      </c>
      <c r="C59" s="24">
        <v>4.8477167881053802</v>
      </c>
      <c r="D59" s="24">
        <v>0.57598199919614901</v>
      </c>
      <c r="E59" s="24">
        <v>6.2632937696745197</v>
      </c>
      <c r="F59" s="26">
        <v>3.7692955294229599E-10</v>
      </c>
      <c r="G59" s="26">
        <v>3.3304515715422002E-7</v>
      </c>
      <c r="H59" s="33" t="s">
        <v>407</v>
      </c>
      <c r="I59" s="33" t="s">
        <v>408</v>
      </c>
      <c r="J59" s="33" t="s">
        <v>10</v>
      </c>
    </row>
    <row r="60" spans="1:10" ht="15.75" customHeight="1" x14ac:dyDescent="0.2">
      <c r="A60" s="24" t="s">
        <v>409</v>
      </c>
      <c r="B60" s="24">
        <v>153.878015267721</v>
      </c>
      <c r="C60" s="24">
        <v>4.8072005456472198</v>
      </c>
      <c r="D60" s="24">
        <v>0.45841441847576703</v>
      </c>
      <c r="E60" s="24">
        <v>6.2608387456314798</v>
      </c>
      <c r="F60" s="26">
        <v>3.8291232328052001E-10</v>
      </c>
      <c r="G60" s="26">
        <v>3.3304515715422002E-7</v>
      </c>
      <c r="H60" s="33" t="s">
        <v>411</v>
      </c>
      <c r="I60" s="33" t="s">
        <v>10</v>
      </c>
      <c r="J60" s="33" t="s">
        <v>10</v>
      </c>
    </row>
    <row r="61" spans="1:10" ht="15.75" customHeight="1" x14ac:dyDescent="0.2">
      <c r="A61" s="24" t="s">
        <v>412</v>
      </c>
      <c r="B61" s="24">
        <v>4288.4052120373599</v>
      </c>
      <c r="C61" s="24">
        <v>4.7819921763036799</v>
      </c>
      <c r="D61" s="24">
        <v>0.34543337367828097</v>
      </c>
      <c r="E61" s="24">
        <v>6.2600833498103396</v>
      </c>
      <c r="F61" s="26">
        <v>3.8477176394905701E-10</v>
      </c>
      <c r="G61" s="26">
        <v>3.3304515715422002E-7</v>
      </c>
      <c r="H61" s="33" t="s">
        <v>414</v>
      </c>
      <c r="I61" s="33" t="s">
        <v>10</v>
      </c>
      <c r="J61" s="33" t="s">
        <v>10</v>
      </c>
    </row>
    <row r="62" spans="1:10" ht="15.75" customHeight="1" x14ac:dyDescent="0.2">
      <c r="A62" s="24" t="s">
        <v>415</v>
      </c>
      <c r="B62" s="24">
        <v>1088.2883792118701</v>
      </c>
      <c r="C62" s="24">
        <v>4.7703211326736197</v>
      </c>
      <c r="D62" s="24">
        <v>0.48670063314972201</v>
      </c>
      <c r="E62" s="24">
        <v>6.25446958941499</v>
      </c>
      <c r="F62" s="26">
        <v>3.98869172242911E-10</v>
      </c>
      <c r="G62" s="26">
        <v>3.3579700676147999E-7</v>
      </c>
      <c r="H62" s="33" t="s">
        <v>10</v>
      </c>
      <c r="I62" s="33" t="s">
        <v>593</v>
      </c>
      <c r="J62" s="33" t="s">
        <v>10</v>
      </c>
    </row>
    <row r="63" spans="1:10" ht="15.75" customHeight="1" x14ac:dyDescent="0.2">
      <c r="A63" s="24" t="s">
        <v>416</v>
      </c>
      <c r="B63" s="24">
        <v>2031.98992714156</v>
      </c>
      <c r="C63" s="24">
        <v>4.7504547657150598</v>
      </c>
      <c r="D63" s="24">
        <v>0.402543922986137</v>
      </c>
      <c r="E63" s="24">
        <v>6.2516433714396102</v>
      </c>
      <c r="F63" s="26">
        <v>4.0615600439379599E-10</v>
      </c>
      <c r="G63" s="26">
        <v>3.3861186653689001E-7</v>
      </c>
      <c r="H63" s="33" t="s">
        <v>10</v>
      </c>
      <c r="I63" s="33" t="s">
        <v>3121</v>
      </c>
      <c r="J63" s="33" t="s">
        <v>10</v>
      </c>
    </row>
    <row r="64" spans="1:10" ht="15.75" customHeight="1" x14ac:dyDescent="0.2">
      <c r="A64" s="24" t="s">
        <v>419</v>
      </c>
      <c r="B64" s="24">
        <v>5416.5864958918</v>
      </c>
      <c r="C64" s="24">
        <v>4.7374657049942304</v>
      </c>
      <c r="D64" s="24">
        <v>0.57937890779360102</v>
      </c>
      <c r="E64" s="24">
        <v>6.2363045022013903</v>
      </c>
      <c r="F64" s="26">
        <v>4.48028604304991E-10</v>
      </c>
      <c r="G64" s="26">
        <v>3.6992946423340199E-7</v>
      </c>
      <c r="H64" s="33" t="s">
        <v>4140</v>
      </c>
      <c r="I64" s="33" t="s">
        <v>3900</v>
      </c>
      <c r="J64" s="33" t="s">
        <v>10</v>
      </c>
    </row>
    <row r="65" spans="1:10" ht="15.75" customHeight="1" x14ac:dyDescent="0.2">
      <c r="A65" s="24" t="s">
        <v>423</v>
      </c>
      <c r="B65" s="24">
        <v>112.52689801654</v>
      </c>
      <c r="C65" s="24">
        <v>4.7258535291083499</v>
      </c>
      <c r="D65" s="24">
        <v>0.61290394041632301</v>
      </c>
      <c r="E65" s="24">
        <v>6.2132484969533301</v>
      </c>
      <c r="F65" s="26">
        <v>5.1900273372993205E-10</v>
      </c>
      <c r="G65" s="26">
        <v>4.2044607309549998E-7</v>
      </c>
      <c r="H65" s="33" t="s">
        <v>10</v>
      </c>
      <c r="I65" s="33" t="s">
        <v>10</v>
      </c>
      <c r="J65" s="33" t="s">
        <v>10</v>
      </c>
    </row>
    <row r="66" spans="1:10" ht="15.75" customHeight="1" x14ac:dyDescent="0.2">
      <c r="A66" s="24" t="s">
        <v>425</v>
      </c>
      <c r="B66" s="24">
        <v>42.154934094969299</v>
      </c>
      <c r="C66" s="24">
        <v>4.7241116273923298</v>
      </c>
      <c r="D66" s="24">
        <v>0.98686065411034396</v>
      </c>
      <c r="E66" s="24">
        <v>6.2038800666005498</v>
      </c>
      <c r="F66" s="26">
        <v>5.5087773773694895E-10</v>
      </c>
      <c r="G66" s="26">
        <v>4.4209740389915498E-7</v>
      </c>
      <c r="H66" s="33" t="s">
        <v>10</v>
      </c>
      <c r="I66" s="33" t="s">
        <v>10</v>
      </c>
      <c r="J66" s="33" t="s">
        <v>10</v>
      </c>
    </row>
    <row r="67" spans="1:10" ht="15.75" customHeight="1" x14ac:dyDescent="0.2">
      <c r="A67" s="24" t="s">
        <v>427</v>
      </c>
      <c r="B67" s="24">
        <v>111.020519678046</v>
      </c>
      <c r="C67" s="24">
        <v>4.7119813199901097</v>
      </c>
      <c r="D67" s="24">
        <v>0.46501041535521598</v>
      </c>
      <c r="E67" s="24">
        <v>6.1610734008547201</v>
      </c>
      <c r="F67" s="26">
        <v>7.2253488400530501E-10</v>
      </c>
      <c r="G67" s="26">
        <v>5.7448882430018104E-7</v>
      </c>
      <c r="H67" s="33" t="s">
        <v>429</v>
      </c>
      <c r="I67" s="33" t="s">
        <v>430</v>
      </c>
      <c r="J67" s="33" t="s">
        <v>10</v>
      </c>
    </row>
    <row r="68" spans="1:10" ht="15.75" customHeight="1" x14ac:dyDescent="0.2">
      <c r="A68" s="24" t="s">
        <v>431</v>
      </c>
      <c r="B68" s="24">
        <v>115.70193230004899</v>
      </c>
      <c r="C68" s="24">
        <v>4.66697444183795</v>
      </c>
      <c r="D68" s="24">
        <v>0.66064029610716901</v>
      </c>
      <c r="E68" s="24">
        <v>6.1392817986947898</v>
      </c>
      <c r="F68" s="26">
        <v>8.2895401977859201E-10</v>
      </c>
      <c r="G68" s="26">
        <v>6.5305606084777495E-7</v>
      </c>
      <c r="H68" s="33" t="s">
        <v>10</v>
      </c>
      <c r="I68" s="33" t="s">
        <v>10</v>
      </c>
      <c r="J68" s="33" t="s">
        <v>10</v>
      </c>
    </row>
    <row r="69" spans="1:10" ht="15.75" customHeight="1" x14ac:dyDescent="0.2">
      <c r="A69" s="24" t="s">
        <v>433</v>
      </c>
      <c r="B69" s="24">
        <v>797.23298853404299</v>
      </c>
      <c r="C69" s="24">
        <v>4.6641298074479396</v>
      </c>
      <c r="D69" s="24">
        <v>0.66268422686073702</v>
      </c>
      <c r="E69" s="24">
        <v>6.1012767920425599</v>
      </c>
      <c r="F69" s="26">
        <v>1.0522450667165801E-9</v>
      </c>
      <c r="G69" s="26">
        <v>8.2143032840017499E-7</v>
      </c>
      <c r="H69" s="33" t="s">
        <v>275</v>
      </c>
      <c r="I69" s="33" t="s">
        <v>3988</v>
      </c>
      <c r="J69" s="33" t="s">
        <v>4084</v>
      </c>
    </row>
    <row r="70" spans="1:10" ht="15.75" customHeight="1" x14ac:dyDescent="0.2">
      <c r="A70" s="24" t="s">
        <v>439</v>
      </c>
      <c r="B70" s="24">
        <v>1772.24947497167</v>
      </c>
      <c r="C70" s="24">
        <v>4.6584369899457201</v>
      </c>
      <c r="D70" s="24">
        <v>0.505280168510992</v>
      </c>
      <c r="E70" s="24">
        <v>6.0989411041549504</v>
      </c>
      <c r="F70" s="26">
        <v>1.06773398118439E-9</v>
      </c>
      <c r="G70" s="26">
        <v>8.2462007012987998E-7</v>
      </c>
      <c r="H70" s="33" t="s">
        <v>3870</v>
      </c>
      <c r="I70" s="33" t="s">
        <v>3898</v>
      </c>
      <c r="J70" s="33" t="s">
        <v>10</v>
      </c>
    </row>
    <row r="71" spans="1:10" ht="15.75" customHeight="1" x14ac:dyDescent="0.2">
      <c r="A71" s="24" t="s">
        <v>443</v>
      </c>
      <c r="B71" s="24">
        <v>9808.9200827611694</v>
      </c>
      <c r="C71" s="24">
        <v>4.6177189771184404</v>
      </c>
      <c r="D71" s="24">
        <v>0.37851659370298302</v>
      </c>
      <c r="E71" s="24">
        <v>6.0931572922716004</v>
      </c>
      <c r="F71" s="26">
        <v>1.1070518831204399E-9</v>
      </c>
      <c r="G71" s="26">
        <v>8.4127125889765801E-7</v>
      </c>
      <c r="H71" s="33" t="s">
        <v>414</v>
      </c>
      <c r="I71" s="33" t="s">
        <v>445</v>
      </c>
      <c r="J71" s="33" t="s">
        <v>10</v>
      </c>
    </row>
    <row r="72" spans="1:10" ht="15.75" customHeight="1" x14ac:dyDescent="0.2">
      <c r="A72" s="24" t="s">
        <v>448</v>
      </c>
      <c r="B72" s="24">
        <v>224.82516113733499</v>
      </c>
      <c r="C72" s="24">
        <v>4.6099292350919097</v>
      </c>
      <c r="D72" s="24">
        <v>0.60604548848796402</v>
      </c>
      <c r="E72" s="24">
        <v>6.0905033019784796</v>
      </c>
      <c r="F72" s="26">
        <v>1.1255626244524501E-9</v>
      </c>
      <c r="G72" s="26">
        <v>8.4783498354698498E-7</v>
      </c>
      <c r="H72" s="33" t="s">
        <v>10</v>
      </c>
      <c r="I72" s="33" t="s">
        <v>10</v>
      </c>
      <c r="J72" s="33" t="s">
        <v>10</v>
      </c>
    </row>
    <row r="73" spans="1:10" ht="15.75" customHeight="1" x14ac:dyDescent="0.2">
      <c r="A73" s="24" t="s">
        <v>450</v>
      </c>
      <c r="B73" s="24">
        <v>115800.371680481</v>
      </c>
      <c r="C73" s="24">
        <v>4.6046174416937697</v>
      </c>
      <c r="D73" s="24">
        <v>0.33823897151421201</v>
      </c>
      <c r="E73" s="24">
        <v>6.0788097546496802</v>
      </c>
      <c r="F73" s="26">
        <v>1.2107790633351701E-9</v>
      </c>
      <c r="G73" s="26">
        <v>9.0409399084916997E-7</v>
      </c>
      <c r="H73" s="33" t="s">
        <v>453</v>
      </c>
      <c r="I73" s="33" t="s">
        <v>4198</v>
      </c>
      <c r="J73" s="33" t="s">
        <v>10</v>
      </c>
    </row>
    <row r="74" spans="1:10" ht="15.75" customHeight="1" x14ac:dyDescent="0.2">
      <c r="A74" s="24" t="s">
        <v>456</v>
      </c>
      <c r="B74" s="24">
        <v>150.91011818253</v>
      </c>
      <c r="C74" s="24">
        <v>4.6000293342889398</v>
      </c>
      <c r="D74" s="24">
        <v>0.33444225898769703</v>
      </c>
      <c r="E74" s="24">
        <v>6.0686316069259902</v>
      </c>
      <c r="F74" s="26">
        <v>1.2900467833559799E-9</v>
      </c>
      <c r="G74" s="26">
        <v>9.5189616939190004E-7</v>
      </c>
      <c r="H74" s="33" t="s">
        <v>10</v>
      </c>
      <c r="I74" s="33" t="s">
        <v>10</v>
      </c>
      <c r="J74" s="33" t="s">
        <v>10</v>
      </c>
    </row>
    <row r="75" spans="1:10" ht="15.75" customHeight="1" x14ac:dyDescent="0.2">
      <c r="A75" s="24" t="s">
        <v>459</v>
      </c>
      <c r="B75" s="24">
        <v>295.94545413190599</v>
      </c>
      <c r="C75" s="24">
        <v>4.58526202473411</v>
      </c>
      <c r="D75" s="24">
        <v>0.80988805285505605</v>
      </c>
      <c r="E75" s="24">
        <v>6.0677721837235596</v>
      </c>
      <c r="F75" s="26">
        <v>1.2969669832522301E-9</v>
      </c>
      <c r="G75" s="26">
        <v>9.5189616939190004E-7</v>
      </c>
      <c r="H75" s="33" t="s">
        <v>10</v>
      </c>
      <c r="I75" s="33" t="s">
        <v>10</v>
      </c>
      <c r="J75" s="33" t="s">
        <v>10</v>
      </c>
    </row>
    <row r="76" spans="1:10" ht="15.75" customHeight="1" x14ac:dyDescent="0.2">
      <c r="A76" s="24" t="s">
        <v>462</v>
      </c>
      <c r="B76" s="24">
        <v>55.879609146718998</v>
      </c>
      <c r="C76" s="24">
        <v>4.5460357561062299</v>
      </c>
      <c r="D76" s="24">
        <v>0.52189908678795804</v>
      </c>
      <c r="E76" s="24">
        <v>6.0586832710942504</v>
      </c>
      <c r="F76" s="26">
        <v>1.3724032097873099E-9</v>
      </c>
      <c r="G76" s="26">
        <v>9.8664569751199401E-7</v>
      </c>
      <c r="H76" s="33" t="s">
        <v>10</v>
      </c>
      <c r="I76" s="33" t="s">
        <v>10</v>
      </c>
      <c r="J76" s="33" t="s">
        <v>10</v>
      </c>
    </row>
    <row r="77" spans="1:10" ht="15.75" customHeight="1" x14ac:dyDescent="0.2">
      <c r="A77" s="24" t="s">
        <v>465</v>
      </c>
      <c r="B77" s="24">
        <v>624.19595250299005</v>
      </c>
      <c r="C77" s="24">
        <v>4.5394230923732097</v>
      </c>
      <c r="D77" s="24">
        <v>0.57546813087913895</v>
      </c>
      <c r="E77" s="24">
        <v>6.0581344567412998</v>
      </c>
      <c r="F77" s="26">
        <v>1.3770926860334E-9</v>
      </c>
      <c r="G77" s="26">
        <v>9.8664569751199401E-7</v>
      </c>
      <c r="H77" s="33" t="s">
        <v>10</v>
      </c>
      <c r="I77" s="33" t="s">
        <v>10</v>
      </c>
      <c r="J77" s="33" t="s">
        <v>10</v>
      </c>
    </row>
    <row r="78" spans="1:10" ht="15.75" customHeight="1" x14ac:dyDescent="0.2">
      <c r="A78" s="24" t="s">
        <v>467</v>
      </c>
      <c r="B78" s="24">
        <v>39.689316160332602</v>
      </c>
      <c r="C78" s="24">
        <v>4.5039160990561999</v>
      </c>
      <c r="D78" s="24">
        <v>0.64540837335700496</v>
      </c>
      <c r="E78" s="24">
        <v>6.0558334877564901</v>
      </c>
      <c r="F78" s="26">
        <v>1.3969244574534701E-9</v>
      </c>
      <c r="G78" s="26">
        <v>9.9136611641311306E-7</v>
      </c>
      <c r="H78" s="33" t="s">
        <v>10</v>
      </c>
      <c r="I78" s="33" t="s">
        <v>10</v>
      </c>
      <c r="J78" s="33" t="s">
        <v>10</v>
      </c>
    </row>
    <row r="79" spans="1:10" ht="15.75" customHeight="1" x14ac:dyDescent="0.2">
      <c r="A79" s="24" t="s">
        <v>469</v>
      </c>
      <c r="B79" s="24">
        <v>2074.97909630511</v>
      </c>
      <c r="C79" s="24">
        <v>4.4708972250582599</v>
      </c>
      <c r="D79" s="24">
        <v>0.49713984695453101</v>
      </c>
      <c r="E79" s="24">
        <v>6.0117580989625798</v>
      </c>
      <c r="F79" s="26">
        <v>1.83522033792376E-9</v>
      </c>
      <c r="G79" s="26">
        <v>1.27090488417622E-6</v>
      </c>
      <c r="H79" s="33" t="s">
        <v>164</v>
      </c>
      <c r="I79" s="33" t="s">
        <v>4199</v>
      </c>
      <c r="J79" s="33" t="s">
        <v>10</v>
      </c>
    </row>
    <row r="80" spans="1:10" ht="15.75" customHeight="1" x14ac:dyDescent="0.2">
      <c r="A80" s="24" t="s">
        <v>471</v>
      </c>
      <c r="B80" s="24">
        <v>4547.62714206486</v>
      </c>
      <c r="C80" s="24">
        <v>4.4674486904719197</v>
      </c>
      <c r="D80" s="24">
        <v>0.58158602949017701</v>
      </c>
      <c r="E80" s="24">
        <v>6.0049555196197701</v>
      </c>
      <c r="F80" s="26">
        <v>1.9138436496822601E-9</v>
      </c>
      <c r="G80" s="26">
        <v>1.30431482572909E-6</v>
      </c>
      <c r="H80" s="33" t="s">
        <v>3162</v>
      </c>
      <c r="I80" s="33" t="s">
        <v>738</v>
      </c>
      <c r="J80" s="33" t="s">
        <v>10</v>
      </c>
    </row>
    <row r="81" spans="1:10" ht="15.75" customHeight="1" x14ac:dyDescent="0.2">
      <c r="A81" s="24" t="s">
        <v>474</v>
      </c>
      <c r="B81" s="24">
        <v>32692.337179438498</v>
      </c>
      <c r="C81" s="24">
        <v>4.4415709670485599</v>
      </c>
      <c r="D81" s="24">
        <v>0.398793134506647</v>
      </c>
      <c r="E81" s="24">
        <v>5.9917666527396198</v>
      </c>
      <c r="F81" s="26">
        <v>2.07573625636509E-9</v>
      </c>
      <c r="G81" s="26">
        <v>1.3911076633718901E-6</v>
      </c>
      <c r="H81" s="33" t="s">
        <v>475</v>
      </c>
      <c r="I81" s="33" t="s">
        <v>4018</v>
      </c>
      <c r="J81" s="33" t="s">
        <v>10</v>
      </c>
    </row>
    <row r="82" spans="1:10" ht="15.75" customHeight="1" x14ac:dyDescent="0.2">
      <c r="A82" s="24" t="s">
        <v>477</v>
      </c>
      <c r="B82" s="24">
        <v>427.08689636845702</v>
      </c>
      <c r="C82" s="24">
        <v>4.3911542453792904</v>
      </c>
      <c r="D82" s="24">
        <v>0.66313312095015098</v>
      </c>
      <c r="E82" s="24">
        <v>5.99163853995928</v>
      </c>
      <c r="F82" s="26">
        <v>2.0773724624516401E-9</v>
      </c>
      <c r="G82" s="26">
        <v>1.3911076633718901E-6</v>
      </c>
      <c r="H82" s="33" t="s">
        <v>10</v>
      </c>
      <c r="I82" s="33" t="s">
        <v>10</v>
      </c>
      <c r="J82" s="33" t="s">
        <v>10</v>
      </c>
    </row>
    <row r="83" spans="1:10" ht="15.75" customHeight="1" x14ac:dyDescent="0.2">
      <c r="A83" s="24" t="s">
        <v>479</v>
      </c>
      <c r="B83" s="24">
        <v>949.68848993915503</v>
      </c>
      <c r="C83" s="24">
        <v>4.3504643814172201</v>
      </c>
      <c r="D83" s="24">
        <v>0.47061199622342897</v>
      </c>
      <c r="E83" s="24">
        <v>5.9791152079673502</v>
      </c>
      <c r="F83" s="26">
        <v>2.2435285021425098E-9</v>
      </c>
      <c r="G83" s="26">
        <v>1.4706414962403E-6</v>
      </c>
      <c r="H83" s="33" t="s">
        <v>480</v>
      </c>
      <c r="I83" s="33" t="s">
        <v>482</v>
      </c>
      <c r="J83" s="33" t="s">
        <v>10</v>
      </c>
    </row>
    <row r="84" spans="1:10" ht="15.75" customHeight="1" x14ac:dyDescent="0.2">
      <c r="A84" s="24" t="s">
        <v>483</v>
      </c>
      <c r="B84" s="24">
        <v>4173.9392949538696</v>
      </c>
      <c r="C84" s="24">
        <v>4.3251193068600404</v>
      </c>
      <c r="D84" s="24">
        <v>0.49645157985816701</v>
      </c>
      <c r="E84" s="24">
        <v>5.9616372485555402</v>
      </c>
      <c r="F84" s="26">
        <v>2.4972303846531802E-9</v>
      </c>
      <c r="G84" s="26">
        <v>1.6123283485755899E-6</v>
      </c>
      <c r="H84" s="33" t="s">
        <v>486</v>
      </c>
      <c r="I84" s="33" t="s">
        <v>487</v>
      </c>
      <c r="J84" s="33" t="s">
        <v>10</v>
      </c>
    </row>
    <row r="85" spans="1:10" ht="15.75" customHeight="1" x14ac:dyDescent="0.2">
      <c r="A85" s="24" t="s">
        <v>488</v>
      </c>
      <c r="B85" s="24">
        <v>961.09490371030597</v>
      </c>
      <c r="C85" s="24">
        <v>4.3224045339770898</v>
      </c>
      <c r="D85" s="24">
        <v>0.43573496070387702</v>
      </c>
      <c r="E85" s="24">
        <v>5.9464651650232696</v>
      </c>
      <c r="F85" s="26">
        <v>2.7399481066243602E-9</v>
      </c>
      <c r="G85" s="26">
        <v>1.73159922279021E-6</v>
      </c>
      <c r="H85" s="33" t="s">
        <v>10</v>
      </c>
      <c r="I85" s="33" t="s">
        <v>10</v>
      </c>
      <c r="J85" s="33" t="s">
        <v>10</v>
      </c>
    </row>
    <row r="86" spans="1:10" ht="15.75" customHeight="1" x14ac:dyDescent="0.2">
      <c r="A86" s="24" t="s">
        <v>494</v>
      </c>
      <c r="B86" s="24">
        <v>10360.2931547964</v>
      </c>
      <c r="C86" s="24">
        <v>4.2695701504455901</v>
      </c>
      <c r="D86" s="24">
        <v>0.72690469953699499</v>
      </c>
      <c r="E86" s="24">
        <v>5.9463152965309796</v>
      </c>
      <c r="F86" s="26">
        <v>2.7424566419334701E-9</v>
      </c>
      <c r="G86" s="26">
        <v>1.73159922279021E-6</v>
      </c>
      <c r="H86" s="33" t="s">
        <v>3874</v>
      </c>
      <c r="I86" s="33" t="s">
        <v>4009</v>
      </c>
      <c r="J86" s="33" t="s">
        <v>4104</v>
      </c>
    </row>
    <row r="87" spans="1:10" ht="15.75" customHeight="1" x14ac:dyDescent="0.2">
      <c r="A87" s="24" t="s">
        <v>496</v>
      </c>
      <c r="B87" s="24">
        <v>348.28644406968999</v>
      </c>
      <c r="C87" s="24">
        <v>4.2542736886131696</v>
      </c>
      <c r="D87" s="24">
        <v>0.54539655530044595</v>
      </c>
      <c r="E87" s="24">
        <v>5.9434764319463298</v>
      </c>
      <c r="F87" s="26">
        <v>2.79039887344583E-9</v>
      </c>
      <c r="G87" s="26">
        <v>1.74113892864326E-6</v>
      </c>
      <c r="H87" s="33" t="s">
        <v>10</v>
      </c>
      <c r="I87" s="33" t="s">
        <v>10</v>
      </c>
      <c r="J87" s="33" t="s">
        <v>10</v>
      </c>
    </row>
    <row r="88" spans="1:10" ht="15.75" customHeight="1" x14ac:dyDescent="0.2">
      <c r="A88" s="24" t="s">
        <v>498</v>
      </c>
      <c r="B88" s="24">
        <v>3994.6889262750801</v>
      </c>
      <c r="C88" s="24">
        <v>4.2383943123428898</v>
      </c>
      <c r="D88" s="24">
        <v>0.777575884549494</v>
      </c>
      <c r="E88" s="24">
        <v>5.9386087825933798</v>
      </c>
      <c r="F88" s="26">
        <v>2.8745089060459999E-9</v>
      </c>
      <c r="G88" s="26">
        <v>1.77580542641062E-6</v>
      </c>
      <c r="H88" s="33" t="s">
        <v>499</v>
      </c>
      <c r="I88" s="33" t="s">
        <v>501</v>
      </c>
      <c r="J88" s="33" t="s">
        <v>10</v>
      </c>
    </row>
    <row r="89" spans="1:10" ht="15.75" customHeight="1" x14ac:dyDescent="0.2">
      <c r="A89" s="24" t="s">
        <v>502</v>
      </c>
      <c r="B89" s="24">
        <v>276.20783542525697</v>
      </c>
      <c r="C89" s="24">
        <v>4.2216373035870696</v>
      </c>
      <c r="D89" s="24">
        <v>0.67124330274654898</v>
      </c>
      <c r="E89" s="24">
        <v>5.9358527624714998</v>
      </c>
      <c r="F89" s="26">
        <v>2.92322056257413E-9</v>
      </c>
      <c r="G89" s="26">
        <v>1.7929990923485999E-6</v>
      </c>
      <c r="H89" s="33" t="s">
        <v>506</v>
      </c>
      <c r="I89" s="33" t="s">
        <v>10</v>
      </c>
      <c r="J89" s="33" t="s">
        <v>10</v>
      </c>
    </row>
    <row r="90" spans="1:10" ht="15.75" customHeight="1" x14ac:dyDescent="0.2">
      <c r="A90" s="24" t="s">
        <v>507</v>
      </c>
      <c r="B90" s="24">
        <v>2812.8086294386899</v>
      </c>
      <c r="C90" s="24">
        <v>4.2068635215399501</v>
      </c>
      <c r="D90" s="24">
        <v>0.82317413820174501</v>
      </c>
      <c r="E90" s="24">
        <v>5.9285233827459001</v>
      </c>
      <c r="F90" s="26">
        <v>3.0567089167982602E-9</v>
      </c>
      <c r="G90" s="26">
        <v>1.84846937601678E-6</v>
      </c>
      <c r="H90" s="33" t="s">
        <v>10</v>
      </c>
      <c r="I90" s="33" t="s">
        <v>10</v>
      </c>
      <c r="J90" s="33" t="s">
        <v>10</v>
      </c>
    </row>
    <row r="91" spans="1:10" ht="15.75" customHeight="1" x14ac:dyDescent="0.2">
      <c r="A91" s="24" t="s">
        <v>511</v>
      </c>
      <c r="B91" s="24">
        <v>88.853832816318203</v>
      </c>
      <c r="C91" s="24">
        <v>4.2031379162642297</v>
      </c>
      <c r="D91" s="24">
        <v>0.50623597174247503</v>
      </c>
      <c r="E91" s="24">
        <v>5.9054527460868904</v>
      </c>
      <c r="F91" s="26">
        <v>3.5167958269992199E-9</v>
      </c>
      <c r="G91" s="26">
        <v>2.0826949962775901E-6</v>
      </c>
      <c r="H91" s="33" t="s">
        <v>10</v>
      </c>
      <c r="I91" s="33" t="s">
        <v>10</v>
      </c>
      <c r="J91" s="33" t="s">
        <v>10</v>
      </c>
    </row>
    <row r="92" spans="1:10" ht="15.75" customHeight="1" x14ac:dyDescent="0.2">
      <c r="A92" s="24" t="s">
        <v>515</v>
      </c>
      <c r="B92" s="24">
        <v>296.73946716058902</v>
      </c>
      <c r="C92" s="24">
        <v>4.1994158610482204</v>
      </c>
      <c r="D92" s="24">
        <v>0.57730227872134299</v>
      </c>
      <c r="E92" s="24">
        <v>5.8958137273891102</v>
      </c>
      <c r="F92" s="26">
        <v>3.7283938609228796E-9</v>
      </c>
      <c r="G92" s="26">
        <v>2.1779653689204702E-6</v>
      </c>
      <c r="H92" s="33" t="s">
        <v>10</v>
      </c>
      <c r="I92" s="33" t="s">
        <v>10</v>
      </c>
      <c r="J92" s="33" t="s">
        <v>10</v>
      </c>
    </row>
    <row r="93" spans="1:10" ht="15.75" customHeight="1" x14ac:dyDescent="0.2">
      <c r="A93" s="24" t="s">
        <v>519</v>
      </c>
      <c r="B93" s="24">
        <v>295.524153232061</v>
      </c>
      <c r="C93" s="24">
        <v>4.1743562909424003</v>
      </c>
      <c r="D93" s="24">
        <v>0.51011949574673998</v>
      </c>
      <c r="E93" s="24">
        <v>5.8835983747649001</v>
      </c>
      <c r="F93" s="26">
        <v>4.0144130245253498E-9</v>
      </c>
      <c r="G93" s="26">
        <v>2.3292004110068698E-6</v>
      </c>
      <c r="H93" s="33" t="s">
        <v>10</v>
      </c>
      <c r="I93" s="33" t="s">
        <v>10</v>
      </c>
      <c r="J93" s="33" t="s">
        <v>10</v>
      </c>
    </row>
    <row r="94" spans="1:10" ht="15.75" customHeight="1" x14ac:dyDescent="0.2">
      <c r="A94" s="24" t="s">
        <v>522</v>
      </c>
      <c r="B94" s="24">
        <v>71.675509291325</v>
      </c>
      <c r="C94" s="24">
        <v>4.1500144686854803</v>
      </c>
      <c r="D94" s="24">
        <v>0.78494660386176496</v>
      </c>
      <c r="E94" s="24">
        <v>5.8603086014485699</v>
      </c>
      <c r="F94" s="26">
        <v>4.6200776925064998E-9</v>
      </c>
      <c r="G94" s="26">
        <v>2.6100703390343801E-6</v>
      </c>
      <c r="H94" s="33" t="s">
        <v>10</v>
      </c>
      <c r="I94" s="33" t="s">
        <v>10</v>
      </c>
      <c r="J94" s="33" t="s">
        <v>10</v>
      </c>
    </row>
    <row r="95" spans="1:10" ht="15.75" customHeight="1" x14ac:dyDescent="0.2">
      <c r="A95" s="24" t="s">
        <v>524</v>
      </c>
      <c r="B95" s="24">
        <v>54.222009705669997</v>
      </c>
      <c r="C95" s="24">
        <v>4.1488518120889299</v>
      </c>
      <c r="D95" s="24">
        <v>1.1678805937382399</v>
      </c>
      <c r="E95" s="24">
        <v>5.8559869262555999</v>
      </c>
      <c r="F95" s="26">
        <v>4.7418552284022999E-9</v>
      </c>
      <c r="G95" s="26">
        <v>2.6440769501177501E-6</v>
      </c>
      <c r="H95" s="33" t="s">
        <v>10</v>
      </c>
      <c r="I95" s="33" t="s">
        <v>10</v>
      </c>
      <c r="J95" s="33" t="s">
        <v>10</v>
      </c>
    </row>
    <row r="96" spans="1:10" ht="15.75" customHeight="1" x14ac:dyDescent="0.2">
      <c r="A96" s="24" t="s">
        <v>528</v>
      </c>
      <c r="B96" s="24">
        <v>1445.06294574602</v>
      </c>
      <c r="C96" s="24">
        <v>4.1406249501622003</v>
      </c>
      <c r="D96" s="24">
        <v>0.51191670495078601</v>
      </c>
      <c r="E96" s="24">
        <v>5.8305759529551704</v>
      </c>
      <c r="F96" s="26">
        <v>5.5236389563830999E-9</v>
      </c>
      <c r="G96" s="26">
        <v>3.0211490498316802E-6</v>
      </c>
      <c r="H96" s="33" t="s">
        <v>10</v>
      </c>
      <c r="I96" s="33" t="s">
        <v>10</v>
      </c>
      <c r="J96" s="33" t="s">
        <v>10</v>
      </c>
    </row>
    <row r="97" spans="1:10" ht="15.75" customHeight="1" x14ac:dyDescent="0.2">
      <c r="A97" s="28" t="s">
        <v>530</v>
      </c>
      <c r="B97" s="24">
        <v>1069.4809577639001</v>
      </c>
      <c r="C97" s="24">
        <v>4.12931732742096</v>
      </c>
      <c r="D97" s="24">
        <v>0.67757888949645695</v>
      </c>
      <c r="E97" s="24">
        <v>5.8214480475650801</v>
      </c>
      <c r="F97" s="26">
        <v>5.8339940727631701E-9</v>
      </c>
      <c r="G97" s="26">
        <v>3.17070193052055E-6</v>
      </c>
      <c r="H97" s="33" t="s">
        <v>10</v>
      </c>
      <c r="I97" s="33" t="s">
        <v>10</v>
      </c>
      <c r="J97" s="33" t="s">
        <v>10</v>
      </c>
    </row>
    <row r="98" spans="1:10" ht="15.75" customHeight="1" x14ac:dyDescent="0.2">
      <c r="A98" s="24" t="s">
        <v>533</v>
      </c>
      <c r="B98" s="24">
        <v>132.892141046072</v>
      </c>
      <c r="C98" s="24">
        <v>4.11748710626473</v>
      </c>
      <c r="D98" s="24">
        <v>0.53875217466700898</v>
      </c>
      <c r="E98" s="24">
        <v>5.8153527027254599</v>
      </c>
      <c r="F98" s="26">
        <v>6.0506172251845803E-9</v>
      </c>
      <c r="G98" s="26">
        <v>3.2677518977599099E-6</v>
      </c>
      <c r="H98" s="33" t="s">
        <v>10</v>
      </c>
      <c r="I98" s="33" t="s">
        <v>10</v>
      </c>
      <c r="J98" s="33" t="s">
        <v>10</v>
      </c>
    </row>
    <row r="99" spans="1:10" ht="15.75" customHeight="1" x14ac:dyDescent="0.2">
      <c r="A99" s="24" t="s">
        <v>534</v>
      </c>
      <c r="B99" s="24">
        <v>135.55589747056399</v>
      </c>
      <c r="C99" s="24">
        <v>4.0965391211156899</v>
      </c>
      <c r="D99" s="24">
        <v>0.53561213774994199</v>
      </c>
      <c r="E99" s="24">
        <v>5.81279824831587</v>
      </c>
      <c r="F99" s="26">
        <v>6.1437089455901101E-9</v>
      </c>
      <c r="G99" s="26">
        <v>3.2972901929173E-6</v>
      </c>
      <c r="H99" s="33" t="s">
        <v>10</v>
      </c>
      <c r="I99" s="33" t="s">
        <v>10</v>
      </c>
      <c r="J99" s="33" t="s">
        <v>10</v>
      </c>
    </row>
    <row r="100" spans="1:10" ht="15.75" customHeight="1" x14ac:dyDescent="0.2">
      <c r="A100" s="24" t="s">
        <v>537</v>
      </c>
      <c r="B100" s="24">
        <v>663.00685922990294</v>
      </c>
      <c r="C100" s="24">
        <v>4.0837185623919297</v>
      </c>
      <c r="D100" s="24">
        <v>0.55798461761051799</v>
      </c>
      <c r="E100" s="24">
        <v>5.8033088409406304</v>
      </c>
      <c r="F100" s="26">
        <v>6.5018870899851503E-9</v>
      </c>
      <c r="G100" s="26">
        <v>3.44644164385256E-6</v>
      </c>
      <c r="H100" s="33" t="s">
        <v>3887</v>
      </c>
      <c r="I100" s="33" t="s">
        <v>4023</v>
      </c>
      <c r="J100" s="33" t="s">
        <v>4110</v>
      </c>
    </row>
    <row r="101" spans="1:10" ht="15.75" customHeight="1" x14ac:dyDescent="0.2">
      <c r="A101" s="24" t="s">
        <v>539</v>
      </c>
      <c r="B101" s="24">
        <v>804.39506886440802</v>
      </c>
      <c r="C101" s="24">
        <v>4.0628561490916901</v>
      </c>
      <c r="D101" s="24">
        <v>0.43720378533892301</v>
      </c>
      <c r="E101" s="24">
        <v>5.8021099980021802</v>
      </c>
      <c r="F101" s="26">
        <v>6.54855771775278E-9</v>
      </c>
      <c r="G101" s="26">
        <v>3.4498846612340398E-6</v>
      </c>
      <c r="H101" s="33" t="s">
        <v>10</v>
      </c>
      <c r="I101" s="33" t="s">
        <v>10</v>
      </c>
      <c r="J101" s="33" t="s">
        <v>10</v>
      </c>
    </row>
    <row r="102" spans="1:10" ht="15.75" customHeight="1" x14ac:dyDescent="0.2">
      <c r="A102" s="24" t="s">
        <v>541</v>
      </c>
      <c r="B102" s="24">
        <v>2186.7863472566901</v>
      </c>
      <c r="C102" s="24">
        <v>4.0558569453750799</v>
      </c>
      <c r="D102" s="24">
        <v>0.56169838617427303</v>
      </c>
      <c r="E102" s="24">
        <v>5.7992371751317497</v>
      </c>
      <c r="F102" s="26">
        <v>6.6617257592710202E-9</v>
      </c>
      <c r="G102" s="26">
        <v>3.4669639556021898E-6</v>
      </c>
      <c r="H102" s="33" t="s">
        <v>3867</v>
      </c>
      <c r="I102" s="33" t="s">
        <v>1094</v>
      </c>
      <c r="J102" s="33" t="s">
        <v>4098</v>
      </c>
    </row>
    <row r="103" spans="1:10" ht="15.75" customHeight="1" x14ac:dyDescent="0.2">
      <c r="A103" s="24" t="s">
        <v>544</v>
      </c>
      <c r="B103" s="24">
        <v>2389.4880764770401</v>
      </c>
      <c r="C103" s="24">
        <v>4.0468793296180197</v>
      </c>
      <c r="D103" s="24">
        <v>0.496741919075602</v>
      </c>
      <c r="E103" s="24">
        <v>5.7924366485049799</v>
      </c>
      <c r="F103" s="26">
        <v>6.9372497172381699E-9</v>
      </c>
      <c r="G103" s="26">
        <v>3.5536128841438701E-6</v>
      </c>
      <c r="H103" s="33" t="s">
        <v>545</v>
      </c>
      <c r="I103" s="33" t="s">
        <v>10</v>
      </c>
      <c r="J103" s="33" t="s">
        <v>10</v>
      </c>
    </row>
    <row r="104" spans="1:10" ht="15.75" customHeight="1" x14ac:dyDescent="0.2">
      <c r="A104" s="24" t="s">
        <v>547</v>
      </c>
      <c r="B104" s="24">
        <v>8523.8167778465504</v>
      </c>
      <c r="C104" s="24">
        <v>4.0432198937980797</v>
      </c>
      <c r="D104" s="24">
        <v>0.58260779006715901</v>
      </c>
      <c r="E104" s="24">
        <v>5.7920710921916099</v>
      </c>
      <c r="F104" s="26">
        <v>6.9523700030996497E-9</v>
      </c>
      <c r="G104" s="26">
        <v>3.5536128841438701E-6</v>
      </c>
      <c r="H104" s="33" t="s">
        <v>10</v>
      </c>
      <c r="I104" s="33" t="s">
        <v>548</v>
      </c>
      <c r="J104" s="33" t="s">
        <v>10</v>
      </c>
    </row>
    <row r="105" spans="1:10" ht="15.75" customHeight="1" x14ac:dyDescent="0.2">
      <c r="A105" s="24" t="s">
        <v>550</v>
      </c>
      <c r="B105" s="24">
        <v>111.55067932727</v>
      </c>
      <c r="C105" s="24">
        <v>4.0124866612949397</v>
      </c>
      <c r="D105" s="24">
        <v>0.64131032273934196</v>
      </c>
      <c r="E105" s="24">
        <v>5.7879339750694196</v>
      </c>
      <c r="F105" s="26">
        <v>7.1257407257418396E-9</v>
      </c>
      <c r="G105" s="26">
        <v>3.6023210530148199E-6</v>
      </c>
      <c r="H105" s="33" t="s">
        <v>10</v>
      </c>
      <c r="I105" s="33" t="s">
        <v>10</v>
      </c>
      <c r="J105" s="33" t="s">
        <v>10</v>
      </c>
    </row>
    <row r="106" spans="1:10" ht="15.75" customHeight="1" x14ac:dyDescent="0.2">
      <c r="A106" s="24" t="s">
        <v>553</v>
      </c>
      <c r="B106" s="24">
        <v>46.387341088800198</v>
      </c>
      <c r="C106" s="24">
        <v>4.0123368896054998</v>
      </c>
      <c r="D106" s="24">
        <v>1.5782639387305599</v>
      </c>
      <c r="E106" s="24">
        <v>5.7877967078423298</v>
      </c>
      <c r="F106" s="26">
        <v>7.1315645446369496E-9</v>
      </c>
      <c r="G106" s="26">
        <v>3.6023210530148199E-6</v>
      </c>
      <c r="H106" s="33" t="s">
        <v>10</v>
      </c>
      <c r="I106" s="33" t="s">
        <v>10</v>
      </c>
      <c r="J106" s="33" t="s">
        <v>10</v>
      </c>
    </row>
    <row r="107" spans="1:10" ht="15.75" customHeight="1" x14ac:dyDescent="0.2">
      <c r="A107" s="24" t="s">
        <v>556</v>
      </c>
      <c r="B107" s="24">
        <v>1460.24356163108</v>
      </c>
      <c r="C107" s="24">
        <v>4.0070319847050904</v>
      </c>
      <c r="D107" s="24">
        <v>0.38553741933679703</v>
      </c>
      <c r="E107" s="24">
        <v>5.7845248933406701</v>
      </c>
      <c r="F107" s="26">
        <v>7.2717554762272001E-9</v>
      </c>
      <c r="G107" s="26">
        <v>3.6516544707550099E-6</v>
      </c>
      <c r="H107" s="33" t="s">
        <v>440</v>
      </c>
      <c r="I107" s="33" t="s">
        <v>560</v>
      </c>
      <c r="J107" s="33" t="s">
        <v>10</v>
      </c>
    </row>
    <row r="108" spans="1:10" ht="15.75" customHeight="1" x14ac:dyDescent="0.2">
      <c r="A108" s="24" t="s">
        <v>562</v>
      </c>
      <c r="B108" s="24">
        <v>70.906295032051702</v>
      </c>
      <c r="C108" s="24">
        <v>4.0004364761806404</v>
      </c>
      <c r="D108" s="24">
        <v>0.55004351455304501</v>
      </c>
      <c r="E108" s="24">
        <v>5.7749893001660402</v>
      </c>
      <c r="F108" s="26">
        <v>7.6957975380411197E-9</v>
      </c>
      <c r="G108" s="26">
        <v>3.8199180947348496E-6</v>
      </c>
      <c r="H108" s="33" t="s">
        <v>10</v>
      </c>
      <c r="I108" s="33" t="s">
        <v>10</v>
      </c>
      <c r="J108" s="33" t="s">
        <v>10</v>
      </c>
    </row>
    <row r="109" spans="1:10" ht="15.75" customHeight="1" x14ac:dyDescent="0.2">
      <c r="A109" s="24" t="s">
        <v>564</v>
      </c>
      <c r="B109" s="24">
        <v>174.12384381522901</v>
      </c>
      <c r="C109" s="24">
        <v>3.9844014128985901</v>
      </c>
      <c r="D109" s="24">
        <v>0.56775008876761401</v>
      </c>
      <c r="E109" s="24">
        <v>5.7423749203502501</v>
      </c>
      <c r="F109" s="26">
        <v>9.3357834486984293E-9</v>
      </c>
      <c r="G109" s="26">
        <v>4.5292263306394499E-6</v>
      </c>
      <c r="H109" s="33" t="s">
        <v>10</v>
      </c>
      <c r="I109" s="33" t="s">
        <v>10</v>
      </c>
      <c r="J109" s="33" t="s">
        <v>10</v>
      </c>
    </row>
    <row r="110" spans="1:10" ht="15.75" customHeight="1" x14ac:dyDescent="0.2">
      <c r="A110" s="24" t="s">
        <v>565</v>
      </c>
      <c r="B110" s="24">
        <v>176.183845669059</v>
      </c>
      <c r="C110" s="24">
        <v>3.9764580216580998</v>
      </c>
      <c r="D110" s="24">
        <v>0.81215655286830202</v>
      </c>
      <c r="E110" s="24">
        <v>5.7358854933737504</v>
      </c>
      <c r="F110" s="26">
        <v>9.70041849935314E-9</v>
      </c>
      <c r="G110" s="26">
        <v>4.6796889716738903E-6</v>
      </c>
      <c r="H110" s="33" t="s">
        <v>10</v>
      </c>
      <c r="I110" s="33" t="s">
        <v>10</v>
      </c>
      <c r="J110" s="33" t="s">
        <v>10</v>
      </c>
    </row>
    <row r="111" spans="1:10" ht="15.75" customHeight="1" x14ac:dyDescent="0.2">
      <c r="A111" s="24" t="s">
        <v>568</v>
      </c>
      <c r="B111" s="24">
        <v>109.023511596463</v>
      </c>
      <c r="C111" s="24">
        <v>3.9732539646084</v>
      </c>
      <c r="D111" s="24">
        <v>0.851442970818718</v>
      </c>
      <c r="E111" s="24">
        <v>5.7227203484427198</v>
      </c>
      <c r="F111" s="26">
        <v>1.0483174576438499E-8</v>
      </c>
      <c r="G111" s="26">
        <v>4.9461576046887404E-6</v>
      </c>
      <c r="H111" s="33" t="s">
        <v>10</v>
      </c>
      <c r="I111" s="33" t="s">
        <v>10</v>
      </c>
      <c r="J111" s="33" t="s">
        <v>10</v>
      </c>
    </row>
    <row r="112" spans="1:10" ht="15.75" customHeight="1" x14ac:dyDescent="0.2">
      <c r="A112" s="24" t="s">
        <v>570</v>
      </c>
      <c r="B112" s="24">
        <v>40.870171664983999</v>
      </c>
      <c r="C112" s="24">
        <v>3.96538596784516</v>
      </c>
      <c r="D112" s="24">
        <v>0.56982454232023305</v>
      </c>
      <c r="E112" s="24">
        <v>5.7157859493798497</v>
      </c>
      <c r="F112" s="26">
        <v>1.09198124221169E-8</v>
      </c>
      <c r="G112" s="26">
        <v>5.1240175546426104E-6</v>
      </c>
      <c r="H112" s="33" t="s">
        <v>10</v>
      </c>
      <c r="I112" s="33" t="s">
        <v>10</v>
      </c>
      <c r="J112" s="33" t="s">
        <v>10</v>
      </c>
    </row>
    <row r="113" spans="1:10" ht="15.75" customHeight="1" x14ac:dyDescent="0.2">
      <c r="A113" s="24" t="s">
        <v>572</v>
      </c>
      <c r="B113" s="24">
        <v>2978.9845724505399</v>
      </c>
      <c r="C113" s="24">
        <v>3.9444903033304599</v>
      </c>
      <c r="D113" s="24">
        <v>0.83630062987062703</v>
      </c>
      <c r="E113" s="24">
        <v>5.70407454244243</v>
      </c>
      <c r="F113" s="26">
        <v>1.16976880870494E-8</v>
      </c>
      <c r="G113" s="26">
        <v>5.3716159022621201E-6</v>
      </c>
      <c r="H113" s="33" t="s">
        <v>10</v>
      </c>
      <c r="I113" s="33" t="s">
        <v>10</v>
      </c>
      <c r="J113" s="33" t="s">
        <v>10</v>
      </c>
    </row>
    <row r="114" spans="1:10" ht="15.75" customHeight="1" x14ac:dyDescent="0.2">
      <c r="A114" s="24" t="s">
        <v>574</v>
      </c>
      <c r="B114" s="24">
        <v>112.006035289011</v>
      </c>
      <c r="C114" s="24">
        <v>3.9275805166086699</v>
      </c>
      <c r="D114" s="24">
        <v>0.83089159890945796</v>
      </c>
      <c r="E114" s="24">
        <v>5.7016651885903498</v>
      </c>
      <c r="F114" s="26">
        <v>1.1864268534017501E-8</v>
      </c>
      <c r="G114" s="26">
        <v>5.4191308685351801E-6</v>
      </c>
      <c r="H114" s="33" t="s">
        <v>10</v>
      </c>
      <c r="I114" s="33" t="s">
        <v>10</v>
      </c>
      <c r="J114" s="33" t="s">
        <v>10</v>
      </c>
    </row>
    <row r="115" spans="1:10" ht="15.75" customHeight="1" x14ac:dyDescent="0.2">
      <c r="A115" s="24" t="s">
        <v>577</v>
      </c>
      <c r="B115" s="24">
        <v>257.54633965796302</v>
      </c>
      <c r="C115" s="24">
        <v>3.9084856406537898</v>
      </c>
      <c r="D115" s="24">
        <v>1.04338860308577</v>
      </c>
      <c r="E115" s="24">
        <v>5.6975088478660902</v>
      </c>
      <c r="F115" s="26">
        <v>1.2157067459315099E-8</v>
      </c>
      <c r="G115" s="26">
        <v>5.4944186305202496E-6</v>
      </c>
      <c r="H115" s="33" t="s">
        <v>579</v>
      </c>
      <c r="I115" s="33" t="s">
        <v>3952</v>
      </c>
      <c r="J115" s="33" t="s">
        <v>10</v>
      </c>
    </row>
    <row r="116" spans="1:10" ht="15.75" customHeight="1" x14ac:dyDescent="0.2">
      <c r="A116" s="24" t="s">
        <v>582</v>
      </c>
      <c r="B116" s="24">
        <v>608.93727327073805</v>
      </c>
      <c r="C116" s="24">
        <v>3.9039000578782601</v>
      </c>
      <c r="D116" s="24">
        <v>0.51426822014995799</v>
      </c>
      <c r="E116" s="24">
        <v>5.6945032626512404</v>
      </c>
      <c r="F116" s="26">
        <v>1.2373162026992099E-8</v>
      </c>
      <c r="G116" s="26">
        <v>5.5628052168578104E-6</v>
      </c>
      <c r="H116" s="33" t="s">
        <v>10</v>
      </c>
      <c r="I116" s="33" t="s">
        <v>10</v>
      </c>
      <c r="J116" s="33" t="s">
        <v>10</v>
      </c>
    </row>
    <row r="117" spans="1:10" ht="15.75" customHeight="1" x14ac:dyDescent="0.2">
      <c r="A117" s="24" t="s">
        <v>584</v>
      </c>
      <c r="B117" s="24">
        <v>834.21308386641897</v>
      </c>
      <c r="C117" s="24">
        <v>3.9021600678042501</v>
      </c>
      <c r="D117" s="24">
        <v>0.84008896689667401</v>
      </c>
      <c r="E117" s="24">
        <v>5.6922449463520204</v>
      </c>
      <c r="F117" s="26">
        <v>1.2537980770889301E-8</v>
      </c>
      <c r="G117" s="26">
        <v>5.5800583796373796E-6</v>
      </c>
      <c r="H117" s="33" t="s">
        <v>10</v>
      </c>
      <c r="I117" s="33" t="s">
        <v>588</v>
      </c>
      <c r="J117" s="33" t="s">
        <v>10</v>
      </c>
    </row>
    <row r="118" spans="1:10" ht="15.75" customHeight="1" x14ac:dyDescent="0.2">
      <c r="A118" s="24" t="s">
        <v>589</v>
      </c>
      <c r="B118" s="24">
        <v>229.96658462366801</v>
      </c>
      <c r="C118" s="24">
        <v>3.89362615528223</v>
      </c>
      <c r="D118" s="24">
        <v>0.50474554482091305</v>
      </c>
      <c r="E118" s="24">
        <v>5.6773153886837298</v>
      </c>
      <c r="F118" s="26">
        <v>1.3682506379956E-8</v>
      </c>
      <c r="G118" s="26">
        <v>6.0252846428369199E-6</v>
      </c>
      <c r="H118" s="33" t="s">
        <v>10</v>
      </c>
      <c r="I118" s="33" t="s">
        <v>10</v>
      </c>
      <c r="J118" s="33" t="s">
        <v>10</v>
      </c>
    </row>
    <row r="119" spans="1:10" ht="15.75" customHeight="1" x14ac:dyDescent="0.2">
      <c r="A119" s="24" t="s">
        <v>592</v>
      </c>
      <c r="B119" s="24">
        <v>43.227699492881499</v>
      </c>
      <c r="C119" s="24">
        <v>3.8904303107161802</v>
      </c>
      <c r="D119" s="24">
        <v>0.92150469899382703</v>
      </c>
      <c r="E119" s="24">
        <v>5.6734276409958699</v>
      </c>
      <c r="F119" s="26">
        <v>1.39968237515544E-8</v>
      </c>
      <c r="G119" s="26">
        <v>6.1322512876006503E-6</v>
      </c>
      <c r="H119" s="33" t="s">
        <v>10</v>
      </c>
      <c r="I119" s="33" t="s">
        <v>10</v>
      </c>
      <c r="J119" s="33" t="s">
        <v>10</v>
      </c>
    </row>
    <row r="120" spans="1:10" ht="15.75" customHeight="1" x14ac:dyDescent="0.2">
      <c r="A120" s="24" t="s">
        <v>595</v>
      </c>
      <c r="B120" s="24">
        <v>2613.43380372924</v>
      </c>
      <c r="C120" s="24">
        <v>3.8844695233654001</v>
      </c>
      <c r="D120" s="24">
        <v>0.54529895428446296</v>
      </c>
      <c r="E120" s="24">
        <v>5.6724298494629499</v>
      </c>
      <c r="F120" s="26">
        <v>1.40786178090534E-8</v>
      </c>
      <c r="G120" s="26">
        <v>6.1367765983818698E-6</v>
      </c>
      <c r="H120" s="33" t="s">
        <v>4141</v>
      </c>
      <c r="I120" s="33" t="s">
        <v>4200</v>
      </c>
      <c r="J120" s="33" t="s">
        <v>10</v>
      </c>
    </row>
    <row r="121" spans="1:10" ht="15.75" customHeight="1" x14ac:dyDescent="0.2">
      <c r="A121" s="24" t="s">
        <v>600</v>
      </c>
      <c r="B121" s="24">
        <v>169.724457016889</v>
      </c>
      <c r="C121" s="24">
        <v>3.87849239482646</v>
      </c>
      <c r="D121" s="24">
        <v>0.37298976867314498</v>
      </c>
      <c r="E121" s="24">
        <v>5.6700382964200697</v>
      </c>
      <c r="F121" s="26">
        <v>1.4276560375354301E-8</v>
      </c>
      <c r="G121" s="26">
        <v>6.1605151557389403E-6</v>
      </c>
      <c r="H121" s="33" t="s">
        <v>10</v>
      </c>
      <c r="I121" s="33" t="s">
        <v>10</v>
      </c>
      <c r="J121" s="33" t="s">
        <v>10</v>
      </c>
    </row>
    <row r="122" spans="1:10" ht="15.75" customHeight="1" x14ac:dyDescent="0.2">
      <c r="A122" s="24" t="s">
        <v>603</v>
      </c>
      <c r="B122" s="24">
        <v>9325.5154483798906</v>
      </c>
      <c r="C122" s="24">
        <v>3.86817636420664</v>
      </c>
      <c r="D122" s="24">
        <v>0.763151219421071</v>
      </c>
      <c r="E122" s="24">
        <v>5.6674472854031297</v>
      </c>
      <c r="F122" s="26">
        <v>1.44940625681204E-8</v>
      </c>
      <c r="G122" s="26">
        <v>6.21274439836602E-6</v>
      </c>
      <c r="H122" s="33" t="s">
        <v>4142</v>
      </c>
      <c r="I122" s="33" t="s">
        <v>4201</v>
      </c>
      <c r="J122" s="33" t="s">
        <v>10</v>
      </c>
    </row>
    <row r="123" spans="1:10" ht="15.75" customHeight="1" x14ac:dyDescent="0.2">
      <c r="A123" s="24" t="s">
        <v>605</v>
      </c>
      <c r="B123" s="24">
        <v>142.511352557761</v>
      </c>
      <c r="C123" s="24">
        <v>3.8656987556167999</v>
      </c>
      <c r="D123" s="24">
        <v>0.52255776781993701</v>
      </c>
      <c r="E123" s="24">
        <v>5.6668778026989903</v>
      </c>
      <c r="F123" s="26">
        <v>1.45422974470027E-8</v>
      </c>
      <c r="G123" s="26">
        <v>6.21274439836602E-6</v>
      </c>
      <c r="H123" s="33" t="s">
        <v>10</v>
      </c>
      <c r="I123" s="33" t="s">
        <v>3932</v>
      </c>
      <c r="J123" s="33" t="s">
        <v>10</v>
      </c>
    </row>
    <row r="124" spans="1:10" ht="15.75" customHeight="1" x14ac:dyDescent="0.2">
      <c r="A124" s="24" t="s">
        <v>608</v>
      </c>
      <c r="B124" s="24">
        <v>58.181169605131402</v>
      </c>
      <c r="C124" s="24">
        <v>3.8565580571585101</v>
      </c>
      <c r="D124" s="24">
        <v>0.98463683618515196</v>
      </c>
      <c r="E124" s="24">
        <v>5.6583961564249101</v>
      </c>
      <c r="F124" s="26">
        <v>1.5279412053871199E-8</v>
      </c>
      <c r="G124" s="26">
        <v>6.4953385766236497E-6</v>
      </c>
      <c r="H124" s="33" t="s">
        <v>10</v>
      </c>
      <c r="I124" s="33" t="s">
        <v>10</v>
      </c>
      <c r="J124" s="33" t="s">
        <v>10</v>
      </c>
    </row>
    <row r="125" spans="1:10" ht="15.75" customHeight="1" x14ac:dyDescent="0.2">
      <c r="A125" s="24" t="s">
        <v>614</v>
      </c>
      <c r="B125" s="24">
        <v>51.2883894110279</v>
      </c>
      <c r="C125" s="24">
        <v>3.8297617847652399</v>
      </c>
      <c r="D125" s="24">
        <v>1.22684868390543</v>
      </c>
      <c r="E125" s="24">
        <v>5.6550966123712803</v>
      </c>
      <c r="F125" s="26">
        <v>1.5575863370281501E-8</v>
      </c>
      <c r="G125" s="26">
        <v>6.5887436624110603E-6</v>
      </c>
      <c r="H125" s="33" t="s">
        <v>10</v>
      </c>
      <c r="I125" s="33" t="s">
        <v>10</v>
      </c>
      <c r="J125" s="33" t="s">
        <v>10</v>
      </c>
    </row>
    <row r="126" spans="1:10" ht="15.75" customHeight="1" x14ac:dyDescent="0.2">
      <c r="A126" s="24" t="s">
        <v>618</v>
      </c>
      <c r="B126" s="24">
        <v>1173.8217962958799</v>
      </c>
      <c r="C126" s="24">
        <v>3.8243824953024501</v>
      </c>
      <c r="D126" s="24">
        <v>0.613979612045226</v>
      </c>
      <c r="E126" s="24">
        <v>5.62364124316779</v>
      </c>
      <c r="F126" s="26">
        <v>1.8697375189355501E-8</v>
      </c>
      <c r="G126" s="26">
        <v>7.6322398805343806E-6</v>
      </c>
      <c r="H126" s="33" t="s">
        <v>10</v>
      </c>
      <c r="I126" s="33" t="s">
        <v>10</v>
      </c>
      <c r="J126" s="33" t="s">
        <v>10</v>
      </c>
    </row>
    <row r="127" spans="1:10" ht="15.75" customHeight="1" x14ac:dyDescent="0.2">
      <c r="A127" s="24" t="s">
        <v>620</v>
      </c>
      <c r="B127" s="24">
        <v>1158.7769261261001</v>
      </c>
      <c r="C127" s="24">
        <v>3.8232930960455702</v>
      </c>
      <c r="D127" s="24">
        <v>0.48678532527622698</v>
      </c>
      <c r="E127" s="24">
        <v>5.6233837575089503</v>
      </c>
      <c r="F127" s="26">
        <v>1.8725278264246701E-8</v>
      </c>
      <c r="G127" s="26">
        <v>7.6322398805343806E-6</v>
      </c>
      <c r="H127" s="33" t="s">
        <v>622</v>
      </c>
      <c r="I127" s="33" t="s">
        <v>623</v>
      </c>
      <c r="J127" s="33" t="s">
        <v>10</v>
      </c>
    </row>
    <row r="128" spans="1:10" ht="15.75" customHeight="1" x14ac:dyDescent="0.2">
      <c r="A128" s="24" t="s">
        <v>625</v>
      </c>
      <c r="B128" s="24">
        <v>72.725470411638099</v>
      </c>
      <c r="C128" s="24">
        <v>3.8226540694404201</v>
      </c>
      <c r="D128" s="24">
        <v>1.2023617764746299</v>
      </c>
      <c r="E128" s="24">
        <v>5.62312147791586</v>
      </c>
      <c r="F128" s="26">
        <v>1.8753742413536001E-8</v>
      </c>
      <c r="G128" s="26">
        <v>7.6322398805343806E-6</v>
      </c>
      <c r="H128" s="33" t="s">
        <v>10</v>
      </c>
      <c r="I128" s="33" t="s">
        <v>10</v>
      </c>
      <c r="J128" s="33" t="s">
        <v>10</v>
      </c>
    </row>
    <row r="129" spans="1:10" ht="15.75" customHeight="1" x14ac:dyDescent="0.2">
      <c r="A129" s="24" t="s">
        <v>628</v>
      </c>
      <c r="B129" s="24">
        <v>421.41580709512698</v>
      </c>
      <c r="C129" s="24">
        <v>3.8081244865684898</v>
      </c>
      <c r="D129" s="24">
        <v>1.28200810491201</v>
      </c>
      <c r="E129" s="24">
        <v>5.6192248595933503</v>
      </c>
      <c r="F129" s="26">
        <v>1.91816079698416E-8</v>
      </c>
      <c r="G129" s="26">
        <v>7.7330697557665303E-6</v>
      </c>
      <c r="H129" s="33" t="s">
        <v>10</v>
      </c>
      <c r="I129" s="33" t="s">
        <v>10</v>
      </c>
      <c r="J129" s="33" t="s">
        <v>10</v>
      </c>
    </row>
    <row r="130" spans="1:10" ht="15.75" customHeight="1" x14ac:dyDescent="0.2">
      <c r="A130" s="24" t="s">
        <v>630</v>
      </c>
      <c r="B130" s="24">
        <v>1372.2054577479701</v>
      </c>
      <c r="C130" s="24">
        <v>3.7906872150269</v>
      </c>
      <c r="D130" s="24">
        <v>0.53481084474613805</v>
      </c>
      <c r="E130" s="24">
        <v>5.6084014296756601</v>
      </c>
      <c r="F130" s="26">
        <v>2.0420394574936199E-8</v>
      </c>
      <c r="G130" s="26">
        <v>8.1559055932295294E-6</v>
      </c>
      <c r="H130" s="33" t="s">
        <v>10</v>
      </c>
      <c r="I130" s="33" t="s">
        <v>3951</v>
      </c>
      <c r="J130" s="33" t="s">
        <v>10</v>
      </c>
    </row>
    <row r="131" spans="1:10" ht="15.75" customHeight="1" x14ac:dyDescent="0.2">
      <c r="A131" s="24" t="s">
        <v>634</v>
      </c>
      <c r="B131" s="24">
        <v>221.88853141233199</v>
      </c>
      <c r="C131" s="24">
        <v>3.7763880377753001</v>
      </c>
      <c r="D131" s="24">
        <v>0.50757102035971402</v>
      </c>
      <c r="E131" s="24">
        <v>5.6027992445677999</v>
      </c>
      <c r="F131" s="26">
        <v>2.1091746459100701E-8</v>
      </c>
      <c r="G131" s="26">
        <v>8.3464025815181294E-6</v>
      </c>
      <c r="H131" s="33" t="s">
        <v>636</v>
      </c>
      <c r="I131" s="33" t="s">
        <v>4202</v>
      </c>
      <c r="J131" s="33" t="s">
        <v>10</v>
      </c>
    </row>
    <row r="132" spans="1:10" ht="15.75" customHeight="1" x14ac:dyDescent="0.2">
      <c r="A132" s="24" t="s">
        <v>637</v>
      </c>
      <c r="B132" s="24">
        <v>140.98850344157299</v>
      </c>
      <c r="C132" s="24">
        <v>3.7760933106728398</v>
      </c>
      <c r="D132" s="24">
        <v>0.43056590457646299</v>
      </c>
      <c r="E132" s="24">
        <v>5.5874875021346897</v>
      </c>
      <c r="F132" s="26">
        <v>2.3037833208029999E-8</v>
      </c>
      <c r="G132" s="26">
        <v>8.9921898882124806E-6</v>
      </c>
      <c r="H132" s="33" t="s">
        <v>10</v>
      </c>
      <c r="I132" s="33" t="s">
        <v>10</v>
      </c>
      <c r="J132" s="33" t="s">
        <v>10</v>
      </c>
    </row>
    <row r="133" spans="1:10" ht="15.75" customHeight="1" x14ac:dyDescent="0.2">
      <c r="A133" s="24" t="s">
        <v>639</v>
      </c>
      <c r="B133" s="24">
        <v>2165.443627823</v>
      </c>
      <c r="C133" s="24">
        <v>3.7753463276890802</v>
      </c>
      <c r="D133" s="24">
        <v>0.52813090261411699</v>
      </c>
      <c r="E133" s="24">
        <v>5.5825939580950701</v>
      </c>
      <c r="F133" s="26">
        <v>2.3695751945716699E-8</v>
      </c>
      <c r="G133" s="26">
        <v>9.1656662852731408E-6</v>
      </c>
      <c r="H133" s="33" t="s">
        <v>10</v>
      </c>
      <c r="I133" s="33" t="s">
        <v>3898</v>
      </c>
      <c r="J133" s="33" t="s">
        <v>10</v>
      </c>
    </row>
    <row r="134" spans="1:10" ht="15.75" customHeight="1" x14ac:dyDescent="0.2">
      <c r="A134" s="24" t="s">
        <v>641</v>
      </c>
      <c r="B134" s="24">
        <v>47.918452789794301</v>
      </c>
      <c r="C134" s="24">
        <v>3.7639540861365499</v>
      </c>
      <c r="D134" s="24">
        <v>0.52765617923758601</v>
      </c>
      <c r="E134" s="24">
        <v>5.5662224628939203</v>
      </c>
      <c r="F134" s="26">
        <v>2.6032086598729999E-8</v>
      </c>
      <c r="G134" s="26">
        <v>9.9351169258646295E-6</v>
      </c>
      <c r="H134" s="33" t="s">
        <v>10</v>
      </c>
      <c r="I134" s="33" t="s">
        <v>10</v>
      </c>
      <c r="J134" s="33" t="s">
        <v>10</v>
      </c>
    </row>
    <row r="135" spans="1:10" ht="15.75" customHeight="1" x14ac:dyDescent="0.2">
      <c r="A135" s="24" t="s">
        <v>644</v>
      </c>
      <c r="B135" s="24">
        <v>579.02851543283305</v>
      </c>
      <c r="C135" s="24">
        <v>3.7605837427073201</v>
      </c>
      <c r="D135" s="24">
        <v>0.37753280403369899</v>
      </c>
      <c r="E135" s="24">
        <v>5.5649423137075198</v>
      </c>
      <c r="F135" s="26">
        <v>2.62239146671082E-8</v>
      </c>
      <c r="G135" s="26">
        <v>9.9640432583152494E-6</v>
      </c>
      <c r="H135" s="33" t="s">
        <v>10</v>
      </c>
      <c r="I135" s="33" t="s">
        <v>10</v>
      </c>
      <c r="J135" s="33" t="s">
        <v>10</v>
      </c>
    </row>
    <row r="136" spans="1:10" ht="15.75" customHeight="1" x14ac:dyDescent="0.2">
      <c r="A136" s="24" t="s">
        <v>645</v>
      </c>
      <c r="B136" s="24">
        <v>184.45540226301199</v>
      </c>
      <c r="C136" s="24">
        <v>3.7420152073315198</v>
      </c>
      <c r="D136" s="24">
        <v>0.50897573467748203</v>
      </c>
      <c r="E136" s="24">
        <v>5.5636592647710499</v>
      </c>
      <c r="F136" s="26">
        <v>2.6417553382294399E-8</v>
      </c>
      <c r="G136" s="26">
        <v>9.9933996761718299E-6</v>
      </c>
      <c r="H136" s="33" t="s">
        <v>10</v>
      </c>
      <c r="I136" s="33" t="s">
        <v>3932</v>
      </c>
      <c r="J136" s="33" t="s">
        <v>10</v>
      </c>
    </row>
    <row r="137" spans="1:10" ht="15.75" customHeight="1" x14ac:dyDescent="0.2">
      <c r="A137" s="24" t="s">
        <v>648</v>
      </c>
      <c r="B137" s="24">
        <v>425.03629518584899</v>
      </c>
      <c r="C137" s="24">
        <v>3.7323569434424</v>
      </c>
      <c r="D137" s="24">
        <v>0.64618547503822099</v>
      </c>
      <c r="E137" s="24">
        <v>5.5588372764727296</v>
      </c>
      <c r="F137" s="26">
        <v>2.71577742914898E-8</v>
      </c>
      <c r="G137" s="26">
        <v>1.0228356299054901E-5</v>
      </c>
      <c r="H137" s="33" t="s">
        <v>10</v>
      </c>
      <c r="I137" s="33" t="s">
        <v>10</v>
      </c>
      <c r="J137" s="33" t="s">
        <v>10</v>
      </c>
    </row>
    <row r="138" spans="1:10" ht="15.75" customHeight="1" x14ac:dyDescent="0.2">
      <c r="A138" s="24" t="s">
        <v>650</v>
      </c>
      <c r="B138" s="24">
        <v>415.62059158534902</v>
      </c>
      <c r="C138" s="24">
        <v>3.72744034529478</v>
      </c>
      <c r="D138" s="24">
        <v>0.44447225526012901</v>
      </c>
      <c r="E138" s="24">
        <v>5.5573513947002704</v>
      </c>
      <c r="F138" s="26">
        <v>2.73899000517233E-8</v>
      </c>
      <c r="G138" s="26">
        <v>1.02707340931945E-5</v>
      </c>
      <c r="H138" s="33" t="s">
        <v>652</v>
      </c>
      <c r="I138" s="33" t="s">
        <v>653</v>
      </c>
      <c r="J138" s="33" t="s">
        <v>10</v>
      </c>
    </row>
    <row r="139" spans="1:10" ht="15.75" customHeight="1" x14ac:dyDescent="0.2">
      <c r="A139" s="24" t="s">
        <v>655</v>
      </c>
      <c r="B139" s="24">
        <v>3388.2724273099502</v>
      </c>
      <c r="C139" s="24">
        <v>3.7254609774150498</v>
      </c>
      <c r="D139" s="24">
        <v>0.98151902688427595</v>
      </c>
      <c r="E139" s="24">
        <v>5.5453744685940096</v>
      </c>
      <c r="F139" s="26">
        <v>2.9332571752457398E-8</v>
      </c>
      <c r="G139" s="26">
        <v>1.0903970861278201E-5</v>
      </c>
      <c r="H139" s="33" t="s">
        <v>10</v>
      </c>
      <c r="I139" s="33" t="s">
        <v>657</v>
      </c>
      <c r="J139" s="33" t="s">
        <v>10</v>
      </c>
    </row>
    <row r="140" spans="1:10" ht="15.75" customHeight="1" x14ac:dyDescent="0.2">
      <c r="A140" s="24" t="s">
        <v>659</v>
      </c>
      <c r="B140" s="24">
        <v>1349.1299580463599</v>
      </c>
      <c r="C140" s="24">
        <v>3.7197093815486202</v>
      </c>
      <c r="D140" s="24">
        <v>0.62779219113898199</v>
      </c>
      <c r="E140" s="24">
        <v>5.5370865027948897</v>
      </c>
      <c r="F140" s="26">
        <v>3.0754467669679202E-8</v>
      </c>
      <c r="G140" s="26">
        <v>1.1383262470961301E-5</v>
      </c>
      <c r="H140" s="33" t="s">
        <v>660</v>
      </c>
      <c r="I140" s="33" t="s">
        <v>10</v>
      </c>
      <c r="J140" s="33" t="s">
        <v>10</v>
      </c>
    </row>
    <row r="141" spans="1:10" ht="15.75" customHeight="1" x14ac:dyDescent="0.2">
      <c r="A141" s="24" t="s">
        <v>662</v>
      </c>
      <c r="B141" s="24">
        <v>104.968908005439</v>
      </c>
      <c r="C141" s="24">
        <v>3.71887485635972</v>
      </c>
      <c r="D141" s="24">
        <v>0.77173962450003397</v>
      </c>
      <c r="E141" s="24">
        <v>5.5323972164984996</v>
      </c>
      <c r="F141" s="26">
        <v>3.1588355005065901E-8</v>
      </c>
      <c r="G141" s="26">
        <v>1.16417323289271E-5</v>
      </c>
      <c r="H141" s="33" t="s">
        <v>10</v>
      </c>
      <c r="I141" s="33" t="s">
        <v>10</v>
      </c>
      <c r="J141" s="33" t="s">
        <v>10</v>
      </c>
    </row>
    <row r="142" spans="1:10" ht="15.75" customHeight="1" x14ac:dyDescent="0.2">
      <c r="A142" s="24" t="s">
        <v>663</v>
      </c>
      <c r="B142" s="24">
        <v>1486.9386240137201</v>
      </c>
      <c r="C142" s="24">
        <v>3.7118618055457802</v>
      </c>
      <c r="D142" s="24">
        <v>1.65216626607068</v>
      </c>
      <c r="E142" s="24">
        <v>5.52316774809095</v>
      </c>
      <c r="F142" s="26">
        <v>3.3294158016097899E-8</v>
      </c>
      <c r="G142" s="26">
        <v>1.2189163158413E-5</v>
      </c>
      <c r="H142" s="33" t="s">
        <v>10</v>
      </c>
      <c r="I142" s="33" t="s">
        <v>10</v>
      </c>
      <c r="J142" s="33" t="s">
        <v>10</v>
      </c>
    </row>
    <row r="143" spans="1:10" ht="15.75" customHeight="1" x14ac:dyDescent="0.2">
      <c r="A143" s="24" t="s">
        <v>665</v>
      </c>
      <c r="B143" s="24">
        <v>61.7765437149354</v>
      </c>
      <c r="C143" s="24">
        <v>3.71040243182245</v>
      </c>
      <c r="D143" s="24">
        <v>0.94752912249342103</v>
      </c>
      <c r="E143" s="24">
        <v>5.5228332266899001</v>
      </c>
      <c r="F143" s="26">
        <v>3.3357633452819399E-8</v>
      </c>
      <c r="G143" s="26">
        <v>1.2189163158413E-5</v>
      </c>
      <c r="H143" s="33" t="s">
        <v>10</v>
      </c>
      <c r="I143" s="33" t="s">
        <v>10</v>
      </c>
      <c r="J143" s="33" t="s">
        <v>10</v>
      </c>
    </row>
    <row r="144" spans="1:10" ht="15.75" customHeight="1" x14ac:dyDescent="0.2">
      <c r="A144" s="24" t="s">
        <v>671</v>
      </c>
      <c r="B144" s="24">
        <v>15488.4273346956</v>
      </c>
      <c r="C144" s="24">
        <v>3.70029823257553</v>
      </c>
      <c r="D144" s="24">
        <v>2.07281798952903</v>
      </c>
      <c r="E144" s="24">
        <v>5.5117143529310599</v>
      </c>
      <c r="F144" s="26">
        <v>3.5535530644952999E-8</v>
      </c>
      <c r="G144" s="26">
        <v>1.2883296717762501E-5</v>
      </c>
      <c r="H144" s="33" t="s">
        <v>10</v>
      </c>
      <c r="I144" s="33" t="s">
        <v>10</v>
      </c>
      <c r="J144" s="33" t="s">
        <v>10</v>
      </c>
    </row>
    <row r="145" spans="1:10" ht="15.75" customHeight="1" x14ac:dyDescent="0.2">
      <c r="A145" s="24" t="s">
        <v>672</v>
      </c>
      <c r="B145" s="24">
        <v>647.54970514427498</v>
      </c>
      <c r="C145" s="24">
        <v>3.6969572049719202</v>
      </c>
      <c r="D145" s="24">
        <v>0.398289361518461</v>
      </c>
      <c r="E145" s="24">
        <v>5.5077761972776997</v>
      </c>
      <c r="F145" s="26">
        <v>3.6339498640930103E-8</v>
      </c>
      <c r="G145" s="26">
        <v>1.30565233798967E-5</v>
      </c>
      <c r="H145" s="33" t="s">
        <v>652</v>
      </c>
      <c r="I145" s="33" t="s">
        <v>3971</v>
      </c>
      <c r="J145" s="33" t="s">
        <v>4077</v>
      </c>
    </row>
    <row r="146" spans="1:10" ht="15.75" customHeight="1" x14ac:dyDescent="0.2">
      <c r="A146" s="24" t="s">
        <v>675</v>
      </c>
      <c r="B146" s="24">
        <v>28.060054481207999</v>
      </c>
      <c r="C146" s="24">
        <v>3.6917540378854601</v>
      </c>
      <c r="D146" s="24">
        <v>0.85602666801947203</v>
      </c>
      <c r="E146" s="24">
        <v>5.5044795869407803</v>
      </c>
      <c r="F146" s="26">
        <v>3.70260357969211E-8</v>
      </c>
      <c r="G146" s="26">
        <v>1.32383904298085E-5</v>
      </c>
      <c r="H146" s="33" t="s">
        <v>10</v>
      </c>
      <c r="I146" s="33" t="s">
        <v>10</v>
      </c>
      <c r="J146" s="33" t="s">
        <v>10</v>
      </c>
    </row>
    <row r="147" spans="1:10" ht="15.75" customHeight="1" x14ac:dyDescent="0.2">
      <c r="A147" s="24" t="s">
        <v>676</v>
      </c>
      <c r="B147" s="24">
        <v>184.52369597778201</v>
      </c>
      <c r="C147" s="24">
        <v>3.6911220487851102</v>
      </c>
      <c r="D147" s="24">
        <v>0.55373951129992605</v>
      </c>
      <c r="E147" s="24">
        <v>5.4990500420905599</v>
      </c>
      <c r="F147" s="26">
        <v>3.81842767443397E-8</v>
      </c>
      <c r="G147" s="26">
        <v>1.35209751757162E-5</v>
      </c>
      <c r="H147" s="33" t="s">
        <v>411</v>
      </c>
      <c r="I147" s="33" t="s">
        <v>3143</v>
      </c>
      <c r="J147" s="33" t="s">
        <v>10</v>
      </c>
    </row>
    <row r="148" spans="1:10" ht="15.75" customHeight="1" x14ac:dyDescent="0.2">
      <c r="A148" s="24" t="s">
        <v>679</v>
      </c>
      <c r="B148" s="24">
        <v>865.03590930553798</v>
      </c>
      <c r="C148" s="24">
        <v>3.6838359496249802</v>
      </c>
      <c r="D148" s="24">
        <v>0.49804322609068502</v>
      </c>
      <c r="E148" s="24">
        <v>5.4986913947887404</v>
      </c>
      <c r="F148" s="26">
        <v>3.8262008916852501E-8</v>
      </c>
      <c r="G148" s="26">
        <v>1.35209751757162E-5</v>
      </c>
      <c r="H148" s="33" t="s">
        <v>10</v>
      </c>
      <c r="I148" s="33" t="s">
        <v>593</v>
      </c>
      <c r="J148" s="33" t="s">
        <v>10</v>
      </c>
    </row>
    <row r="149" spans="1:10" ht="15.75" customHeight="1" x14ac:dyDescent="0.2">
      <c r="A149" s="24" t="s">
        <v>680</v>
      </c>
      <c r="B149" s="24">
        <v>591.51023468935398</v>
      </c>
      <c r="C149" s="24">
        <v>3.6684122383440698</v>
      </c>
      <c r="D149" s="24">
        <v>0.48578048588762202</v>
      </c>
      <c r="E149" s="24">
        <v>5.4878531402862603</v>
      </c>
      <c r="F149" s="26">
        <v>4.0684808826584502E-8</v>
      </c>
      <c r="G149" s="26">
        <v>1.4201809832307499E-5</v>
      </c>
      <c r="H149" s="33" t="s">
        <v>10</v>
      </c>
      <c r="I149" s="33" t="s">
        <v>10</v>
      </c>
      <c r="J149" s="33" t="s">
        <v>10</v>
      </c>
    </row>
    <row r="150" spans="1:10" ht="15.75" customHeight="1" x14ac:dyDescent="0.2">
      <c r="A150" s="24" t="s">
        <v>682</v>
      </c>
      <c r="B150" s="24">
        <v>53.560396964114801</v>
      </c>
      <c r="C150" s="24">
        <v>3.6587848554053899</v>
      </c>
      <c r="D150" s="24">
        <v>0.55235416069543197</v>
      </c>
      <c r="E150" s="24">
        <v>5.4823202668647504</v>
      </c>
      <c r="F150" s="26">
        <v>4.1978339607556701E-8</v>
      </c>
      <c r="G150" s="26">
        <v>1.45940161961154E-5</v>
      </c>
      <c r="H150" s="33" t="s">
        <v>10</v>
      </c>
      <c r="I150" s="33" t="s">
        <v>10</v>
      </c>
      <c r="J150" s="33" t="s">
        <v>10</v>
      </c>
    </row>
    <row r="151" spans="1:10" ht="15.75" customHeight="1" x14ac:dyDescent="0.2">
      <c r="A151" s="24" t="s">
        <v>684</v>
      </c>
      <c r="B151" s="24">
        <v>45.386448233977198</v>
      </c>
      <c r="C151" s="24">
        <v>3.6303286414712801</v>
      </c>
      <c r="D151" s="24">
        <v>0.76367239469207204</v>
      </c>
      <c r="E151" s="24">
        <v>5.4661610396766802</v>
      </c>
      <c r="F151" s="26">
        <v>4.5988656287808599E-8</v>
      </c>
      <c r="G151" s="26">
        <v>1.58598068437366E-5</v>
      </c>
      <c r="H151" s="33" t="s">
        <v>10</v>
      </c>
      <c r="I151" s="33" t="s">
        <v>10</v>
      </c>
      <c r="J151" s="33" t="s">
        <v>10</v>
      </c>
    </row>
    <row r="152" spans="1:10" ht="15.75" customHeight="1" x14ac:dyDescent="0.2">
      <c r="A152" s="24" t="s">
        <v>688</v>
      </c>
      <c r="B152" s="24">
        <v>12460.5340092877</v>
      </c>
      <c r="C152" s="24">
        <v>3.6268546790059002</v>
      </c>
      <c r="D152" s="24">
        <v>0.51463861424776802</v>
      </c>
      <c r="E152" s="24">
        <v>5.4581770315339897</v>
      </c>
      <c r="F152" s="26">
        <v>4.8104790761808501E-8</v>
      </c>
      <c r="G152" s="26">
        <v>1.6327298369593899E-5</v>
      </c>
      <c r="H152" s="33" t="s">
        <v>10</v>
      </c>
      <c r="I152" s="33" t="s">
        <v>10</v>
      </c>
      <c r="J152" s="33" t="s">
        <v>10</v>
      </c>
    </row>
    <row r="153" spans="1:10" ht="15.75" customHeight="1" x14ac:dyDescent="0.2">
      <c r="A153" s="24" t="s">
        <v>690</v>
      </c>
      <c r="B153" s="24">
        <v>69.227414719723996</v>
      </c>
      <c r="C153" s="24">
        <v>3.61318329115376</v>
      </c>
      <c r="D153" s="24">
        <v>0.63025640970319796</v>
      </c>
      <c r="E153" s="24">
        <v>5.4562720790336403</v>
      </c>
      <c r="F153" s="26">
        <v>4.8623470172625502E-8</v>
      </c>
      <c r="G153" s="26">
        <v>1.6438370107061102E-5</v>
      </c>
      <c r="H153" s="33" t="s">
        <v>10</v>
      </c>
      <c r="I153" s="33" t="s">
        <v>10</v>
      </c>
      <c r="J153" s="33" t="s">
        <v>10</v>
      </c>
    </row>
    <row r="154" spans="1:10" ht="15.75" customHeight="1" x14ac:dyDescent="0.2">
      <c r="A154" s="28" t="s">
        <v>693</v>
      </c>
      <c r="B154" s="24">
        <v>1741.7301543327901</v>
      </c>
      <c r="C154" s="24">
        <v>3.6093374462152399</v>
      </c>
      <c r="D154" s="24">
        <v>0.462707666242199</v>
      </c>
      <c r="E154" s="24">
        <v>5.4416916331471104</v>
      </c>
      <c r="F154" s="26">
        <v>5.2776977054486002E-8</v>
      </c>
      <c r="G154" s="26">
        <v>1.7629297385682699E-5</v>
      </c>
      <c r="H154" s="33" t="s">
        <v>10</v>
      </c>
      <c r="I154" s="33" t="s">
        <v>4026</v>
      </c>
      <c r="J154" s="33" t="s">
        <v>4111</v>
      </c>
    </row>
    <row r="155" spans="1:10" ht="15.75" customHeight="1" x14ac:dyDescent="0.2">
      <c r="A155" s="24" t="s">
        <v>704</v>
      </c>
      <c r="B155" s="24">
        <v>1076.3553891691499</v>
      </c>
      <c r="C155" s="24">
        <v>3.6075444670099199</v>
      </c>
      <c r="D155" s="24">
        <v>0.37599305022726098</v>
      </c>
      <c r="E155" s="24">
        <v>5.4188157145236202</v>
      </c>
      <c r="F155" s="26">
        <v>5.9995118902111999E-8</v>
      </c>
      <c r="G155" s="26">
        <v>1.9814772520166401E-5</v>
      </c>
      <c r="H155" s="33" t="s">
        <v>705</v>
      </c>
      <c r="I155" s="33" t="s">
        <v>4203</v>
      </c>
      <c r="J155" s="33" t="s">
        <v>4070</v>
      </c>
    </row>
    <row r="156" spans="1:10" ht="15.75" customHeight="1" x14ac:dyDescent="0.2">
      <c r="A156" s="24" t="s">
        <v>706</v>
      </c>
      <c r="B156" s="24">
        <v>4366.4475216527899</v>
      </c>
      <c r="C156" s="24">
        <v>3.5949062604469599</v>
      </c>
      <c r="D156" s="24">
        <v>0.56043105010234795</v>
      </c>
      <c r="E156" s="24">
        <v>5.4056373666973201</v>
      </c>
      <c r="F156" s="26">
        <v>6.4578335320234803E-8</v>
      </c>
      <c r="G156" s="26">
        <v>2.1050290998838199E-5</v>
      </c>
      <c r="H156" s="33" t="s">
        <v>10</v>
      </c>
      <c r="I156" s="33" t="s">
        <v>708</v>
      </c>
      <c r="J156" s="33" t="s">
        <v>10</v>
      </c>
    </row>
    <row r="157" spans="1:10" ht="15.75" customHeight="1" x14ac:dyDescent="0.2">
      <c r="A157" s="24" t="s">
        <v>709</v>
      </c>
      <c r="B157" s="24">
        <v>878.921745751515</v>
      </c>
      <c r="C157" s="24">
        <v>3.5920399061577002</v>
      </c>
      <c r="D157" s="24">
        <v>0.47083877222468301</v>
      </c>
      <c r="E157" s="24">
        <v>5.3849123281556297</v>
      </c>
      <c r="F157" s="26">
        <v>7.2479968189849903E-8</v>
      </c>
      <c r="G157" s="26">
        <v>2.32236095090694E-5</v>
      </c>
      <c r="H157" s="33" t="s">
        <v>10</v>
      </c>
      <c r="I157" s="33" t="s">
        <v>10</v>
      </c>
      <c r="J157" s="33" t="s">
        <v>10</v>
      </c>
    </row>
    <row r="158" spans="1:10" ht="15.75" customHeight="1" x14ac:dyDescent="0.2">
      <c r="A158" s="24" t="s">
        <v>712</v>
      </c>
      <c r="B158" s="24">
        <v>1253.07716393855</v>
      </c>
      <c r="C158" s="24">
        <v>3.5769851574674498</v>
      </c>
      <c r="D158" s="24">
        <v>0.53612138868757098</v>
      </c>
      <c r="E158" s="24">
        <v>5.3819726792884302</v>
      </c>
      <c r="F158" s="26">
        <v>7.3673948860686905E-8</v>
      </c>
      <c r="G158" s="26">
        <v>2.3431317268948299E-5</v>
      </c>
      <c r="H158" s="33" t="s">
        <v>10</v>
      </c>
      <c r="I158" s="33" t="s">
        <v>713</v>
      </c>
      <c r="J158" s="33" t="s">
        <v>10</v>
      </c>
    </row>
    <row r="159" spans="1:10" ht="15.75" customHeight="1" x14ac:dyDescent="0.2">
      <c r="A159" s="24" t="s">
        <v>715</v>
      </c>
      <c r="B159" s="24">
        <v>396.81508304137202</v>
      </c>
      <c r="C159" s="24">
        <v>3.5741611362877701</v>
      </c>
      <c r="D159" s="24">
        <v>0.78825053649695198</v>
      </c>
      <c r="E159" s="24">
        <v>5.3769634349741802</v>
      </c>
      <c r="F159" s="26">
        <v>7.5752550117898105E-8</v>
      </c>
      <c r="G159" s="26">
        <v>2.4003495317985399E-5</v>
      </c>
      <c r="H159" s="33" t="s">
        <v>10</v>
      </c>
      <c r="I159" s="33" t="s">
        <v>10</v>
      </c>
      <c r="J159" s="33" t="s">
        <v>10</v>
      </c>
    </row>
    <row r="160" spans="1:10" ht="15.75" customHeight="1" x14ac:dyDescent="0.2">
      <c r="A160" s="24" t="s">
        <v>717</v>
      </c>
      <c r="B160" s="24">
        <v>177.62584779181799</v>
      </c>
      <c r="C160" s="24">
        <v>3.5241961079862101</v>
      </c>
      <c r="D160" s="24">
        <v>0.40515529959045798</v>
      </c>
      <c r="E160" s="24">
        <v>5.3740360023843898</v>
      </c>
      <c r="F160" s="26">
        <v>7.6993474216968395E-8</v>
      </c>
      <c r="G160" s="26">
        <v>2.4248596409437701E-5</v>
      </c>
      <c r="H160" s="33" t="s">
        <v>10</v>
      </c>
      <c r="I160" s="33" t="s">
        <v>10</v>
      </c>
      <c r="J160" s="33" t="s">
        <v>10</v>
      </c>
    </row>
    <row r="161" spans="1:10" ht="15.75" customHeight="1" x14ac:dyDescent="0.2">
      <c r="A161" s="24" t="s">
        <v>720</v>
      </c>
      <c r="B161" s="24">
        <v>37.513155184759299</v>
      </c>
      <c r="C161" s="24">
        <v>3.5195735432386202</v>
      </c>
      <c r="D161" s="24">
        <v>0.59259802429280095</v>
      </c>
      <c r="E161" s="24">
        <v>5.3738082654466499</v>
      </c>
      <c r="F161" s="26">
        <v>7.7090831826536306E-8</v>
      </c>
      <c r="G161" s="26">
        <v>2.4248596409437701E-5</v>
      </c>
      <c r="H161" s="33" t="s">
        <v>10</v>
      </c>
      <c r="I161" s="33" t="s">
        <v>10</v>
      </c>
      <c r="J161" s="33" t="s">
        <v>10</v>
      </c>
    </row>
    <row r="162" spans="1:10" ht="15.75" customHeight="1" x14ac:dyDescent="0.2">
      <c r="A162" s="24" t="s">
        <v>723</v>
      </c>
      <c r="B162" s="24">
        <v>1055.0625027972201</v>
      </c>
      <c r="C162" s="24">
        <v>3.5089843187902301</v>
      </c>
      <c r="D162" s="24">
        <v>0.470154674118476</v>
      </c>
      <c r="E162" s="24">
        <v>5.3729011984091501</v>
      </c>
      <c r="F162" s="26">
        <v>7.74797877313369E-8</v>
      </c>
      <c r="G162" s="26">
        <v>2.42819958112322E-5</v>
      </c>
      <c r="H162" s="33" t="s">
        <v>10</v>
      </c>
      <c r="I162" s="33" t="s">
        <v>726</v>
      </c>
      <c r="J162" s="33" t="s">
        <v>10</v>
      </c>
    </row>
    <row r="163" spans="1:10" ht="15.75" customHeight="1" x14ac:dyDescent="0.2">
      <c r="A163" s="24" t="s">
        <v>727</v>
      </c>
      <c r="B163" s="24">
        <v>825.27105211104197</v>
      </c>
      <c r="C163" s="24">
        <v>3.5072540913796799</v>
      </c>
      <c r="D163" s="24">
        <v>0.60797361506054803</v>
      </c>
      <c r="E163" s="24">
        <v>5.3703314448880501</v>
      </c>
      <c r="F163" s="26">
        <v>7.8592060992462998E-8</v>
      </c>
      <c r="G163" s="26">
        <v>2.4541014070850101E-5</v>
      </c>
      <c r="H163" s="33" t="s">
        <v>10</v>
      </c>
      <c r="I163" s="33" t="s">
        <v>10</v>
      </c>
      <c r="J163" s="33" t="s">
        <v>10</v>
      </c>
    </row>
    <row r="164" spans="1:10" ht="15.75" customHeight="1" x14ac:dyDescent="0.2">
      <c r="A164" s="24" t="s">
        <v>728</v>
      </c>
      <c r="B164" s="24">
        <v>131.973488253276</v>
      </c>
      <c r="C164" s="24">
        <v>3.4923982379207801</v>
      </c>
      <c r="D164" s="24">
        <v>0.53542963978785196</v>
      </c>
      <c r="E164" s="24">
        <v>5.3592589852816301</v>
      </c>
      <c r="F164" s="26">
        <v>8.3563991382859501E-8</v>
      </c>
      <c r="G164" s="26">
        <v>2.58119550504947E-5</v>
      </c>
      <c r="H164" s="33" t="s">
        <v>10</v>
      </c>
      <c r="I164" s="33" t="s">
        <v>10</v>
      </c>
      <c r="J164" s="33" t="s">
        <v>10</v>
      </c>
    </row>
    <row r="165" spans="1:10" ht="15.75" customHeight="1" x14ac:dyDescent="0.2">
      <c r="A165" s="24" t="s">
        <v>730</v>
      </c>
      <c r="B165" s="24">
        <v>186.72958150787201</v>
      </c>
      <c r="C165" s="24">
        <v>3.4891218299618201</v>
      </c>
      <c r="D165" s="24">
        <v>0.45854674730773998</v>
      </c>
      <c r="E165" s="24">
        <v>5.3582370478680899</v>
      </c>
      <c r="F165" s="26">
        <v>8.40379337796272E-8</v>
      </c>
      <c r="G165" s="26">
        <v>2.58653097189619E-5</v>
      </c>
      <c r="H165" s="33" t="s">
        <v>10</v>
      </c>
      <c r="I165" s="33" t="s">
        <v>735</v>
      </c>
      <c r="J165" s="33" t="s">
        <v>10</v>
      </c>
    </row>
    <row r="166" spans="1:10" ht="15.75" customHeight="1" x14ac:dyDescent="0.2">
      <c r="A166" s="24" t="s">
        <v>736</v>
      </c>
      <c r="B166" s="24">
        <v>232.25669823964799</v>
      </c>
      <c r="C166" s="24">
        <v>3.4862633124354199</v>
      </c>
      <c r="D166" s="24">
        <v>0.72628673051915704</v>
      </c>
      <c r="E166" s="24">
        <v>5.3483966595241803</v>
      </c>
      <c r="F166" s="26">
        <v>8.8736819043209203E-8</v>
      </c>
      <c r="G166" s="26">
        <v>2.70010968612789E-5</v>
      </c>
      <c r="H166" s="33" t="s">
        <v>10</v>
      </c>
      <c r="I166" s="33" t="s">
        <v>10</v>
      </c>
      <c r="J166" s="33" t="s">
        <v>10</v>
      </c>
    </row>
    <row r="167" spans="1:10" ht="15.75" customHeight="1" x14ac:dyDescent="0.2">
      <c r="A167" s="24" t="s">
        <v>740</v>
      </c>
      <c r="B167" s="24">
        <v>158.74067832906201</v>
      </c>
      <c r="C167" s="24">
        <v>3.4761396681156902</v>
      </c>
      <c r="D167" s="24">
        <v>0.83052786368218701</v>
      </c>
      <c r="E167" s="24">
        <v>5.3478891693731203</v>
      </c>
      <c r="F167" s="26">
        <v>8.8985925536466603E-8</v>
      </c>
      <c r="G167" s="26">
        <v>2.70010968612789E-5</v>
      </c>
      <c r="H167" s="33" t="s">
        <v>10</v>
      </c>
      <c r="I167" s="33" t="s">
        <v>10</v>
      </c>
      <c r="J167" s="33" t="s">
        <v>10</v>
      </c>
    </row>
    <row r="168" spans="1:10" ht="15.75" customHeight="1" x14ac:dyDescent="0.2">
      <c r="A168" s="24" t="s">
        <v>743</v>
      </c>
      <c r="B168" s="24">
        <v>74.833287608817002</v>
      </c>
      <c r="C168" s="24">
        <v>3.46684545928604</v>
      </c>
      <c r="D168" s="24">
        <v>1.09574123052591</v>
      </c>
      <c r="E168" s="24">
        <v>5.3377806242056698</v>
      </c>
      <c r="F168" s="26">
        <v>9.40912052224685E-8</v>
      </c>
      <c r="G168" s="26">
        <v>2.8449668604431699E-5</v>
      </c>
      <c r="H168" s="33" t="s">
        <v>10</v>
      </c>
      <c r="I168" s="33" t="s">
        <v>10</v>
      </c>
      <c r="J168" s="33" t="s">
        <v>10</v>
      </c>
    </row>
    <row r="169" spans="1:10" ht="15.75" customHeight="1" x14ac:dyDescent="0.2">
      <c r="A169" s="24" t="s">
        <v>747</v>
      </c>
      <c r="B169" s="24">
        <v>303.71550731821998</v>
      </c>
      <c r="C169" s="24">
        <v>3.4645877012069701</v>
      </c>
      <c r="D169" s="24">
        <v>0.69946155275551503</v>
      </c>
      <c r="E169" s="24">
        <v>5.3360430301549098</v>
      </c>
      <c r="F169" s="26">
        <v>9.49968665658878E-8</v>
      </c>
      <c r="G169" s="26">
        <v>2.86227225574714E-5</v>
      </c>
      <c r="H169" s="33" t="s">
        <v>10</v>
      </c>
      <c r="I169" s="33" t="s">
        <v>10</v>
      </c>
      <c r="J169" s="33" t="s">
        <v>10</v>
      </c>
    </row>
    <row r="170" spans="1:10" ht="15.75" customHeight="1" x14ac:dyDescent="0.2">
      <c r="A170" s="24" t="s">
        <v>749</v>
      </c>
      <c r="B170" s="24">
        <v>58.659556179966401</v>
      </c>
      <c r="C170" s="24">
        <v>3.4528010687616999</v>
      </c>
      <c r="D170" s="24">
        <v>1.43984055604118</v>
      </c>
      <c r="E170" s="24">
        <v>5.3318432585764999</v>
      </c>
      <c r="F170" s="26">
        <v>9.7220838559546102E-8</v>
      </c>
      <c r="G170" s="26">
        <v>2.8988171512837601E-5</v>
      </c>
      <c r="H170" s="33" t="s">
        <v>10</v>
      </c>
      <c r="I170" s="33" t="s">
        <v>10</v>
      </c>
      <c r="J170" s="33" t="s">
        <v>10</v>
      </c>
    </row>
    <row r="171" spans="1:10" ht="15.75" customHeight="1" x14ac:dyDescent="0.2">
      <c r="A171" s="24" t="s">
        <v>754</v>
      </c>
      <c r="B171" s="24">
        <v>56.676790086996299</v>
      </c>
      <c r="C171" s="24">
        <v>3.4416684647188398</v>
      </c>
      <c r="D171" s="24">
        <v>0.777489114878256</v>
      </c>
      <c r="E171" s="24">
        <v>5.3256371966192297</v>
      </c>
      <c r="F171" s="26">
        <v>1.00599749707164E-7</v>
      </c>
      <c r="G171" s="26">
        <v>2.97882796796685E-5</v>
      </c>
      <c r="H171" s="33" t="s">
        <v>10</v>
      </c>
      <c r="I171" s="33" t="s">
        <v>10</v>
      </c>
      <c r="J171" s="33" t="s">
        <v>10</v>
      </c>
    </row>
    <row r="172" spans="1:10" ht="15.75" customHeight="1" x14ac:dyDescent="0.2">
      <c r="A172" s="24" t="s">
        <v>757</v>
      </c>
      <c r="B172" s="24">
        <v>292.55844970123798</v>
      </c>
      <c r="C172" s="24">
        <v>3.4388504508955502</v>
      </c>
      <c r="D172" s="24">
        <v>0.58556962927948097</v>
      </c>
      <c r="E172" s="24">
        <v>5.3218692085117496</v>
      </c>
      <c r="F172" s="26">
        <v>1.02706407063111E-7</v>
      </c>
      <c r="G172" s="26">
        <v>3.0307566601087202E-5</v>
      </c>
      <c r="H172" s="33" t="s">
        <v>10</v>
      </c>
      <c r="I172" s="33" t="s">
        <v>10</v>
      </c>
      <c r="J172" s="33" t="s">
        <v>10</v>
      </c>
    </row>
    <row r="173" spans="1:10" ht="15.75" customHeight="1" x14ac:dyDescent="0.2">
      <c r="A173" s="24" t="s">
        <v>760</v>
      </c>
      <c r="B173" s="24">
        <v>107.419323531326</v>
      </c>
      <c r="C173" s="24">
        <v>3.42498205159115</v>
      </c>
      <c r="D173" s="24">
        <v>0.876530673975221</v>
      </c>
      <c r="E173" s="24">
        <v>5.3211255988284902</v>
      </c>
      <c r="F173" s="26">
        <v>1.03127169673567E-7</v>
      </c>
      <c r="G173" s="26">
        <v>3.03275109145167E-5</v>
      </c>
      <c r="H173" s="33" t="s">
        <v>10</v>
      </c>
      <c r="I173" s="33" t="s">
        <v>10</v>
      </c>
      <c r="J173" s="33" t="s">
        <v>10</v>
      </c>
    </row>
    <row r="174" spans="1:10" ht="15.75" customHeight="1" x14ac:dyDescent="0.2">
      <c r="A174" s="24" t="s">
        <v>763</v>
      </c>
      <c r="B174" s="24">
        <v>751.22074491962405</v>
      </c>
      <c r="C174" s="24">
        <v>3.4243229453397399</v>
      </c>
      <c r="D174" s="24">
        <v>1.18054517129679</v>
      </c>
      <c r="E174" s="24">
        <v>5.3136823474405102</v>
      </c>
      <c r="F174" s="26">
        <v>1.07431826532121E-7</v>
      </c>
      <c r="G174" s="26">
        <v>3.1378497878026401E-5</v>
      </c>
      <c r="H174" s="33" t="s">
        <v>4143</v>
      </c>
      <c r="I174" s="33" t="s">
        <v>3944</v>
      </c>
      <c r="J174" s="33" t="s">
        <v>10</v>
      </c>
    </row>
    <row r="175" spans="1:10" ht="15.75" customHeight="1" x14ac:dyDescent="0.2">
      <c r="A175" s="24" t="s">
        <v>767</v>
      </c>
      <c r="B175" s="24">
        <v>235.455695093727</v>
      </c>
      <c r="C175" s="24">
        <v>3.4036666997383098</v>
      </c>
      <c r="D175" s="24">
        <v>0.94472695538106699</v>
      </c>
      <c r="E175" s="24">
        <v>5.3106292537428699</v>
      </c>
      <c r="F175" s="26">
        <v>1.09247371273461E-7</v>
      </c>
      <c r="G175" s="26">
        <v>3.1800613622452201E-5</v>
      </c>
      <c r="H175" s="33" t="s">
        <v>10</v>
      </c>
      <c r="I175" s="33" t="s">
        <v>769</v>
      </c>
      <c r="J175" s="33" t="s">
        <v>10</v>
      </c>
    </row>
    <row r="176" spans="1:10" ht="15.75" customHeight="1" x14ac:dyDescent="0.2">
      <c r="A176" s="24" t="s">
        <v>771</v>
      </c>
      <c r="B176" s="24">
        <v>101.318272773929</v>
      </c>
      <c r="C176" s="24">
        <v>3.4035377115632799</v>
      </c>
      <c r="D176" s="24">
        <v>0.641034748071308</v>
      </c>
      <c r="E176" s="24">
        <v>5.3094433988228698</v>
      </c>
      <c r="F176" s="26">
        <v>1.09960525105655E-7</v>
      </c>
      <c r="G176" s="26">
        <v>3.18985155676785E-5</v>
      </c>
      <c r="H176" s="33" t="s">
        <v>10</v>
      </c>
      <c r="I176" s="33" t="s">
        <v>10</v>
      </c>
      <c r="J176" s="33" t="s">
        <v>10</v>
      </c>
    </row>
    <row r="177" spans="1:10" ht="15.75" customHeight="1" x14ac:dyDescent="0.2">
      <c r="A177" s="24" t="s">
        <v>774</v>
      </c>
      <c r="B177" s="24">
        <v>30.654755056285801</v>
      </c>
      <c r="C177" s="24">
        <v>3.38472977213944</v>
      </c>
      <c r="D177" s="24">
        <v>0.72020167344700003</v>
      </c>
      <c r="E177" s="24">
        <v>5.3077550502550004</v>
      </c>
      <c r="F177" s="26">
        <v>1.10983648850845E-7</v>
      </c>
      <c r="G177" s="26">
        <v>3.1980795001580398E-5</v>
      </c>
      <c r="H177" s="33" t="s">
        <v>10</v>
      </c>
      <c r="I177" s="33" t="s">
        <v>10</v>
      </c>
      <c r="J177" s="33" t="s">
        <v>10</v>
      </c>
    </row>
    <row r="178" spans="1:10" ht="15.75" customHeight="1" x14ac:dyDescent="0.2">
      <c r="A178" s="24" t="s">
        <v>777</v>
      </c>
      <c r="B178" s="24">
        <v>4007.2928821601799</v>
      </c>
      <c r="C178" s="24">
        <v>3.3748302054189399</v>
      </c>
      <c r="D178" s="24">
        <v>0.44826815402010001</v>
      </c>
      <c r="E178" s="24">
        <v>5.3046465468596899</v>
      </c>
      <c r="F178" s="26">
        <v>1.1289152005624499E-7</v>
      </c>
      <c r="G178" s="26">
        <v>3.22692096406002E-5</v>
      </c>
      <c r="H178" s="33" t="s">
        <v>2476</v>
      </c>
      <c r="I178" s="33" t="s">
        <v>4204</v>
      </c>
      <c r="J178" s="33" t="s">
        <v>10</v>
      </c>
    </row>
    <row r="179" spans="1:10" ht="15.75" customHeight="1" x14ac:dyDescent="0.2">
      <c r="A179" s="24" t="s">
        <v>779</v>
      </c>
      <c r="B179" s="24">
        <v>3968.2398690090499</v>
      </c>
      <c r="C179" s="24">
        <v>3.3745057389336299</v>
      </c>
      <c r="D179" s="24">
        <v>0.96347453675067196</v>
      </c>
      <c r="E179" s="24">
        <v>5.3042907589459602</v>
      </c>
      <c r="F179" s="26">
        <v>1.1311190159449201E-7</v>
      </c>
      <c r="G179" s="26">
        <v>3.22692096406002E-5</v>
      </c>
      <c r="H179" s="33" t="s">
        <v>10</v>
      </c>
      <c r="I179" s="33" t="s">
        <v>10</v>
      </c>
      <c r="J179" s="33" t="s">
        <v>10</v>
      </c>
    </row>
    <row r="180" spans="1:10" ht="15.75" customHeight="1" x14ac:dyDescent="0.2">
      <c r="A180" s="24" t="s">
        <v>782</v>
      </c>
      <c r="B180" s="24">
        <v>1331.88434831973</v>
      </c>
      <c r="C180" s="24">
        <v>3.36313050403297</v>
      </c>
      <c r="D180" s="24">
        <v>1.32996178523871</v>
      </c>
      <c r="E180" s="24">
        <v>5.2926568978009998</v>
      </c>
      <c r="F180" s="26">
        <v>1.2055196474039299E-7</v>
      </c>
      <c r="G180" s="26">
        <v>3.3862650709912997E-5</v>
      </c>
      <c r="H180" s="33" t="s">
        <v>784</v>
      </c>
      <c r="I180" s="33" t="s">
        <v>3966</v>
      </c>
      <c r="J180" s="33" t="s">
        <v>10</v>
      </c>
    </row>
    <row r="181" spans="1:10" ht="15.75" customHeight="1" x14ac:dyDescent="0.2">
      <c r="A181" s="24" t="s">
        <v>785</v>
      </c>
      <c r="B181" s="24">
        <v>106.726239727058</v>
      </c>
      <c r="C181" s="24">
        <v>3.3305031923469501</v>
      </c>
      <c r="D181" s="24">
        <v>0.767970782580914</v>
      </c>
      <c r="E181" s="24">
        <v>5.29037854205556</v>
      </c>
      <c r="F181" s="26">
        <v>1.2206345965909899E-7</v>
      </c>
      <c r="G181" s="26">
        <v>3.4097842997323899E-5</v>
      </c>
      <c r="H181" s="33" t="s">
        <v>10</v>
      </c>
      <c r="I181" s="33" t="s">
        <v>10</v>
      </c>
      <c r="J181" s="33" t="s">
        <v>10</v>
      </c>
    </row>
    <row r="182" spans="1:10" ht="15.75" customHeight="1" x14ac:dyDescent="0.2">
      <c r="A182" s="24" t="s">
        <v>788</v>
      </c>
      <c r="B182" s="24">
        <v>761.57012261103296</v>
      </c>
      <c r="C182" s="24">
        <v>3.3284139879096899</v>
      </c>
      <c r="D182" s="24">
        <v>0.42027571097361099</v>
      </c>
      <c r="E182" s="24">
        <v>5.28580704690589</v>
      </c>
      <c r="F182" s="26">
        <v>1.2515175818618899E-7</v>
      </c>
      <c r="G182" s="26">
        <v>3.4667440732923503E-5</v>
      </c>
      <c r="H182" s="33" t="s">
        <v>10</v>
      </c>
      <c r="I182" s="33" t="s">
        <v>4205</v>
      </c>
      <c r="J182" s="33" t="s">
        <v>10</v>
      </c>
    </row>
    <row r="183" spans="1:10" ht="15.75" customHeight="1" x14ac:dyDescent="0.2">
      <c r="A183" s="24" t="s">
        <v>790</v>
      </c>
      <c r="B183" s="24">
        <v>315.25959798444001</v>
      </c>
      <c r="C183" s="24">
        <v>3.30499074703829</v>
      </c>
      <c r="D183" s="24">
        <v>0.45538444938232298</v>
      </c>
      <c r="E183" s="24">
        <v>5.2709555273650404</v>
      </c>
      <c r="F183" s="26">
        <v>1.3571535401214601E-7</v>
      </c>
      <c r="G183" s="26">
        <v>3.7114691606296298E-5</v>
      </c>
      <c r="H183" s="33" t="s">
        <v>10</v>
      </c>
      <c r="I183" s="33" t="s">
        <v>3121</v>
      </c>
      <c r="J183" s="33" t="s">
        <v>10</v>
      </c>
    </row>
    <row r="184" spans="1:10" ht="15.75" customHeight="1" x14ac:dyDescent="0.2">
      <c r="A184" s="28" t="s">
        <v>794</v>
      </c>
      <c r="B184" s="24">
        <v>684.039716180455</v>
      </c>
      <c r="C184" s="24">
        <v>3.29599847784249</v>
      </c>
      <c r="D184" s="24">
        <v>0.80786006142752098</v>
      </c>
      <c r="E184" s="24">
        <v>5.2661022517881397</v>
      </c>
      <c r="F184" s="26">
        <v>1.3935068800456701E-7</v>
      </c>
      <c r="G184" s="26">
        <v>3.7629506068050701E-5</v>
      </c>
      <c r="H184" s="33" t="s">
        <v>10</v>
      </c>
      <c r="I184" s="33" t="s">
        <v>10</v>
      </c>
      <c r="J184" s="33" t="s">
        <v>10</v>
      </c>
    </row>
    <row r="185" spans="1:10" ht="15.75" customHeight="1" x14ac:dyDescent="0.2">
      <c r="A185" s="24" t="s">
        <v>798</v>
      </c>
      <c r="B185" s="24">
        <v>54.3547495800306</v>
      </c>
      <c r="C185" s="24">
        <v>3.2744908949290701</v>
      </c>
      <c r="D185" s="24">
        <v>0.48314194246200098</v>
      </c>
      <c r="E185" s="24">
        <v>5.2646748192727699</v>
      </c>
      <c r="F185" s="26">
        <v>1.40437708698761E-7</v>
      </c>
      <c r="G185" s="26">
        <v>3.7804158256022903E-5</v>
      </c>
      <c r="H185" s="33" t="s">
        <v>10</v>
      </c>
      <c r="I185" s="33" t="s">
        <v>10</v>
      </c>
      <c r="J185" s="33" t="s">
        <v>10</v>
      </c>
    </row>
    <row r="186" spans="1:10" ht="15.75" customHeight="1" x14ac:dyDescent="0.2">
      <c r="A186" s="24" t="s">
        <v>801</v>
      </c>
      <c r="B186" s="24">
        <v>87.600590841937802</v>
      </c>
      <c r="C186" s="24">
        <v>3.27115765001209</v>
      </c>
      <c r="D186" s="24">
        <v>0.54686651762121397</v>
      </c>
      <c r="E186" s="24">
        <v>5.2620465162964196</v>
      </c>
      <c r="F186" s="26">
        <v>1.4246071063130999E-7</v>
      </c>
      <c r="G186" s="26">
        <v>3.8228886508191299E-5</v>
      </c>
      <c r="H186" s="33" t="s">
        <v>10</v>
      </c>
      <c r="I186" s="33" t="s">
        <v>10</v>
      </c>
      <c r="J186" s="33" t="s">
        <v>10</v>
      </c>
    </row>
    <row r="187" spans="1:10" ht="15.75" customHeight="1" x14ac:dyDescent="0.2">
      <c r="A187" s="24" t="s">
        <v>804</v>
      </c>
      <c r="B187" s="24">
        <v>1063.81619635015</v>
      </c>
      <c r="C187" s="24">
        <v>3.2653594761916298</v>
      </c>
      <c r="D187" s="24">
        <v>0.56857421559330601</v>
      </c>
      <c r="E187" s="24">
        <v>5.2598336833991599</v>
      </c>
      <c r="F187" s="26">
        <v>1.44185755101113E-7</v>
      </c>
      <c r="G187" s="26">
        <v>3.8451475081638798E-5</v>
      </c>
      <c r="H187" s="33" t="s">
        <v>808</v>
      </c>
      <c r="I187" s="33" t="s">
        <v>10</v>
      </c>
      <c r="J187" s="33" t="s">
        <v>10</v>
      </c>
    </row>
    <row r="188" spans="1:10" ht="15.75" customHeight="1" x14ac:dyDescent="0.2">
      <c r="A188" s="24" t="s">
        <v>811</v>
      </c>
      <c r="B188" s="24">
        <v>130.21589628431099</v>
      </c>
      <c r="C188" s="24">
        <v>3.2650198226219298</v>
      </c>
      <c r="D188" s="24">
        <v>0.62908327598015101</v>
      </c>
      <c r="E188" s="24">
        <v>5.2536617539051802</v>
      </c>
      <c r="F188" s="26">
        <v>1.4910460478677799E-7</v>
      </c>
      <c r="G188" s="26">
        <v>3.9517782461868601E-5</v>
      </c>
      <c r="H188" s="33" t="s">
        <v>812</v>
      </c>
      <c r="I188" s="33" t="s">
        <v>814</v>
      </c>
      <c r="J188" s="33" t="s">
        <v>10</v>
      </c>
    </row>
    <row r="189" spans="1:10" ht="15.75" customHeight="1" x14ac:dyDescent="0.2">
      <c r="A189" s="24" t="s">
        <v>816</v>
      </c>
      <c r="B189" s="24">
        <v>2375.78733792</v>
      </c>
      <c r="C189" s="24">
        <v>3.2619455900579299</v>
      </c>
      <c r="D189" s="24">
        <v>0.418318045696639</v>
      </c>
      <c r="E189" s="24">
        <v>5.2400633359117101</v>
      </c>
      <c r="F189" s="26">
        <v>1.6052149414164599E-7</v>
      </c>
      <c r="G189" s="26">
        <v>4.20248208031624E-5</v>
      </c>
      <c r="H189" s="33" t="s">
        <v>10</v>
      </c>
      <c r="I189" s="33" t="s">
        <v>10</v>
      </c>
      <c r="J189" s="33" t="s">
        <v>10</v>
      </c>
    </row>
    <row r="190" spans="1:10" ht="15.75" customHeight="1" x14ac:dyDescent="0.2">
      <c r="A190" s="24" t="s">
        <v>822</v>
      </c>
      <c r="B190" s="24">
        <v>2058.3527445741001</v>
      </c>
      <c r="C190" s="24">
        <v>3.2602338707657701</v>
      </c>
      <c r="D190" s="24">
        <v>0.52438101671238402</v>
      </c>
      <c r="E190" s="24">
        <v>5.2379588496703597</v>
      </c>
      <c r="F190" s="26">
        <v>1.6236225103489899E-7</v>
      </c>
      <c r="G190" s="26">
        <v>4.2377534524674202E-5</v>
      </c>
      <c r="H190" s="33" t="s">
        <v>825</v>
      </c>
      <c r="I190" s="33" t="s">
        <v>826</v>
      </c>
      <c r="J190" s="33" t="s">
        <v>10</v>
      </c>
    </row>
    <row r="191" spans="1:10" ht="15.75" customHeight="1" x14ac:dyDescent="0.2">
      <c r="A191" s="24" t="s">
        <v>827</v>
      </c>
      <c r="B191" s="24">
        <v>265.05603672053201</v>
      </c>
      <c r="C191" s="24">
        <v>3.2574221623133499</v>
      </c>
      <c r="D191" s="24">
        <v>0.45576494572760401</v>
      </c>
      <c r="E191" s="24">
        <v>5.2345914385344896</v>
      </c>
      <c r="F191" s="26">
        <v>1.6535020014376801E-7</v>
      </c>
      <c r="G191" s="26">
        <v>4.2896637572644999E-5</v>
      </c>
      <c r="H191" s="33" t="s">
        <v>10</v>
      </c>
      <c r="I191" s="33" t="s">
        <v>10</v>
      </c>
      <c r="J191" s="33" t="s">
        <v>10</v>
      </c>
    </row>
    <row r="192" spans="1:10" ht="15.75" customHeight="1" x14ac:dyDescent="0.2">
      <c r="A192" s="24" t="s">
        <v>831</v>
      </c>
      <c r="B192" s="24">
        <v>199.65692518122</v>
      </c>
      <c r="C192" s="24">
        <v>3.2569951126057899</v>
      </c>
      <c r="D192" s="24">
        <v>0.46247746384427901</v>
      </c>
      <c r="E192" s="24">
        <v>5.2339350035463896</v>
      </c>
      <c r="F192" s="26">
        <v>1.6593882414190101E-7</v>
      </c>
      <c r="G192" s="26">
        <v>4.2919677011714397E-5</v>
      </c>
      <c r="H192" s="33" t="s">
        <v>10</v>
      </c>
      <c r="I192" s="33" t="s">
        <v>10</v>
      </c>
      <c r="J192" s="33" t="s">
        <v>10</v>
      </c>
    </row>
    <row r="193" spans="1:10" ht="15.75" customHeight="1" x14ac:dyDescent="0.2">
      <c r="A193" s="24" t="s">
        <v>836</v>
      </c>
      <c r="B193" s="24">
        <v>39.430898296105902</v>
      </c>
      <c r="C193" s="24">
        <v>3.24155157249292</v>
      </c>
      <c r="D193" s="24">
        <v>1.2698497546352301</v>
      </c>
      <c r="E193" s="24">
        <v>5.2332124958388597</v>
      </c>
      <c r="F193" s="26">
        <v>1.6658903764182999E-7</v>
      </c>
      <c r="G193" s="26">
        <v>4.2958460214239003E-5</v>
      </c>
      <c r="H193" s="33" t="s">
        <v>10</v>
      </c>
      <c r="I193" s="33" t="s">
        <v>765</v>
      </c>
      <c r="J193" s="33" t="s">
        <v>10</v>
      </c>
    </row>
    <row r="194" spans="1:10" ht="15.75" customHeight="1" x14ac:dyDescent="0.2">
      <c r="A194" s="24" t="s">
        <v>841</v>
      </c>
      <c r="B194" s="24">
        <v>51279.145587646897</v>
      </c>
      <c r="C194" s="24">
        <v>3.2399062994782999</v>
      </c>
      <c r="D194" s="24">
        <v>0.48507189875259898</v>
      </c>
      <c r="E194" s="24">
        <v>5.2294866512828397</v>
      </c>
      <c r="F194" s="26">
        <v>1.6998137384146799E-7</v>
      </c>
      <c r="G194" s="26">
        <v>4.3571553889972198E-5</v>
      </c>
      <c r="H194" s="33" t="s">
        <v>844</v>
      </c>
      <c r="I194" s="33" t="s">
        <v>4206</v>
      </c>
      <c r="J194" s="33" t="s">
        <v>4095</v>
      </c>
    </row>
    <row r="195" spans="1:10" ht="15.75" customHeight="1" x14ac:dyDescent="0.2">
      <c r="A195" s="24" t="s">
        <v>847</v>
      </c>
      <c r="B195" s="24">
        <v>354.48082313331003</v>
      </c>
      <c r="C195" s="24">
        <v>3.2381570644879898</v>
      </c>
      <c r="D195" s="24">
        <v>1.5514961733422099</v>
      </c>
      <c r="E195" s="24">
        <v>5.2278678199651702</v>
      </c>
      <c r="F195" s="26">
        <v>1.7147602635026399E-7</v>
      </c>
      <c r="G195" s="26">
        <v>4.3823862674772299E-5</v>
      </c>
      <c r="H195" s="33" t="s">
        <v>850</v>
      </c>
      <c r="I195" s="33" t="s">
        <v>3935</v>
      </c>
      <c r="J195" s="33" t="s">
        <v>10</v>
      </c>
    </row>
    <row r="196" spans="1:10" ht="15.75" customHeight="1" x14ac:dyDescent="0.2">
      <c r="A196" s="24" t="s">
        <v>852</v>
      </c>
      <c r="B196" s="24">
        <v>29.168238157515098</v>
      </c>
      <c r="C196" s="24">
        <v>3.1845081610320101</v>
      </c>
      <c r="D196" s="24">
        <v>0.99113854721663297</v>
      </c>
      <c r="E196" s="24">
        <v>5.22058051870812</v>
      </c>
      <c r="F196" s="26">
        <v>1.7836313653720599E-7</v>
      </c>
      <c r="G196" s="26">
        <v>4.5314263010610598E-5</v>
      </c>
      <c r="H196" s="33" t="s">
        <v>10</v>
      </c>
      <c r="I196" s="33" t="s">
        <v>10</v>
      </c>
      <c r="J196" s="33" t="s">
        <v>10</v>
      </c>
    </row>
    <row r="197" spans="1:10" ht="15.75" customHeight="1" x14ac:dyDescent="0.2">
      <c r="A197" s="24" t="s">
        <v>855</v>
      </c>
      <c r="B197" s="24">
        <v>368.11997653690798</v>
      </c>
      <c r="C197" s="24">
        <v>3.1764954111695598</v>
      </c>
      <c r="D197" s="24">
        <v>0.44314705500436102</v>
      </c>
      <c r="E197" s="24">
        <v>5.2159224829059498</v>
      </c>
      <c r="F197" s="26">
        <v>1.8290465951478199E-7</v>
      </c>
      <c r="G197" s="26">
        <v>4.6330991201161702E-5</v>
      </c>
      <c r="H197" s="33" t="s">
        <v>186</v>
      </c>
      <c r="I197" s="33" t="s">
        <v>606</v>
      </c>
      <c r="J197" s="33" t="s">
        <v>10</v>
      </c>
    </row>
    <row r="198" spans="1:10" ht="15.75" customHeight="1" x14ac:dyDescent="0.2">
      <c r="A198" s="24" t="s">
        <v>857</v>
      </c>
      <c r="B198" s="24">
        <v>423.23268554636201</v>
      </c>
      <c r="C198" s="24">
        <v>3.1740953106448999</v>
      </c>
      <c r="D198" s="24">
        <v>0.70955982615941204</v>
      </c>
      <c r="E198" s="24">
        <v>5.2102121183807704</v>
      </c>
      <c r="F198" s="26">
        <v>1.88624851054223E-7</v>
      </c>
      <c r="G198" s="26">
        <v>4.76394252496387E-5</v>
      </c>
      <c r="H198" s="33" t="s">
        <v>4144</v>
      </c>
      <c r="I198" s="33" t="s">
        <v>4207</v>
      </c>
      <c r="J198" s="33" t="s">
        <v>4062</v>
      </c>
    </row>
    <row r="199" spans="1:10" ht="15.75" customHeight="1" x14ac:dyDescent="0.2">
      <c r="A199" s="24" t="s">
        <v>863</v>
      </c>
      <c r="B199" s="24">
        <v>325.15696376667898</v>
      </c>
      <c r="C199" s="24">
        <v>3.1620212663215601</v>
      </c>
      <c r="D199" s="24">
        <v>0.48385871174566297</v>
      </c>
      <c r="E199" s="24">
        <v>5.2069664276860896</v>
      </c>
      <c r="F199" s="26">
        <v>1.91952805195821E-7</v>
      </c>
      <c r="G199" s="26">
        <v>4.8196430804006899E-5</v>
      </c>
      <c r="H199" s="33" t="s">
        <v>865</v>
      </c>
      <c r="I199" s="33" t="s">
        <v>866</v>
      </c>
      <c r="J199" s="33" t="s">
        <v>10</v>
      </c>
    </row>
    <row r="200" spans="1:10" ht="15.75" customHeight="1" x14ac:dyDescent="0.2">
      <c r="A200" s="24" t="s">
        <v>869</v>
      </c>
      <c r="B200" s="24">
        <v>483.14655283532602</v>
      </c>
      <c r="C200" s="24">
        <v>3.15755573032764</v>
      </c>
      <c r="D200" s="24">
        <v>1.3147819678791399</v>
      </c>
      <c r="E200" s="24">
        <v>5.2061774732938604</v>
      </c>
      <c r="F200" s="26">
        <v>1.92770290281906E-7</v>
      </c>
      <c r="G200" s="26">
        <v>4.8260576083957998E-5</v>
      </c>
      <c r="H200" s="33" t="s">
        <v>850</v>
      </c>
      <c r="I200" s="33" t="s">
        <v>4208</v>
      </c>
      <c r="J200" s="33" t="s">
        <v>10</v>
      </c>
    </row>
    <row r="201" spans="1:10" ht="15.75" customHeight="1" x14ac:dyDescent="0.2">
      <c r="A201" s="24" t="s">
        <v>873</v>
      </c>
      <c r="B201" s="24">
        <v>41.824731993861299</v>
      </c>
      <c r="C201" s="24">
        <v>3.14990635359338</v>
      </c>
      <c r="D201" s="24">
        <v>0.53909549477876795</v>
      </c>
      <c r="E201" s="24">
        <v>5.1993627359080197</v>
      </c>
      <c r="F201" s="26">
        <v>1.9997293872402701E-7</v>
      </c>
      <c r="G201" s="26">
        <v>4.9074130993086703E-5</v>
      </c>
      <c r="H201" s="33" t="s">
        <v>10</v>
      </c>
      <c r="I201" s="33" t="s">
        <v>291</v>
      </c>
      <c r="J201" s="33" t="s">
        <v>10</v>
      </c>
    </row>
    <row r="202" spans="1:10" ht="15.75" customHeight="1" x14ac:dyDescent="0.2">
      <c r="A202" s="24" t="s">
        <v>879</v>
      </c>
      <c r="B202" s="24">
        <v>91.781302925491403</v>
      </c>
      <c r="C202" s="24">
        <v>3.1493939134107798</v>
      </c>
      <c r="D202" s="24">
        <v>0.84472774852614496</v>
      </c>
      <c r="E202" s="24">
        <v>5.19830709129758</v>
      </c>
      <c r="F202" s="26">
        <v>2.01111687130144E-7</v>
      </c>
      <c r="G202" s="26">
        <v>4.9074130993086703E-5</v>
      </c>
      <c r="H202" s="33" t="s">
        <v>10</v>
      </c>
      <c r="I202" s="33" t="s">
        <v>10</v>
      </c>
      <c r="J202" s="33" t="s">
        <v>10</v>
      </c>
    </row>
    <row r="203" spans="1:10" ht="15.75" customHeight="1" x14ac:dyDescent="0.2">
      <c r="A203" s="24" t="s">
        <v>882</v>
      </c>
      <c r="B203" s="24">
        <v>37.656610471469797</v>
      </c>
      <c r="C203" s="24">
        <v>3.1492177234552701</v>
      </c>
      <c r="D203" s="24">
        <v>1.0645674186337799</v>
      </c>
      <c r="E203" s="24">
        <v>5.1982333049003797</v>
      </c>
      <c r="F203" s="26">
        <v>2.0119151614873201E-7</v>
      </c>
      <c r="G203" s="26">
        <v>4.9074130993086703E-5</v>
      </c>
      <c r="H203" s="33" t="s">
        <v>10</v>
      </c>
      <c r="I203" s="33" t="s">
        <v>10</v>
      </c>
      <c r="J203" s="33" t="s">
        <v>10</v>
      </c>
    </row>
    <row r="204" spans="1:10" ht="15.75" customHeight="1" x14ac:dyDescent="0.2">
      <c r="A204" s="24" t="s">
        <v>885</v>
      </c>
      <c r="B204" s="24">
        <v>3432.0991972512602</v>
      </c>
      <c r="C204" s="24">
        <v>3.1467079775839002</v>
      </c>
      <c r="D204" s="24">
        <v>0.38629666048256101</v>
      </c>
      <c r="E204" s="24">
        <v>5.1981970876777002</v>
      </c>
      <c r="F204" s="26">
        <v>2.01230710528512E-7</v>
      </c>
      <c r="G204" s="26">
        <v>4.9074130993086703E-5</v>
      </c>
      <c r="H204" s="33" t="s">
        <v>10</v>
      </c>
      <c r="I204" s="33" t="s">
        <v>10</v>
      </c>
      <c r="J204" s="33" t="s">
        <v>10</v>
      </c>
    </row>
    <row r="205" spans="1:10" ht="15.75" customHeight="1" x14ac:dyDescent="0.2">
      <c r="A205" s="24" t="s">
        <v>888</v>
      </c>
      <c r="B205" s="24">
        <v>489.46930012724602</v>
      </c>
      <c r="C205" s="24">
        <v>3.1330339150490101</v>
      </c>
      <c r="D205" s="24">
        <v>0.62818334830259703</v>
      </c>
      <c r="E205" s="24">
        <v>5.1980993845425898</v>
      </c>
      <c r="F205" s="26">
        <v>2.01336481945388E-7</v>
      </c>
      <c r="G205" s="26">
        <v>4.9074130993086703E-5</v>
      </c>
      <c r="H205" s="33" t="s">
        <v>1147</v>
      </c>
      <c r="I205" s="33" t="s">
        <v>4207</v>
      </c>
      <c r="J205" s="33" t="s">
        <v>4062</v>
      </c>
    </row>
    <row r="206" spans="1:10" ht="15.75" customHeight="1" x14ac:dyDescent="0.2">
      <c r="A206" s="24" t="s">
        <v>892</v>
      </c>
      <c r="B206" s="24">
        <v>70.158152306103901</v>
      </c>
      <c r="C206" s="24">
        <v>3.1237737904824798</v>
      </c>
      <c r="D206" s="24">
        <v>0.68850398873101704</v>
      </c>
      <c r="E206" s="24">
        <v>5.1953005589120904</v>
      </c>
      <c r="F206" s="26">
        <v>2.0438935247975999E-7</v>
      </c>
      <c r="G206" s="26">
        <v>4.9579429623699098E-5</v>
      </c>
      <c r="H206" s="33" t="s">
        <v>10</v>
      </c>
      <c r="I206" s="33" t="s">
        <v>894</v>
      </c>
      <c r="J206" s="33" t="s">
        <v>10</v>
      </c>
    </row>
    <row r="207" spans="1:10" ht="15.75" customHeight="1" x14ac:dyDescent="0.2">
      <c r="A207" s="24" t="s">
        <v>896</v>
      </c>
      <c r="B207" s="24">
        <v>59.988609995569199</v>
      </c>
      <c r="C207" s="24">
        <v>3.1163249795021102</v>
      </c>
      <c r="D207" s="24">
        <v>0.67526990141320598</v>
      </c>
      <c r="E207" s="24">
        <v>5.1938552037336301</v>
      </c>
      <c r="F207" s="26">
        <v>2.0598336888800701E-7</v>
      </c>
      <c r="G207" s="26">
        <v>4.9762328588054399E-5</v>
      </c>
      <c r="H207" s="33" t="s">
        <v>10</v>
      </c>
      <c r="I207" s="33" t="s">
        <v>10</v>
      </c>
      <c r="J207" s="33" t="s">
        <v>10</v>
      </c>
    </row>
    <row r="208" spans="1:10" ht="15.75" customHeight="1" x14ac:dyDescent="0.2">
      <c r="A208" s="24" t="s">
        <v>899</v>
      </c>
      <c r="B208" s="24">
        <v>62.714232488476803</v>
      </c>
      <c r="C208" s="24">
        <v>3.1134052960895802</v>
      </c>
      <c r="D208" s="24">
        <v>0.53403726882315905</v>
      </c>
      <c r="E208" s="24">
        <v>5.1935672711287202</v>
      </c>
      <c r="F208" s="26">
        <v>2.0630234860834701E-7</v>
      </c>
      <c r="G208" s="26">
        <v>4.9762328588054399E-5</v>
      </c>
      <c r="H208" s="33" t="s">
        <v>10</v>
      </c>
      <c r="I208" s="33" t="s">
        <v>10</v>
      </c>
      <c r="J208" s="33" t="s">
        <v>10</v>
      </c>
    </row>
    <row r="209" spans="1:10" ht="15.75" customHeight="1" x14ac:dyDescent="0.2">
      <c r="A209" s="24" t="s">
        <v>901</v>
      </c>
      <c r="B209" s="24">
        <v>861.13677823306102</v>
      </c>
      <c r="C209" s="24">
        <v>3.0931700651641201</v>
      </c>
      <c r="D209" s="24">
        <v>1.3972972347223001</v>
      </c>
      <c r="E209" s="24">
        <v>5.1920193174662401</v>
      </c>
      <c r="F209" s="26">
        <v>2.0802541336403999E-7</v>
      </c>
      <c r="G209" s="26">
        <v>4.9897626455260998E-5</v>
      </c>
      <c r="H209" s="33" t="s">
        <v>850</v>
      </c>
      <c r="I209" s="33" t="s">
        <v>4208</v>
      </c>
      <c r="J209" s="33" t="s">
        <v>10</v>
      </c>
    </row>
    <row r="210" spans="1:10" ht="15.75" customHeight="1" x14ac:dyDescent="0.2">
      <c r="A210" s="24" t="s">
        <v>904</v>
      </c>
      <c r="B210" s="24">
        <v>194.886508552572</v>
      </c>
      <c r="C210" s="24">
        <v>3.0858982245284898</v>
      </c>
      <c r="D210" s="24">
        <v>0.56874365785974101</v>
      </c>
      <c r="E210" s="24">
        <v>5.1862128746911402</v>
      </c>
      <c r="F210" s="26">
        <v>2.1461348589444099E-7</v>
      </c>
      <c r="G210" s="26">
        <v>5.1050068274907301E-5</v>
      </c>
      <c r="H210" s="33" t="s">
        <v>411</v>
      </c>
      <c r="I210" s="33" t="s">
        <v>3143</v>
      </c>
      <c r="J210" s="33" t="s">
        <v>10</v>
      </c>
    </row>
    <row r="211" spans="1:10" ht="15.75" customHeight="1" x14ac:dyDescent="0.2">
      <c r="A211" s="24" t="s">
        <v>907</v>
      </c>
      <c r="B211" s="24">
        <v>89.875014584157896</v>
      </c>
      <c r="C211" s="24">
        <v>3.0816739888460298</v>
      </c>
      <c r="D211" s="24">
        <v>0.437202817447224</v>
      </c>
      <c r="E211" s="24">
        <v>5.1835608837593297</v>
      </c>
      <c r="F211" s="26">
        <v>2.17689121152586E-7</v>
      </c>
      <c r="G211" s="26">
        <v>5.1638625752745101E-5</v>
      </c>
      <c r="H211" s="33" t="s">
        <v>10</v>
      </c>
      <c r="I211" s="33" t="s">
        <v>10</v>
      </c>
      <c r="J211" s="33" t="s">
        <v>10</v>
      </c>
    </row>
    <row r="212" spans="1:10" ht="15.75" customHeight="1" x14ac:dyDescent="0.2">
      <c r="A212" s="24" t="s">
        <v>912</v>
      </c>
      <c r="B212" s="24">
        <v>327.45601251223599</v>
      </c>
      <c r="C212" s="24">
        <v>3.0744071717949102</v>
      </c>
      <c r="D212" s="24">
        <v>0.87583871429551896</v>
      </c>
      <c r="E212" s="24">
        <v>5.1829440949347498</v>
      </c>
      <c r="F212" s="26">
        <v>2.18410520695502E-7</v>
      </c>
      <c r="G212" s="26">
        <v>5.1667024304802899E-5</v>
      </c>
      <c r="H212" s="33" t="s">
        <v>10</v>
      </c>
      <c r="I212" s="33" t="s">
        <v>10</v>
      </c>
      <c r="J212" s="33" t="s">
        <v>10</v>
      </c>
    </row>
    <row r="213" spans="1:10" ht="15.75" customHeight="1" x14ac:dyDescent="0.2">
      <c r="A213" s="24" t="s">
        <v>914</v>
      </c>
      <c r="B213" s="24">
        <v>1407.12577258848</v>
      </c>
      <c r="C213" s="24">
        <v>3.05475917591176</v>
      </c>
      <c r="D213" s="24">
        <v>0.45079507169209698</v>
      </c>
      <c r="E213" s="24">
        <v>5.1804413382854797</v>
      </c>
      <c r="F213" s="26">
        <v>2.2136153525981799E-7</v>
      </c>
      <c r="G213" s="26">
        <v>5.2005148261993402E-5</v>
      </c>
      <c r="H213" s="33" t="s">
        <v>10</v>
      </c>
      <c r="I213" s="33" t="s">
        <v>917</v>
      </c>
      <c r="J213" s="33" t="s">
        <v>10</v>
      </c>
    </row>
    <row r="214" spans="1:10" ht="15.75" customHeight="1" x14ac:dyDescent="0.2">
      <c r="A214" s="24" t="s">
        <v>918</v>
      </c>
      <c r="B214" s="24">
        <v>2763.0607256154099</v>
      </c>
      <c r="C214" s="24">
        <v>3.0518169319359099</v>
      </c>
      <c r="D214" s="24">
        <v>0.48255793891853399</v>
      </c>
      <c r="E214" s="24">
        <v>5.1801927676857904</v>
      </c>
      <c r="F214" s="26">
        <v>2.2165672070768401E-7</v>
      </c>
      <c r="G214" s="26">
        <v>5.2005148261993402E-5</v>
      </c>
      <c r="H214" s="33" t="s">
        <v>4145</v>
      </c>
      <c r="I214" s="33" t="s">
        <v>3967</v>
      </c>
      <c r="J214" s="33" t="s">
        <v>4076</v>
      </c>
    </row>
    <row r="215" spans="1:10" ht="15.75" customHeight="1" x14ac:dyDescent="0.2">
      <c r="A215" s="24" t="s">
        <v>920</v>
      </c>
      <c r="B215" s="24">
        <v>1875.2899459759201</v>
      </c>
      <c r="C215" s="24">
        <v>3.0450412829210598</v>
      </c>
      <c r="D215" s="24">
        <v>0.44138301659521501</v>
      </c>
      <c r="E215" s="24">
        <v>5.1754224841504799</v>
      </c>
      <c r="F215" s="26">
        <v>2.2739582708965199E-7</v>
      </c>
      <c r="G215" s="26">
        <v>5.3061703989172498E-5</v>
      </c>
      <c r="H215" s="33" t="s">
        <v>923</v>
      </c>
      <c r="I215" s="33" t="s">
        <v>4001</v>
      </c>
      <c r="J215" s="33" t="s">
        <v>4097</v>
      </c>
    </row>
    <row r="216" spans="1:10" ht="15.75" customHeight="1" x14ac:dyDescent="0.2">
      <c r="A216" s="24" t="s">
        <v>924</v>
      </c>
      <c r="B216" s="24">
        <v>2402.2847930088801</v>
      </c>
      <c r="C216" s="24">
        <v>3.0440543091839598</v>
      </c>
      <c r="D216" s="24">
        <v>0.52559243379975795</v>
      </c>
      <c r="E216" s="24">
        <v>5.1581230491581902</v>
      </c>
      <c r="F216" s="26">
        <v>2.4943767939217301E-7</v>
      </c>
      <c r="G216" s="26">
        <v>5.7370548275541702E-5</v>
      </c>
      <c r="H216" s="33" t="s">
        <v>3879</v>
      </c>
      <c r="I216" s="33" t="s">
        <v>4209</v>
      </c>
      <c r="J216" s="33" t="s">
        <v>4106</v>
      </c>
    </row>
    <row r="217" spans="1:10" ht="15.75" customHeight="1" x14ac:dyDescent="0.2">
      <c r="A217" s="24" t="s">
        <v>926</v>
      </c>
      <c r="B217" s="24">
        <v>764.954879854664</v>
      </c>
      <c r="C217" s="24">
        <v>3.0385620145820398</v>
      </c>
      <c r="D217" s="24">
        <v>1.3794449908608499</v>
      </c>
      <c r="E217" s="24">
        <v>5.1577987448640998</v>
      </c>
      <c r="F217" s="26">
        <v>2.4986998002879402E-7</v>
      </c>
      <c r="G217" s="26">
        <v>5.7370548275541702E-5</v>
      </c>
      <c r="H217" s="33" t="s">
        <v>4146</v>
      </c>
      <c r="I217" s="33" t="s">
        <v>3997</v>
      </c>
      <c r="J217" s="33" t="s">
        <v>10</v>
      </c>
    </row>
    <row r="218" spans="1:10" ht="15.75" customHeight="1" x14ac:dyDescent="0.2">
      <c r="A218" s="24" t="s">
        <v>929</v>
      </c>
      <c r="B218" s="24">
        <v>183.574159494182</v>
      </c>
      <c r="C218" s="24">
        <v>3.0380132498735399</v>
      </c>
      <c r="D218" s="24">
        <v>1.1250907189533601</v>
      </c>
      <c r="E218" s="24">
        <v>5.1571209520991896</v>
      </c>
      <c r="F218" s="26">
        <v>2.5077582233481202E-7</v>
      </c>
      <c r="G218" s="26">
        <v>5.7424988372567097E-5</v>
      </c>
      <c r="H218" s="33" t="s">
        <v>10</v>
      </c>
      <c r="I218" s="33" t="s">
        <v>10</v>
      </c>
      <c r="J218" s="33" t="s">
        <v>10</v>
      </c>
    </row>
    <row r="219" spans="1:10" ht="15.75" customHeight="1" x14ac:dyDescent="0.2">
      <c r="A219" s="24" t="s">
        <v>931</v>
      </c>
      <c r="B219" s="24">
        <v>2475.23099625755</v>
      </c>
      <c r="C219" s="24">
        <v>3.0294870258906701</v>
      </c>
      <c r="D219" s="24">
        <v>0.3882412325288</v>
      </c>
      <c r="E219" s="24">
        <v>5.1561667604331998</v>
      </c>
      <c r="F219" s="26">
        <v>2.52056438736725E-7</v>
      </c>
      <c r="G219" s="26">
        <v>5.7564729922237602E-5</v>
      </c>
      <c r="H219" s="33" t="s">
        <v>935</v>
      </c>
      <c r="I219" s="33" t="s">
        <v>3963</v>
      </c>
      <c r="J219" s="33" t="s">
        <v>4073</v>
      </c>
    </row>
    <row r="220" spans="1:10" ht="15.75" customHeight="1" x14ac:dyDescent="0.2">
      <c r="A220" s="24" t="s">
        <v>938</v>
      </c>
      <c r="B220" s="24">
        <v>2359.2804820972601</v>
      </c>
      <c r="C220" s="24">
        <v>3.02909873176745</v>
      </c>
      <c r="D220" s="24">
        <v>0.75240784633298297</v>
      </c>
      <c r="E220" s="24">
        <v>5.1410632983946201</v>
      </c>
      <c r="F220" s="26">
        <v>2.7318799058508101E-7</v>
      </c>
      <c r="G220" s="26">
        <v>6.1571984093258594E-5</v>
      </c>
      <c r="H220" s="33" t="s">
        <v>10</v>
      </c>
      <c r="I220" s="33" t="s">
        <v>10</v>
      </c>
      <c r="J220" s="33" t="s">
        <v>10</v>
      </c>
    </row>
    <row r="221" spans="1:10" ht="15.75" customHeight="1" x14ac:dyDescent="0.2">
      <c r="A221" s="24" t="s">
        <v>941</v>
      </c>
      <c r="B221" s="24">
        <v>339.17990574903899</v>
      </c>
      <c r="C221" s="24">
        <v>3.0281824096676302</v>
      </c>
      <c r="D221" s="24">
        <v>0.82297404331808</v>
      </c>
      <c r="E221" s="24">
        <v>5.1297332374739399</v>
      </c>
      <c r="F221" s="26">
        <v>2.9015306319187899E-7</v>
      </c>
      <c r="G221" s="26">
        <v>6.5224433741753503E-5</v>
      </c>
      <c r="H221" s="33" t="s">
        <v>10</v>
      </c>
      <c r="I221" s="33" t="s">
        <v>10</v>
      </c>
      <c r="J221" s="33" t="s">
        <v>10</v>
      </c>
    </row>
    <row r="222" spans="1:10" ht="15.75" customHeight="1" x14ac:dyDescent="0.2">
      <c r="A222" s="24" t="s">
        <v>944</v>
      </c>
      <c r="B222" s="24">
        <v>33.720259524977003</v>
      </c>
      <c r="C222" s="24">
        <v>3.01496699920741</v>
      </c>
      <c r="D222" s="24">
        <v>1.0629517832566999</v>
      </c>
      <c r="E222" s="24">
        <v>5.1270787808626999</v>
      </c>
      <c r="F222" s="26">
        <v>2.9427240132593301E-7</v>
      </c>
      <c r="G222" s="26">
        <v>6.5634974998075794E-5</v>
      </c>
      <c r="H222" s="33" t="s">
        <v>10</v>
      </c>
      <c r="I222" s="33" t="s">
        <v>10</v>
      </c>
      <c r="J222" s="33" t="s">
        <v>10</v>
      </c>
    </row>
    <row r="223" spans="1:10" ht="15.75" customHeight="1" x14ac:dyDescent="0.2">
      <c r="A223" s="24" t="s">
        <v>947</v>
      </c>
      <c r="B223" s="24">
        <v>241.46761383833001</v>
      </c>
      <c r="C223" s="24">
        <v>3.00133823611141</v>
      </c>
      <c r="D223" s="24">
        <v>0.60957731387799996</v>
      </c>
      <c r="E223" s="24">
        <v>5.12449154416477</v>
      </c>
      <c r="F223" s="26">
        <v>2.9834173749356399E-7</v>
      </c>
      <c r="G223" s="26">
        <v>6.6070653737967496E-5</v>
      </c>
      <c r="H223" s="33" t="s">
        <v>10</v>
      </c>
      <c r="I223" s="33" t="s">
        <v>10</v>
      </c>
      <c r="J223" s="33" t="s">
        <v>10</v>
      </c>
    </row>
    <row r="224" spans="1:10" ht="15.75" customHeight="1" x14ac:dyDescent="0.2">
      <c r="A224" s="24" t="s">
        <v>953</v>
      </c>
      <c r="B224" s="24">
        <v>1084.76147498621</v>
      </c>
      <c r="C224" s="24">
        <v>2.9994339062802902</v>
      </c>
      <c r="D224" s="24">
        <v>0.535492204306937</v>
      </c>
      <c r="E224" s="24">
        <v>5.12388509453542</v>
      </c>
      <c r="F224" s="26">
        <v>2.9930342378765098E-7</v>
      </c>
      <c r="G224" s="26">
        <v>6.6070653737967496E-5</v>
      </c>
      <c r="H224" s="33" t="s">
        <v>379</v>
      </c>
      <c r="I224" s="33" t="s">
        <v>4197</v>
      </c>
      <c r="J224" s="33" t="s">
        <v>4041</v>
      </c>
    </row>
    <row r="225" spans="1:10" ht="15.75" customHeight="1" x14ac:dyDescent="0.2">
      <c r="A225" s="24" t="s">
        <v>955</v>
      </c>
      <c r="B225" s="24">
        <v>211.107329121172</v>
      </c>
      <c r="C225" s="24">
        <v>2.9936950640573401</v>
      </c>
      <c r="D225" s="24">
        <v>0.61677006376538002</v>
      </c>
      <c r="E225" s="24">
        <v>5.1070999366655503</v>
      </c>
      <c r="F225" s="26">
        <v>3.2714075131525399E-7</v>
      </c>
      <c r="G225" s="26">
        <v>7.14806703719903E-5</v>
      </c>
      <c r="H225" s="33" t="s">
        <v>10</v>
      </c>
      <c r="I225" s="33" t="s">
        <v>960</v>
      </c>
      <c r="J225" s="33" t="s">
        <v>10</v>
      </c>
    </row>
    <row r="226" spans="1:10" ht="15.75" customHeight="1" x14ac:dyDescent="0.2">
      <c r="A226" s="24" t="s">
        <v>962</v>
      </c>
      <c r="B226" s="24">
        <v>101.72239761442501</v>
      </c>
      <c r="C226" s="24">
        <v>2.99060581068992</v>
      </c>
      <c r="D226" s="24">
        <v>0.49891827024739699</v>
      </c>
      <c r="E226" s="24">
        <v>5.0923994538677002</v>
      </c>
      <c r="F226" s="26">
        <v>3.5356022103538698E-7</v>
      </c>
      <c r="G226" s="26">
        <v>7.6474986751964101E-5</v>
      </c>
      <c r="H226" s="33" t="s">
        <v>965</v>
      </c>
      <c r="I226" s="33" t="s">
        <v>966</v>
      </c>
      <c r="J226" s="33" t="s">
        <v>10</v>
      </c>
    </row>
    <row r="227" spans="1:10" ht="15.75" customHeight="1" x14ac:dyDescent="0.2">
      <c r="A227" s="24" t="s">
        <v>967</v>
      </c>
      <c r="B227" s="24">
        <v>28.7038248417199</v>
      </c>
      <c r="C227" s="24">
        <v>2.9895526094945701</v>
      </c>
      <c r="D227" s="24">
        <v>1.0943234169769001</v>
      </c>
      <c r="E227" s="24">
        <v>5.0839391881346803</v>
      </c>
      <c r="F227" s="26">
        <v>3.6968634392450898E-7</v>
      </c>
      <c r="G227" s="26">
        <v>7.9165426531524894E-5</v>
      </c>
      <c r="H227" s="33" t="s">
        <v>10</v>
      </c>
      <c r="I227" s="33" t="s">
        <v>10</v>
      </c>
      <c r="J227" s="33" t="s">
        <v>10</v>
      </c>
    </row>
    <row r="228" spans="1:10" ht="15.75" customHeight="1" x14ac:dyDescent="0.2">
      <c r="A228" s="24" t="s">
        <v>969</v>
      </c>
      <c r="B228" s="24">
        <v>8391.9757679721097</v>
      </c>
      <c r="C228" s="24">
        <v>2.98868450124592</v>
      </c>
      <c r="D228" s="24">
        <v>0.58090891841693204</v>
      </c>
      <c r="E228" s="24">
        <v>5.0812958407923396</v>
      </c>
      <c r="F228" s="26">
        <v>3.7486876368618899E-7</v>
      </c>
      <c r="G228" s="26">
        <v>8.0075511458947102E-5</v>
      </c>
      <c r="H228" s="33" t="s">
        <v>10</v>
      </c>
      <c r="I228" s="33" t="s">
        <v>10</v>
      </c>
      <c r="J228" s="33" t="s">
        <v>10</v>
      </c>
    </row>
    <row r="229" spans="1:10" ht="15.75" customHeight="1" x14ac:dyDescent="0.2">
      <c r="A229" s="24" t="s">
        <v>972</v>
      </c>
      <c r="B229" s="24">
        <v>27.9061101823192</v>
      </c>
      <c r="C229" s="24">
        <v>2.9847692298021</v>
      </c>
      <c r="D229" s="24">
        <v>1.6534668204427401</v>
      </c>
      <c r="E229" s="24">
        <v>5.0784123918633499</v>
      </c>
      <c r="F229" s="26">
        <v>3.8060186140810898E-7</v>
      </c>
      <c r="G229" s="26">
        <v>8.1098417967681694E-5</v>
      </c>
      <c r="H229" s="33" t="s">
        <v>10</v>
      </c>
      <c r="I229" s="33" t="s">
        <v>10</v>
      </c>
      <c r="J229" s="33" t="s">
        <v>10</v>
      </c>
    </row>
    <row r="230" spans="1:10" ht="15.75" customHeight="1" x14ac:dyDescent="0.2">
      <c r="A230" s="24" t="s">
        <v>975</v>
      </c>
      <c r="B230" s="24">
        <v>571.50456474011605</v>
      </c>
      <c r="C230" s="24">
        <v>2.9845291588121801</v>
      </c>
      <c r="D230" s="24">
        <v>0.50751060856256602</v>
      </c>
      <c r="E230" s="24">
        <v>5.07270023335753</v>
      </c>
      <c r="F230" s="26">
        <v>3.9221008644545599E-7</v>
      </c>
      <c r="G230" s="26">
        <v>8.2750546273114897E-5</v>
      </c>
      <c r="H230" s="33" t="s">
        <v>978</v>
      </c>
      <c r="I230" s="33" t="s">
        <v>4027</v>
      </c>
      <c r="J230" s="33" t="s">
        <v>4112</v>
      </c>
    </row>
    <row r="231" spans="1:10" ht="15.75" customHeight="1" x14ac:dyDescent="0.2">
      <c r="A231" s="24" t="s">
        <v>979</v>
      </c>
      <c r="B231" s="24">
        <v>57.571565837018298</v>
      </c>
      <c r="C231" s="24">
        <v>2.9789067823418902</v>
      </c>
      <c r="D231" s="24">
        <v>1.8621219545780201</v>
      </c>
      <c r="E231" s="24">
        <v>5.0716765726268598</v>
      </c>
      <c r="F231" s="26">
        <v>3.9432615061886199E-7</v>
      </c>
      <c r="G231" s="26">
        <v>8.2993090391647898E-5</v>
      </c>
      <c r="H231" s="33" t="s">
        <v>10</v>
      </c>
      <c r="I231" s="33" t="s">
        <v>10</v>
      </c>
      <c r="J231" s="33" t="s">
        <v>10</v>
      </c>
    </row>
    <row r="232" spans="1:10" ht="15.75" customHeight="1" x14ac:dyDescent="0.2">
      <c r="A232" s="24" t="s">
        <v>982</v>
      </c>
      <c r="B232" s="24">
        <v>303.19611559157698</v>
      </c>
      <c r="C232" s="24">
        <v>2.9612710150867301</v>
      </c>
      <c r="D232" s="24">
        <v>0.575402345811036</v>
      </c>
      <c r="E232" s="24">
        <v>5.0710953138909503</v>
      </c>
      <c r="F232" s="26">
        <v>3.9553260110729701E-7</v>
      </c>
      <c r="G232" s="26">
        <v>8.3043471857419807E-5</v>
      </c>
      <c r="H232" s="33" t="s">
        <v>10</v>
      </c>
      <c r="I232" s="33" t="s">
        <v>10</v>
      </c>
      <c r="J232" s="33" t="s">
        <v>10</v>
      </c>
    </row>
    <row r="233" spans="1:10" ht="15.75" customHeight="1" x14ac:dyDescent="0.2">
      <c r="A233" s="24" t="s">
        <v>984</v>
      </c>
      <c r="B233" s="24">
        <v>35.629518991845998</v>
      </c>
      <c r="C233" s="24">
        <v>2.9596642305867</v>
      </c>
      <c r="D233" s="24">
        <v>0.57412866632676796</v>
      </c>
      <c r="E233" s="24">
        <v>5.0683305236103298</v>
      </c>
      <c r="F233" s="26">
        <v>4.0132008315734302E-7</v>
      </c>
      <c r="G233" s="26">
        <v>8.3141949108208498E-5</v>
      </c>
      <c r="H233" s="33" t="s">
        <v>10</v>
      </c>
      <c r="I233" s="33" t="s">
        <v>10</v>
      </c>
      <c r="J233" s="33" t="s">
        <v>10</v>
      </c>
    </row>
    <row r="234" spans="1:10" ht="15.75" customHeight="1" x14ac:dyDescent="0.2">
      <c r="A234" s="24" t="s">
        <v>986</v>
      </c>
      <c r="B234" s="24">
        <v>253.58790610586999</v>
      </c>
      <c r="C234" s="24">
        <v>2.9517700710311399</v>
      </c>
      <c r="D234" s="24">
        <v>0.67566236551626901</v>
      </c>
      <c r="E234" s="24">
        <v>5.0680977957433502</v>
      </c>
      <c r="F234" s="26">
        <v>4.01810959228453E-7</v>
      </c>
      <c r="G234" s="26">
        <v>8.3141949108208498E-5</v>
      </c>
      <c r="H234" s="33" t="s">
        <v>10</v>
      </c>
      <c r="I234" s="33" t="s">
        <v>10</v>
      </c>
      <c r="J234" s="33" t="s">
        <v>10</v>
      </c>
    </row>
    <row r="235" spans="1:10" ht="15.75" customHeight="1" x14ac:dyDescent="0.2">
      <c r="A235" s="24" t="s">
        <v>988</v>
      </c>
      <c r="B235" s="24">
        <v>1535.4013583758499</v>
      </c>
      <c r="C235" s="24">
        <v>2.9496256807911201</v>
      </c>
      <c r="D235" s="24">
        <v>0.41853534816066401</v>
      </c>
      <c r="E235" s="24">
        <v>5.0628906582858804</v>
      </c>
      <c r="F235" s="26">
        <v>4.1294671814840097E-7</v>
      </c>
      <c r="G235" s="26">
        <v>8.4582246122869397E-5</v>
      </c>
      <c r="H235" s="33" t="s">
        <v>3845</v>
      </c>
      <c r="I235" s="33" t="s">
        <v>4210</v>
      </c>
      <c r="J235" s="33" t="s">
        <v>10</v>
      </c>
    </row>
    <row r="236" spans="1:10" ht="15.75" customHeight="1" x14ac:dyDescent="0.2">
      <c r="A236" s="24" t="s">
        <v>991</v>
      </c>
      <c r="B236" s="24">
        <v>35.268904202611402</v>
      </c>
      <c r="C236" s="24">
        <v>2.9483403860168602</v>
      </c>
      <c r="D236" s="24">
        <v>1.2811493875293101</v>
      </c>
      <c r="E236" s="24">
        <v>5.06278217948236</v>
      </c>
      <c r="F236" s="26">
        <v>4.1318184324767599E-7</v>
      </c>
      <c r="G236" s="26">
        <v>8.4582246122869397E-5</v>
      </c>
      <c r="H236" s="33" t="s">
        <v>10</v>
      </c>
      <c r="I236" s="33" t="s">
        <v>10</v>
      </c>
      <c r="J236" s="33" t="s">
        <v>10</v>
      </c>
    </row>
    <row r="237" spans="1:10" ht="15.75" customHeight="1" x14ac:dyDescent="0.2">
      <c r="A237" s="24" t="s">
        <v>993</v>
      </c>
      <c r="B237" s="24">
        <v>5426.2210684503098</v>
      </c>
      <c r="C237" s="24">
        <v>2.9471477279361298</v>
      </c>
      <c r="D237" s="24">
        <v>0.56586218939418997</v>
      </c>
      <c r="E237" s="24">
        <v>5.0592479935078298</v>
      </c>
      <c r="F237" s="26">
        <v>4.2091315202156797E-7</v>
      </c>
      <c r="G237" s="26">
        <v>8.5853285694166396E-5</v>
      </c>
      <c r="H237" s="33" t="s">
        <v>10</v>
      </c>
      <c r="I237" s="33" t="s">
        <v>10</v>
      </c>
      <c r="J237" s="33" t="s">
        <v>10</v>
      </c>
    </row>
    <row r="238" spans="1:10" ht="15.75" customHeight="1" x14ac:dyDescent="0.2">
      <c r="A238" s="24" t="s">
        <v>996</v>
      </c>
      <c r="B238" s="24">
        <v>762.90825373328698</v>
      </c>
      <c r="C238" s="24">
        <v>2.9370516775570299</v>
      </c>
      <c r="D238" s="24">
        <v>0.48218420993372102</v>
      </c>
      <c r="E238" s="24">
        <v>5.05662092489138</v>
      </c>
      <c r="F238" s="26">
        <v>4.2675031219933602E-7</v>
      </c>
      <c r="G238" s="26">
        <v>8.6632331108437794E-5</v>
      </c>
      <c r="H238" s="33" t="s">
        <v>10</v>
      </c>
      <c r="I238" s="33" t="s">
        <v>10</v>
      </c>
      <c r="J238" s="33" t="s">
        <v>10</v>
      </c>
    </row>
    <row r="239" spans="1:10" ht="15.75" customHeight="1" x14ac:dyDescent="0.2">
      <c r="A239" s="24" t="s">
        <v>999</v>
      </c>
      <c r="B239" s="24">
        <v>173.822209509657</v>
      </c>
      <c r="C239" s="24">
        <v>2.9285020575217802</v>
      </c>
      <c r="D239" s="24">
        <v>0.70749998484282395</v>
      </c>
      <c r="E239" s="24">
        <v>5.0518179687053903</v>
      </c>
      <c r="F239" s="26">
        <v>4.37624667470098E-7</v>
      </c>
      <c r="G239" s="26">
        <v>8.8630348632841397E-5</v>
      </c>
      <c r="H239" s="33" t="s">
        <v>10</v>
      </c>
      <c r="I239" s="33" t="s">
        <v>10</v>
      </c>
      <c r="J239" s="33" t="s">
        <v>10</v>
      </c>
    </row>
    <row r="240" spans="1:10" ht="15.75" customHeight="1" x14ac:dyDescent="0.2">
      <c r="A240" s="24" t="s">
        <v>1001</v>
      </c>
      <c r="B240" s="24">
        <v>229.03075128263899</v>
      </c>
      <c r="C240" s="24">
        <v>2.9250601758605699</v>
      </c>
      <c r="D240" s="24">
        <v>0.64600741650443605</v>
      </c>
      <c r="E240" s="24">
        <v>5.0493934074447804</v>
      </c>
      <c r="F240" s="26">
        <v>4.4321515716195898E-7</v>
      </c>
      <c r="G240" s="26">
        <v>8.9444013370485403E-5</v>
      </c>
      <c r="H240" s="33" t="s">
        <v>10</v>
      </c>
      <c r="I240" s="33" t="s">
        <v>10</v>
      </c>
      <c r="J240" s="33" t="s">
        <v>10</v>
      </c>
    </row>
    <row r="241" spans="1:10" ht="15.75" customHeight="1" x14ac:dyDescent="0.2">
      <c r="A241" s="24" t="s">
        <v>1003</v>
      </c>
      <c r="B241" s="24">
        <v>26.408712363632301</v>
      </c>
      <c r="C241" s="24">
        <v>2.9233213759195502</v>
      </c>
      <c r="D241" s="24">
        <v>0.75110283431997404</v>
      </c>
      <c r="E241" s="24">
        <v>5.0264040490636104</v>
      </c>
      <c r="F241" s="26">
        <v>4.9976235519951595E-7</v>
      </c>
      <c r="G241" s="26">
        <v>9.9802542333343305E-5</v>
      </c>
      <c r="H241" s="33" t="s">
        <v>10</v>
      </c>
      <c r="I241" s="33" t="s">
        <v>10</v>
      </c>
      <c r="J241" s="33" t="s">
        <v>10</v>
      </c>
    </row>
    <row r="242" spans="1:10" ht="15.75" customHeight="1" x14ac:dyDescent="0.2">
      <c r="A242" s="24" t="s">
        <v>1007</v>
      </c>
      <c r="B242" s="24">
        <v>191.030158509904</v>
      </c>
      <c r="C242" s="24">
        <v>2.9209550379914102</v>
      </c>
      <c r="D242" s="24">
        <v>0.41315409100456202</v>
      </c>
      <c r="E242" s="24">
        <v>5.0227503648435503</v>
      </c>
      <c r="F242" s="26">
        <v>5.0936732518452401E-7</v>
      </c>
      <c r="G242" s="24">
        <v>1.0146698434051601E-4</v>
      </c>
      <c r="H242" s="33" t="s">
        <v>10</v>
      </c>
      <c r="I242" s="33" t="s">
        <v>10</v>
      </c>
      <c r="J242" s="33" t="s">
        <v>10</v>
      </c>
    </row>
    <row r="243" spans="1:10" ht="15.75" customHeight="1" x14ac:dyDescent="0.2">
      <c r="A243" s="24" t="s">
        <v>1008</v>
      </c>
      <c r="B243" s="24">
        <v>38.588608829753397</v>
      </c>
      <c r="C243" s="24">
        <v>2.9179201394441998</v>
      </c>
      <c r="D243" s="24">
        <v>0.72850219560747598</v>
      </c>
      <c r="E243" s="24">
        <v>5.02233881718701</v>
      </c>
      <c r="F243" s="26">
        <v>5.1046030947703799E-7</v>
      </c>
      <c r="G243" s="24">
        <v>1.0146698434051601E-4</v>
      </c>
      <c r="H243" s="33" t="s">
        <v>10</v>
      </c>
      <c r="I243" s="33" t="s">
        <v>10</v>
      </c>
      <c r="J243" s="33" t="s">
        <v>10</v>
      </c>
    </row>
    <row r="244" spans="1:10" ht="15.75" customHeight="1" x14ac:dyDescent="0.2">
      <c r="A244" s="24" t="s">
        <v>1010</v>
      </c>
      <c r="B244" s="24">
        <v>1514.8086573063099</v>
      </c>
      <c r="C244" s="24">
        <v>2.9164901871255799</v>
      </c>
      <c r="D244" s="24">
        <v>1.26467612798868</v>
      </c>
      <c r="E244" s="24">
        <v>5.0215413114346097</v>
      </c>
      <c r="F244" s="26">
        <v>5.1258475876691999E-7</v>
      </c>
      <c r="G244" s="24">
        <v>1.01653962632966E-4</v>
      </c>
      <c r="H244" s="33" t="s">
        <v>10</v>
      </c>
      <c r="I244" s="33" t="s">
        <v>4211</v>
      </c>
      <c r="J244" s="33" t="s">
        <v>4078</v>
      </c>
    </row>
    <row r="245" spans="1:10" ht="15.75" customHeight="1" x14ac:dyDescent="0.2">
      <c r="A245" s="24" t="s">
        <v>1011</v>
      </c>
      <c r="B245" s="24">
        <v>46.582506479519999</v>
      </c>
      <c r="C245" s="24">
        <v>2.90987384402364</v>
      </c>
      <c r="D245" s="24">
        <v>0.49049555653976201</v>
      </c>
      <c r="E245" s="24">
        <v>5.0179128858427502</v>
      </c>
      <c r="F245" s="26">
        <v>5.2235851872891902E-7</v>
      </c>
      <c r="G245" s="24">
        <v>1.0287946871965801E-4</v>
      </c>
      <c r="H245" s="33" t="s">
        <v>411</v>
      </c>
      <c r="I245" s="33" t="s">
        <v>1013</v>
      </c>
      <c r="J245" s="33" t="s">
        <v>10</v>
      </c>
    </row>
    <row r="246" spans="1:10" ht="15.75" customHeight="1" x14ac:dyDescent="0.2">
      <c r="A246" s="24" t="s">
        <v>1015</v>
      </c>
      <c r="B246" s="24">
        <v>255.33392617360201</v>
      </c>
      <c r="C246" s="24">
        <v>2.9027892446987602</v>
      </c>
      <c r="D246" s="24">
        <v>0.55149298113812095</v>
      </c>
      <c r="E246" s="24">
        <v>5.0124082329955097</v>
      </c>
      <c r="F246" s="26">
        <v>5.3753012521204003E-7</v>
      </c>
      <c r="G246" s="24">
        <v>1.05384131009322E-4</v>
      </c>
      <c r="H246" s="33" t="s">
        <v>545</v>
      </c>
      <c r="I246" s="33" t="s">
        <v>1017</v>
      </c>
      <c r="J246" s="33" t="s">
        <v>4109</v>
      </c>
    </row>
    <row r="247" spans="1:10" ht="15.75" customHeight="1" x14ac:dyDescent="0.2">
      <c r="A247" s="24" t="s">
        <v>1018</v>
      </c>
      <c r="B247" s="24">
        <v>84.142542579557301</v>
      </c>
      <c r="C247" s="24">
        <v>2.8853906666986799</v>
      </c>
      <c r="D247" s="24">
        <v>0.48086318438501002</v>
      </c>
      <c r="E247" s="24">
        <v>5.0078874816067103</v>
      </c>
      <c r="F247" s="26">
        <v>5.5030687593236305E-7</v>
      </c>
      <c r="G247" s="24">
        <v>1.0733420537134E-4</v>
      </c>
      <c r="H247" s="33" t="s">
        <v>10</v>
      </c>
      <c r="I247" s="33" t="s">
        <v>10</v>
      </c>
      <c r="J247" s="33" t="s">
        <v>10</v>
      </c>
    </row>
    <row r="248" spans="1:10" ht="15.75" customHeight="1" x14ac:dyDescent="0.2">
      <c r="A248" s="24" t="s">
        <v>1020</v>
      </c>
      <c r="B248" s="24">
        <v>95.9000294232318</v>
      </c>
      <c r="C248" s="24">
        <v>2.87763705392786</v>
      </c>
      <c r="D248" s="24">
        <v>0.74264733477826195</v>
      </c>
      <c r="E248" s="24">
        <v>5.0075920052552201</v>
      </c>
      <c r="F248" s="26">
        <v>5.5115208112448095E-7</v>
      </c>
      <c r="G248" s="24">
        <v>1.0733420537134E-4</v>
      </c>
      <c r="H248" s="33" t="s">
        <v>10</v>
      </c>
      <c r="I248" s="33" t="s">
        <v>10</v>
      </c>
      <c r="J248" s="33" t="s">
        <v>10</v>
      </c>
    </row>
    <row r="249" spans="1:10" ht="15.75" customHeight="1" x14ac:dyDescent="0.2">
      <c r="A249" s="24" t="s">
        <v>1022</v>
      </c>
      <c r="B249" s="24">
        <v>28.138053420707401</v>
      </c>
      <c r="C249" s="24">
        <v>2.87734609690221</v>
      </c>
      <c r="D249" s="24">
        <v>0.75458317444898804</v>
      </c>
      <c r="E249" s="24">
        <v>5.0042108524752402</v>
      </c>
      <c r="F249" s="26">
        <v>5.6091335408657296E-7</v>
      </c>
      <c r="G249" s="24">
        <v>1.08973281965539E-4</v>
      </c>
      <c r="H249" s="33" t="s">
        <v>10</v>
      </c>
      <c r="I249" s="33" t="s">
        <v>10</v>
      </c>
      <c r="J249" s="33" t="s">
        <v>10</v>
      </c>
    </row>
    <row r="250" spans="1:10" ht="15.75" customHeight="1" x14ac:dyDescent="0.2">
      <c r="A250" s="24" t="s">
        <v>1023</v>
      </c>
      <c r="B250" s="24">
        <v>151.73387387212199</v>
      </c>
      <c r="C250" s="24">
        <v>2.8726700984219402</v>
      </c>
      <c r="D250" s="24">
        <v>0.52204206510596196</v>
      </c>
      <c r="E250" s="24">
        <v>4.9948410842898996</v>
      </c>
      <c r="F250" s="26">
        <v>5.88842348631151E-7</v>
      </c>
      <c r="G250" s="24">
        <v>1.14141041352834E-4</v>
      </c>
      <c r="H250" s="33" t="s">
        <v>10</v>
      </c>
      <c r="I250" s="33" t="s">
        <v>10</v>
      </c>
      <c r="J250" s="33" t="s">
        <v>10</v>
      </c>
    </row>
    <row r="251" spans="1:10" ht="15.75" customHeight="1" x14ac:dyDescent="0.2">
      <c r="A251" s="24" t="s">
        <v>1025</v>
      </c>
      <c r="B251" s="24">
        <v>212.96026099771001</v>
      </c>
      <c r="C251" s="24">
        <v>2.8700587527492001</v>
      </c>
      <c r="D251" s="24">
        <v>0.450500070499395</v>
      </c>
      <c r="E251" s="24">
        <v>4.9890937202484</v>
      </c>
      <c r="F251" s="26">
        <v>6.06632129363115E-7</v>
      </c>
      <c r="G251" s="24">
        <v>1.17060915911326E-4</v>
      </c>
      <c r="H251" s="33" t="s">
        <v>10</v>
      </c>
      <c r="I251" s="33" t="s">
        <v>10</v>
      </c>
      <c r="J251" s="33" t="s">
        <v>10</v>
      </c>
    </row>
    <row r="252" spans="1:10" ht="15.75" customHeight="1" x14ac:dyDescent="0.2">
      <c r="A252" s="24" t="s">
        <v>1027</v>
      </c>
      <c r="B252" s="24">
        <v>486.78891222799598</v>
      </c>
      <c r="C252" s="24">
        <v>2.86950610801915</v>
      </c>
      <c r="D252" s="24">
        <v>0.73595311486247805</v>
      </c>
      <c r="E252" s="24">
        <v>4.98457328906008</v>
      </c>
      <c r="F252" s="26">
        <v>6.2098704893735301E-7</v>
      </c>
      <c r="G252" s="24">
        <v>1.1956228448273401E-4</v>
      </c>
      <c r="H252" s="33" t="s">
        <v>10</v>
      </c>
      <c r="I252" s="33" t="s">
        <v>10</v>
      </c>
      <c r="J252" s="33" t="s">
        <v>10</v>
      </c>
    </row>
    <row r="253" spans="1:10" ht="15.75" customHeight="1" x14ac:dyDescent="0.2">
      <c r="A253" s="24" t="s">
        <v>1028</v>
      </c>
      <c r="B253" s="24">
        <v>303.84490157081001</v>
      </c>
      <c r="C253" s="24">
        <v>2.8655996489813198</v>
      </c>
      <c r="D253" s="24">
        <v>0.468327301325763</v>
      </c>
      <c r="E253" s="24">
        <v>4.9804208504739398</v>
      </c>
      <c r="F253" s="26">
        <v>6.3446147563321603E-7</v>
      </c>
      <c r="G253" s="24">
        <v>1.21883314036018E-4</v>
      </c>
      <c r="H253" s="33" t="s">
        <v>10</v>
      </c>
      <c r="I253" s="33" t="s">
        <v>10</v>
      </c>
      <c r="J253" s="33" t="s">
        <v>10</v>
      </c>
    </row>
    <row r="254" spans="1:10" ht="15.75" customHeight="1" x14ac:dyDescent="0.2">
      <c r="A254" s="24" t="s">
        <v>1030</v>
      </c>
      <c r="B254" s="24">
        <v>418.94081757869799</v>
      </c>
      <c r="C254" s="24">
        <v>2.8649633011654299</v>
      </c>
      <c r="D254" s="24">
        <v>0.78606698093190797</v>
      </c>
      <c r="E254" s="24">
        <v>4.9663707452131698</v>
      </c>
      <c r="F254" s="26">
        <v>6.8217483481427605E-7</v>
      </c>
      <c r="G254" s="24">
        <v>1.30175633867415E-4</v>
      </c>
      <c r="H254" s="33" t="s">
        <v>186</v>
      </c>
      <c r="I254" s="33" t="s">
        <v>1032</v>
      </c>
      <c r="J254" s="33" t="s">
        <v>10</v>
      </c>
    </row>
    <row r="255" spans="1:10" ht="15.75" customHeight="1" x14ac:dyDescent="0.2">
      <c r="A255" s="24" t="s">
        <v>1034</v>
      </c>
      <c r="B255" s="24">
        <v>9286.7783801056303</v>
      </c>
      <c r="C255" s="24">
        <v>2.8641947250157802</v>
      </c>
      <c r="D255" s="24">
        <v>0.41380259283420001</v>
      </c>
      <c r="E255" s="24">
        <v>4.96460822480757</v>
      </c>
      <c r="F255" s="26">
        <v>6.8839890577332805E-7</v>
      </c>
      <c r="G255" s="24">
        <v>1.30782085039074E-4</v>
      </c>
      <c r="H255" s="33" t="s">
        <v>1036</v>
      </c>
      <c r="I255" s="33" t="s">
        <v>1037</v>
      </c>
      <c r="J255" s="33" t="s">
        <v>10</v>
      </c>
    </row>
    <row r="256" spans="1:10" ht="15.75" customHeight="1" x14ac:dyDescent="0.2">
      <c r="A256" s="24" t="s">
        <v>1038</v>
      </c>
      <c r="B256" s="24">
        <v>56.758332888828598</v>
      </c>
      <c r="C256" s="24">
        <v>2.8628371462945101</v>
      </c>
      <c r="D256" s="24">
        <v>0.45630984716607598</v>
      </c>
      <c r="E256" s="24">
        <v>4.9620329129750704</v>
      </c>
      <c r="F256" s="26">
        <v>6.9759170815963298E-7</v>
      </c>
      <c r="G256" s="24">
        <v>1.31841366237024E-4</v>
      </c>
      <c r="H256" s="33" t="s">
        <v>10</v>
      </c>
      <c r="I256" s="33" t="s">
        <v>10</v>
      </c>
      <c r="J256" s="33" t="s">
        <v>10</v>
      </c>
    </row>
    <row r="257" spans="1:10" ht="15.75" customHeight="1" x14ac:dyDescent="0.2">
      <c r="A257" s="24" t="s">
        <v>1040</v>
      </c>
      <c r="B257" s="24">
        <v>71.011220374371007</v>
      </c>
      <c r="C257" s="24">
        <v>2.8535002730225401</v>
      </c>
      <c r="D257" s="24">
        <v>0.58917050944772398</v>
      </c>
      <c r="E257" s="24">
        <v>4.9617578087195904</v>
      </c>
      <c r="F257" s="26">
        <v>6.9858068076354099E-7</v>
      </c>
      <c r="G257" s="24">
        <v>1.31841366237024E-4</v>
      </c>
      <c r="H257" s="33" t="s">
        <v>10</v>
      </c>
      <c r="I257" s="33" t="s">
        <v>10</v>
      </c>
      <c r="J257" s="33" t="s">
        <v>10</v>
      </c>
    </row>
    <row r="258" spans="1:10" ht="15.75" customHeight="1" x14ac:dyDescent="0.2">
      <c r="A258" s="24" t="s">
        <v>1042</v>
      </c>
      <c r="B258" s="24">
        <v>3835.5153205808501</v>
      </c>
      <c r="C258" s="24">
        <v>2.8471374172566501</v>
      </c>
      <c r="D258" s="24">
        <v>0.83669552540375902</v>
      </c>
      <c r="E258" s="24">
        <v>4.9586159912673597</v>
      </c>
      <c r="F258" s="26">
        <v>7.09971449993157E-7</v>
      </c>
      <c r="G258" s="24">
        <v>1.3326635498383101E-4</v>
      </c>
      <c r="H258" s="33" t="s">
        <v>10</v>
      </c>
      <c r="I258" s="33" t="s">
        <v>3991</v>
      </c>
      <c r="J258" s="33" t="s">
        <v>4087</v>
      </c>
    </row>
    <row r="259" spans="1:10" ht="15.75" customHeight="1" x14ac:dyDescent="0.2">
      <c r="A259" s="24" t="s">
        <v>1044</v>
      </c>
      <c r="B259" s="24">
        <v>448.47694700897199</v>
      </c>
      <c r="C259" s="24">
        <v>2.84381852943591</v>
      </c>
      <c r="D259" s="24">
        <v>0.84693083742489605</v>
      </c>
      <c r="E259" s="24">
        <v>4.9583929117713996</v>
      </c>
      <c r="F259" s="26">
        <v>7.1078700122968696E-7</v>
      </c>
      <c r="G259" s="24">
        <v>1.3326635498383101E-4</v>
      </c>
      <c r="H259" s="33" t="s">
        <v>10</v>
      </c>
      <c r="I259" s="33" t="s">
        <v>4024</v>
      </c>
      <c r="J259" s="33" t="s">
        <v>10</v>
      </c>
    </row>
    <row r="260" spans="1:10" ht="15.75" customHeight="1" x14ac:dyDescent="0.2">
      <c r="A260" s="24" t="s">
        <v>1046</v>
      </c>
      <c r="B260" s="24">
        <v>65.701931992000397</v>
      </c>
      <c r="C260" s="24">
        <v>2.8362253840991598</v>
      </c>
      <c r="D260" s="24">
        <v>0.45588772809011202</v>
      </c>
      <c r="E260" s="24">
        <v>4.9539306817144499</v>
      </c>
      <c r="F260" s="26">
        <v>7.2729124474689503E-7</v>
      </c>
      <c r="G260" s="24">
        <v>1.3547337630729001E-4</v>
      </c>
      <c r="H260" s="33" t="s">
        <v>10</v>
      </c>
      <c r="I260" s="33" t="s">
        <v>10</v>
      </c>
      <c r="J260" s="33" t="s">
        <v>10</v>
      </c>
    </row>
    <row r="261" spans="1:10" ht="15.75" customHeight="1" x14ac:dyDescent="0.2">
      <c r="A261" s="24" t="s">
        <v>1048</v>
      </c>
      <c r="B261" s="24">
        <v>32.659005659434399</v>
      </c>
      <c r="C261" s="24">
        <v>2.8332358515390701</v>
      </c>
      <c r="D261" s="24">
        <v>0.700069883306079</v>
      </c>
      <c r="E261" s="24">
        <v>4.9521419817602599</v>
      </c>
      <c r="F261" s="26">
        <v>7.3401016163447701E-7</v>
      </c>
      <c r="G261" s="24">
        <v>1.3642897530241201E-4</v>
      </c>
      <c r="H261" s="33" t="s">
        <v>10</v>
      </c>
      <c r="I261" s="33" t="s">
        <v>10</v>
      </c>
      <c r="J261" s="33" t="s">
        <v>10</v>
      </c>
    </row>
    <row r="262" spans="1:10" ht="15.75" customHeight="1" x14ac:dyDescent="0.2">
      <c r="A262" s="24" t="s">
        <v>1050</v>
      </c>
      <c r="B262" s="24">
        <v>257.52020231726601</v>
      </c>
      <c r="C262" s="24">
        <v>2.8317675617820299</v>
      </c>
      <c r="D262" s="24">
        <v>0.54679859045913204</v>
      </c>
      <c r="E262" s="24">
        <v>4.9495153788428796</v>
      </c>
      <c r="F262" s="26">
        <v>7.4398499240953299E-7</v>
      </c>
      <c r="G262" s="24">
        <v>1.3768692948965301E-4</v>
      </c>
      <c r="H262" s="33" t="s">
        <v>4147</v>
      </c>
      <c r="I262" s="33" t="s">
        <v>1052</v>
      </c>
      <c r="J262" s="33" t="s">
        <v>10</v>
      </c>
    </row>
    <row r="263" spans="1:10" ht="15.75" customHeight="1" x14ac:dyDescent="0.2">
      <c r="A263" s="24" t="s">
        <v>1053</v>
      </c>
      <c r="B263" s="24">
        <v>1095.65494273271</v>
      </c>
      <c r="C263" s="24">
        <v>2.8294233627454002</v>
      </c>
      <c r="D263" s="24">
        <v>0.450445834853683</v>
      </c>
      <c r="E263" s="24">
        <v>4.9430344384796001</v>
      </c>
      <c r="F263" s="26">
        <v>7.6915890274030296E-7</v>
      </c>
      <c r="G263" s="24">
        <v>1.41734858663546E-4</v>
      </c>
      <c r="H263" s="33" t="s">
        <v>10</v>
      </c>
      <c r="I263" s="33" t="s">
        <v>10</v>
      </c>
      <c r="J263" s="33" t="s">
        <v>10</v>
      </c>
    </row>
    <row r="264" spans="1:10" ht="15.75" customHeight="1" x14ac:dyDescent="0.2">
      <c r="A264" s="24" t="s">
        <v>1055</v>
      </c>
      <c r="B264" s="24">
        <v>113.468592203745</v>
      </c>
      <c r="C264" s="24">
        <v>2.8138433436713801</v>
      </c>
      <c r="D264" s="24">
        <v>0.82672465206619195</v>
      </c>
      <c r="E264" s="24">
        <v>4.9396356479581103</v>
      </c>
      <c r="F264" s="26">
        <v>7.8268680127321801E-7</v>
      </c>
      <c r="G264" s="24">
        <v>1.4361132117977001E-4</v>
      </c>
      <c r="H264" s="33" t="s">
        <v>10</v>
      </c>
      <c r="I264" s="33" t="s">
        <v>10</v>
      </c>
      <c r="J264" s="33" t="s">
        <v>10</v>
      </c>
    </row>
    <row r="265" spans="1:10" ht="15.75" customHeight="1" x14ac:dyDescent="0.2">
      <c r="A265" s="24" t="s">
        <v>1057</v>
      </c>
      <c r="B265" s="24">
        <v>357.91213972156498</v>
      </c>
      <c r="C265" s="24">
        <v>2.80898866382765</v>
      </c>
      <c r="D265" s="24">
        <v>0.49493371860260899</v>
      </c>
      <c r="E265" s="24">
        <v>4.9377636543791503</v>
      </c>
      <c r="F265" s="26">
        <v>7.9023530563979398E-7</v>
      </c>
      <c r="G265" s="24">
        <v>1.4468719814625801E-4</v>
      </c>
      <c r="H265" s="33" t="s">
        <v>10</v>
      </c>
      <c r="I265" s="33" t="s">
        <v>10</v>
      </c>
      <c r="J265" s="33" t="s">
        <v>10</v>
      </c>
    </row>
    <row r="266" spans="1:10" ht="15.75" customHeight="1" x14ac:dyDescent="0.2">
      <c r="A266" s="24" t="s">
        <v>1060</v>
      </c>
      <c r="B266" s="24">
        <v>616.26250758525896</v>
      </c>
      <c r="C266" s="24">
        <v>2.8029530266486198</v>
      </c>
      <c r="D266" s="24">
        <v>0.588539972874215</v>
      </c>
      <c r="E266" s="24">
        <v>4.9321870705274096</v>
      </c>
      <c r="F266" s="26">
        <v>8.1313984069376095E-7</v>
      </c>
      <c r="G266" s="24">
        <v>1.4824868632741799E-4</v>
      </c>
      <c r="H266" s="33" t="s">
        <v>3829</v>
      </c>
      <c r="I266" s="33" t="s">
        <v>898</v>
      </c>
      <c r="J266" s="33" t="s">
        <v>10</v>
      </c>
    </row>
    <row r="267" spans="1:10" ht="15.75" customHeight="1" x14ac:dyDescent="0.2">
      <c r="A267" s="24" t="s">
        <v>1061</v>
      </c>
      <c r="B267" s="24">
        <v>244.087749213671</v>
      </c>
      <c r="C267" s="24">
        <v>2.7837834282764899</v>
      </c>
      <c r="D267" s="24">
        <v>0.45886735225256198</v>
      </c>
      <c r="E267" s="24">
        <v>4.9313235174395098</v>
      </c>
      <c r="F267" s="26">
        <v>8.1674337417534001E-7</v>
      </c>
      <c r="G267" s="24">
        <v>1.4859019127925999E-4</v>
      </c>
      <c r="H267" s="33" t="s">
        <v>10</v>
      </c>
      <c r="I267" s="33" t="s">
        <v>10</v>
      </c>
      <c r="J267" s="33" t="s">
        <v>10</v>
      </c>
    </row>
    <row r="268" spans="1:10" ht="15.75" customHeight="1" x14ac:dyDescent="0.2">
      <c r="A268" s="24" t="s">
        <v>1063</v>
      </c>
      <c r="B268" s="24">
        <v>106.557507514945</v>
      </c>
      <c r="C268" s="24">
        <v>2.7805090364796698</v>
      </c>
      <c r="D268" s="24">
        <v>0.95947660734904405</v>
      </c>
      <c r="E268" s="24">
        <v>4.9254494512018399</v>
      </c>
      <c r="F268" s="26">
        <v>8.4166667463104796E-7</v>
      </c>
      <c r="G268" s="24">
        <v>1.52157387404722E-4</v>
      </c>
      <c r="H268" s="33" t="s">
        <v>10</v>
      </c>
      <c r="I268" s="33" t="s">
        <v>10</v>
      </c>
      <c r="J268" s="33" t="s">
        <v>10</v>
      </c>
    </row>
    <row r="269" spans="1:10" ht="15.75" customHeight="1" x14ac:dyDescent="0.2">
      <c r="A269" s="24" t="s">
        <v>1065</v>
      </c>
      <c r="B269" s="24">
        <v>56.447176543491302</v>
      </c>
      <c r="C269" s="24">
        <v>2.7735584809229299</v>
      </c>
      <c r="D269" s="24">
        <v>0.51713764802037798</v>
      </c>
      <c r="E269" s="24">
        <v>4.9222583974848497</v>
      </c>
      <c r="F269" s="26">
        <v>8.5551149960094902E-7</v>
      </c>
      <c r="G269" s="24">
        <v>1.5433535290385099E-4</v>
      </c>
      <c r="H269" s="33" t="s">
        <v>10</v>
      </c>
      <c r="I269" s="33" t="s">
        <v>10</v>
      </c>
      <c r="J269" s="33" t="s">
        <v>10</v>
      </c>
    </row>
    <row r="270" spans="1:10" ht="15.75" customHeight="1" x14ac:dyDescent="0.2">
      <c r="A270" s="24" t="s">
        <v>1067</v>
      </c>
      <c r="B270" s="24">
        <v>32.049510042839003</v>
      </c>
      <c r="C270" s="24">
        <v>2.7643079590959498</v>
      </c>
      <c r="D270" s="24">
        <v>1.5530830495041299</v>
      </c>
      <c r="E270" s="24">
        <v>4.9098110509615198</v>
      </c>
      <c r="F270" s="26">
        <v>9.1164189794453801E-7</v>
      </c>
      <c r="G270" s="24">
        <v>1.63090836288324E-4</v>
      </c>
      <c r="H270" s="33" t="s">
        <v>10</v>
      </c>
      <c r="I270" s="33" t="s">
        <v>10</v>
      </c>
      <c r="J270" s="33" t="s">
        <v>10</v>
      </c>
    </row>
    <row r="271" spans="1:10" ht="15.75" customHeight="1" x14ac:dyDescent="0.2">
      <c r="A271" s="24" t="s">
        <v>1069</v>
      </c>
      <c r="B271" s="24">
        <v>1076.1282799102</v>
      </c>
      <c r="C271" s="24">
        <v>2.7509477614846798</v>
      </c>
      <c r="D271" s="24">
        <v>0.43110322925630401</v>
      </c>
      <c r="E271" s="24">
        <v>4.8940171743334302</v>
      </c>
      <c r="F271" s="26">
        <v>9.8798211331625703E-7</v>
      </c>
      <c r="G271" s="24">
        <v>1.7520150258062999E-4</v>
      </c>
      <c r="H271" s="33" t="s">
        <v>10</v>
      </c>
      <c r="I271" s="33" t="s">
        <v>10</v>
      </c>
      <c r="J271" s="33" t="s">
        <v>10</v>
      </c>
    </row>
    <row r="272" spans="1:10" ht="15.75" customHeight="1" x14ac:dyDescent="0.2">
      <c r="A272" s="24" t="s">
        <v>1071</v>
      </c>
      <c r="B272" s="24">
        <v>75.738134191459295</v>
      </c>
      <c r="C272" s="24">
        <v>2.7466861870877701</v>
      </c>
      <c r="D272" s="24">
        <v>0.82722315107474398</v>
      </c>
      <c r="E272" s="24">
        <v>4.8921253284077499</v>
      </c>
      <c r="F272" s="26">
        <v>9.9752887994094902E-7</v>
      </c>
      <c r="G272" s="24">
        <v>1.7625267993705599E-4</v>
      </c>
      <c r="H272" s="33" t="s">
        <v>10</v>
      </c>
      <c r="I272" s="33" t="s">
        <v>10</v>
      </c>
      <c r="J272" s="33" t="s">
        <v>10</v>
      </c>
    </row>
    <row r="273" spans="1:10" ht="15.75" customHeight="1" x14ac:dyDescent="0.2">
      <c r="A273" s="24" t="s">
        <v>1073</v>
      </c>
      <c r="B273" s="24">
        <v>67.634412813391407</v>
      </c>
      <c r="C273" s="24">
        <v>2.74538496451073</v>
      </c>
      <c r="D273" s="24">
        <v>0.98445222624811501</v>
      </c>
      <c r="E273" s="24">
        <v>4.8831222252075497</v>
      </c>
      <c r="F273" s="26">
        <v>1.04419100145773E-6</v>
      </c>
      <c r="G273" s="24">
        <v>1.8411853282582501E-4</v>
      </c>
      <c r="H273" s="33" t="s">
        <v>10</v>
      </c>
      <c r="I273" s="33" t="s">
        <v>10</v>
      </c>
      <c r="J273" s="33" t="s">
        <v>10</v>
      </c>
    </row>
    <row r="274" spans="1:10" ht="15.75" customHeight="1" x14ac:dyDescent="0.2">
      <c r="A274" s="24" t="s">
        <v>1075</v>
      </c>
      <c r="B274" s="24">
        <v>23.210888432817299</v>
      </c>
      <c r="C274" s="24">
        <v>2.7438005238882299</v>
      </c>
      <c r="D274" s="24">
        <v>0.75811538262623501</v>
      </c>
      <c r="E274" s="24">
        <v>4.8809169651156497</v>
      </c>
      <c r="F274" s="26">
        <v>1.0559369881709099E-6</v>
      </c>
      <c r="G274" s="24">
        <v>1.8504972471678299E-4</v>
      </c>
      <c r="H274" s="33" t="s">
        <v>10</v>
      </c>
      <c r="I274" s="33" t="s">
        <v>10</v>
      </c>
      <c r="J274" s="33" t="s">
        <v>10</v>
      </c>
    </row>
    <row r="275" spans="1:10" ht="15.75" customHeight="1" x14ac:dyDescent="0.2">
      <c r="A275" s="24" t="s">
        <v>1077</v>
      </c>
      <c r="B275" s="24">
        <v>151.804850076566</v>
      </c>
      <c r="C275" s="24">
        <v>2.7385860015376799</v>
      </c>
      <c r="D275" s="24">
        <v>0.41279612593910803</v>
      </c>
      <c r="E275" s="24">
        <v>4.8748750451572196</v>
      </c>
      <c r="F275" s="26">
        <v>1.08877349771227E-6</v>
      </c>
      <c r="G275" s="24">
        <v>1.9002859557327301E-4</v>
      </c>
      <c r="H275" s="33" t="s">
        <v>10</v>
      </c>
      <c r="I275" s="33" t="s">
        <v>10</v>
      </c>
      <c r="J275" s="33" t="s">
        <v>10</v>
      </c>
    </row>
    <row r="276" spans="1:10" ht="15.75" customHeight="1" x14ac:dyDescent="0.2">
      <c r="A276" s="24" t="s">
        <v>1079</v>
      </c>
      <c r="B276" s="24">
        <v>2090.61990056679</v>
      </c>
      <c r="C276" s="24">
        <v>2.7373806915520502</v>
      </c>
      <c r="D276" s="24">
        <v>0.78485330317816504</v>
      </c>
      <c r="E276" s="24">
        <v>4.8713473977412498</v>
      </c>
      <c r="F276" s="26">
        <v>1.1083975447922501E-6</v>
      </c>
      <c r="G276" s="24">
        <v>1.9228122337142499E-4</v>
      </c>
      <c r="H276" s="33" t="s">
        <v>10</v>
      </c>
      <c r="I276" s="33" t="s">
        <v>1081</v>
      </c>
      <c r="J276" s="33" t="s">
        <v>10</v>
      </c>
    </row>
    <row r="277" spans="1:10" ht="15.75" customHeight="1" x14ac:dyDescent="0.2">
      <c r="A277" s="24" t="s">
        <v>1082</v>
      </c>
      <c r="B277" s="24">
        <v>3017.2778132636599</v>
      </c>
      <c r="C277" s="24">
        <v>2.7110704472456799</v>
      </c>
      <c r="D277" s="24">
        <v>0.512779184739102</v>
      </c>
      <c r="E277" s="24">
        <v>4.8685283928094796</v>
      </c>
      <c r="F277" s="26">
        <v>1.12432370632874E-6</v>
      </c>
      <c r="G277" s="24">
        <v>1.9425915691379301E-4</v>
      </c>
      <c r="H277" s="33" t="s">
        <v>10</v>
      </c>
      <c r="I277" s="33" t="s">
        <v>1084</v>
      </c>
      <c r="J277" s="33" t="s">
        <v>10</v>
      </c>
    </row>
    <row r="278" spans="1:10" ht="15.75" customHeight="1" x14ac:dyDescent="0.2">
      <c r="A278" s="24" t="s">
        <v>1085</v>
      </c>
      <c r="B278" s="24">
        <v>36.7293249283167</v>
      </c>
      <c r="C278" s="24">
        <v>2.7063880326070802</v>
      </c>
      <c r="D278" s="24">
        <v>0.92551610868394796</v>
      </c>
      <c r="E278" s="24">
        <v>4.8663832609684299</v>
      </c>
      <c r="F278" s="26">
        <v>1.1365900773861301E-6</v>
      </c>
      <c r="G278" s="24">
        <v>1.9557958618519501E-4</v>
      </c>
      <c r="H278" s="33" t="s">
        <v>10</v>
      </c>
      <c r="I278" s="33" t="s">
        <v>10</v>
      </c>
      <c r="J278" s="33" t="s">
        <v>10</v>
      </c>
    </row>
    <row r="279" spans="1:10" ht="15.75" customHeight="1" x14ac:dyDescent="0.2">
      <c r="A279" s="24" t="s">
        <v>1088</v>
      </c>
      <c r="B279" s="24">
        <v>1814.6427778156101</v>
      </c>
      <c r="C279" s="24">
        <v>2.7058178859291999</v>
      </c>
      <c r="D279" s="24">
        <v>0.62544834355763801</v>
      </c>
      <c r="E279" s="24">
        <v>4.8582141848809899</v>
      </c>
      <c r="F279" s="26">
        <v>1.18449237848758E-6</v>
      </c>
      <c r="G279" s="24">
        <v>2.02475615425349E-4</v>
      </c>
      <c r="H279" s="33" t="s">
        <v>10</v>
      </c>
      <c r="I279" s="33" t="s">
        <v>10</v>
      </c>
      <c r="J279" s="33" t="s">
        <v>10</v>
      </c>
    </row>
    <row r="280" spans="1:10" ht="15.75" customHeight="1" x14ac:dyDescent="0.2">
      <c r="A280" s="24" t="s">
        <v>1090</v>
      </c>
      <c r="B280" s="24">
        <v>5528.1901667432803</v>
      </c>
      <c r="C280" s="24">
        <v>2.6891180494384002</v>
      </c>
      <c r="D280" s="24">
        <v>0.46540292644714298</v>
      </c>
      <c r="E280" s="24">
        <v>4.8559428809420302</v>
      </c>
      <c r="F280" s="26">
        <v>1.1981523833883E-6</v>
      </c>
      <c r="G280" s="24">
        <v>2.03735729334529E-4</v>
      </c>
      <c r="H280" s="33" t="s">
        <v>871</v>
      </c>
      <c r="I280" s="33" t="s">
        <v>872</v>
      </c>
      <c r="J280" s="33" t="s">
        <v>3041</v>
      </c>
    </row>
    <row r="281" spans="1:10" ht="15.75" customHeight="1" x14ac:dyDescent="0.2">
      <c r="A281" s="24" t="s">
        <v>1096</v>
      </c>
      <c r="B281" s="24">
        <v>119.20659373001</v>
      </c>
      <c r="C281" s="24">
        <v>2.66589196496817</v>
      </c>
      <c r="D281" s="24">
        <v>0.53187549366849496</v>
      </c>
      <c r="E281" s="24">
        <v>4.8471462861493801</v>
      </c>
      <c r="F281" s="26">
        <v>1.2525007270017401E-6</v>
      </c>
      <c r="G281" s="24">
        <v>2.11719468362927E-4</v>
      </c>
      <c r="H281" s="33" t="s">
        <v>4148</v>
      </c>
      <c r="I281" s="33" t="s">
        <v>3903</v>
      </c>
      <c r="J281" s="33" t="s">
        <v>4037</v>
      </c>
    </row>
    <row r="282" spans="1:10" ht="15.75" customHeight="1" x14ac:dyDescent="0.2">
      <c r="A282" s="24" t="s">
        <v>1098</v>
      </c>
      <c r="B282" s="24">
        <v>230.84829654102299</v>
      </c>
      <c r="C282" s="24">
        <v>2.6485655515355999</v>
      </c>
      <c r="D282" s="24">
        <v>0.59100151416950397</v>
      </c>
      <c r="E282" s="24">
        <v>4.84634075606498</v>
      </c>
      <c r="F282" s="26">
        <v>1.2575944230457999E-6</v>
      </c>
      <c r="G282" s="24">
        <v>2.1216285010091499E-4</v>
      </c>
      <c r="H282" s="33" t="s">
        <v>10</v>
      </c>
      <c r="I282" s="33" t="s">
        <v>3932</v>
      </c>
      <c r="J282" s="33" t="s">
        <v>10</v>
      </c>
    </row>
    <row r="283" spans="1:10" ht="15.75" customHeight="1" x14ac:dyDescent="0.2">
      <c r="A283" s="24" t="s">
        <v>1100</v>
      </c>
      <c r="B283" s="24">
        <v>254.50631140253299</v>
      </c>
      <c r="C283" s="24">
        <v>2.6268262764114998</v>
      </c>
      <c r="D283" s="24">
        <v>0.86869266107570597</v>
      </c>
      <c r="E283" s="24">
        <v>4.8384637105825998</v>
      </c>
      <c r="F283" s="26">
        <v>1.3084658007968201E-6</v>
      </c>
      <c r="G283" s="24">
        <v>2.19445760284579E-4</v>
      </c>
      <c r="H283" s="33" t="s">
        <v>10</v>
      </c>
      <c r="I283" s="33" t="s">
        <v>10</v>
      </c>
      <c r="J283" s="33" t="s">
        <v>10</v>
      </c>
    </row>
    <row r="284" spans="1:10" ht="15.75" customHeight="1" x14ac:dyDescent="0.2">
      <c r="A284" s="24" t="s">
        <v>1102</v>
      </c>
      <c r="B284" s="24">
        <v>25.196353531492001</v>
      </c>
      <c r="C284" s="24">
        <v>2.62435076156771</v>
      </c>
      <c r="D284" s="24">
        <v>0.69960168979947501</v>
      </c>
      <c r="E284" s="24">
        <v>4.8380811846089102</v>
      </c>
      <c r="F284" s="26">
        <v>1.31098595598035E-6</v>
      </c>
      <c r="G284" s="24">
        <v>2.19445760284579E-4</v>
      </c>
      <c r="H284" s="33" t="s">
        <v>10</v>
      </c>
      <c r="I284" s="33" t="s">
        <v>10</v>
      </c>
      <c r="J284" s="33" t="s">
        <v>10</v>
      </c>
    </row>
    <row r="285" spans="1:10" ht="15.75" customHeight="1" x14ac:dyDescent="0.2">
      <c r="A285" s="24" t="s">
        <v>1105</v>
      </c>
      <c r="B285" s="24">
        <v>16550.371426842601</v>
      </c>
      <c r="C285" s="24">
        <v>2.6075171545188001</v>
      </c>
      <c r="D285" s="24">
        <v>0.63561138734817402</v>
      </c>
      <c r="E285" s="24">
        <v>4.8369290308369104</v>
      </c>
      <c r="F285" s="26">
        <v>1.3186048075579799E-6</v>
      </c>
      <c r="G285" s="24">
        <v>2.20291660369283E-4</v>
      </c>
      <c r="H285" s="33" t="s">
        <v>10</v>
      </c>
      <c r="I285" s="33" t="s">
        <v>369</v>
      </c>
      <c r="J285" s="33" t="s">
        <v>10</v>
      </c>
    </row>
    <row r="286" spans="1:10" ht="15.75" customHeight="1" x14ac:dyDescent="0.2">
      <c r="A286" s="24" t="s">
        <v>1107</v>
      </c>
      <c r="B286" s="24">
        <v>18.456345299544701</v>
      </c>
      <c r="C286" s="24">
        <v>2.5927965383538401</v>
      </c>
      <c r="D286" s="24">
        <v>1.6128553893191899</v>
      </c>
      <c r="E286" s="24">
        <v>4.8355929278383902</v>
      </c>
      <c r="F286" s="26">
        <v>1.3274933928971E-6</v>
      </c>
      <c r="G286" s="24">
        <v>2.2134599056595499E-4</v>
      </c>
      <c r="H286" s="33" t="s">
        <v>10</v>
      </c>
      <c r="I286" s="33" t="s">
        <v>10</v>
      </c>
      <c r="J286" s="33" t="s">
        <v>10</v>
      </c>
    </row>
    <row r="287" spans="1:10" ht="15.75" customHeight="1" x14ac:dyDescent="0.2">
      <c r="A287" s="24" t="s">
        <v>1109</v>
      </c>
      <c r="B287" s="24">
        <v>74.806341980314301</v>
      </c>
      <c r="C287" s="24">
        <v>2.5920037173260799</v>
      </c>
      <c r="D287" s="24">
        <v>0.57581348138577304</v>
      </c>
      <c r="E287" s="24">
        <v>4.8345228416273596</v>
      </c>
      <c r="F287" s="26">
        <v>1.3346538019879099E-6</v>
      </c>
      <c r="G287" s="24">
        <v>2.21949229006256E-4</v>
      </c>
      <c r="H287" s="33" t="s">
        <v>10</v>
      </c>
      <c r="I287" s="33" t="s">
        <v>10</v>
      </c>
      <c r="J287" s="33" t="s">
        <v>10</v>
      </c>
    </row>
    <row r="288" spans="1:10" ht="15.75" customHeight="1" x14ac:dyDescent="0.2">
      <c r="A288" s="24" t="s">
        <v>1111</v>
      </c>
      <c r="B288" s="24">
        <v>2822.5358913571599</v>
      </c>
      <c r="C288" s="24">
        <v>2.5910827650083901</v>
      </c>
      <c r="D288" s="24">
        <v>0.44899919007185402</v>
      </c>
      <c r="E288" s="24">
        <v>4.82830430948726</v>
      </c>
      <c r="F288" s="26">
        <v>1.3770055850871399E-6</v>
      </c>
      <c r="G288" s="24">
        <v>2.2827190462744801E-4</v>
      </c>
      <c r="H288" s="33" t="s">
        <v>1114</v>
      </c>
      <c r="I288" s="33" t="s">
        <v>4212</v>
      </c>
      <c r="J288" s="33" t="s">
        <v>4082</v>
      </c>
    </row>
    <row r="289" spans="1:10" ht="15.75" customHeight="1" x14ac:dyDescent="0.2">
      <c r="A289" s="24" t="s">
        <v>1116</v>
      </c>
      <c r="B289" s="24">
        <v>60.6159468141811</v>
      </c>
      <c r="C289" s="24">
        <v>2.5780783238291201</v>
      </c>
      <c r="D289" s="24">
        <v>0.95550600026882104</v>
      </c>
      <c r="E289" s="24">
        <v>4.8190356108682897</v>
      </c>
      <c r="F289" s="26">
        <v>1.44253806872031E-6</v>
      </c>
      <c r="G289" s="24">
        <v>2.3647422501022399E-4</v>
      </c>
      <c r="H289" s="33" t="s">
        <v>10</v>
      </c>
      <c r="I289" s="33" t="s">
        <v>10</v>
      </c>
      <c r="J289" s="33" t="s">
        <v>10</v>
      </c>
    </row>
    <row r="290" spans="1:10" ht="15.75" customHeight="1" x14ac:dyDescent="0.2">
      <c r="A290" s="24" t="s">
        <v>1117</v>
      </c>
      <c r="B290" s="24">
        <v>30294.3298170538</v>
      </c>
      <c r="C290" s="24">
        <v>2.5744491824867501</v>
      </c>
      <c r="D290" s="24">
        <v>0.41743913455520698</v>
      </c>
      <c r="E290" s="24">
        <v>4.8185902443427304</v>
      </c>
      <c r="F290" s="26">
        <v>1.44576129462062E-6</v>
      </c>
      <c r="G290" s="24">
        <v>2.3647422501022399E-4</v>
      </c>
      <c r="H290" s="33" t="s">
        <v>1119</v>
      </c>
      <c r="I290" s="33" t="s">
        <v>4213</v>
      </c>
      <c r="J290" s="33" t="s">
        <v>4040</v>
      </c>
    </row>
    <row r="291" spans="1:10" ht="15.75" customHeight="1" x14ac:dyDescent="0.2">
      <c r="A291" s="24" t="s">
        <v>1121</v>
      </c>
      <c r="B291" s="24">
        <v>7135.65788857801</v>
      </c>
      <c r="C291" s="24">
        <v>2.5567257398874901</v>
      </c>
      <c r="D291" s="24">
        <v>1.12614397235131</v>
      </c>
      <c r="E291" s="24">
        <v>4.8085610573861501</v>
      </c>
      <c r="F291" s="26">
        <v>1.5202059809692299E-6</v>
      </c>
      <c r="G291" s="24">
        <v>2.4577332074368098E-4</v>
      </c>
      <c r="H291" s="33" t="s">
        <v>10</v>
      </c>
      <c r="I291" s="33" t="s">
        <v>1122</v>
      </c>
      <c r="J291" s="33" t="s">
        <v>10</v>
      </c>
    </row>
    <row r="292" spans="1:10" ht="15.75" customHeight="1" x14ac:dyDescent="0.2">
      <c r="A292" s="24" t="s">
        <v>1124</v>
      </c>
      <c r="B292" s="24">
        <v>333.26432604226</v>
      </c>
      <c r="C292" s="24">
        <v>2.5454851306238702</v>
      </c>
      <c r="D292" s="24">
        <v>0.452210287895767</v>
      </c>
      <c r="E292" s="24">
        <v>4.8081606696988599</v>
      </c>
      <c r="F292" s="26">
        <v>1.52325320271665E-6</v>
      </c>
      <c r="G292" s="24">
        <v>2.4577332074368098E-4</v>
      </c>
      <c r="H292" s="33" t="s">
        <v>1126</v>
      </c>
      <c r="I292" s="33" t="s">
        <v>10</v>
      </c>
      <c r="J292" s="33" t="s">
        <v>10</v>
      </c>
    </row>
    <row r="293" spans="1:10" ht="15.75" customHeight="1" x14ac:dyDescent="0.2">
      <c r="A293" s="24" t="s">
        <v>1129</v>
      </c>
      <c r="B293" s="24">
        <v>228.025655331363</v>
      </c>
      <c r="C293" s="24">
        <v>2.54358521861423</v>
      </c>
      <c r="D293" s="24">
        <v>1.0139955386606401</v>
      </c>
      <c r="E293" s="24">
        <v>4.7968135647511598</v>
      </c>
      <c r="F293" s="26">
        <v>1.6120951534547401E-6</v>
      </c>
      <c r="G293" s="24">
        <v>2.5820876424515599E-4</v>
      </c>
      <c r="H293" s="33" t="s">
        <v>10</v>
      </c>
      <c r="I293" s="33" t="s">
        <v>10</v>
      </c>
      <c r="J293" s="33" t="s">
        <v>10</v>
      </c>
    </row>
    <row r="294" spans="1:10" ht="15.75" customHeight="1" x14ac:dyDescent="0.2">
      <c r="A294" s="24" t="s">
        <v>1131</v>
      </c>
      <c r="B294" s="24">
        <v>607.89679323829102</v>
      </c>
      <c r="C294" s="24">
        <v>2.5406911269324599</v>
      </c>
      <c r="D294" s="24">
        <v>0.72786252318741096</v>
      </c>
      <c r="E294" s="24">
        <v>4.7936550087542296</v>
      </c>
      <c r="F294" s="26">
        <v>1.6376980982454899E-6</v>
      </c>
      <c r="G294" s="24">
        <v>2.61169828940268E-4</v>
      </c>
      <c r="H294" s="33" t="s">
        <v>10</v>
      </c>
      <c r="I294" s="33" t="s">
        <v>10</v>
      </c>
      <c r="J294" s="33" t="s">
        <v>10</v>
      </c>
    </row>
    <row r="295" spans="1:10" ht="15.75" customHeight="1" x14ac:dyDescent="0.2">
      <c r="A295" s="24" t="s">
        <v>1135</v>
      </c>
      <c r="B295" s="24">
        <v>36.892228090726199</v>
      </c>
      <c r="C295" s="24">
        <v>2.5387698901044198</v>
      </c>
      <c r="D295" s="24">
        <v>0.77858555269889096</v>
      </c>
      <c r="E295" s="24">
        <v>4.7849089473868398</v>
      </c>
      <c r="F295" s="26">
        <v>1.71064863698246E-6</v>
      </c>
      <c r="G295" s="24">
        <v>2.7002777409250098E-4</v>
      </c>
      <c r="H295" s="33" t="s">
        <v>10</v>
      </c>
      <c r="I295" s="33" t="s">
        <v>10</v>
      </c>
      <c r="J295" s="33" t="s">
        <v>10</v>
      </c>
    </row>
    <row r="296" spans="1:10" ht="15.75" customHeight="1" x14ac:dyDescent="0.2">
      <c r="A296" s="24" t="s">
        <v>1139</v>
      </c>
      <c r="B296" s="24">
        <v>917.11033578616798</v>
      </c>
      <c r="C296" s="24">
        <v>2.53801721794329</v>
      </c>
      <c r="D296" s="24">
        <v>0.42845597456204598</v>
      </c>
      <c r="E296" s="24">
        <v>4.7822974225566703</v>
      </c>
      <c r="F296" s="26">
        <v>1.7330300308989301E-6</v>
      </c>
      <c r="G296" s="24">
        <v>2.7206036889089902E-4</v>
      </c>
      <c r="H296" s="33" t="s">
        <v>10</v>
      </c>
      <c r="I296" s="33" t="s">
        <v>10</v>
      </c>
      <c r="J296" s="33" t="s">
        <v>10</v>
      </c>
    </row>
    <row r="297" spans="1:10" ht="15.75" customHeight="1" x14ac:dyDescent="0.2">
      <c r="A297" s="24" t="s">
        <v>1141</v>
      </c>
      <c r="B297" s="24">
        <v>229.92661331203399</v>
      </c>
      <c r="C297" s="24">
        <v>2.5367044540793602</v>
      </c>
      <c r="D297" s="24">
        <v>0.432963014862355</v>
      </c>
      <c r="E297" s="24">
        <v>4.7802669382652496</v>
      </c>
      <c r="F297" s="26">
        <v>1.75062596130041E-6</v>
      </c>
      <c r="G297" s="24">
        <v>2.7432117139202102E-4</v>
      </c>
      <c r="H297" s="33" t="s">
        <v>10</v>
      </c>
      <c r="I297" s="33" t="s">
        <v>10</v>
      </c>
      <c r="J297" s="33" t="s">
        <v>10</v>
      </c>
    </row>
    <row r="298" spans="1:10" ht="15.75" customHeight="1" x14ac:dyDescent="0.2">
      <c r="A298" s="24" t="s">
        <v>1143</v>
      </c>
      <c r="B298" s="24">
        <v>64.833802956131706</v>
      </c>
      <c r="C298" s="24">
        <v>2.5366770194391401</v>
      </c>
      <c r="D298" s="24">
        <v>0.96545183602572604</v>
      </c>
      <c r="E298" s="24">
        <v>4.7748930221818604</v>
      </c>
      <c r="F298" s="26">
        <v>1.7980280895911601E-6</v>
      </c>
      <c r="G298" s="24">
        <v>2.81057698899945E-4</v>
      </c>
      <c r="H298" s="33" t="s">
        <v>10</v>
      </c>
      <c r="I298" s="33" t="s">
        <v>10</v>
      </c>
      <c r="J298" s="33" t="s">
        <v>10</v>
      </c>
    </row>
    <row r="299" spans="1:10" ht="15.75" customHeight="1" x14ac:dyDescent="0.2">
      <c r="A299" s="24" t="s">
        <v>1145</v>
      </c>
      <c r="B299" s="24">
        <v>61.089428806610599</v>
      </c>
      <c r="C299" s="24">
        <v>2.5354255091263602</v>
      </c>
      <c r="D299" s="24">
        <v>0.72090938596975795</v>
      </c>
      <c r="E299" s="24">
        <v>4.7740652732508897</v>
      </c>
      <c r="F299" s="26">
        <v>1.80543822614551E-6</v>
      </c>
      <c r="G299" s="24">
        <v>2.8136984739989202E-4</v>
      </c>
      <c r="H299" s="33" t="s">
        <v>10</v>
      </c>
      <c r="I299" s="33" t="s">
        <v>10</v>
      </c>
      <c r="J299" s="33" t="s">
        <v>10</v>
      </c>
    </row>
    <row r="300" spans="1:10" ht="15.75" customHeight="1" x14ac:dyDescent="0.2">
      <c r="A300" s="24" t="s">
        <v>1146</v>
      </c>
      <c r="B300" s="24">
        <v>134.401255761578</v>
      </c>
      <c r="C300" s="24">
        <v>2.5352793214099898</v>
      </c>
      <c r="D300" s="24">
        <v>0.59280376001686297</v>
      </c>
      <c r="E300" s="24">
        <v>4.7729511072347304</v>
      </c>
      <c r="F300" s="26">
        <v>1.81545875895159E-6</v>
      </c>
      <c r="G300" s="24">
        <v>2.8182422906948801E-4</v>
      </c>
      <c r="H300" s="33" t="s">
        <v>3109</v>
      </c>
      <c r="I300" s="33" t="s">
        <v>1148</v>
      </c>
      <c r="J300" s="33" t="s">
        <v>10</v>
      </c>
    </row>
    <row r="301" spans="1:10" ht="15.75" customHeight="1" x14ac:dyDescent="0.2">
      <c r="A301" s="24" t="s">
        <v>1149</v>
      </c>
      <c r="B301" s="24">
        <v>235.20323567451399</v>
      </c>
      <c r="C301" s="24">
        <v>2.53156496229091</v>
      </c>
      <c r="D301" s="24">
        <v>0.96110123730030195</v>
      </c>
      <c r="E301" s="24">
        <v>4.7708418705337801</v>
      </c>
      <c r="F301" s="26">
        <v>1.83457524907129E-6</v>
      </c>
      <c r="G301" s="24">
        <v>2.8385011029369398E-4</v>
      </c>
      <c r="H301" s="33" t="s">
        <v>10</v>
      </c>
      <c r="I301" s="33" t="s">
        <v>10</v>
      </c>
      <c r="J301" s="33" t="s">
        <v>10</v>
      </c>
    </row>
    <row r="302" spans="1:10" ht="15.75" customHeight="1" x14ac:dyDescent="0.2">
      <c r="A302" s="24" t="s">
        <v>1150</v>
      </c>
      <c r="B302" s="24">
        <v>1365.89796692708</v>
      </c>
      <c r="C302" s="24">
        <v>2.5260946120088201</v>
      </c>
      <c r="D302" s="24">
        <v>0.42846351338321698</v>
      </c>
      <c r="E302" s="24">
        <v>4.76806561576268</v>
      </c>
      <c r="F302" s="26">
        <v>1.8600320898644101E-6</v>
      </c>
      <c r="G302" s="24">
        <v>2.86241604997754E-4</v>
      </c>
      <c r="H302" s="33" t="s">
        <v>4149</v>
      </c>
      <c r="I302" s="33" t="s">
        <v>4214</v>
      </c>
      <c r="J302" s="33" t="s">
        <v>10</v>
      </c>
    </row>
    <row r="303" spans="1:10" ht="15.75" customHeight="1" x14ac:dyDescent="0.2">
      <c r="A303" s="24" t="s">
        <v>1151</v>
      </c>
      <c r="B303" s="24">
        <v>126.82676418649299</v>
      </c>
      <c r="C303" s="24">
        <v>2.52374950339747</v>
      </c>
      <c r="D303" s="24">
        <v>0.68812978177593598</v>
      </c>
      <c r="E303" s="24">
        <v>4.7585368075164798</v>
      </c>
      <c r="F303" s="26">
        <v>1.9500133744262799E-6</v>
      </c>
      <c r="G303" s="24">
        <v>2.9848413275465E-4</v>
      </c>
      <c r="H303" s="33" t="s">
        <v>10</v>
      </c>
      <c r="I303" s="33" t="s">
        <v>10</v>
      </c>
      <c r="J303" s="33" t="s">
        <v>10</v>
      </c>
    </row>
    <row r="304" spans="1:10" ht="15.75" customHeight="1" x14ac:dyDescent="0.2">
      <c r="A304" s="24" t="s">
        <v>1152</v>
      </c>
      <c r="B304" s="24">
        <v>92.339372784120997</v>
      </c>
      <c r="C304" s="24">
        <v>2.51943606780311</v>
      </c>
      <c r="D304" s="24">
        <v>0.84127630982101798</v>
      </c>
      <c r="E304" s="24">
        <v>4.75519924842735</v>
      </c>
      <c r="F304" s="26">
        <v>1.98250792023469E-6</v>
      </c>
      <c r="G304" s="24">
        <v>3.0291803846703398E-4</v>
      </c>
      <c r="H304" s="33" t="s">
        <v>10</v>
      </c>
      <c r="I304" s="33" t="s">
        <v>1153</v>
      </c>
      <c r="J304" s="33" t="s">
        <v>10</v>
      </c>
    </row>
    <row r="305" spans="1:10" ht="15.75" customHeight="1" x14ac:dyDescent="0.2">
      <c r="A305" s="24" t="s">
        <v>1154</v>
      </c>
      <c r="B305" s="24">
        <v>50.246114115339402</v>
      </c>
      <c r="C305" s="24">
        <v>2.5179124359832001</v>
      </c>
      <c r="D305" s="24">
        <v>0.79467911285523696</v>
      </c>
      <c r="E305" s="24">
        <v>4.7322040832251799</v>
      </c>
      <c r="F305" s="26">
        <v>2.22094945473261E-6</v>
      </c>
      <c r="G305" s="24">
        <v>3.3635829034805E-4</v>
      </c>
      <c r="H305" s="33" t="s">
        <v>10</v>
      </c>
      <c r="I305" s="33" t="s">
        <v>10</v>
      </c>
      <c r="J305" s="33" t="s">
        <v>10</v>
      </c>
    </row>
    <row r="306" spans="1:10" ht="15.75" customHeight="1" x14ac:dyDescent="0.2">
      <c r="A306" s="24" t="s">
        <v>1155</v>
      </c>
      <c r="B306" s="24">
        <v>877.16581206728995</v>
      </c>
      <c r="C306" s="24">
        <v>2.5165610478495801</v>
      </c>
      <c r="D306" s="24">
        <v>0.66585822443544196</v>
      </c>
      <c r="E306" s="24">
        <v>4.7257927620431204</v>
      </c>
      <c r="F306" s="26">
        <v>2.29219327740321E-6</v>
      </c>
      <c r="G306" s="24">
        <v>3.45927818846909E-4</v>
      </c>
      <c r="H306" s="33" t="s">
        <v>3882</v>
      </c>
      <c r="I306" s="33" t="s">
        <v>1156</v>
      </c>
      <c r="J306" s="33" t="s">
        <v>10</v>
      </c>
    </row>
    <row r="307" spans="1:10" ht="15.75" customHeight="1" x14ac:dyDescent="0.2">
      <c r="A307" s="24" t="s">
        <v>1157</v>
      </c>
      <c r="B307" s="24">
        <v>34.216784352590103</v>
      </c>
      <c r="C307" s="24">
        <v>2.5158760939531399</v>
      </c>
      <c r="D307" s="24">
        <v>0.56943032436274699</v>
      </c>
      <c r="E307" s="24">
        <v>4.7224707473171597</v>
      </c>
      <c r="F307" s="26">
        <v>2.3299661063722602E-6</v>
      </c>
      <c r="G307" s="24">
        <v>3.5101143775489898E-4</v>
      </c>
      <c r="H307" s="33" t="s">
        <v>4150</v>
      </c>
      <c r="I307" s="33" t="s">
        <v>1158</v>
      </c>
      <c r="J307" s="33" t="s">
        <v>10</v>
      </c>
    </row>
    <row r="308" spans="1:10" ht="15.75" customHeight="1" x14ac:dyDescent="0.2">
      <c r="A308" s="24" t="s">
        <v>1159</v>
      </c>
      <c r="B308" s="24">
        <v>42.500386045624097</v>
      </c>
      <c r="C308" s="24">
        <v>2.4997431451751599</v>
      </c>
      <c r="D308" s="24">
        <v>1.22019341360843</v>
      </c>
      <c r="E308" s="24">
        <v>4.7151183189236701</v>
      </c>
      <c r="F308" s="26">
        <v>2.4157033091810199E-6</v>
      </c>
      <c r="G308" s="24">
        <v>3.6208290065471699E-4</v>
      </c>
      <c r="H308" s="33" t="s">
        <v>10</v>
      </c>
      <c r="I308" s="33" t="s">
        <v>10</v>
      </c>
      <c r="J308" s="33" t="s">
        <v>10</v>
      </c>
    </row>
    <row r="309" spans="1:10" ht="15.75" customHeight="1" x14ac:dyDescent="0.2">
      <c r="A309" s="24" t="s">
        <v>1160</v>
      </c>
      <c r="B309" s="24">
        <v>136.32631844533</v>
      </c>
      <c r="C309" s="24">
        <v>2.49648002014401</v>
      </c>
      <c r="D309" s="24">
        <v>0.49680912652049503</v>
      </c>
      <c r="E309" s="24">
        <v>4.71070681460467</v>
      </c>
      <c r="F309" s="26">
        <v>2.4685914811297801E-6</v>
      </c>
      <c r="G309" s="24">
        <v>3.6866159839320901E-4</v>
      </c>
      <c r="H309" s="33" t="s">
        <v>10</v>
      </c>
      <c r="I309" s="33" t="s">
        <v>10</v>
      </c>
      <c r="J309" s="33" t="s">
        <v>10</v>
      </c>
    </row>
    <row r="310" spans="1:10" ht="15.75" customHeight="1" x14ac:dyDescent="0.2">
      <c r="A310" s="24" t="s">
        <v>1161</v>
      </c>
      <c r="B310" s="24">
        <v>54.583317319483399</v>
      </c>
      <c r="C310" s="24">
        <v>2.4922828805004098</v>
      </c>
      <c r="D310" s="24">
        <v>0.55053296765113002</v>
      </c>
      <c r="E310" s="24">
        <v>4.70817166206223</v>
      </c>
      <c r="F310" s="26">
        <v>2.49948571983369E-6</v>
      </c>
      <c r="G310" s="24">
        <v>3.72180055496143E-4</v>
      </c>
      <c r="H310" s="33" t="s">
        <v>10</v>
      </c>
      <c r="I310" s="33" t="s">
        <v>10</v>
      </c>
      <c r="J310" s="33" t="s">
        <v>10</v>
      </c>
    </row>
    <row r="311" spans="1:10" ht="15.75" customHeight="1" x14ac:dyDescent="0.2">
      <c r="A311" s="24" t="s">
        <v>1162</v>
      </c>
      <c r="B311" s="24">
        <v>1583.57532734861</v>
      </c>
      <c r="C311" s="24">
        <v>2.4700885076754502</v>
      </c>
      <c r="D311" s="24">
        <v>0.47678961513287699</v>
      </c>
      <c r="E311" s="24">
        <v>4.7072324327133002</v>
      </c>
      <c r="F311" s="26">
        <v>2.51102544122766E-6</v>
      </c>
      <c r="G311" s="24">
        <v>3.73052362739897E-4</v>
      </c>
      <c r="H311" s="33" t="s">
        <v>10</v>
      </c>
      <c r="I311" s="33" t="s">
        <v>1163</v>
      </c>
      <c r="J311" s="33" t="s">
        <v>10</v>
      </c>
    </row>
    <row r="312" spans="1:10" ht="15.75" customHeight="1" x14ac:dyDescent="0.2">
      <c r="A312" s="24" t="s">
        <v>1164</v>
      </c>
      <c r="B312" s="24">
        <v>66.235769394725097</v>
      </c>
      <c r="C312" s="24">
        <v>2.4612639736094799</v>
      </c>
      <c r="D312" s="24">
        <v>0.89408184739144303</v>
      </c>
      <c r="E312" s="24">
        <v>4.7052331213454499</v>
      </c>
      <c r="F312" s="26">
        <v>2.53576026344252E-6</v>
      </c>
      <c r="G312" s="24">
        <v>3.7607645869097201E-4</v>
      </c>
      <c r="H312" s="33" t="s">
        <v>4151</v>
      </c>
      <c r="I312" s="33" t="s">
        <v>408</v>
      </c>
      <c r="J312" s="33" t="s">
        <v>10</v>
      </c>
    </row>
    <row r="313" spans="1:10" ht="15.75" customHeight="1" x14ac:dyDescent="0.2">
      <c r="A313" s="24" t="s">
        <v>1165</v>
      </c>
      <c r="B313" s="24">
        <v>276.74325266223099</v>
      </c>
      <c r="C313" s="24">
        <v>2.4570021696037401</v>
      </c>
      <c r="D313" s="24">
        <v>0.61119450148572096</v>
      </c>
      <c r="E313" s="24">
        <v>4.7000915280470004</v>
      </c>
      <c r="F313" s="26">
        <v>2.6004491232871799E-6</v>
      </c>
      <c r="G313" s="24">
        <v>3.8434279976900702E-4</v>
      </c>
      <c r="H313" s="33" t="s">
        <v>10</v>
      </c>
      <c r="I313" s="33" t="s">
        <v>10</v>
      </c>
      <c r="J313" s="33" t="s">
        <v>10</v>
      </c>
    </row>
    <row r="314" spans="1:10" ht="15.75" customHeight="1" x14ac:dyDescent="0.2">
      <c r="A314" s="24" t="s">
        <v>1166</v>
      </c>
      <c r="B314" s="24">
        <v>136.98345569518801</v>
      </c>
      <c r="C314" s="24">
        <v>2.4548476673678699</v>
      </c>
      <c r="D314" s="24">
        <v>0.56425941627473197</v>
      </c>
      <c r="E314" s="24">
        <v>4.6938792249521599</v>
      </c>
      <c r="F314" s="26">
        <v>2.68072337795626E-6</v>
      </c>
      <c r="G314" s="24">
        <v>3.9503118968509099E-4</v>
      </c>
      <c r="H314" s="33" t="s">
        <v>10</v>
      </c>
      <c r="I314" s="33" t="s">
        <v>10</v>
      </c>
      <c r="J314" s="33" t="s">
        <v>10</v>
      </c>
    </row>
    <row r="315" spans="1:10" ht="15.75" customHeight="1" x14ac:dyDescent="0.2">
      <c r="A315" s="24" t="s">
        <v>1167</v>
      </c>
      <c r="B315" s="24">
        <v>768.14597532940297</v>
      </c>
      <c r="C315" s="24">
        <v>2.4468434768404301</v>
      </c>
      <c r="D315" s="24">
        <v>0.82952812160971301</v>
      </c>
      <c r="E315" s="24">
        <v>4.6937843984440102</v>
      </c>
      <c r="F315" s="26">
        <v>2.68196694560921E-6</v>
      </c>
      <c r="G315" s="24">
        <v>3.9503118968509099E-4</v>
      </c>
      <c r="H315" s="33" t="s">
        <v>3104</v>
      </c>
      <c r="I315" s="33" t="s">
        <v>3949</v>
      </c>
      <c r="J315" s="33" t="s">
        <v>3072</v>
      </c>
    </row>
    <row r="316" spans="1:10" ht="15.75" customHeight="1" x14ac:dyDescent="0.2">
      <c r="A316" s="24" t="s">
        <v>1168</v>
      </c>
      <c r="B316" s="24">
        <v>59.632632495857798</v>
      </c>
      <c r="C316" s="24">
        <v>2.44386572704268</v>
      </c>
      <c r="D316" s="24">
        <v>0.82496842841862505</v>
      </c>
      <c r="E316" s="24">
        <v>4.6858747831440404</v>
      </c>
      <c r="F316" s="26">
        <v>2.7876666697017E-6</v>
      </c>
      <c r="G316" s="24">
        <v>4.07801915832973E-4</v>
      </c>
      <c r="H316" s="33" t="s">
        <v>10</v>
      </c>
      <c r="I316" s="33" t="s">
        <v>10</v>
      </c>
      <c r="J316" s="33" t="s">
        <v>10</v>
      </c>
    </row>
    <row r="317" spans="1:10" ht="15.75" customHeight="1" x14ac:dyDescent="0.2">
      <c r="A317" s="24" t="s">
        <v>1169</v>
      </c>
      <c r="B317" s="24">
        <v>708.169089387898</v>
      </c>
      <c r="C317" s="24">
        <v>2.4382227656030699</v>
      </c>
      <c r="D317" s="24">
        <v>0.80964979407475901</v>
      </c>
      <c r="E317" s="24">
        <v>4.6818849862844303</v>
      </c>
      <c r="F317" s="26">
        <v>2.8424895715347199E-6</v>
      </c>
      <c r="G317" s="24">
        <v>4.1511466326064298E-4</v>
      </c>
      <c r="H317" s="33" t="s">
        <v>10</v>
      </c>
      <c r="I317" s="33" t="s">
        <v>10</v>
      </c>
      <c r="J317" s="33" t="s">
        <v>10</v>
      </c>
    </row>
    <row r="318" spans="1:10" ht="15.75" customHeight="1" x14ac:dyDescent="0.2">
      <c r="A318" s="24" t="s">
        <v>1170</v>
      </c>
      <c r="B318" s="24">
        <v>40.907589035862301</v>
      </c>
      <c r="C318" s="24">
        <v>2.4205769863659401</v>
      </c>
      <c r="D318" s="24">
        <v>0.53344974607024498</v>
      </c>
      <c r="E318" s="24">
        <v>4.6720106230441898</v>
      </c>
      <c r="F318" s="26">
        <v>2.9826552932392002E-6</v>
      </c>
      <c r="G318" s="24">
        <v>4.3118449947094901E-4</v>
      </c>
      <c r="H318" s="33" t="s">
        <v>10</v>
      </c>
      <c r="I318" s="33" t="s">
        <v>10</v>
      </c>
      <c r="J318" s="33" t="s">
        <v>10</v>
      </c>
    </row>
    <row r="319" spans="1:10" ht="15.75" customHeight="1" x14ac:dyDescent="0.2">
      <c r="A319" s="24" t="s">
        <v>1171</v>
      </c>
      <c r="B319" s="24">
        <v>22.461036669248401</v>
      </c>
      <c r="C319" s="24">
        <v>2.4081087214472299</v>
      </c>
      <c r="D319" s="24">
        <v>0.77724451375797499</v>
      </c>
      <c r="E319" s="24">
        <v>4.6707677921310102</v>
      </c>
      <c r="F319" s="26">
        <v>3.0007600327074E-6</v>
      </c>
      <c r="G319" s="24">
        <v>4.3162188403453398E-4</v>
      </c>
      <c r="H319" s="33" t="s">
        <v>10</v>
      </c>
      <c r="I319" s="33" t="s">
        <v>10</v>
      </c>
      <c r="J319" s="33" t="s">
        <v>10</v>
      </c>
    </row>
    <row r="320" spans="1:10" ht="15.75" customHeight="1" x14ac:dyDescent="0.2">
      <c r="A320" s="24" t="s">
        <v>1172</v>
      </c>
      <c r="B320" s="24">
        <v>77.359587869892295</v>
      </c>
      <c r="C320" s="24">
        <v>2.4062871248595301</v>
      </c>
      <c r="D320" s="24">
        <v>0.75154670291325298</v>
      </c>
      <c r="E320" s="24">
        <v>4.66901698216253</v>
      </c>
      <c r="F320" s="26">
        <v>3.0264436397258E-6</v>
      </c>
      <c r="G320" s="24">
        <v>4.3313956964482402E-4</v>
      </c>
      <c r="H320" s="33" t="s">
        <v>10</v>
      </c>
      <c r="I320" s="33" t="s">
        <v>10</v>
      </c>
      <c r="J320" s="33" t="s">
        <v>10</v>
      </c>
    </row>
    <row r="321" spans="1:10" ht="15.75" customHeight="1" x14ac:dyDescent="0.2">
      <c r="A321" s="24" t="s">
        <v>1173</v>
      </c>
      <c r="B321" s="24">
        <v>12616.2328217547</v>
      </c>
      <c r="C321" s="24">
        <v>2.4057816106663101</v>
      </c>
      <c r="D321" s="24">
        <v>0.54405294930925696</v>
      </c>
      <c r="E321" s="24">
        <v>4.65998635726329</v>
      </c>
      <c r="F321" s="26">
        <v>3.1623034289937301E-6</v>
      </c>
      <c r="G321" s="24">
        <v>4.5033193656902301E-4</v>
      </c>
      <c r="H321" s="33" t="s">
        <v>10</v>
      </c>
      <c r="I321" s="33" t="s">
        <v>1174</v>
      </c>
      <c r="J321" s="33" t="s">
        <v>10</v>
      </c>
    </row>
    <row r="322" spans="1:10" ht="15.75" customHeight="1" x14ac:dyDescent="0.2">
      <c r="A322" s="24" t="s">
        <v>1175</v>
      </c>
      <c r="B322" s="24">
        <v>29.1653473283707</v>
      </c>
      <c r="C322" s="24">
        <v>2.4003111805478401</v>
      </c>
      <c r="D322" s="24">
        <v>0.59753771298514702</v>
      </c>
      <c r="E322" s="24">
        <v>4.6532779037308796</v>
      </c>
      <c r="F322" s="26">
        <v>3.2669946267969801E-6</v>
      </c>
      <c r="G322" s="24">
        <v>4.6447035694980698E-4</v>
      </c>
      <c r="H322" s="33" t="s">
        <v>10</v>
      </c>
      <c r="I322" s="33" t="s">
        <v>10</v>
      </c>
      <c r="J322" s="33" t="s">
        <v>10</v>
      </c>
    </row>
    <row r="323" spans="1:10" ht="15.75" customHeight="1" x14ac:dyDescent="0.2">
      <c r="A323" s="24" t="s">
        <v>1176</v>
      </c>
      <c r="B323" s="24">
        <v>422.95337484292298</v>
      </c>
      <c r="C323" s="24">
        <v>2.3921986424054098</v>
      </c>
      <c r="D323" s="24">
        <v>0.43642378226484801</v>
      </c>
      <c r="E323" s="24">
        <v>4.6493736978472198</v>
      </c>
      <c r="F323" s="26">
        <v>3.3294449156575401E-6</v>
      </c>
      <c r="G323" s="24">
        <v>4.69462667245367E-4</v>
      </c>
      <c r="H323" s="33" t="s">
        <v>10</v>
      </c>
      <c r="I323" s="33" t="s">
        <v>10</v>
      </c>
      <c r="J323" s="33" t="s">
        <v>10</v>
      </c>
    </row>
    <row r="324" spans="1:10" ht="15.75" customHeight="1" x14ac:dyDescent="0.2">
      <c r="A324" s="24" t="s">
        <v>1177</v>
      </c>
      <c r="B324" s="24">
        <v>194.38791929972601</v>
      </c>
      <c r="C324" s="24">
        <v>2.3894754046784299</v>
      </c>
      <c r="D324" s="24">
        <v>0.70475851042178805</v>
      </c>
      <c r="E324" s="24">
        <v>4.6415298313380502</v>
      </c>
      <c r="F324" s="26">
        <v>3.45839079873576E-6</v>
      </c>
      <c r="G324" s="24">
        <v>4.8414646335766899E-4</v>
      </c>
      <c r="H324" s="33" t="s">
        <v>10</v>
      </c>
      <c r="I324" s="33" t="s">
        <v>10</v>
      </c>
      <c r="J324" s="33" t="s">
        <v>10</v>
      </c>
    </row>
    <row r="325" spans="1:10" ht="15.75" customHeight="1" x14ac:dyDescent="0.2">
      <c r="A325" s="24" t="s">
        <v>1178</v>
      </c>
      <c r="B325" s="24">
        <v>145.14655511336699</v>
      </c>
      <c r="C325" s="24">
        <v>2.38641631372146</v>
      </c>
      <c r="D325" s="24">
        <v>0.54206410806418903</v>
      </c>
      <c r="E325" s="24">
        <v>4.6412888374731001</v>
      </c>
      <c r="F325" s="26">
        <v>3.4624273680347799E-6</v>
      </c>
      <c r="G325" s="24">
        <v>4.8414646335766899E-4</v>
      </c>
      <c r="H325" s="33" t="s">
        <v>10</v>
      </c>
      <c r="I325" s="33" t="s">
        <v>10</v>
      </c>
      <c r="J325" s="33" t="s">
        <v>10</v>
      </c>
    </row>
    <row r="326" spans="1:10" ht="15.75" customHeight="1" x14ac:dyDescent="0.2">
      <c r="A326" s="24" t="s">
        <v>1179</v>
      </c>
      <c r="B326" s="24">
        <v>513.51378637421999</v>
      </c>
      <c r="C326" s="24">
        <v>2.3857432828898499</v>
      </c>
      <c r="D326" s="24">
        <v>0.96334955047256998</v>
      </c>
      <c r="E326" s="24">
        <v>4.6409916554848296</v>
      </c>
      <c r="F326" s="26">
        <v>3.4674112909476602E-6</v>
      </c>
      <c r="G326" s="24">
        <v>4.8414646335766899E-4</v>
      </c>
      <c r="H326" s="33" t="s">
        <v>10</v>
      </c>
      <c r="I326" s="33" t="s">
        <v>10</v>
      </c>
      <c r="J326" s="33" t="s">
        <v>10</v>
      </c>
    </row>
    <row r="327" spans="1:10" ht="15.75" customHeight="1" x14ac:dyDescent="0.2">
      <c r="A327" s="24" t="s">
        <v>1180</v>
      </c>
      <c r="B327" s="24">
        <v>1041.4144668178701</v>
      </c>
      <c r="C327" s="24">
        <v>2.3788558621871201</v>
      </c>
      <c r="D327" s="24">
        <v>0.51907715599751503</v>
      </c>
      <c r="E327" s="24">
        <v>4.6357022208679997</v>
      </c>
      <c r="F327" s="26">
        <v>3.5572776190324198E-6</v>
      </c>
      <c r="G327" s="24">
        <v>4.9354642473531905E-4</v>
      </c>
      <c r="H327" s="33" t="s">
        <v>10</v>
      </c>
      <c r="I327" s="33" t="s">
        <v>10</v>
      </c>
      <c r="J327" s="33" t="s">
        <v>10</v>
      </c>
    </row>
    <row r="328" spans="1:10" ht="15.75" customHeight="1" x14ac:dyDescent="0.2">
      <c r="A328" s="24" t="s">
        <v>1181</v>
      </c>
      <c r="B328" s="24">
        <v>278.82843993119201</v>
      </c>
      <c r="C328" s="24">
        <v>2.3779041152898901</v>
      </c>
      <c r="D328" s="24">
        <v>0.66787863607379605</v>
      </c>
      <c r="E328" s="24">
        <v>4.6204475751302798</v>
      </c>
      <c r="F328" s="26">
        <v>3.8291309354979702E-6</v>
      </c>
      <c r="G328" s="24">
        <v>5.2609808409943403E-4</v>
      </c>
      <c r="H328" s="33" t="s">
        <v>10</v>
      </c>
      <c r="I328" s="33" t="s">
        <v>10</v>
      </c>
      <c r="J328" s="33" t="s">
        <v>10</v>
      </c>
    </row>
    <row r="329" spans="1:10" ht="15.75" customHeight="1" x14ac:dyDescent="0.2">
      <c r="A329" s="24" t="s">
        <v>1182</v>
      </c>
      <c r="B329" s="24">
        <v>29.221660251295202</v>
      </c>
      <c r="C329" s="24">
        <v>2.3654747208172999</v>
      </c>
      <c r="D329" s="24">
        <v>0.63309090067733598</v>
      </c>
      <c r="E329" s="24">
        <v>4.6138003797974596</v>
      </c>
      <c r="F329" s="26">
        <v>3.9537217284412898E-6</v>
      </c>
      <c r="G329" s="24">
        <v>5.3976158750871598E-4</v>
      </c>
      <c r="H329" s="33" t="s">
        <v>4152</v>
      </c>
      <c r="I329" s="33" t="s">
        <v>3904</v>
      </c>
      <c r="J329" s="33" t="s">
        <v>4038</v>
      </c>
    </row>
    <row r="330" spans="1:10" ht="15.75" customHeight="1" x14ac:dyDescent="0.2">
      <c r="A330" s="24" t="s">
        <v>1183</v>
      </c>
      <c r="B330" s="24">
        <v>61.581796930026101</v>
      </c>
      <c r="C330" s="24">
        <v>2.34032213785789</v>
      </c>
      <c r="D330" s="24">
        <v>0.68321889137439096</v>
      </c>
      <c r="E330" s="24">
        <v>4.6093832638617096</v>
      </c>
      <c r="F330" s="26">
        <v>4.0386522132012399E-6</v>
      </c>
      <c r="G330" s="24">
        <v>5.4644949475669803E-4</v>
      </c>
      <c r="H330" s="33" t="s">
        <v>10</v>
      </c>
      <c r="I330" s="33" t="s">
        <v>10</v>
      </c>
      <c r="J330" s="33" t="s">
        <v>10</v>
      </c>
    </row>
    <row r="331" spans="1:10" ht="15.75" customHeight="1" x14ac:dyDescent="0.2">
      <c r="A331" s="24" t="s">
        <v>1184</v>
      </c>
      <c r="B331" s="24">
        <v>5325.5374377400303</v>
      </c>
      <c r="C331" s="24">
        <v>2.3353174244891099</v>
      </c>
      <c r="D331" s="24">
        <v>0.81184587576810396</v>
      </c>
      <c r="E331" s="24">
        <v>4.6092679891871402</v>
      </c>
      <c r="F331" s="26">
        <v>4.0408919096144596E-6</v>
      </c>
      <c r="G331" s="24">
        <v>5.4644949475669803E-4</v>
      </c>
      <c r="H331" s="33" t="s">
        <v>10</v>
      </c>
      <c r="I331" s="33" t="s">
        <v>4024</v>
      </c>
      <c r="J331" s="33" t="s">
        <v>10</v>
      </c>
    </row>
    <row r="332" spans="1:10" ht="15.75" customHeight="1" x14ac:dyDescent="0.2">
      <c r="A332" s="24" t="s">
        <v>1185</v>
      </c>
      <c r="B332" s="24">
        <v>36.053014456495802</v>
      </c>
      <c r="C332" s="24">
        <v>2.33246705636902</v>
      </c>
      <c r="D332" s="24">
        <v>0.87295050579657296</v>
      </c>
      <c r="E332" s="24">
        <v>4.5964652459116397</v>
      </c>
      <c r="F332" s="26">
        <v>4.2971861041381702E-6</v>
      </c>
      <c r="G332" s="24">
        <v>5.7747052887081201E-4</v>
      </c>
      <c r="H332" s="33" t="s">
        <v>10</v>
      </c>
      <c r="I332" s="33" t="s">
        <v>10</v>
      </c>
      <c r="J332" s="33" t="s">
        <v>10</v>
      </c>
    </row>
    <row r="333" spans="1:10" ht="15.75" customHeight="1" x14ac:dyDescent="0.2">
      <c r="A333" s="24" t="s">
        <v>1186</v>
      </c>
      <c r="B333" s="24">
        <v>315.91255677678703</v>
      </c>
      <c r="C333" s="24">
        <v>2.3310745014535099</v>
      </c>
      <c r="D333" s="24">
        <v>0.63655514010224701</v>
      </c>
      <c r="E333" s="24">
        <v>4.5816772238413197</v>
      </c>
      <c r="F333" s="26">
        <v>4.6126146292686697E-6</v>
      </c>
      <c r="G333" s="24">
        <v>6.1504632116448699E-4</v>
      </c>
      <c r="H333" s="33" t="s">
        <v>10</v>
      </c>
      <c r="I333" s="33" t="s">
        <v>10</v>
      </c>
      <c r="J333" s="33" t="s">
        <v>10</v>
      </c>
    </row>
    <row r="334" spans="1:10" ht="15.75" customHeight="1" x14ac:dyDescent="0.2">
      <c r="A334" s="24" t="s">
        <v>1187</v>
      </c>
      <c r="B334" s="24">
        <v>42.291930453173102</v>
      </c>
      <c r="C334" s="24">
        <v>2.3179390393166801</v>
      </c>
      <c r="D334" s="24">
        <v>0.69323757731969504</v>
      </c>
      <c r="E334" s="24">
        <v>4.5786544389545201</v>
      </c>
      <c r="F334" s="26">
        <v>4.6797657655333604E-6</v>
      </c>
      <c r="G334" s="24">
        <v>6.2303281558467405E-4</v>
      </c>
      <c r="H334" s="33" t="s">
        <v>10</v>
      </c>
      <c r="I334" s="33" t="s">
        <v>10</v>
      </c>
      <c r="J334" s="33" t="s">
        <v>10</v>
      </c>
    </row>
    <row r="335" spans="1:10" ht="15.75" customHeight="1" x14ac:dyDescent="0.2">
      <c r="A335" s="24" t="s">
        <v>1188</v>
      </c>
      <c r="B335" s="24">
        <v>1159.78677771102</v>
      </c>
      <c r="C335" s="24">
        <v>2.3114206874308101</v>
      </c>
      <c r="D335" s="24">
        <v>0.59220853154944797</v>
      </c>
      <c r="E335" s="24">
        <v>4.5690288838793496</v>
      </c>
      <c r="F335" s="26">
        <v>4.8998925957597003E-6</v>
      </c>
      <c r="G335" s="24">
        <v>6.5032253027895101E-4</v>
      </c>
      <c r="H335" s="33" t="s">
        <v>10</v>
      </c>
      <c r="I335" s="33" t="s">
        <v>10</v>
      </c>
      <c r="J335" s="33" t="s">
        <v>10</v>
      </c>
    </row>
    <row r="336" spans="1:10" ht="15.75" customHeight="1" x14ac:dyDescent="0.2">
      <c r="A336" s="24" t="s">
        <v>1189</v>
      </c>
      <c r="B336" s="24">
        <v>163.43879919541101</v>
      </c>
      <c r="C336" s="24">
        <v>2.3063611431671398</v>
      </c>
      <c r="D336" s="24">
        <v>0.53732065040959098</v>
      </c>
      <c r="E336" s="24">
        <v>4.5686829000459603</v>
      </c>
      <c r="F336" s="26">
        <v>4.9079866843725097E-6</v>
      </c>
      <c r="G336" s="24">
        <v>6.5039155026813602E-4</v>
      </c>
      <c r="H336" s="33" t="s">
        <v>4153</v>
      </c>
      <c r="I336" s="33" t="s">
        <v>1190</v>
      </c>
      <c r="J336" s="33" t="s">
        <v>4091</v>
      </c>
    </row>
    <row r="337" spans="1:10" ht="15.75" customHeight="1" x14ac:dyDescent="0.2">
      <c r="A337" s="24" t="s">
        <v>1191</v>
      </c>
      <c r="B337" s="24">
        <v>51.147817524174499</v>
      </c>
      <c r="C337" s="24">
        <v>2.2963860314189102</v>
      </c>
      <c r="D337" s="24">
        <v>0.81486227218588603</v>
      </c>
      <c r="E337" s="24">
        <v>4.5534105068691098</v>
      </c>
      <c r="F337" s="26">
        <v>5.2783131549923101E-6</v>
      </c>
      <c r="G337" s="24">
        <v>6.9144777904741098E-4</v>
      </c>
      <c r="H337" s="33" t="s">
        <v>10</v>
      </c>
      <c r="I337" s="33" t="s">
        <v>200</v>
      </c>
      <c r="J337" s="33" t="s">
        <v>10</v>
      </c>
    </row>
    <row r="338" spans="1:10" ht="15.75" customHeight="1" x14ac:dyDescent="0.2">
      <c r="A338" s="24" t="s">
        <v>1192</v>
      </c>
      <c r="B338" s="24">
        <v>58.384813511331501</v>
      </c>
      <c r="C338" s="24">
        <v>2.2843435882090399</v>
      </c>
      <c r="D338" s="24">
        <v>0.51195784013452705</v>
      </c>
      <c r="E338" s="24">
        <v>4.5532548165313198</v>
      </c>
      <c r="F338" s="26">
        <v>5.2822226718578104E-6</v>
      </c>
      <c r="G338" s="24">
        <v>6.9144777904741098E-4</v>
      </c>
      <c r="H338" s="33" t="s">
        <v>10</v>
      </c>
      <c r="I338" s="33" t="s">
        <v>1193</v>
      </c>
      <c r="J338" s="33" t="s">
        <v>10</v>
      </c>
    </row>
    <row r="339" spans="1:10" ht="15.75" customHeight="1" x14ac:dyDescent="0.2">
      <c r="A339" s="24" t="s">
        <v>1194</v>
      </c>
      <c r="B339" s="24">
        <v>1198.9652318329299</v>
      </c>
      <c r="C339" s="24">
        <v>2.2748974642842601</v>
      </c>
      <c r="D339" s="24">
        <v>0.90748717968756198</v>
      </c>
      <c r="E339" s="24">
        <v>4.5502762130949801</v>
      </c>
      <c r="F339" s="26">
        <v>5.3575540223149697E-6</v>
      </c>
      <c r="G339" s="24">
        <v>6.9917708427083395E-4</v>
      </c>
      <c r="H339" s="33" t="s">
        <v>10</v>
      </c>
      <c r="I339" s="33" t="s">
        <v>10</v>
      </c>
      <c r="J339" s="33" t="s">
        <v>10</v>
      </c>
    </row>
    <row r="340" spans="1:10" ht="15.75" customHeight="1" x14ac:dyDescent="0.2">
      <c r="A340" s="24" t="s">
        <v>1195</v>
      </c>
      <c r="B340" s="24">
        <v>253.06144522336501</v>
      </c>
      <c r="C340" s="24">
        <v>2.2675479368441902</v>
      </c>
      <c r="D340" s="24">
        <v>0.882461010304601</v>
      </c>
      <c r="E340" s="24">
        <v>4.5467582621248601</v>
      </c>
      <c r="F340" s="26">
        <v>5.4478509590979802E-6</v>
      </c>
      <c r="G340" s="24">
        <v>7.08806681376823E-4</v>
      </c>
      <c r="H340" s="33" t="s">
        <v>10</v>
      </c>
      <c r="I340" s="33" t="s">
        <v>10</v>
      </c>
      <c r="J340" s="33" t="s">
        <v>10</v>
      </c>
    </row>
    <row r="341" spans="1:10" ht="15.75" customHeight="1" x14ac:dyDescent="0.2">
      <c r="A341" s="24" t="s">
        <v>1196</v>
      </c>
      <c r="B341" s="24">
        <v>107.016197542135</v>
      </c>
      <c r="C341" s="24">
        <v>2.2662674227888</v>
      </c>
      <c r="D341" s="24">
        <v>1.27546924942665</v>
      </c>
      <c r="E341" s="24">
        <v>4.5451729618416996</v>
      </c>
      <c r="F341" s="26">
        <v>5.4890161671342803E-6</v>
      </c>
      <c r="G341" s="24">
        <v>7.1017542914822895E-4</v>
      </c>
      <c r="H341" s="33" t="s">
        <v>10</v>
      </c>
      <c r="I341" s="33" t="s">
        <v>1197</v>
      </c>
      <c r="J341" s="33" t="s">
        <v>10</v>
      </c>
    </row>
    <row r="342" spans="1:10" ht="15.75" customHeight="1" x14ac:dyDescent="0.2">
      <c r="A342" s="24" t="s">
        <v>1198</v>
      </c>
      <c r="B342" s="24">
        <v>319.89026768163097</v>
      </c>
      <c r="C342" s="24">
        <v>2.2642244801526901</v>
      </c>
      <c r="D342" s="24">
        <v>0.60561998288437502</v>
      </c>
      <c r="E342" s="24">
        <v>4.5423662349825298</v>
      </c>
      <c r="F342" s="26">
        <v>5.56262930826072E-6</v>
      </c>
      <c r="G342" s="24">
        <v>7.1614473962467297E-4</v>
      </c>
      <c r="H342" s="33" t="s">
        <v>10</v>
      </c>
      <c r="I342" s="33" t="s">
        <v>10</v>
      </c>
      <c r="J342" s="33" t="s">
        <v>10</v>
      </c>
    </row>
    <row r="343" spans="1:10" ht="15.75" customHeight="1" x14ac:dyDescent="0.2">
      <c r="A343" s="24" t="s">
        <v>1199</v>
      </c>
      <c r="B343" s="24">
        <v>8168.3146242085104</v>
      </c>
      <c r="C343" s="24">
        <v>2.2628233655482601</v>
      </c>
      <c r="D343" s="24">
        <v>0.86472399770459096</v>
      </c>
      <c r="E343" s="24">
        <v>4.5420047634094001</v>
      </c>
      <c r="F343" s="26">
        <v>5.5721781788184304E-6</v>
      </c>
      <c r="G343" s="24">
        <v>7.1630016825346998E-4</v>
      </c>
      <c r="H343" s="33" t="s">
        <v>1200</v>
      </c>
      <c r="I343" s="33" t="s">
        <v>1201</v>
      </c>
      <c r="J343" s="33" t="s">
        <v>10</v>
      </c>
    </row>
    <row r="344" spans="1:10" ht="15.75" customHeight="1" x14ac:dyDescent="0.2">
      <c r="A344" s="24" t="s">
        <v>1202</v>
      </c>
      <c r="B344" s="24">
        <v>5752.8925274108396</v>
      </c>
      <c r="C344" s="24">
        <v>2.2599700274505898</v>
      </c>
      <c r="D344" s="24">
        <v>0.46476184127567799</v>
      </c>
      <c r="E344" s="24">
        <v>4.5399817753416301</v>
      </c>
      <c r="F344" s="26">
        <v>5.62590907987332E-6</v>
      </c>
      <c r="G344" s="24">
        <v>7.2122194400873704E-4</v>
      </c>
      <c r="H344" s="33" t="s">
        <v>1203</v>
      </c>
      <c r="I344" s="33" t="s">
        <v>1204</v>
      </c>
      <c r="J344" s="33" t="s">
        <v>10</v>
      </c>
    </row>
    <row r="345" spans="1:10" ht="15.75" customHeight="1" x14ac:dyDescent="0.2">
      <c r="A345" s="24" t="s">
        <v>1205</v>
      </c>
      <c r="B345" s="24">
        <v>2706.2469342096601</v>
      </c>
      <c r="C345" s="24">
        <v>2.2584362036027001</v>
      </c>
      <c r="D345" s="24">
        <v>0.842387794652392</v>
      </c>
      <c r="E345" s="24">
        <v>4.5399310383889899</v>
      </c>
      <c r="F345" s="26">
        <v>5.62726301645321E-6</v>
      </c>
      <c r="G345" s="24">
        <v>7.2122194400873704E-4</v>
      </c>
      <c r="H345" s="33" t="s">
        <v>84</v>
      </c>
      <c r="I345" s="33" t="s">
        <v>1206</v>
      </c>
      <c r="J345" s="33" t="s">
        <v>10</v>
      </c>
    </row>
    <row r="346" spans="1:10" ht="15.75" customHeight="1" x14ac:dyDescent="0.2">
      <c r="A346" s="24" t="s">
        <v>1207</v>
      </c>
      <c r="B346" s="24">
        <v>40.557225889696703</v>
      </c>
      <c r="C346" s="24">
        <v>2.2544981512561102</v>
      </c>
      <c r="D346" s="24">
        <v>0.62433153720708101</v>
      </c>
      <c r="E346" s="24">
        <v>4.53803097023326</v>
      </c>
      <c r="F346" s="26">
        <v>5.6781922775340703E-6</v>
      </c>
      <c r="G346" s="24">
        <v>7.2611049573894401E-4</v>
      </c>
      <c r="H346" s="33" t="s">
        <v>10</v>
      </c>
      <c r="I346" s="33" t="s">
        <v>10</v>
      </c>
      <c r="J346" s="33" t="s">
        <v>10</v>
      </c>
    </row>
    <row r="347" spans="1:10" ht="15.75" customHeight="1" x14ac:dyDescent="0.2">
      <c r="A347" s="24" t="s">
        <v>1208</v>
      </c>
      <c r="B347" s="24">
        <v>32.378633982759702</v>
      </c>
      <c r="C347" s="24">
        <v>2.2475870726999898</v>
      </c>
      <c r="D347" s="24">
        <v>1.52829892039985</v>
      </c>
      <c r="E347" s="24">
        <v>4.5365650676750704</v>
      </c>
      <c r="F347" s="26">
        <v>5.7177854003182897E-6</v>
      </c>
      <c r="G347" s="24">
        <v>7.2955713240821995E-4</v>
      </c>
      <c r="H347" s="33" t="s">
        <v>10</v>
      </c>
      <c r="I347" s="33" t="s">
        <v>10</v>
      </c>
      <c r="J347" s="33" t="s">
        <v>10</v>
      </c>
    </row>
    <row r="348" spans="1:10" ht="15.75" customHeight="1" x14ac:dyDescent="0.2">
      <c r="A348" s="24" t="s">
        <v>1209</v>
      </c>
      <c r="B348" s="24">
        <v>57.383920541549301</v>
      </c>
      <c r="C348" s="24">
        <v>2.2443595399343699</v>
      </c>
      <c r="D348" s="24">
        <v>0.60524103985330802</v>
      </c>
      <c r="E348" s="24">
        <v>4.5360191786996698</v>
      </c>
      <c r="F348" s="26">
        <v>5.7325969412460002E-6</v>
      </c>
      <c r="G348" s="24">
        <v>7.3036176845954796E-4</v>
      </c>
      <c r="H348" s="33" t="s">
        <v>3887</v>
      </c>
      <c r="I348" s="33" t="s">
        <v>4023</v>
      </c>
      <c r="J348" s="33" t="s">
        <v>4110</v>
      </c>
    </row>
    <row r="349" spans="1:10" ht="15.75" customHeight="1" x14ac:dyDescent="0.2">
      <c r="A349" s="24" t="s">
        <v>1210</v>
      </c>
      <c r="B349" s="24">
        <v>553.04057236987501</v>
      </c>
      <c r="C349" s="24">
        <v>2.2301507994680301</v>
      </c>
      <c r="D349" s="24">
        <v>0.461003282999907</v>
      </c>
      <c r="E349" s="24">
        <v>4.5338819775051498</v>
      </c>
      <c r="F349" s="26">
        <v>5.7909394914419497E-6</v>
      </c>
      <c r="G349" s="24">
        <v>7.3670187417720304E-4</v>
      </c>
      <c r="H349" s="33" t="s">
        <v>1211</v>
      </c>
      <c r="I349" s="33" t="s">
        <v>1212</v>
      </c>
      <c r="J349" s="33" t="s">
        <v>10</v>
      </c>
    </row>
    <row r="350" spans="1:10" ht="15.75" customHeight="1" x14ac:dyDescent="0.2">
      <c r="A350" s="24" t="s">
        <v>1213</v>
      </c>
      <c r="B350" s="24">
        <v>36.616252643604902</v>
      </c>
      <c r="C350" s="24">
        <v>2.22656927435145</v>
      </c>
      <c r="D350" s="24">
        <v>0.79341795955175398</v>
      </c>
      <c r="E350" s="24">
        <v>4.53091112593156</v>
      </c>
      <c r="F350" s="26">
        <v>5.8729843192019503E-6</v>
      </c>
      <c r="G350" s="24">
        <v>7.4202719722586696E-4</v>
      </c>
      <c r="H350" s="33" t="s">
        <v>10</v>
      </c>
      <c r="I350" s="33" t="s">
        <v>10</v>
      </c>
      <c r="J350" s="33" t="s">
        <v>10</v>
      </c>
    </row>
    <row r="351" spans="1:10" ht="15.75" customHeight="1" x14ac:dyDescent="0.2">
      <c r="A351" s="24" t="s">
        <v>1214</v>
      </c>
      <c r="B351" s="24">
        <v>46.012418409681501</v>
      </c>
      <c r="C351" s="24">
        <v>2.2214963147077</v>
      </c>
      <c r="D351" s="24">
        <v>0.48167976281641101</v>
      </c>
      <c r="E351" s="24">
        <v>4.5286842025980301</v>
      </c>
      <c r="F351" s="26">
        <v>5.9352126740001003E-6</v>
      </c>
      <c r="G351" s="24">
        <v>7.4840330033636203E-4</v>
      </c>
      <c r="H351" s="33" t="s">
        <v>10</v>
      </c>
      <c r="I351" s="33" t="s">
        <v>10</v>
      </c>
      <c r="J351" s="33" t="s">
        <v>10</v>
      </c>
    </row>
    <row r="352" spans="1:10" ht="15.75" customHeight="1" x14ac:dyDescent="0.2">
      <c r="A352" s="24" t="s">
        <v>1215</v>
      </c>
      <c r="B352" s="24">
        <v>716.75455328311705</v>
      </c>
      <c r="C352" s="24">
        <v>2.1936886650003098</v>
      </c>
      <c r="D352" s="24">
        <v>0.62639126522209099</v>
      </c>
      <c r="E352" s="24">
        <v>4.5278814401946601</v>
      </c>
      <c r="F352" s="26">
        <v>5.9577991332559599E-6</v>
      </c>
      <c r="G352" s="24">
        <v>7.4905149249168798E-4</v>
      </c>
      <c r="H352" s="33" t="s">
        <v>3109</v>
      </c>
      <c r="I352" s="33" t="s">
        <v>1216</v>
      </c>
      <c r="J352" s="33" t="s">
        <v>10</v>
      </c>
    </row>
    <row r="353" spans="1:10" ht="15.75" customHeight="1" x14ac:dyDescent="0.2">
      <c r="A353" s="24" t="s">
        <v>1217</v>
      </c>
      <c r="B353" s="24">
        <v>53.108184565791603</v>
      </c>
      <c r="C353" s="24">
        <v>2.1920130540052001</v>
      </c>
      <c r="D353" s="24">
        <v>0.76532207243165296</v>
      </c>
      <c r="E353" s="24">
        <v>4.5269669149864704</v>
      </c>
      <c r="F353" s="26">
        <v>5.9836303780135403E-6</v>
      </c>
      <c r="G353" s="24">
        <v>7.5119930437193101E-4</v>
      </c>
      <c r="H353" s="33" t="s">
        <v>10</v>
      </c>
      <c r="I353" s="33" t="s">
        <v>10</v>
      </c>
      <c r="J353" s="33" t="s">
        <v>10</v>
      </c>
    </row>
    <row r="354" spans="1:10" ht="15.75" customHeight="1" x14ac:dyDescent="0.2">
      <c r="A354" s="24" t="s">
        <v>1218</v>
      </c>
      <c r="B354" s="24">
        <v>161.25633128224101</v>
      </c>
      <c r="C354" s="24">
        <v>2.1813755325778499</v>
      </c>
      <c r="D354" s="24">
        <v>0.57286508872886899</v>
      </c>
      <c r="E354" s="24">
        <v>4.5260159667034303</v>
      </c>
      <c r="F354" s="26">
        <v>6.0106040683257998E-6</v>
      </c>
      <c r="G354" s="24">
        <v>7.5348406124263402E-4</v>
      </c>
      <c r="H354" s="33" t="s">
        <v>1219</v>
      </c>
      <c r="I354" s="33" t="s">
        <v>1220</v>
      </c>
      <c r="J354" s="33" t="s">
        <v>10</v>
      </c>
    </row>
    <row r="355" spans="1:10" ht="15.75" customHeight="1" x14ac:dyDescent="0.2">
      <c r="A355" s="24" t="s">
        <v>1221</v>
      </c>
      <c r="B355" s="24">
        <v>52.078592937481098</v>
      </c>
      <c r="C355" s="24">
        <v>2.1773191665559599</v>
      </c>
      <c r="D355" s="24">
        <v>1.1611822264971501</v>
      </c>
      <c r="E355" s="24">
        <v>4.52473192409348</v>
      </c>
      <c r="F355" s="26">
        <v>6.0472106942679397E-6</v>
      </c>
      <c r="G355" s="24">
        <v>7.5526293357875795E-4</v>
      </c>
      <c r="H355" s="33" t="s">
        <v>10</v>
      </c>
      <c r="I355" s="33" t="s">
        <v>10</v>
      </c>
      <c r="J355" s="33" t="s">
        <v>10</v>
      </c>
    </row>
    <row r="356" spans="1:10" ht="15.75" customHeight="1" x14ac:dyDescent="0.2">
      <c r="A356" s="24" t="s">
        <v>1222</v>
      </c>
      <c r="B356" s="24">
        <v>45.457403497555497</v>
      </c>
      <c r="C356" s="24">
        <v>2.1742997206936199</v>
      </c>
      <c r="D356" s="24">
        <v>1.0049173783759</v>
      </c>
      <c r="E356" s="24">
        <v>4.5237905661989002</v>
      </c>
      <c r="F356" s="26">
        <v>6.0741832026605197E-6</v>
      </c>
      <c r="G356" s="24">
        <v>7.5703365137251295E-4</v>
      </c>
      <c r="H356" s="33" t="s">
        <v>10</v>
      </c>
      <c r="I356" s="33" t="s">
        <v>10</v>
      </c>
      <c r="J356" s="33" t="s">
        <v>10</v>
      </c>
    </row>
    <row r="357" spans="1:10" ht="15.75" customHeight="1" x14ac:dyDescent="0.2">
      <c r="A357" s="24" t="s">
        <v>1223</v>
      </c>
      <c r="B357" s="24">
        <v>567.68203824375496</v>
      </c>
      <c r="C357" s="24">
        <v>2.1679047243802199</v>
      </c>
      <c r="D357" s="24">
        <v>0.52814306893072405</v>
      </c>
      <c r="E357" s="24">
        <v>4.5185035156344799</v>
      </c>
      <c r="F357" s="26">
        <v>6.22782395592632E-6</v>
      </c>
      <c r="G357" s="24">
        <v>7.7393555849399303E-4</v>
      </c>
      <c r="H357" s="33" t="s">
        <v>10</v>
      </c>
      <c r="I357" s="33" t="s">
        <v>10</v>
      </c>
      <c r="J357" s="33" t="s">
        <v>10</v>
      </c>
    </row>
    <row r="358" spans="1:10" ht="15.75" customHeight="1" x14ac:dyDescent="0.2">
      <c r="A358" s="24" t="s">
        <v>1224</v>
      </c>
      <c r="B358" s="24">
        <v>1925.4789282655299</v>
      </c>
      <c r="C358" s="24">
        <v>2.1638985532364599</v>
      </c>
      <c r="D358" s="24">
        <v>0.56706958069441304</v>
      </c>
      <c r="E358" s="24">
        <v>4.50866318160924</v>
      </c>
      <c r="F358" s="26">
        <v>6.5237382007248302E-6</v>
      </c>
      <c r="G358" s="24">
        <v>8.0720450004962904E-4</v>
      </c>
      <c r="H358" s="33" t="s">
        <v>4154</v>
      </c>
      <c r="I358" s="33" t="s">
        <v>3977</v>
      </c>
      <c r="J358" s="33" t="s">
        <v>4080</v>
      </c>
    </row>
    <row r="359" spans="1:10" ht="15.75" customHeight="1" x14ac:dyDescent="0.2">
      <c r="A359" s="24" t="s">
        <v>1225</v>
      </c>
      <c r="B359" s="24">
        <v>56.147825799655003</v>
      </c>
      <c r="C359" s="24">
        <v>2.16244171103222</v>
      </c>
      <c r="D359" s="24">
        <v>0.88972542363685903</v>
      </c>
      <c r="E359" s="24">
        <v>4.5036725693707496</v>
      </c>
      <c r="F359" s="26">
        <v>6.6789085240828404E-6</v>
      </c>
      <c r="G359" s="24">
        <v>8.2284727958610896E-4</v>
      </c>
      <c r="H359" s="33" t="s">
        <v>4155</v>
      </c>
      <c r="I359" s="33" t="s">
        <v>4215</v>
      </c>
      <c r="J359" s="33" t="s">
        <v>4105</v>
      </c>
    </row>
    <row r="360" spans="1:10" ht="15.75" customHeight="1" x14ac:dyDescent="0.2">
      <c r="A360" s="24" t="s">
        <v>1226</v>
      </c>
      <c r="B360" s="24">
        <v>106.717904874612</v>
      </c>
      <c r="C360" s="24">
        <v>2.1189987043650498</v>
      </c>
      <c r="D360" s="24">
        <v>1.9011041621240901</v>
      </c>
      <c r="E360" s="24">
        <v>4.5031309820822703</v>
      </c>
      <c r="F360" s="26">
        <v>6.6959585996562703E-6</v>
      </c>
      <c r="G360" s="24">
        <v>8.2312016303673699E-4</v>
      </c>
      <c r="H360" s="33" t="s">
        <v>10</v>
      </c>
      <c r="I360" s="33" t="s">
        <v>10</v>
      </c>
      <c r="J360" s="33" t="s">
        <v>10</v>
      </c>
    </row>
    <row r="361" spans="1:10" ht="15.75" customHeight="1" x14ac:dyDescent="0.2">
      <c r="A361" s="24" t="s">
        <v>1227</v>
      </c>
      <c r="B361" s="24">
        <v>1650.92104375501</v>
      </c>
      <c r="C361" s="24">
        <v>2.1148662725495901</v>
      </c>
      <c r="D361" s="24">
        <v>0.63227798655605805</v>
      </c>
      <c r="E361" s="24">
        <v>4.5029836208036702</v>
      </c>
      <c r="F361" s="26">
        <v>6.7006049807767899E-6</v>
      </c>
      <c r="G361" s="24">
        <v>8.2312016303673699E-4</v>
      </c>
      <c r="H361" s="33" t="s">
        <v>3829</v>
      </c>
      <c r="I361" s="33" t="s">
        <v>1228</v>
      </c>
      <c r="J361" s="33" t="s">
        <v>10</v>
      </c>
    </row>
    <row r="362" spans="1:10" ht="15.75" customHeight="1" x14ac:dyDescent="0.2">
      <c r="A362" s="24" t="s">
        <v>1229</v>
      </c>
      <c r="B362" s="24">
        <v>642.40795159089305</v>
      </c>
      <c r="C362" s="24">
        <v>2.1100102892658001</v>
      </c>
      <c r="D362" s="24">
        <v>0.73229417417249998</v>
      </c>
      <c r="E362" s="24">
        <v>4.50092134293845</v>
      </c>
      <c r="F362" s="26">
        <v>6.7659542120571997E-6</v>
      </c>
      <c r="G362" s="24">
        <v>8.2763426516177096E-4</v>
      </c>
      <c r="H362" s="33" t="s">
        <v>1147</v>
      </c>
      <c r="I362" s="33" t="s">
        <v>1230</v>
      </c>
      <c r="J362" s="33" t="s">
        <v>10</v>
      </c>
    </row>
    <row r="363" spans="1:10" ht="15.75" customHeight="1" x14ac:dyDescent="0.2">
      <c r="A363" s="24" t="s">
        <v>1231</v>
      </c>
      <c r="B363" s="24">
        <v>65.526351337723497</v>
      </c>
      <c r="C363" s="24">
        <v>2.1098266078909602</v>
      </c>
      <c r="D363" s="24">
        <v>0.85169620901064602</v>
      </c>
      <c r="E363" s="24">
        <v>4.4966288968386996</v>
      </c>
      <c r="F363" s="26">
        <v>6.9039332731541998E-6</v>
      </c>
      <c r="G363" s="24">
        <v>8.4211314502702405E-4</v>
      </c>
      <c r="H363" s="33" t="s">
        <v>10</v>
      </c>
      <c r="I363" s="33" t="s">
        <v>10</v>
      </c>
      <c r="J363" s="33" t="s">
        <v>10</v>
      </c>
    </row>
    <row r="364" spans="1:10" ht="15.75" customHeight="1" x14ac:dyDescent="0.2">
      <c r="A364" s="24" t="s">
        <v>1232</v>
      </c>
      <c r="B364" s="24">
        <v>62.839294153113897</v>
      </c>
      <c r="C364" s="24">
        <v>2.1009482759797802</v>
      </c>
      <c r="D364" s="24">
        <v>0.45282495714804399</v>
      </c>
      <c r="E364" s="24">
        <v>4.4957876389700804</v>
      </c>
      <c r="F364" s="26">
        <v>6.9312887930592096E-6</v>
      </c>
      <c r="G364" s="24">
        <v>8.4425063822523097E-4</v>
      </c>
      <c r="H364" s="33" t="s">
        <v>10</v>
      </c>
      <c r="I364" s="33" t="s">
        <v>10</v>
      </c>
      <c r="J364" s="33" t="s">
        <v>10</v>
      </c>
    </row>
    <row r="365" spans="1:10" ht="15.75" customHeight="1" x14ac:dyDescent="0.2">
      <c r="A365" s="24" t="s">
        <v>1233</v>
      </c>
      <c r="B365" s="24">
        <v>30.336592558745298</v>
      </c>
      <c r="C365" s="24">
        <v>2.09013447636399</v>
      </c>
      <c r="D365" s="24">
        <v>0.92354215539574303</v>
      </c>
      <c r="E365" s="24">
        <v>4.4935842337453202</v>
      </c>
      <c r="F365" s="26">
        <v>7.0034300608718704E-6</v>
      </c>
      <c r="G365" s="24">
        <v>8.4910829272638296E-4</v>
      </c>
      <c r="H365" s="33" t="s">
        <v>10</v>
      </c>
      <c r="I365" s="33" t="s">
        <v>10</v>
      </c>
      <c r="J365" s="33" t="s">
        <v>10</v>
      </c>
    </row>
    <row r="366" spans="1:10" ht="15.75" customHeight="1" x14ac:dyDescent="0.2">
      <c r="A366" s="24" t="s">
        <v>1234</v>
      </c>
      <c r="B366" s="24">
        <v>53.890828867334797</v>
      </c>
      <c r="C366" s="24">
        <v>2.07516986132977</v>
      </c>
      <c r="D366" s="24">
        <v>0.51184238900944001</v>
      </c>
      <c r="E366" s="24">
        <v>4.4865100678024596</v>
      </c>
      <c r="F366" s="26">
        <v>7.2399297747707201E-6</v>
      </c>
      <c r="G366" s="24">
        <v>8.6829610291806801E-4</v>
      </c>
      <c r="H366" s="33" t="s">
        <v>10</v>
      </c>
      <c r="I366" s="33" t="s">
        <v>1235</v>
      </c>
      <c r="J366" s="33" t="s">
        <v>10</v>
      </c>
    </row>
    <row r="367" spans="1:10" ht="15.75" customHeight="1" x14ac:dyDescent="0.2">
      <c r="A367" s="24" t="s">
        <v>1236</v>
      </c>
      <c r="B367" s="24">
        <v>73.186742525979895</v>
      </c>
      <c r="C367" s="24">
        <v>2.0714157119055199</v>
      </c>
      <c r="D367" s="24">
        <v>0.88762951779555299</v>
      </c>
      <c r="E367" s="24">
        <v>4.47986230959705</v>
      </c>
      <c r="F367" s="26">
        <v>7.4691205778100199E-6</v>
      </c>
      <c r="G367" s="24">
        <v>8.9204569281936595E-4</v>
      </c>
      <c r="H367" s="33" t="s">
        <v>10</v>
      </c>
      <c r="I367" s="33" t="s">
        <v>10</v>
      </c>
      <c r="J367" s="33" t="s">
        <v>10</v>
      </c>
    </row>
    <row r="368" spans="1:10" ht="15.75" customHeight="1" x14ac:dyDescent="0.2">
      <c r="A368" s="24" t="s">
        <v>1237</v>
      </c>
      <c r="B368" s="24">
        <v>3833.8726439110301</v>
      </c>
      <c r="C368" s="24">
        <v>2.06967878543816</v>
      </c>
      <c r="D368" s="24">
        <v>0.56670258291673503</v>
      </c>
      <c r="E368" s="24">
        <v>4.4785700550021899</v>
      </c>
      <c r="F368" s="26">
        <v>7.5144710309536599E-6</v>
      </c>
      <c r="G368" s="24">
        <v>8.9621547485975298E-4</v>
      </c>
      <c r="H368" s="33" t="s">
        <v>10</v>
      </c>
      <c r="I368" s="33" t="s">
        <v>10</v>
      </c>
      <c r="J368" s="33" t="s">
        <v>10</v>
      </c>
    </row>
    <row r="369" spans="1:10" ht="15.75" customHeight="1" x14ac:dyDescent="0.2">
      <c r="A369" s="24" t="s">
        <v>1238</v>
      </c>
      <c r="B369" s="24">
        <v>95.838839946327099</v>
      </c>
      <c r="C369" s="24">
        <v>2.05609035944327</v>
      </c>
      <c r="D369" s="24">
        <v>0.743887485208377</v>
      </c>
      <c r="E369" s="24">
        <v>4.47435136911509</v>
      </c>
      <c r="F369" s="26">
        <v>7.6643617889265792E-6</v>
      </c>
      <c r="G369" s="24">
        <v>9.1029932389614801E-4</v>
      </c>
      <c r="H369" s="33" t="s">
        <v>1239</v>
      </c>
      <c r="I369" s="33" t="s">
        <v>1240</v>
      </c>
      <c r="J369" s="33" t="s">
        <v>10</v>
      </c>
    </row>
    <row r="370" spans="1:10" ht="15.75" customHeight="1" x14ac:dyDescent="0.2">
      <c r="A370" s="24" t="s">
        <v>1241</v>
      </c>
      <c r="B370" s="24">
        <v>922.33972857392803</v>
      </c>
      <c r="C370" s="24">
        <v>2.05436775583137</v>
      </c>
      <c r="D370" s="24">
        <v>0.46307717099472101</v>
      </c>
      <c r="E370" s="24">
        <v>4.4731544581564604</v>
      </c>
      <c r="F370" s="26">
        <v>7.7074061747124697E-6</v>
      </c>
      <c r="G370" s="24">
        <v>9.1414734202863895E-4</v>
      </c>
      <c r="H370" s="33" t="s">
        <v>10</v>
      </c>
      <c r="I370" s="33" t="s">
        <v>10</v>
      </c>
      <c r="J370" s="33" t="s">
        <v>10</v>
      </c>
    </row>
    <row r="371" spans="1:10" ht="15.75" customHeight="1" x14ac:dyDescent="0.2">
      <c r="A371" s="24" t="s">
        <v>1242</v>
      </c>
      <c r="B371" s="24">
        <v>20.156999778003001</v>
      </c>
      <c r="C371" s="24">
        <v>2.0490039028270801</v>
      </c>
      <c r="D371" s="24">
        <v>1.5549346866334599</v>
      </c>
      <c r="E371" s="24">
        <v>4.46981155540134</v>
      </c>
      <c r="F371" s="26">
        <v>7.82885432528107E-6</v>
      </c>
      <c r="G371" s="24">
        <v>9.2472015098515902E-4</v>
      </c>
      <c r="H371" s="33" t="s">
        <v>10</v>
      </c>
      <c r="I371" s="33" t="s">
        <v>10</v>
      </c>
      <c r="J371" s="33" t="s">
        <v>10</v>
      </c>
    </row>
    <row r="372" spans="1:10" ht="15.75" customHeight="1" x14ac:dyDescent="0.2">
      <c r="A372" s="24" t="s">
        <v>1243</v>
      </c>
      <c r="B372" s="24">
        <v>372.17225991556802</v>
      </c>
      <c r="C372" s="24">
        <v>2.0429421457713901</v>
      </c>
      <c r="D372" s="24">
        <v>0.766816598046835</v>
      </c>
      <c r="E372" s="24">
        <v>4.4664944138076104</v>
      </c>
      <c r="F372" s="26">
        <v>7.9511737427731107E-6</v>
      </c>
      <c r="G372" s="24">
        <v>9.3787807756273397E-4</v>
      </c>
      <c r="H372" s="33" t="s">
        <v>10</v>
      </c>
      <c r="I372" s="33" t="s">
        <v>10</v>
      </c>
      <c r="J372" s="33" t="s">
        <v>10</v>
      </c>
    </row>
    <row r="373" spans="1:10" ht="15.75" customHeight="1" x14ac:dyDescent="0.2">
      <c r="A373" s="24" t="s">
        <v>1244</v>
      </c>
      <c r="B373" s="24">
        <v>72.022290265659294</v>
      </c>
      <c r="C373" s="24">
        <v>2.0374370491231502</v>
      </c>
      <c r="D373" s="24">
        <v>0.68051140680900302</v>
      </c>
      <c r="E373" s="24">
        <v>4.4643090761977602</v>
      </c>
      <c r="F373" s="26">
        <v>8.0327539709695292E-6</v>
      </c>
      <c r="G373" s="24">
        <v>9.4553815735147798E-4</v>
      </c>
      <c r="H373" s="33" t="s">
        <v>10</v>
      </c>
      <c r="I373" s="33" t="s">
        <v>10</v>
      </c>
      <c r="J373" s="33" t="s">
        <v>10</v>
      </c>
    </row>
    <row r="374" spans="1:10" ht="15.75" customHeight="1" x14ac:dyDescent="0.2">
      <c r="A374" s="24" t="s">
        <v>1245</v>
      </c>
      <c r="B374" s="24">
        <v>983.12549121361599</v>
      </c>
      <c r="C374" s="24">
        <v>2.0358048449633301</v>
      </c>
      <c r="D374" s="24">
        <v>1.36100434794054</v>
      </c>
      <c r="E374" s="24">
        <v>4.4641656273203401</v>
      </c>
      <c r="F374" s="26">
        <v>8.0381369131205994E-6</v>
      </c>
      <c r="G374" s="24">
        <v>9.4553815735147798E-4</v>
      </c>
      <c r="H374" s="33" t="s">
        <v>10</v>
      </c>
      <c r="I374" s="33" t="s">
        <v>10</v>
      </c>
      <c r="J374" s="33" t="s">
        <v>10</v>
      </c>
    </row>
    <row r="375" spans="1:10" ht="15.75" customHeight="1" x14ac:dyDescent="0.2">
      <c r="A375" s="24" t="s">
        <v>1246</v>
      </c>
      <c r="B375" s="24">
        <v>85.4944567022809</v>
      </c>
      <c r="C375" s="24">
        <v>2.0296068635844602</v>
      </c>
      <c r="D375" s="24">
        <v>0.45017658540835298</v>
      </c>
      <c r="E375" s="24">
        <v>4.4602698476521203</v>
      </c>
      <c r="F375" s="26">
        <v>8.1856521434516303E-6</v>
      </c>
      <c r="G375" s="24">
        <v>9.61573372380759E-4</v>
      </c>
      <c r="H375" s="33" t="s">
        <v>10</v>
      </c>
      <c r="I375" s="33" t="s">
        <v>10</v>
      </c>
      <c r="J375" s="33" t="s">
        <v>10</v>
      </c>
    </row>
    <row r="376" spans="1:10" ht="15.75" customHeight="1" x14ac:dyDescent="0.2">
      <c r="A376" s="24" t="s">
        <v>1247</v>
      </c>
      <c r="B376" s="24">
        <v>31.634721565661302</v>
      </c>
      <c r="C376" s="24">
        <v>2.0290972543771901</v>
      </c>
      <c r="D376" s="24">
        <v>0.813625336102616</v>
      </c>
      <c r="E376" s="24">
        <v>4.4576471725660101</v>
      </c>
      <c r="F376" s="26">
        <v>8.28641440958892E-6</v>
      </c>
      <c r="G376" s="24">
        <v>9.72080180007937E-4</v>
      </c>
      <c r="H376" s="33" t="s">
        <v>10</v>
      </c>
      <c r="I376" s="33" t="s">
        <v>10</v>
      </c>
      <c r="J376" s="33" t="s">
        <v>10</v>
      </c>
    </row>
    <row r="377" spans="1:10" ht="15.75" customHeight="1" x14ac:dyDescent="0.2">
      <c r="A377" s="24" t="s">
        <v>1248</v>
      </c>
      <c r="B377" s="24">
        <v>18.646782988860299</v>
      </c>
      <c r="C377" s="24">
        <v>2.0123295330781299</v>
      </c>
      <c r="D377" s="24">
        <v>1.75371342331171</v>
      </c>
      <c r="E377" s="24">
        <v>4.4542991323574999</v>
      </c>
      <c r="F377" s="26">
        <v>8.4167685373363408E-6</v>
      </c>
      <c r="G377" s="24">
        <v>9.8334194703348092E-4</v>
      </c>
      <c r="H377" s="33" t="s">
        <v>10</v>
      </c>
      <c r="I377" s="33" t="s">
        <v>1249</v>
      </c>
      <c r="J377" s="33" t="s">
        <v>10</v>
      </c>
    </row>
    <row r="378" spans="1:10" ht="15.75" customHeight="1" x14ac:dyDescent="0.2">
      <c r="A378" s="24" t="s">
        <v>1250</v>
      </c>
      <c r="B378" s="24">
        <v>152.567946945139</v>
      </c>
      <c r="C378" s="24">
        <v>2.0114681413745901</v>
      </c>
      <c r="D378" s="24">
        <v>0.68592458636650699</v>
      </c>
      <c r="E378" s="24">
        <v>4.4534912971898102</v>
      </c>
      <c r="F378" s="26">
        <v>8.4485134088061602E-6</v>
      </c>
      <c r="G378" s="24">
        <v>9.857096398472741E-4</v>
      </c>
      <c r="H378" s="33" t="s">
        <v>10</v>
      </c>
      <c r="I378" s="33" t="s">
        <v>10</v>
      </c>
      <c r="J378" s="33" t="s">
        <v>10</v>
      </c>
    </row>
    <row r="379" spans="1:10" ht="15.75" customHeight="1" x14ac:dyDescent="0.2">
      <c r="A379" s="24" t="s">
        <v>1251</v>
      </c>
      <c r="B379" s="24">
        <v>440.745983107722</v>
      </c>
      <c r="C379" s="24">
        <v>2.0080461755000698</v>
      </c>
      <c r="D379" s="24">
        <v>0.50922343669103698</v>
      </c>
      <c r="E379" s="24">
        <v>4.4529528168986996</v>
      </c>
      <c r="F379" s="26">
        <v>8.4697371772251804E-6</v>
      </c>
      <c r="G379" s="24">
        <v>9.8684504904410198E-4</v>
      </c>
      <c r="H379" s="33" t="s">
        <v>865</v>
      </c>
      <c r="I379" s="33" t="s">
        <v>4016</v>
      </c>
      <c r="J379" s="33" t="s">
        <v>10</v>
      </c>
    </row>
    <row r="380" spans="1:10" ht="15.75" customHeight="1" x14ac:dyDescent="0.2">
      <c r="A380" s="24" t="s">
        <v>1252</v>
      </c>
      <c r="B380" s="24">
        <v>488.62113329175099</v>
      </c>
      <c r="C380" s="24">
        <v>2.0079090500158601</v>
      </c>
      <c r="D380" s="24">
        <v>0.65700227006671197</v>
      </c>
      <c r="E380" s="24">
        <v>4.4521310033884003</v>
      </c>
      <c r="F380" s="26">
        <v>8.5022265557563508E-6</v>
      </c>
      <c r="G380" s="24">
        <v>9.8928820673354094E-4</v>
      </c>
      <c r="H380" s="33" t="s">
        <v>10</v>
      </c>
      <c r="I380" s="33" t="s">
        <v>1253</v>
      </c>
      <c r="J380" s="33" t="s">
        <v>10</v>
      </c>
    </row>
    <row r="381" spans="1:10" ht="15.75" customHeight="1" x14ac:dyDescent="0.2">
      <c r="A381" s="24" t="s">
        <v>1254</v>
      </c>
      <c r="B381" s="24">
        <v>24.670908553703899</v>
      </c>
      <c r="C381" s="24">
        <v>2.0018365381946199</v>
      </c>
      <c r="D381" s="24">
        <v>0.57052115687852201</v>
      </c>
      <c r="E381" s="24">
        <v>4.4499136613876402</v>
      </c>
      <c r="F381" s="26">
        <v>8.5904817311623907E-6</v>
      </c>
      <c r="G381" s="24">
        <v>9.9820467758679997E-4</v>
      </c>
      <c r="H381" s="33" t="s">
        <v>262</v>
      </c>
      <c r="I381" s="33" t="s">
        <v>1255</v>
      </c>
      <c r="J381" s="33" t="s">
        <v>10</v>
      </c>
    </row>
    <row r="382" spans="1:10" ht="15.75" customHeight="1" x14ac:dyDescent="0.2">
      <c r="A382" s="24" t="s">
        <v>1256</v>
      </c>
      <c r="B382" s="24">
        <v>166.987294556427</v>
      </c>
      <c r="C382" s="24">
        <v>-3.6035192353862202</v>
      </c>
      <c r="D382" s="24">
        <v>0.40717266193622598</v>
      </c>
      <c r="E382" s="24">
        <v>-8.8501011297035994</v>
      </c>
      <c r="F382" s="26">
        <v>8.7440025835475403E-19</v>
      </c>
      <c r="G382" s="26">
        <v>1.5017124917036201E-14</v>
      </c>
      <c r="H382" s="33" t="s">
        <v>10</v>
      </c>
      <c r="I382" s="33" t="s">
        <v>369</v>
      </c>
      <c r="J382" s="33" t="s">
        <v>10</v>
      </c>
    </row>
    <row r="383" spans="1:10" ht="15.75" customHeight="1" x14ac:dyDescent="0.2">
      <c r="A383" s="24" t="s">
        <v>1257</v>
      </c>
      <c r="B383" s="24">
        <v>1515.9142615205999</v>
      </c>
      <c r="C383" s="24">
        <v>-7.6730802494955697</v>
      </c>
      <c r="D383" s="24">
        <v>0.87044686505948599</v>
      </c>
      <c r="E383" s="24">
        <v>-8.8151046979429299</v>
      </c>
      <c r="F383" s="26">
        <v>1.1957326742873501E-18</v>
      </c>
      <c r="G383" s="26">
        <v>1.71131267456215E-14</v>
      </c>
      <c r="H383" s="33" t="s">
        <v>10</v>
      </c>
      <c r="I383" s="33" t="s">
        <v>1258</v>
      </c>
      <c r="J383" s="33" t="s">
        <v>10</v>
      </c>
    </row>
    <row r="384" spans="1:10" ht="15.75" customHeight="1" x14ac:dyDescent="0.2">
      <c r="A384" s="24" t="s">
        <v>1259</v>
      </c>
      <c r="B384" s="24">
        <v>574.34755878249098</v>
      </c>
      <c r="C384" s="24">
        <v>-3.0898698678930798</v>
      </c>
      <c r="D384" s="24">
        <v>0.35339188355305201</v>
      </c>
      <c r="E384" s="24">
        <v>-8.7434658567341508</v>
      </c>
      <c r="F384" s="26">
        <v>2.26066220853602E-18</v>
      </c>
      <c r="G384" s="26">
        <v>2.77321892155995E-14</v>
      </c>
      <c r="H384" s="33" t="s">
        <v>1260</v>
      </c>
      <c r="I384" s="33" t="s">
        <v>10</v>
      </c>
      <c r="J384" s="33" t="s">
        <v>10</v>
      </c>
    </row>
    <row r="385" spans="1:10" ht="15.75" customHeight="1" x14ac:dyDescent="0.2">
      <c r="A385" s="24" t="s">
        <v>1261</v>
      </c>
      <c r="B385" s="24">
        <v>811.99282736342695</v>
      </c>
      <c r="C385" s="24">
        <v>-7.5397692976335504</v>
      </c>
      <c r="D385" s="24">
        <v>0.86957287737981404</v>
      </c>
      <c r="E385" s="24">
        <v>-8.6706583125640808</v>
      </c>
      <c r="F385" s="26">
        <v>4.29629154453227E-18</v>
      </c>
      <c r="G385" s="26">
        <v>4.6115856402566403E-14</v>
      </c>
      <c r="H385" s="33" t="s">
        <v>1262</v>
      </c>
      <c r="I385" s="33" t="s">
        <v>1263</v>
      </c>
      <c r="J385" s="33" t="s">
        <v>10</v>
      </c>
    </row>
    <row r="386" spans="1:10" ht="15.75" customHeight="1" x14ac:dyDescent="0.2">
      <c r="A386" s="24" t="s">
        <v>1264</v>
      </c>
      <c r="B386" s="24">
        <v>117.427829681334</v>
      </c>
      <c r="C386" s="24">
        <v>-5.2293084156456198</v>
      </c>
      <c r="D386" s="24">
        <v>0.60480240311061795</v>
      </c>
      <c r="E386" s="24">
        <v>-8.6463089246177898</v>
      </c>
      <c r="F386" s="26">
        <v>5.3191990578902801E-18</v>
      </c>
      <c r="G386" s="26">
        <v>5.0751660255566298E-14</v>
      </c>
      <c r="H386" s="33" t="s">
        <v>382</v>
      </c>
      <c r="I386" s="33" t="s">
        <v>1265</v>
      </c>
      <c r="J386" s="33" t="s">
        <v>4071</v>
      </c>
    </row>
    <row r="387" spans="1:10" ht="15.75" customHeight="1" x14ac:dyDescent="0.2">
      <c r="A387" s="24" t="s">
        <v>1266</v>
      </c>
      <c r="B387" s="24">
        <v>146.059719443501</v>
      </c>
      <c r="C387" s="24">
        <v>-3.1158050615953901</v>
      </c>
      <c r="D387" s="24">
        <v>0.40853344218231502</v>
      </c>
      <c r="E387" s="24">
        <v>-7.6268053967658096</v>
      </c>
      <c r="F387" s="26">
        <v>2.40642429434774E-14</v>
      </c>
      <c r="G387" s="26">
        <v>8.6100858574972801E-11</v>
      </c>
      <c r="H387" s="33" t="s">
        <v>10</v>
      </c>
      <c r="I387" s="33" t="s">
        <v>4025</v>
      </c>
      <c r="J387" s="33" t="s">
        <v>10</v>
      </c>
    </row>
    <row r="388" spans="1:10" ht="15.75" customHeight="1" x14ac:dyDescent="0.2">
      <c r="A388" s="24" t="s">
        <v>1268</v>
      </c>
      <c r="B388" s="24">
        <v>235.943808040531</v>
      </c>
      <c r="C388" s="24">
        <v>-3.6264986602232399</v>
      </c>
      <c r="D388" s="24">
        <v>0.48210765009251699</v>
      </c>
      <c r="E388" s="24">
        <v>-7.5221761354073298</v>
      </c>
      <c r="F388" s="26">
        <v>5.3871939909047E-14</v>
      </c>
      <c r="G388" s="26">
        <v>1.8504149407719101E-10</v>
      </c>
      <c r="H388" s="33" t="s">
        <v>3837</v>
      </c>
      <c r="I388" s="33" t="s">
        <v>4156</v>
      </c>
      <c r="J388" s="33" t="s">
        <v>4052</v>
      </c>
    </row>
    <row r="389" spans="1:10" ht="15.75" customHeight="1" x14ac:dyDescent="0.2">
      <c r="A389" s="24" t="s">
        <v>1269</v>
      </c>
      <c r="B389" s="24">
        <v>910.419104019423</v>
      </c>
      <c r="C389" s="24">
        <v>-4.8643315413636499</v>
      </c>
      <c r="D389" s="24">
        <v>0.65074399695668195</v>
      </c>
      <c r="E389" s="24">
        <v>-7.4750309862442696</v>
      </c>
      <c r="F389" s="26">
        <v>7.7185664642190794E-14</v>
      </c>
      <c r="G389" s="26">
        <v>2.3671465030319901E-10</v>
      </c>
      <c r="H389" s="33" t="s">
        <v>10</v>
      </c>
      <c r="I389" s="33" t="s">
        <v>1270</v>
      </c>
      <c r="J389" s="33" t="s">
        <v>10</v>
      </c>
    </row>
    <row r="390" spans="1:10" ht="15.75" customHeight="1" x14ac:dyDescent="0.2">
      <c r="A390" s="24" t="s">
        <v>1271</v>
      </c>
      <c r="B390" s="24">
        <v>75.283318232687094</v>
      </c>
      <c r="C390" s="24">
        <v>-4.3426906711043198</v>
      </c>
      <c r="D390" s="24">
        <v>0.58980834634939605</v>
      </c>
      <c r="E390" s="24">
        <v>-7.3628843979290703</v>
      </c>
      <c r="F390" s="26">
        <v>1.79978226582736E-13</v>
      </c>
      <c r="G390" s="26">
        <v>4.8296594671519195E-10</v>
      </c>
      <c r="H390" s="33" t="s">
        <v>10</v>
      </c>
      <c r="I390" s="33" t="s">
        <v>369</v>
      </c>
      <c r="J390" s="33" t="s">
        <v>10</v>
      </c>
    </row>
    <row r="391" spans="1:10" ht="15.75" customHeight="1" x14ac:dyDescent="0.2">
      <c r="A391" s="24" t="s">
        <v>1272</v>
      </c>
      <c r="B391" s="24">
        <v>223.539023767559</v>
      </c>
      <c r="C391" s="24">
        <v>-4.1914917326050096</v>
      </c>
      <c r="D391" s="24">
        <v>0.57991051008918804</v>
      </c>
      <c r="E391" s="24">
        <v>-7.2278250862540299</v>
      </c>
      <c r="F391" s="26">
        <v>4.9079026802678396E-13</v>
      </c>
      <c r="G391" s="26">
        <v>1.1706847529368901E-9</v>
      </c>
      <c r="H391" s="33" t="s">
        <v>1273</v>
      </c>
      <c r="I391" s="33" t="s">
        <v>1274</v>
      </c>
      <c r="J391" s="33" t="s">
        <v>10</v>
      </c>
    </row>
    <row r="392" spans="1:10" ht="15.75" customHeight="1" x14ac:dyDescent="0.2">
      <c r="A392" s="24" t="s">
        <v>1275</v>
      </c>
      <c r="B392" s="24">
        <v>876.75391402790001</v>
      </c>
      <c r="C392" s="24">
        <v>-3.4291437241403901</v>
      </c>
      <c r="D392" s="24">
        <v>0.47578585367544002</v>
      </c>
      <c r="E392" s="24">
        <v>-7.2073259380250496</v>
      </c>
      <c r="F392" s="26">
        <v>5.7061308378752596E-13</v>
      </c>
      <c r="G392" s="26">
        <v>1.2980522843139801E-9</v>
      </c>
      <c r="H392" s="33" t="s">
        <v>1276</v>
      </c>
      <c r="I392" s="33" t="s">
        <v>1277</v>
      </c>
      <c r="J392" s="33" t="s">
        <v>10</v>
      </c>
    </row>
    <row r="393" spans="1:10" ht="15.75" customHeight="1" x14ac:dyDescent="0.2">
      <c r="A393" s="24" t="s">
        <v>1278</v>
      </c>
      <c r="B393" s="24">
        <v>282.10010282588502</v>
      </c>
      <c r="C393" s="24">
        <v>-2.6830589080878098</v>
      </c>
      <c r="D393" s="24">
        <v>0.37231507936622699</v>
      </c>
      <c r="E393" s="24">
        <v>-7.2064201983305303</v>
      </c>
      <c r="F393" s="26">
        <v>5.74419615515498E-13</v>
      </c>
      <c r="G393" s="26">
        <v>1.2980522843139801E-9</v>
      </c>
      <c r="H393" s="33" t="s">
        <v>10</v>
      </c>
      <c r="I393" s="33" t="s">
        <v>369</v>
      </c>
      <c r="J393" s="33" t="s">
        <v>10</v>
      </c>
    </row>
    <row r="394" spans="1:10" ht="15.75" customHeight="1" x14ac:dyDescent="0.2">
      <c r="A394" s="24" t="s">
        <v>1279</v>
      </c>
      <c r="B394" s="24">
        <v>373.458835249331</v>
      </c>
      <c r="C394" s="24">
        <v>-3.5473604456575498</v>
      </c>
      <c r="D394" s="24">
        <v>0.49422973348128002</v>
      </c>
      <c r="E394" s="24">
        <v>-7.1775536867652203</v>
      </c>
      <c r="F394" s="26">
        <v>7.0969793520643901E-13</v>
      </c>
      <c r="G394" s="26">
        <v>1.5626274716439E-9</v>
      </c>
      <c r="H394" s="33" t="s">
        <v>45</v>
      </c>
      <c r="I394" s="33" t="s">
        <v>1280</v>
      </c>
      <c r="J394" s="33" t="s">
        <v>10</v>
      </c>
    </row>
    <row r="395" spans="1:10" ht="15.75" customHeight="1" x14ac:dyDescent="0.2">
      <c r="A395" s="24" t="s">
        <v>1281</v>
      </c>
      <c r="B395" s="24">
        <v>550.35590969460998</v>
      </c>
      <c r="C395" s="24">
        <v>-3.83264749357568</v>
      </c>
      <c r="D395" s="24">
        <v>0.54708434200901002</v>
      </c>
      <c r="E395" s="24">
        <v>-7.0055879857598899</v>
      </c>
      <c r="F395" s="26">
        <v>2.4595071064098802E-12</v>
      </c>
      <c r="G395" s="26">
        <v>4.69334077187828E-9</v>
      </c>
      <c r="H395" s="33" t="s">
        <v>10</v>
      </c>
      <c r="I395" s="33" t="s">
        <v>4157</v>
      </c>
      <c r="J395" s="33" t="s">
        <v>10</v>
      </c>
    </row>
    <row r="396" spans="1:10" ht="15.75" customHeight="1" x14ac:dyDescent="0.2">
      <c r="A396" s="24" t="s">
        <v>1282</v>
      </c>
      <c r="B396" s="24">
        <v>132.14704419132701</v>
      </c>
      <c r="C396" s="24">
        <v>-2.9623930506938998</v>
      </c>
      <c r="D396" s="24">
        <v>0.42429994298441498</v>
      </c>
      <c r="E396" s="24">
        <v>-6.98183702278439</v>
      </c>
      <c r="F396" s="26">
        <v>2.9134500003679999E-12</v>
      </c>
      <c r="G396" s="26">
        <v>5.4387144561217601E-9</v>
      </c>
      <c r="H396" s="33" t="s">
        <v>10</v>
      </c>
      <c r="I396" s="33" t="s">
        <v>10</v>
      </c>
      <c r="J396" s="33" t="s">
        <v>10</v>
      </c>
    </row>
    <row r="397" spans="1:10" ht="15.75" customHeight="1" x14ac:dyDescent="0.2">
      <c r="A397" s="24" t="s">
        <v>1284</v>
      </c>
      <c r="B397" s="24">
        <v>190.891115049642</v>
      </c>
      <c r="C397" s="24">
        <v>-2.9526449685408198</v>
      </c>
      <c r="D397" s="24">
        <v>0.426488852125186</v>
      </c>
      <c r="E397" s="24">
        <v>-6.9231468860858802</v>
      </c>
      <c r="F397" s="26">
        <v>4.4171932874615199E-12</v>
      </c>
      <c r="G397" s="26">
        <v>7.4374275448550603E-9</v>
      </c>
      <c r="H397" s="33" t="s">
        <v>504</v>
      </c>
      <c r="I397" s="33" t="s">
        <v>10</v>
      </c>
      <c r="J397" s="33" t="s">
        <v>10</v>
      </c>
    </row>
    <row r="398" spans="1:10" ht="15.75" customHeight="1" x14ac:dyDescent="0.2">
      <c r="A398" s="24" t="s">
        <v>1285</v>
      </c>
      <c r="B398" s="24">
        <v>878.28694770652601</v>
      </c>
      <c r="C398" s="24">
        <v>-3.6261099845820501</v>
      </c>
      <c r="D398" s="24">
        <v>0.52518635450358697</v>
      </c>
      <c r="E398" s="24">
        <v>-6.9044253596601797</v>
      </c>
      <c r="F398" s="26">
        <v>5.0407051942643E-12</v>
      </c>
      <c r="G398" s="26">
        <v>8.1669885988050806E-9</v>
      </c>
      <c r="H398" s="33" t="s">
        <v>10</v>
      </c>
      <c r="I398" s="33" t="s">
        <v>10</v>
      </c>
      <c r="J398" s="33" t="s">
        <v>10</v>
      </c>
    </row>
    <row r="399" spans="1:10" ht="15.75" customHeight="1" x14ac:dyDescent="0.2">
      <c r="A399" s="24" t="s">
        <v>1286</v>
      </c>
      <c r="B399" s="24">
        <v>920.58656581063099</v>
      </c>
      <c r="C399" s="24">
        <v>-5.8554113225820803</v>
      </c>
      <c r="D399" s="24">
        <v>0.85220792485857799</v>
      </c>
      <c r="E399" s="24">
        <v>-6.8708717107433204</v>
      </c>
      <c r="F399" s="26">
        <v>6.3810760834284703E-12</v>
      </c>
      <c r="G399" s="26">
        <v>1.0147210821483101E-8</v>
      </c>
      <c r="H399" s="33" t="s">
        <v>3156</v>
      </c>
      <c r="I399" s="33" t="s">
        <v>4158</v>
      </c>
      <c r="J399" s="33" t="s">
        <v>10</v>
      </c>
    </row>
    <row r="400" spans="1:10" ht="15.75" customHeight="1" x14ac:dyDescent="0.2">
      <c r="A400" s="24" t="s">
        <v>1287</v>
      </c>
      <c r="B400" s="24">
        <v>161.698661417095</v>
      </c>
      <c r="C400" s="24">
        <v>-3.0583639184305702</v>
      </c>
      <c r="D400" s="24">
        <v>0.44732152537637798</v>
      </c>
      <c r="E400" s="24">
        <v>-6.8370595755642398</v>
      </c>
      <c r="F400" s="26">
        <v>8.0835131513891997E-12</v>
      </c>
      <c r="G400" s="26">
        <v>1.2395345675409699E-8</v>
      </c>
      <c r="H400" s="33" t="s">
        <v>10</v>
      </c>
      <c r="I400" s="33" t="s">
        <v>10</v>
      </c>
      <c r="J400" s="33" t="s">
        <v>10</v>
      </c>
    </row>
    <row r="401" spans="1:10" ht="15.75" customHeight="1" x14ac:dyDescent="0.2">
      <c r="A401" s="24" t="s">
        <v>1288</v>
      </c>
      <c r="B401" s="24">
        <v>116.925528795668</v>
      </c>
      <c r="C401" s="24">
        <v>-4.4793027156724596</v>
      </c>
      <c r="D401" s="24">
        <v>0.65732640824801802</v>
      </c>
      <c r="E401" s="24">
        <v>-6.8144268349285104</v>
      </c>
      <c r="F401" s="26">
        <v>9.4640324576499798E-12</v>
      </c>
      <c r="G401" s="26">
        <v>1.42576479152783E-8</v>
      </c>
      <c r="H401" s="33" t="s">
        <v>3848</v>
      </c>
      <c r="I401" s="33" t="s">
        <v>4159</v>
      </c>
      <c r="J401" s="33" t="s">
        <v>10</v>
      </c>
    </row>
    <row r="402" spans="1:10" ht="15.75" customHeight="1" x14ac:dyDescent="0.2">
      <c r="A402" s="24" t="s">
        <v>1289</v>
      </c>
      <c r="B402" s="24">
        <v>319.53678648631097</v>
      </c>
      <c r="C402" s="24">
        <v>-3.4274942532040198</v>
      </c>
      <c r="D402" s="24">
        <v>0.50450491468357805</v>
      </c>
      <c r="E402" s="24">
        <v>-6.7937777283175302</v>
      </c>
      <c r="F402" s="26">
        <v>1.09234642717099E-11</v>
      </c>
      <c r="G402" s="26">
        <v>1.6172565525448199E-8</v>
      </c>
      <c r="H402" s="33" t="s">
        <v>1290</v>
      </c>
      <c r="I402" s="33" t="s">
        <v>369</v>
      </c>
      <c r="J402" s="33" t="s">
        <v>10</v>
      </c>
    </row>
    <row r="403" spans="1:10" ht="15.75" customHeight="1" x14ac:dyDescent="0.2">
      <c r="A403" s="24" t="s">
        <v>1291</v>
      </c>
      <c r="B403" s="24">
        <v>979.40061169591695</v>
      </c>
      <c r="C403" s="24">
        <v>-2.8821165874725798</v>
      </c>
      <c r="D403" s="24">
        <v>0.42444720445408202</v>
      </c>
      <c r="E403" s="24">
        <v>-6.7902828837794296</v>
      </c>
      <c r="F403" s="26">
        <v>1.1191388386228999E-11</v>
      </c>
      <c r="G403" s="26">
        <v>1.6288401900235099E-8</v>
      </c>
      <c r="H403" s="33" t="s">
        <v>10</v>
      </c>
      <c r="I403" s="33" t="s">
        <v>1292</v>
      </c>
      <c r="J403" s="33" t="s">
        <v>10</v>
      </c>
    </row>
    <row r="404" spans="1:10" ht="15.75" customHeight="1" x14ac:dyDescent="0.2">
      <c r="A404" s="24" t="s">
        <v>1293</v>
      </c>
      <c r="B404" s="24">
        <v>922.79673250625206</v>
      </c>
      <c r="C404" s="24">
        <v>-4.2390865883895898</v>
      </c>
      <c r="D404" s="24">
        <v>0.62683511291691696</v>
      </c>
      <c r="E404" s="24">
        <v>-6.7626820850277696</v>
      </c>
      <c r="F404" s="26">
        <v>1.3546026788314899E-11</v>
      </c>
      <c r="G404" s="26">
        <v>1.93868477723232E-8</v>
      </c>
      <c r="H404" s="33" t="s">
        <v>4115</v>
      </c>
      <c r="I404" s="33" t="s">
        <v>4160</v>
      </c>
      <c r="J404" s="33" t="s">
        <v>3054</v>
      </c>
    </row>
    <row r="405" spans="1:10" ht="15.75" customHeight="1" x14ac:dyDescent="0.2">
      <c r="A405" s="24" t="s">
        <v>1294</v>
      </c>
      <c r="B405" s="24">
        <v>53.288182225484398</v>
      </c>
      <c r="C405" s="24">
        <v>-4.7363519014303304</v>
      </c>
      <c r="D405" s="24">
        <v>0.701637515999324</v>
      </c>
      <c r="E405" s="24">
        <v>-6.7504256734112298</v>
      </c>
      <c r="F405" s="26">
        <v>1.4741202220730598E-11</v>
      </c>
      <c r="G405" s="26">
        <v>2.0416802837038001E-8</v>
      </c>
      <c r="H405" s="33" t="s">
        <v>10</v>
      </c>
      <c r="I405" s="33" t="s">
        <v>1270</v>
      </c>
      <c r="J405" s="33" t="s">
        <v>10</v>
      </c>
    </row>
    <row r="406" spans="1:10" ht="15.75" customHeight="1" x14ac:dyDescent="0.2">
      <c r="A406" s="24" t="s">
        <v>1295</v>
      </c>
      <c r="B406" s="24">
        <v>159.10235412282199</v>
      </c>
      <c r="C406" s="24">
        <v>-5.3807868472450604</v>
      </c>
      <c r="D406" s="24">
        <v>0.79857170136623101</v>
      </c>
      <c r="E406" s="24">
        <v>-6.7380134282737201</v>
      </c>
      <c r="F406" s="26">
        <v>1.6056673314543001E-11</v>
      </c>
      <c r="G406" s="26">
        <v>2.1885755463382899E-8</v>
      </c>
      <c r="H406" s="33" t="s">
        <v>10</v>
      </c>
      <c r="I406" s="33" t="s">
        <v>10</v>
      </c>
      <c r="J406" s="33" t="s">
        <v>10</v>
      </c>
    </row>
    <row r="407" spans="1:10" ht="15.75" customHeight="1" x14ac:dyDescent="0.2">
      <c r="A407" s="24" t="s">
        <v>1296</v>
      </c>
      <c r="B407" s="24">
        <v>97.780289368041807</v>
      </c>
      <c r="C407" s="24">
        <v>-6.0857095064538296</v>
      </c>
      <c r="D407" s="24">
        <v>0.90446435939654801</v>
      </c>
      <c r="E407" s="24">
        <v>-6.72852328920309</v>
      </c>
      <c r="F407" s="26">
        <v>1.7139356865772199E-11</v>
      </c>
      <c r="G407" s="26">
        <v>2.2642672514165001E-8</v>
      </c>
      <c r="H407" s="33" t="s">
        <v>429</v>
      </c>
      <c r="I407" s="33" t="s">
        <v>4161</v>
      </c>
      <c r="J407" s="33" t="s">
        <v>10</v>
      </c>
    </row>
    <row r="408" spans="1:10" ht="15.75" customHeight="1" x14ac:dyDescent="0.2">
      <c r="A408" s="24" t="s">
        <v>1297</v>
      </c>
      <c r="B408" s="24">
        <v>463.01921217015899</v>
      </c>
      <c r="C408" s="24">
        <v>-2.4701573915031698</v>
      </c>
      <c r="D408" s="24">
        <v>0.37092350734433299</v>
      </c>
      <c r="E408" s="24">
        <v>-6.6594792257534001</v>
      </c>
      <c r="F408" s="26">
        <v>2.74799541311711E-11</v>
      </c>
      <c r="G408" s="26">
        <v>3.2774043627747099E-8</v>
      </c>
      <c r="H408" s="33" t="s">
        <v>1298</v>
      </c>
      <c r="I408" s="33" t="s">
        <v>3925</v>
      </c>
      <c r="J408" s="33" t="s">
        <v>10</v>
      </c>
    </row>
    <row r="409" spans="1:10" ht="15.75" customHeight="1" x14ac:dyDescent="0.2">
      <c r="A409" s="28" t="s">
        <v>1299</v>
      </c>
      <c r="B409" s="24">
        <v>1044.00870960823</v>
      </c>
      <c r="C409" s="24">
        <v>-3.3135729632331601</v>
      </c>
      <c r="D409" s="24">
        <v>0.49835081828651101</v>
      </c>
      <c r="E409" s="24">
        <v>-6.6490769988625296</v>
      </c>
      <c r="F409" s="26">
        <v>2.9493668405412098E-11</v>
      </c>
      <c r="G409" s="26">
        <v>3.4693846570426599E-8</v>
      </c>
      <c r="H409" s="33" t="s">
        <v>3856</v>
      </c>
      <c r="I409" s="33" t="s">
        <v>3980</v>
      </c>
      <c r="J409" s="33" t="s">
        <v>4081</v>
      </c>
    </row>
    <row r="410" spans="1:10" ht="15.75" customHeight="1" x14ac:dyDescent="0.2">
      <c r="A410" s="24" t="s">
        <v>1300</v>
      </c>
      <c r="B410" s="24">
        <v>2222.8781651440599</v>
      </c>
      <c r="C410" s="24">
        <v>-2.9935374337544398</v>
      </c>
      <c r="D410" s="24">
        <v>0.45157400540255399</v>
      </c>
      <c r="E410" s="24">
        <v>-6.6291181466166504</v>
      </c>
      <c r="F410" s="26">
        <v>3.37698217452181E-11</v>
      </c>
      <c r="G410" s="26">
        <v>3.76603683517354E-8</v>
      </c>
      <c r="H410" s="33" t="s">
        <v>1301</v>
      </c>
      <c r="I410" s="33" t="s">
        <v>1302</v>
      </c>
      <c r="J410" s="33" t="s">
        <v>10</v>
      </c>
    </row>
    <row r="411" spans="1:10" ht="15.75" customHeight="1" x14ac:dyDescent="0.2">
      <c r="A411" s="24" t="s">
        <v>1303</v>
      </c>
      <c r="B411" s="24">
        <v>212.8688006097</v>
      </c>
      <c r="C411" s="24">
        <v>-2.6283062726484498</v>
      </c>
      <c r="D411" s="24">
        <v>0.39943814468980399</v>
      </c>
      <c r="E411" s="24">
        <v>-6.58000821301016</v>
      </c>
      <c r="F411" s="26">
        <v>4.7042228303344398E-11</v>
      </c>
      <c r="G411" s="26">
        <v>5.0494539832956099E-8</v>
      </c>
      <c r="H411" s="33" t="s">
        <v>10</v>
      </c>
      <c r="I411" s="33" t="s">
        <v>10</v>
      </c>
      <c r="J411" s="33" t="s">
        <v>10</v>
      </c>
    </row>
    <row r="412" spans="1:10" ht="15.75" customHeight="1" x14ac:dyDescent="0.2">
      <c r="A412" s="24" t="s">
        <v>1304</v>
      </c>
      <c r="B412" s="24">
        <v>54.296889225930698</v>
      </c>
      <c r="C412" s="24">
        <v>-4.1630873244365798</v>
      </c>
      <c r="D412" s="24">
        <v>0.63485620669855303</v>
      </c>
      <c r="E412" s="24">
        <v>-6.5575279575290102</v>
      </c>
      <c r="F412" s="26">
        <v>5.4707056741905902E-11</v>
      </c>
      <c r="G412" s="26">
        <v>5.79969094998049E-8</v>
      </c>
      <c r="H412" s="33" t="s">
        <v>10</v>
      </c>
      <c r="I412" s="33" t="s">
        <v>1270</v>
      </c>
      <c r="J412" s="33" t="s">
        <v>10</v>
      </c>
    </row>
    <row r="413" spans="1:10" ht="15.75" customHeight="1" x14ac:dyDescent="0.2">
      <c r="A413" s="24" t="s">
        <v>1305</v>
      </c>
      <c r="B413" s="24">
        <v>548.51433784700203</v>
      </c>
      <c r="C413" s="24">
        <v>-3.1673185857882502</v>
      </c>
      <c r="D413" s="24">
        <v>0.48945692832779297</v>
      </c>
      <c r="E413" s="24">
        <v>-6.4710874491229404</v>
      </c>
      <c r="F413" s="26">
        <v>9.7300099048561203E-11</v>
      </c>
      <c r="G413" s="26">
        <v>9.8297138887047003E-8</v>
      </c>
      <c r="H413" s="33" t="s">
        <v>1306</v>
      </c>
      <c r="I413" s="33" t="s">
        <v>1307</v>
      </c>
      <c r="J413" s="33" t="s">
        <v>10</v>
      </c>
    </row>
    <row r="414" spans="1:10" ht="15.75" customHeight="1" x14ac:dyDescent="0.2">
      <c r="A414" s="24" t="s">
        <v>1308</v>
      </c>
      <c r="B414" s="24">
        <v>79.758737682631505</v>
      </c>
      <c r="C414" s="24">
        <v>-3.8449062889571199</v>
      </c>
      <c r="D414" s="24">
        <v>0.60114710943644001</v>
      </c>
      <c r="E414" s="24">
        <v>-6.3959490590608103</v>
      </c>
      <c r="F414" s="26">
        <v>1.5955319419676099E-10</v>
      </c>
      <c r="G414" s="26">
        <v>1.5569309475988701E-7</v>
      </c>
      <c r="H414" s="33" t="s">
        <v>10</v>
      </c>
      <c r="I414" s="33" t="s">
        <v>1270</v>
      </c>
      <c r="J414" s="33" t="s">
        <v>10</v>
      </c>
    </row>
    <row r="415" spans="1:10" ht="15.75" customHeight="1" x14ac:dyDescent="0.2">
      <c r="A415" s="24" t="s">
        <v>1309</v>
      </c>
      <c r="B415" s="24">
        <v>136.63497487649701</v>
      </c>
      <c r="C415" s="24">
        <v>-2.8803427006814202</v>
      </c>
      <c r="D415" s="24">
        <v>0.45185766440922498</v>
      </c>
      <c r="E415" s="24">
        <v>-6.3744469277671501</v>
      </c>
      <c r="F415" s="26">
        <v>1.8362438817017301E-10</v>
      </c>
      <c r="G415" s="26">
        <v>1.77168649848999E-7</v>
      </c>
      <c r="H415" s="33" t="s">
        <v>1310</v>
      </c>
      <c r="I415" s="33" t="s">
        <v>1311</v>
      </c>
      <c r="J415" s="33" t="s">
        <v>10</v>
      </c>
    </row>
    <row r="416" spans="1:10" ht="15.75" customHeight="1" x14ac:dyDescent="0.2">
      <c r="A416" s="24" t="s">
        <v>1312</v>
      </c>
      <c r="B416" s="24">
        <v>868.10832908278701</v>
      </c>
      <c r="C416" s="24">
        <v>-2.8196235644757901</v>
      </c>
      <c r="D416" s="24">
        <v>0.44578710602781502</v>
      </c>
      <c r="E416" s="24">
        <v>-6.3250451310717297</v>
      </c>
      <c r="F416" s="26">
        <v>2.53158580941114E-10</v>
      </c>
      <c r="G416" s="26">
        <v>2.3888989564828999E-7</v>
      </c>
      <c r="H416" s="33" t="s">
        <v>10</v>
      </c>
      <c r="I416" s="33" t="s">
        <v>369</v>
      </c>
      <c r="J416" s="33" t="s">
        <v>10</v>
      </c>
    </row>
    <row r="417" spans="1:10" ht="15.75" customHeight="1" x14ac:dyDescent="0.2">
      <c r="A417" s="24" t="s">
        <v>1313</v>
      </c>
      <c r="B417" s="24">
        <v>102.68923532982799</v>
      </c>
      <c r="C417" s="24">
        <v>-3.1773277432914702</v>
      </c>
      <c r="D417" s="24">
        <v>0.50411219353261305</v>
      </c>
      <c r="E417" s="24">
        <v>-6.3028186662695997</v>
      </c>
      <c r="F417" s="26">
        <v>2.9228077874918102E-10</v>
      </c>
      <c r="G417" s="26">
        <v>2.6987572851581601E-7</v>
      </c>
      <c r="H417" s="33" t="s">
        <v>10</v>
      </c>
      <c r="I417" s="33" t="s">
        <v>369</v>
      </c>
      <c r="J417" s="33" t="s">
        <v>10</v>
      </c>
    </row>
    <row r="418" spans="1:10" ht="15.75" customHeight="1" x14ac:dyDescent="0.2">
      <c r="A418" s="24" t="s">
        <v>1314</v>
      </c>
      <c r="B418" s="24">
        <v>741.495108615758</v>
      </c>
      <c r="C418" s="24">
        <v>-4.4137317289524702</v>
      </c>
      <c r="D418" s="24">
        <v>0.702607697892765</v>
      </c>
      <c r="E418" s="24">
        <v>-6.2819290796129401</v>
      </c>
      <c r="F418" s="26">
        <v>3.34397397486199E-10</v>
      </c>
      <c r="G418" s="26">
        <v>3.0226356757407799E-7</v>
      </c>
      <c r="H418" s="33" t="s">
        <v>10</v>
      </c>
      <c r="I418" s="33" t="s">
        <v>1270</v>
      </c>
      <c r="J418" s="33" t="s">
        <v>10</v>
      </c>
    </row>
    <row r="419" spans="1:10" ht="15.75" customHeight="1" x14ac:dyDescent="0.2">
      <c r="A419" s="24" t="s">
        <v>1315</v>
      </c>
      <c r="B419" s="24">
        <v>1135.87610746165</v>
      </c>
      <c r="C419" s="24">
        <v>-2.5517819092576399</v>
      </c>
      <c r="D419" s="24">
        <v>0.407247683549677</v>
      </c>
      <c r="E419" s="24">
        <v>-6.2659212374534299</v>
      </c>
      <c r="F419" s="26">
        <v>3.7062764485000899E-10</v>
      </c>
      <c r="G419" s="26">
        <v>3.3152256761369902E-7</v>
      </c>
      <c r="H419" s="33" t="s">
        <v>10</v>
      </c>
      <c r="I419" s="33" t="s">
        <v>1292</v>
      </c>
      <c r="J419" s="33" t="s">
        <v>10</v>
      </c>
    </row>
    <row r="420" spans="1:10" ht="15.75" customHeight="1" x14ac:dyDescent="0.2">
      <c r="A420" s="24" t="s">
        <v>1316</v>
      </c>
      <c r="B420" s="24">
        <v>1399.8225266804</v>
      </c>
      <c r="C420" s="24">
        <v>-2.0189812277356198</v>
      </c>
      <c r="D420" s="24">
        <v>0.32258057323470601</v>
      </c>
      <c r="E420" s="24">
        <v>-6.2588432015297899</v>
      </c>
      <c r="F420" s="26">
        <v>3.8784357600845402E-10</v>
      </c>
      <c r="G420" s="26">
        <v>3.3304515715422002E-7</v>
      </c>
      <c r="H420" s="33" t="s">
        <v>1317</v>
      </c>
      <c r="I420" s="33" t="s">
        <v>3976</v>
      </c>
      <c r="J420" s="33" t="s">
        <v>4079</v>
      </c>
    </row>
    <row r="421" spans="1:10" ht="15.75" customHeight="1" x14ac:dyDescent="0.2">
      <c r="A421" s="24" t="s">
        <v>1318</v>
      </c>
      <c r="B421" s="24">
        <v>269.14875873496999</v>
      </c>
      <c r="C421" s="24">
        <v>-3.0117715296510701</v>
      </c>
      <c r="D421" s="24">
        <v>0.48141456269023503</v>
      </c>
      <c r="E421" s="24">
        <v>-6.2560872957824998</v>
      </c>
      <c r="F421" s="26">
        <v>3.94755838751942E-10</v>
      </c>
      <c r="G421" s="26">
        <v>3.3562454088582202E-7</v>
      </c>
      <c r="H421" s="33" t="s">
        <v>10</v>
      </c>
      <c r="I421" s="33" t="s">
        <v>1270</v>
      </c>
      <c r="J421" s="33" t="s">
        <v>10</v>
      </c>
    </row>
    <row r="422" spans="1:10" ht="15.75" customHeight="1" x14ac:dyDescent="0.2">
      <c r="A422" s="24" t="s">
        <v>1319</v>
      </c>
      <c r="B422" s="24">
        <v>124.268902752315</v>
      </c>
      <c r="C422" s="24">
        <v>-6.3100122585365597</v>
      </c>
      <c r="D422" s="24">
        <v>1.0143803097508</v>
      </c>
      <c r="E422" s="24">
        <v>-6.2205586976414402</v>
      </c>
      <c r="F422" s="26">
        <v>4.95387691935695E-10</v>
      </c>
      <c r="G422" s="26">
        <v>4.05137490421048E-7</v>
      </c>
      <c r="H422" s="33" t="s">
        <v>1320</v>
      </c>
      <c r="I422" s="33" t="s">
        <v>1321</v>
      </c>
      <c r="J422" s="33" t="s">
        <v>10</v>
      </c>
    </row>
    <row r="423" spans="1:10" ht="15.75" customHeight="1" x14ac:dyDescent="0.2">
      <c r="A423" s="24" t="s">
        <v>1322</v>
      </c>
      <c r="B423" s="24">
        <v>1396.79115382451</v>
      </c>
      <c r="C423" s="24">
        <v>-7.6611399368065998</v>
      </c>
      <c r="D423" s="24">
        <v>1.25638245979416</v>
      </c>
      <c r="E423" s="24">
        <v>-6.0977768967434898</v>
      </c>
      <c r="F423" s="26">
        <v>1.0755371179390799E-9</v>
      </c>
      <c r="G423" s="26">
        <v>8.2462007012987998E-7</v>
      </c>
      <c r="H423" s="33" t="s">
        <v>10</v>
      </c>
      <c r="I423" s="33" t="s">
        <v>1270</v>
      </c>
      <c r="J423" s="33" t="s">
        <v>10</v>
      </c>
    </row>
    <row r="424" spans="1:10" ht="15.75" customHeight="1" x14ac:dyDescent="0.2">
      <c r="A424" s="24" t="s">
        <v>1323</v>
      </c>
      <c r="B424" s="24">
        <v>62.408686579671802</v>
      </c>
      <c r="C424" s="24">
        <v>-4.97459267170741</v>
      </c>
      <c r="D424" s="24">
        <v>0.821169419952401</v>
      </c>
      <c r="E424" s="24">
        <v>-6.0579370722253199</v>
      </c>
      <c r="F424" s="26">
        <v>1.37878310141304E-9</v>
      </c>
      <c r="G424" s="26">
        <v>9.8664569751199401E-7</v>
      </c>
      <c r="H424" s="33" t="s">
        <v>4116</v>
      </c>
      <c r="I424" s="33" t="s">
        <v>4162</v>
      </c>
      <c r="J424" s="33" t="s">
        <v>10</v>
      </c>
    </row>
    <row r="425" spans="1:10" ht="15.75" customHeight="1" x14ac:dyDescent="0.2">
      <c r="A425" s="24" t="s">
        <v>1326</v>
      </c>
      <c r="B425" s="24">
        <v>218.22099649658099</v>
      </c>
      <c r="C425" s="24">
        <v>-2.7402227406297799</v>
      </c>
      <c r="D425" s="24">
        <v>0.455088847295743</v>
      </c>
      <c r="E425" s="24">
        <v>-6.0212917915103699</v>
      </c>
      <c r="F425" s="26">
        <v>1.7303050039357099E-9</v>
      </c>
      <c r="G425" s="26">
        <v>1.21789361469642E-6</v>
      </c>
      <c r="H425" s="33" t="s">
        <v>10</v>
      </c>
      <c r="I425" s="33" t="s">
        <v>4163</v>
      </c>
      <c r="J425" s="33" t="s">
        <v>4107</v>
      </c>
    </row>
    <row r="426" spans="1:10" ht="15.75" customHeight="1" x14ac:dyDescent="0.2">
      <c r="A426" s="24" t="s">
        <v>1327</v>
      </c>
      <c r="B426" s="24">
        <v>71.180547822213697</v>
      </c>
      <c r="C426" s="24">
        <v>-2.7618543707051102</v>
      </c>
      <c r="D426" s="24">
        <v>0.458913735231541</v>
      </c>
      <c r="E426" s="24">
        <v>-6.0182429913797302</v>
      </c>
      <c r="F426" s="26">
        <v>1.7632038150781601E-9</v>
      </c>
      <c r="G426" s="26">
        <v>1.23095995776079E-6</v>
      </c>
      <c r="H426" s="33" t="s">
        <v>10</v>
      </c>
      <c r="I426" s="33" t="s">
        <v>1270</v>
      </c>
      <c r="J426" s="33" t="s">
        <v>10</v>
      </c>
    </row>
    <row r="427" spans="1:10" ht="15.75" customHeight="1" x14ac:dyDescent="0.2">
      <c r="A427" s="24" t="s">
        <v>1328</v>
      </c>
      <c r="B427" s="24">
        <v>40.871311126314801</v>
      </c>
      <c r="C427" s="24">
        <v>-4.8301066873415204</v>
      </c>
      <c r="D427" s="24">
        <v>0.80369383666180105</v>
      </c>
      <c r="E427" s="24">
        <v>-6.00988394710566</v>
      </c>
      <c r="F427" s="26">
        <v>1.8565617871380901E-9</v>
      </c>
      <c r="G427" s="26">
        <v>1.2753985377866799E-6</v>
      </c>
      <c r="H427" s="33" t="s">
        <v>10</v>
      </c>
      <c r="I427" s="33" t="s">
        <v>369</v>
      </c>
      <c r="J427" s="33" t="s">
        <v>10</v>
      </c>
    </row>
    <row r="428" spans="1:10" ht="15.75" customHeight="1" x14ac:dyDescent="0.2">
      <c r="A428" s="24" t="s">
        <v>1329</v>
      </c>
      <c r="B428" s="24">
        <v>65.741587409899793</v>
      </c>
      <c r="C428" s="24">
        <v>-4.2914531464669698</v>
      </c>
      <c r="D428" s="24">
        <v>0.716356247619931</v>
      </c>
      <c r="E428" s="24">
        <v>-5.9906689733288099</v>
      </c>
      <c r="F428" s="26">
        <v>2.0897961893418601E-9</v>
      </c>
      <c r="G428" s="26">
        <v>1.3911076633718901E-6</v>
      </c>
      <c r="H428" s="33" t="s">
        <v>335</v>
      </c>
      <c r="I428" s="33" t="s">
        <v>1330</v>
      </c>
      <c r="J428" s="33" t="s">
        <v>10</v>
      </c>
    </row>
    <row r="429" spans="1:10" ht="15.75" customHeight="1" x14ac:dyDescent="0.2">
      <c r="A429" s="24" t="s">
        <v>1331</v>
      </c>
      <c r="B429" s="24">
        <v>67.404173944300197</v>
      </c>
      <c r="C429" s="24">
        <v>-2.8799121968522101</v>
      </c>
      <c r="D429" s="24">
        <v>0.48102585485174798</v>
      </c>
      <c r="E429" s="24">
        <v>-5.9870216284731699</v>
      </c>
      <c r="F429" s="26">
        <v>2.1371837261451801E-9</v>
      </c>
      <c r="G429" s="26">
        <v>1.41170849036779E-6</v>
      </c>
      <c r="H429" s="33" t="s">
        <v>139</v>
      </c>
      <c r="I429" s="33" t="s">
        <v>140</v>
      </c>
      <c r="J429" s="33" t="s">
        <v>3068</v>
      </c>
    </row>
    <row r="430" spans="1:10" ht="15.75" customHeight="1" x14ac:dyDescent="0.2">
      <c r="A430" s="24" t="s">
        <v>1332</v>
      </c>
      <c r="B430" s="24">
        <v>83.778562721148504</v>
      </c>
      <c r="C430" s="24">
        <v>-5.3493186996695101</v>
      </c>
      <c r="D430" s="24">
        <v>0.89959589955643304</v>
      </c>
      <c r="E430" s="24">
        <v>-5.9463573614631997</v>
      </c>
      <c r="F430" s="26">
        <v>2.7417523231664002E-9</v>
      </c>
      <c r="G430" s="26">
        <v>1.73159922279021E-6</v>
      </c>
      <c r="H430" s="33" t="s">
        <v>10</v>
      </c>
      <c r="I430" s="33" t="s">
        <v>369</v>
      </c>
      <c r="J430" s="33" t="s">
        <v>10</v>
      </c>
    </row>
    <row r="431" spans="1:10" ht="15.75" customHeight="1" x14ac:dyDescent="0.2">
      <c r="A431" s="24" t="s">
        <v>1333</v>
      </c>
      <c r="B431" s="24">
        <v>80.019414419469001</v>
      </c>
      <c r="C431" s="24">
        <v>-3.1976574240739701</v>
      </c>
      <c r="D431" s="24">
        <v>0.53805226566529496</v>
      </c>
      <c r="E431" s="24">
        <v>-5.9430238066558703</v>
      </c>
      <c r="F431" s="26">
        <v>2.7981177831022101E-9</v>
      </c>
      <c r="G431" s="26">
        <v>1.74113892864326E-6</v>
      </c>
      <c r="H431" s="33" t="s">
        <v>10</v>
      </c>
      <c r="I431" s="33" t="s">
        <v>1270</v>
      </c>
      <c r="J431" s="33" t="s">
        <v>10</v>
      </c>
    </row>
    <row r="432" spans="1:10" ht="15.75" customHeight="1" x14ac:dyDescent="0.2">
      <c r="A432" s="24" t="s">
        <v>1334</v>
      </c>
      <c r="B432" s="24">
        <v>68.011376726689207</v>
      </c>
      <c r="C432" s="24">
        <v>-4.0461806945334597</v>
      </c>
      <c r="D432" s="24">
        <v>0.68228018822250602</v>
      </c>
      <c r="E432" s="24">
        <v>-5.9303798708777897</v>
      </c>
      <c r="F432" s="26">
        <v>3.02234635354748E-9</v>
      </c>
      <c r="G432" s="26">
        <v>1.84065179947146E-6</v>
      </c>
      <c r="H432" s="33" t="s">
        <v>10</v>
      </c>
      <c r="I432" s="33" t="s">
        <v>10</v>
      </c>
      <c r="J432" s="33" t="s">
        <v>10</v>
      </c>
    </row>
    <row r="433" spans="1:10" ht="15.75" customHeight="1" x14ac:dyDescent="0.2">
      <c r="A433" s="24" t="s">
        <v>1335</v>
      </c>
      <c r="B433" s="24">
        <v>4855.9656685073996</v>
      </c>
      <c r="C433" s="24">
        <v>-2.8482863445417199</v>
      </c>
      <c r="D433" s="24">
        <v>0.481665685252753</v>
      </c>
      <c r="E433" s="24">
        <v>-5.9134093038973399</v>
      </c>
      <c r="F433" s="26">
        <v>3.3509807935878202E-9</v>
      </c>
      <c r="G433" s="26">
        <v>1.9982782758762501E-6</v>
      </c>
      <c r="H433" s="33" t="s">
        <v>4117</v>
      </c>
      <c r="I433" s="33" t="s">
        <v>4164</v>
      </c>
      <c r="J433" s="33" t="s">
        <v>3052</v>
      </c>
    </row>
    <row r="434" spans="1:10" ht="15.75" customHeight="1" x14ac:dyDescent="0.2">
      <c r="A434" s="24" t="s">
        <v>1337</v>
      </c>
      <c r="B434" s="24">
        <v>97.460679479016406</v>
      </c>
      <c r="C434" s="24">
        <v>-3.40180721927692</v>
      </c>
      <c r="D434" s="24">
        <v>0.57830374450986799</v>
      </c>
      <c r="E434" s="24">
        <v>-5.8823883669646104</v>
      </c>
      <c r="F434" s="26">
        <v>4.04388081563102E-9</v>
      </c>
      <c r="G434" s="26">
        <v>2.3305509363694699E-6</v>
      </c>
      <c r="H434" s="33" t="s">
        <v>660</v>
      </c>
      <c r="I434" s="33" t="s">
        <v>1325</v>
      </c>
      <c r="J434" s="33" t="s">
        <v>10</v>
      </c>
    </row>
    <row r="435" spans="1:10" ht="15.75" customHeight="1" x14ac:dyDescent="0.2">
      <c r="A435" s="24" t="s">
        <v>1338</v>
      </c>
      <c r="B435" s="24">
        <v>414.15179431913799</v>
      </c>
      <c r="C435" s="24">
        <v>-2.5810573875700298</v>
      </c>
      <c r="D435" s="24">
        <v>0.44009242706201102</v>
      </c>
      <c r="E435" s="24">
        <v>-5.8648075469072998</v>
      </c>
      <c r="F435" s="26">
        <v>4.4965392890656302E-9</v>
      </c>
      <c r="G435" s="26">
        <v>2.5741488352757002E-6</v>
      </c>
      <c r="H435" s="33" t="s">
        <v>10</v>
      </c>
      <c r="I435" s="33" t="s">
        <v>369</v>
      </c>
      <c r="J435" s="33" t="s">
        <v>10</v>
      </c>
    </row>
    <row r="436" spans="1:10" ht="15.75" customHeight="1" x14ac:dyDescent="0.2">
      <c r="A436" s="24" t="s">
        <v>1339</v>
      </c>
      <c r="B436" s="24">
        <v>97.073037363209906</v>
      </c>
      <c r="C436" s="24">
        <v>-4.5433177908536599</v>
      </c>
      <c r="D436" s="24">
        <v>0.77494929532883505</v>
      </c>
      <c r="E436" s="24">
        <v>-5.86272910787768</v>
      </c>
      <c r="F436" s="26">
        <v>4.5532072019390704E-9</v>
      </c>
      <c r="G436" s="26">
        <v>2.5893275207795399E-6</v>
      </c>
      <c r="H436" s="33" t="s">
        <v>1340</v>
      </c>
      <c r="I436" s="33" t="s">
        <v>4165</v>
      </c>
      <c r="J436" s="33" t="s">
        <v>10</v>
      </c>
    </row>
    <row r="437" spans="1:10" ht="15.75" customHeight="1" x14ac:dyDescent="0.2">
      <c r="A437" s="24" t="s">
        <v>1341</v>
      </c>
      <c r="B437" s="24">
        <v>334.60253866486102</v>
      </c>
      <c r="C437" s="24">
        <v>-3.35719442477237</v>
      </c>
      <c r="D437" s="24">
        <v>0.57401317744191005</v>
      </c>
      <c r="E437" s="24">
        <v>-5.8486365064539196</v>
      </c>
      <c r="F437" s="26">
        <v>4.9561881573741004E-9</v>
      </c>
      <c r="G437" s="26">
        <v>2.7457602145927201E-6</v>
      </c>
      <c r="H437" s="33" t="s">
        <v>1298</v>
      </c>
      <c r="I437" s="33" t="s">
        <v>4166</v>
      </c>
      <c r="J437" s="33" t="s">
        <v>10</v>
      </c>
    </row>
    <row r="438" spans="1:10" ht="15.75" customHeight="1" x14ac:dyDescent="0.2">
      <c r="A438" s="24" t="s">
        <v>1342</v>
      </c>
      <c r="B438" s="24">
        <v>65.490821597269999</v>
      </c>
      <c r="C438" s="24">
        <v>-2.4140927027138699</v>
      </c>
      <c r="D438" s="24">
        <v>0.41377374817923301</v>
      </c>
      <c r="E438" s="24">
        <v>-5.8343302670525299</v>
      </c>
      <c r="F438" s="26">
        <v>5.4007052989417103E-9</v>
      </c>
      <c r="G438" s="26">
        <v>2.9728459277270702E-6</v>
      </c>
      <c r="H438" s="33" t="s">
        <v>263</v>
      </c>
      <c r="I438" s="33" t="s">
        <v>3908</v>
      </c>
      <c r="J438" s="33" t="s">
        <v>10</v>
      </c>
    </row>
    <row r="439" spans="1:10" ht="15.75" customHeight="1" x14ac:dyDescent="0.2">
      <c r="A439" s="24" t="s">
        <v>1343</v>
      </c>
      <c r="B439" s="24">
        <v>71.447190332904299</v>
      </c>
      <c r="C439" s="24">
        <v>-4.0777613773128598</v>
      </c>
      <c r="D439" s="24">
        <v>0.701802182619639</v>
      </c>
      <c r="E439" s="24">
        <v>-5.8104142140049699</v>
      </c>
      <c r="F439" s="26">
        <v>6.2318459871975599E-9</v>
      </c>
      <c r="G439" s="26">
        <v>3.3238189240164099E-6</v>
      </c>
      <c r="H439" s="33" t="s">
        <v>10</v>
      </c>
      <c r="I439" s="33" t="s">
        <v>1270</v>
      </c>
      <c r="J439" s="33" t="s">
        <v>10</v>
      </c>
    </row>
    <row r="440" spans="1:10" ht="15.75" customHeight="1" x14ac:dyDescent="0.2">
      <c r="A440" s="24" t="s">
        <v>1344</v>
      </c>
      <c r="B440" s="24">
        <v>537.75896767779795</v>
      </c>
      <c r="C440" s="24">
        <v>-2.6916900595675002</v>
      </c>
      <c r="D440" s="24">
        <v>0.46399798318375701</v>
      </c>
      <c r="E440" s="24">
        <v>-5.80108137776433</v>
      </c>
      <c r="F440" s="26">
        <v>6.5888612047239299E-9</v>
      </c>
      <c r="G440" s="26">
        <v>3.4499518323832301E-6</v>
      </c>
      <c r="H440" s="33" t="s">
        <v>4118</v>
      </c>
      <c r="I440" s="33" t="s">
        <v>223</v>
      </c>
      <c r="J440" s="33" t="s">
        <v>10</v>
      </c>
    </row>
    <row r="441" spans="1:10" ht="15.75" customHeight="1" x14ac:dyDescent="0.2">
      <c r="A441" s="24" t="s">
        <v>1345</v>
      </c>
      <c r="B441" s="24">
        <v>375.269505918498</v>
      </c>
      <c r="C441" s="24">
        <v>-2.6938022378770099</v>
      </c>
      <c r="D441" s="24">
        <v>0.46613999682160101</v>
      </c>
      <c r="E441" s="24">
        <v>-5.77895537015669</v>
      </c>
      <c r="F441" s="26">
        <v>7.5165860333301897E-9</v>
      </c>
      <c r="G441" s="26">
        <v>3.7526555771400999E-6</v>
      </c>
      <c r="H441" s="33">
        <v>0</v>
      </c>
      <c r="I441" s="33" t="s">
        <v>4167</v>
      </c>
      <c r="J441" s="33" t="s">
        <v>10</v>
      </c>
    </row>
    <row r="442" spans="1:10" ht="15.75" customHeight="1" x14ac:dyDescent="0.2">
      <c r="A442" s="24" t="s">
        <v>1347</v>
      </c>
      <c r="B442" s="24">
        <v>70.586022635714599</v>
      </c>
      <c r="C442" s="24">
        <v>-2.9050368022329298</v>
      </c>
      <c r="D442" s="24">
        <v>0.50327838783176004</v>
      </c>
      <c r="E442" s="24">
        <v>-5.7722264108111396</v>
      </c>
      <c r="F442" s="26">
        <v>7.8230900821179803E-9</v>
      </c>
      <c r="G442" s="26">
        <v>3.8607848761008801E-6</v>
      </c>
      <c r="H442" s="33" t="s">
        <v>1348</v>
      </c>
      <c r="I442" s="33" t="s">
        <v>1336</v>
      </c>
      <c r="J442" s="33" t="s">
        <v>10</v>
      </c>
    </row>
    <row r="443" spans="1:10" ht="15.75" customHeight="1" x14ac:dyDescent="0.2">
      <c r="A443" s="24" t="s">
        <v>1349</v>
      </c>
      <c r="B443" s="24">
        <v>9888.1298873218893</v>
      </c>
      <c r="C443" s="24">
        <v>-2.75512163073688</v>
      </c>
      <c r="D443" s="24">
        <v>0.48141148143189</v>
      </c>
      <c r="E443" s="24">
        <v>-5.7230077324748496</v>
      </c>
      <c r="F443" s="26">
        <v>1.04654499975481E-8</v>
      </c>
      <c r="G443" s="26">
        <v>4.9461576046887404E-6</v>
      </c>
      <c r="H443" s="33" t="s">
        <v>1350</v>
      </c>
      <c r="I443" s="33" t="s">
        <v>3916</v>
      </c>
      <c r="J443" s="33" t="s">
        <v>4043</v>
      </c>
    </row>
    <row r="444" spans="1:10" ht="15.75" customHeight="1" x14ac:dyDescent="0.2">
      <c r="A444" s="24" t="s">
        <v>1351</v>
      </c>
      <c r="B444" s="24">
        <v>194.84688965392999</v>
      </c>
      <c r="C444" s="24">
        <v>-4.0120205340920601</v>
      </c>
      <c r="D444" s="24">
        <v>0.70269188962811702</v>
      </c>
      <c r="E444" s="24">
        <v>-5.7095016938580603</v>
      </c>
      <c r="F444" s="26">
        <v>1.1330742964356299E-8</v>
      </c>
      <c r="G444" s="26">
        <v>5.2879468972404201E-6</v>
      </c>
      <c r="H444" s="33" t="s">
        <v>4119</v>
      </c>
      <c r="I444" s="33" t="s">
        <v>3943</v>
      </c>
      <c r="J444" s="33" t="s">
        <v>4068</v>
      </c>
    </row>
    <row r="445" spans="1:10" ht="15.75" customHeight="1" x14ac:dyDescent="0.2">
      <c r="A445" s="24" t="s">
        <v>1352</v>
      </c>
      <c r="B445" s="24">
        <v>64.977933996462497</v>
      </c>
      <c r="C445" s="24">
        <v>-3.6439616972704401</v>
      </c>
      <c r="D445" s="24">
        <v>0.63854908590426596</v>
      </c>
      <c r="E445" s="24">
        <v>-5.7066273802743401</v>
      </c>
      <c r="F445" s="26">
        <v>1.15236674543033E-8</v>
      </c>
      <c r="G445" s="26">
        <v>5.3489126917215197E-6</v>
      </c>
      <c r="H445" s="33" t="s">
        <v>4121</v>
      </c>
      <c r="I445" s="33" t="s">
        <v>4168</v>
      </c>
      <c r="J445" s="33" t="s">
        <v>10</v>
      </c>
    </row>
    <row r="446" spans="1:10" ht="15.75" customHeight="1" x14ac:dyDescent="0.2">
      <c r="A446" s="24" t="s">
        <v>1353</v>
      </c>
      <c r="B446" s="24">
        <v>107.13870959543399</v>
      </c>
      <c r="C446" s="24">
        <v>-5.0936138129623698</v>
      </c>
      <c r="D446" s="24">
        <v>0.89275045338280701</v>
      </c>
      <c r="E446" s="24">
        <v>-5.7055292368227404</v>
      </c>
      <c r="F446" s="26">
        <v>1.1598214634863399E-8</v>
      </c>
      <c r="G446" s="26">
        <v>5.3545714457546098E-6</v>
      </c>
      <c r="H446" s="33" t="s">
        <v>4120</v>
      </c>
      <c r="I446" s="33" t="s">
        <v>3985</v>
      </c>
      <c r="J446" s="33" t="s">
        <v>4071</v>
      </c>
    </row>
    <row r="447" spans="1:10" ht="15.75" customHeight="1" x14ac:dyDescent="0.2">
      <c r="A447" s="24" t="s">
        <v>1354</v>
      </c>
      <c r="B447" s="24">
        <v>68.586351574709198</v>
      </c>
      <c r="C447" s="24">
        <v>-8.4840298925923801</v>
      </c>
      <c r="D447" s="24">
        <v>1.49358986781437</v>
      </c>
      <c r="E447" s="24">
        <v>-5.6802942195955204</v>
      </c>
      <c r="F447" s="26">
        <v>1.3446323847641E-8</v>
      </c>
      <c r="G447" s="26">
        <v>5.9518003872205201E-6</v>
      </c>
      <c r="H447" s="33" t="s">
        <v>4122</v>
      </c>
      <c r="I447" s="33" t="s">
        <v>3914</v>
      </c>
      <c r="J447" s="33" t="s">
        <v>4042</v>
      </c>
    </row>
    <row r="448" spans="1:10" ht="15.75" customHeight="1" x14ac:dyDescent="0.2">
      <c r="A448" s="24" t="s">
        <v>1355</v>
      </c>
      <c r="B448" s="24">
        <v>194.15680421061001</v>
      </c>
      <c r="C448" s="24">
        <v>-2.63419492943772</v>
      </c>
      <c r="D448" s="24">
        <v>0.46449282056108998</v>
      </c>
      <c r="E448" s="24">
        <v>-5.6711208716976804</v>
      </c>
      <c r="F448" s="26">
        <v>1.41866258135234E-8</v>
      </c>
      <c r="G448" s="26">
        <v>6.1526249759245803E-6</v>
      </c>
      <c r="H448" s="33" t="s">
        <v>1356</v>
      </c>
      <c r="I448" s="33" t="s">
        <v>3953</v>
      </c>
      <c r="J448" s="33" t="s">
        <v>3045</v>
      </c>
    </row>
    <row r="449" spans="1:10" ht="15.75" customHeight="1" x14ac:dyDescent="0.2">
      <c r="A449" s="24" t="s">
        <v>1357</v>
      </c>
      <c r="B449" s="24">
        <v>86.762585880261</v>
      </c>
      <c r="C449" s="24">
        <v>-4.2319633973936703</v>
      </c>
      <c r="D449" s="24">
        <v>0.74992323299060404</v>
      </c>
      <c r="E449" s="24">
        <v>-5.6431954781786198</v>
      </c>
      <c r="F449" s="26">
        <v>1.6692264032980799E-8</v>
      </c>
      <c r="G449" s="26">
        <v>7.0263794351769302E-6</v>
      </c>
      <c r="H449" s="33" t="s">
        <v>10</v>
      </c>
      <c r="I449" s="33" t="s">
        <v>1325</v>
      </c>
      <c r="J449" s="33" t="s">
        <v>10</v>
      </c>
    </row>
    <row r="450" spans="1:10" ht="15.75" customHeight="1" x14ac:dyDescent="0.2">
      <c r="A450" s="24" t="s">
        <v>1358</v>
      </c>
      <c r="B450" s="24">
        <v>55.073973728926497</v>
      </c>
      <c r="C450" s="24">
        <v>-3.4604774884370899</v>
      </c>
      <c r="D450" s="24">
        <v>0.61449864622587302</v>
      </c>
      <c r="E450" s="24">
        <v>-5.6313834207620301</v>
      </c>
      <c r="F450" s="26">
        <v>1.7876979683749002E-8</v>
      </c>
      <c r="G450" s="26">
        <v>7.4883615727961298E-6</v>
      </c>
      <c r="H450" s="33" t="s">
        <v>4123</v>
      </c>
      <c r="I450" s="33" t="s">
        <v>3942</v>
      </c>
      <c r="J450" s="33" t="s">
        <v>10</v>
      </c>
    </row>
    <row r="451" spans="1:10" ht="15.75" customHeight="1" x14ac:dyDescent="0.2">
      <c r="A451" s="24" t="s">
        <v>1360</v>
      </c>
      <c r="B451" s="24">
        <v>91.869320912249407</v>
      </c>
      <c r="C451" s="24">
        <v>-5.4581668092915301</v>
      </c>
      <c r="D451" s="24">
        <v>0.97066462305182399</v>
      </c>
      <c r="E451" s="24">
        <v>-5.6231232494399004</v>
      </c>
      <c r="F451" s="26">
        <v>1.8753550016305599E-8</v>
      </c>
      <c r="G451" s="26">
        <v>7.6322398805343806E-6</v>
      </c>
      <c r="H451" s="33" t="s">
        <v>4124</v>
      </c>
      <c r="I451" s="33" t="s">
        <v>3907</v>
      </c>
      <c r="J451" s="33" t="s">
        <v>4039</v>
      </c>
    </row>
    <row r="452" spans="1:10" ht="15.75" customHeight="1" x14ac:dyDescent="0.2">
      <c r="A452" s="24" t="s">
        <v>1361</v>
      </c>
      <c r="B452" s="24">
        <v>2081.1565318733301</v>
      </c>
      <c r="C452" s="24">
        <v>-6.9451368171336396</v>
      </c>
      <c r="D452" s="24">
        <v>1.23540055757974</v>
      </c>
      <c r="E452" s="24">
        <v>-5.6217692104168799</v>
      </c>
      <c r="F452" s="26">
        <v>1.89011665633497E-8</v>
      </c>
      <c r="G452" s="26">
        <v>7.6559531790631994E-6</v>
      </c>
      <c r="H452" s="33" t="s">
        <v>3157</v>
      </c>
      <c r="I452" s="33" t="s">
        <v>4169</v>
      </c>
      <c r="J452" s="33" t="s">
        <v>10</v>
      </c>
    </row>
    <row r="453" spans="1:10" ht="15.75" customHeight="1" x14ac:dyDescent="0.2">
      <c r="A453" s="24" t="s">
        <v>1362</v>
      </c>
      <c r="B453" s="24">
        <v>90.701536808353197</v>
      </c>
      <c r="C453" s="24">
        <v>-3.5052618723423801</v>
      </c>
      <c r="D453" s="24">
        <v>0.62411413797459403</v>
      </c>
      <c r="E453" s="24">
        <v>-5.6163795355090498</v>
      </c>
      <c r="F453" s="26">
        <v>1.95000087812107E-8</v>
      </c>
      <c r="G453" s="26">
        <v>7.8246974488380492E-6</v>
      </c>
      <c r="H453" s="33" t="s">
        <v>114</v>
      </c>
      <c r="I453" s="33" t="s">
        <v>115</v>
      </c>
      <c r="J453" s="33" t="s">
        <v>3054</v>
      </c>
    </row>
    <row r="454" spans="1:10" ht="15.75" customHeight="1" x14ac:dyDescent="0.2">
      <c r="A454" s="24" t="s">
        <v>1363</v>
      </c>
      <c r="B454" s="24">
        <v>248.031204508641</v>
      </c>
      <c r="C454" s="24">
        <v>-2.8317765909783899</v>
      </c>
      <c r="D454" s="24">
        <v>0.50503865666436798</v>
      </c>
      <c r="E454" s="24">
        <v>-5.6070491904153297</v>
      </c>
      <c r="F454" s="26">
        <v>2.0580518357510001E-8</v>
      </c>
      <c r="G454" s="26">
        <v>8.1818041290636005E-6</v>
      </c>
      <c r="H454" s="33" t="s">
        <v>3844</v>
      </c>
      <c r="I454" s="33" t="s">
        <v>3948</v>
      </c>
      <c r="J454" s="33" t="s">
        <v>4061</v>
      </c>
    </row>
    <row r="455" spans="1:10" ht="15.75" customHeight="1" x14ac:dyDescent="0.2">
      <c r="A455" s="24" t="s">
        <v>1364</v>
      </c>
      <c r="B455" s="24">
        <v>44.1471694767937</v>
      </c>
      <c r="C455" s="24">
        <v>-4.22893503777233</v>
      </c>
      <c r="D455" s="24">
        <v>0.75514761622271198</v>
      </c>
      <c r="E455" s="24">
        <v>-5.6001435307783796</v>
      </c>
      <c r="F455" s="26">
        <v>2.1417439720762E-8</v>
      </c>
      <c r="G455" s="26">
        <v>8.4364081021172296E-6</v>
      </c>
      <c r="H455" s="33" t="s">
        <v>10</v>
      </c>
      <c r="I455" s="33" t="s">
        <v>1270</v>
      </c>
      <c r="J455" s="33" t="s">
        <v>10</v>
      </c>
    </row>
    <row r="456" spans="1:10" ht="15.75" customHeight="1" x14ac:dyDescent="0.2">
      <c r="A456" s="24" t="s">
        <v>1365</v>
      </c>
      <c r="B456" s="24">
        <v>249.399945815286</v>
      </c>
      <c r="C456" s="24">
        <v>-2.7760982717607501</v>
      </c>
      <c r="D456" s="24">
        <v>0.496745328807428</v>
      </c>
      <c r="E456" s="24">
        <v>-5.5885744883108099</v>
      </c>
      <c r="F456" s="26">
        <v>2.2894117131687899E-8</v>
      </c>
      <c r="G456" s="26">
        <v>8.9768983206172103E-6</v>
      </c>
      <c r="H456" s="33" t="s">
        <v>10</v>
      </c>
      <c r="I456" s="33" t="s">
        <v>10</v>
      </c>
      <c r="J456" s="33" t="s">
        <v>10</v>
      </c>
    </row>
    <row r="457" spans="1:10" ht="15.75" customHeight="1" x14ac:dyDescent="0.2">
      <c r="A457" s="24" t="s">
        <v>1366</v>
      </c>
      <c r="B457" s="24">
        <v>108.378897531479</v>
      </c>
      <c r="C457" s="24">
        <v>-5.9986996430619701</v>
      </c>
      <c r="D457" s="24">
        <v>1.0739110400482299</v>
      </c>
      <c r="E457" s="24">
        <v>-5.5858440963532399</v>
      </c>
      <c r="F457" s="26">
        <v>2.3256780558537701E-8</v>
      </c>
      <c r="G457" s="26">
        <v>9.0365746757565204E-6</v>
      </c>
      <c r="H457" s="33" t="s">
        <v>1367</v>
      </c>
      <c r="I457" s="33" t="s">
        <v>3922</v>
      </c>
      <c r="J457" s="33" t="s">
        <v>4046</v>
      </c>
    </row>
    <row r="458" spans="1:10" ht="15.75" customHeight="1" x14ac:dyDescent="0.2">
      <c r="A458" s="24" t="s">
        <v>1368</v>
      </c>
      <c r="B458" s="24">
        <v>134.375998904076</v>
      </c>
      <c r="C458" s="24">
        <v>-4.7342651418124699</v>
      </c>
      <c r="D458" s="24">
        <v>0.84937338106926497</v>
      </c>
      <c r="E458" s="24">
        <v>-5.5738327187185499</v>
      </c>
      <c r="F458" s="26">
        <v>2.4919503122653201E-8</v>
      </c>
      <c r="G458" s="26">
        <v>9.5957966486338595E-6</v>
      </c>
      <c r="H458" s="33" t="s">
        <v>139</v>
      </c>
      <c r="I458" s="33" t="s">
        <v>1369</v>
      </c>
      <c r="J458" s="33" t="s">
        <v>10</v>
      </c>
    </row>
    <row r="459" spans="1:10" ht="15.75" customHeight="1" x14ac:dyDescent="0.2">
      <c r="A459" s="24" t="s">
        <v>1370</v>
      </c>
      <c r="B459" s="24">
        <v>46.358192947841196</v>
      </c>
      <c r="C459" s="24">
        <v>-3.6109170988052401</v>
      </c>
      <c r="D459" s="24">
        <v>0.64832173507116297</v>
      </c>
      <c r="E459" s="24">
        <v>-5.5696375788001102</v>
      </c>
      <c r="F459" s="26">
        <v>2.5526975633553202E-8</v>
      </c>
      <c r="G459" s="26">
        <v>9.7858344849502199E-6</v>
      </c>
      <c r="H459" s="33" t="s">
        <v>139</v>
      </c>
      <c r="I459" s="33" t="s">
        <v>140</v>
      </c>
      <c r="J459" s="33" t="s">
        <v>3068</v>
      </c>
    </row>
    <row r="460" spans="1:10" ht="15.75" customHeight="1" x14ac:dyDescent="0.2">
      <c r="A460" s="24" t="s">
        <v>1371</v>
      </c>
      <c r="B460" s="24">
        <v>105.12304414286599</v>
      </c>
      <c r="C460" s="24">
        <v>-3.08629570375345</v>
      </c>
      <c r="D460" s="24">
        <v>0.55609966918153597</v>
      </c>
      <c r="E460" s="24">
        <v>-5.5498966728317498</v>
      </c>
      <c r="F460" s="26">
        <v>2.85838486826713E-8</v>
      </c>
      <c r="G460" s="26">
        <v>1.06718420444768E-5</v>
      </c>
      <c r="H460" s="33" t="s">
        <v>10</v>
      </c>
      <c r="I460" s="33" t="s">
        <v>10</v>
      </c>
      <c r="J460" s="33" t="s">
        <v>10</v>
      </c>
    </row>
    <row r="461" spans="1:10" ht="15.75" customHeight="1" x14ac:dyDescent="0.2">
      <c r="A461" s="24" t="s">
        <v>1373</v>
      </c>
      <c r="B461" s="24">
        <v>43.869546861532498</v>
      </c>
      <c r="C461" s="24">
        <v>-4.3922496781609297</v>
      </c>
      <c r="D461" s="24">
        <v>0.79690914614684305</v>
      </c>
      <c r="E461" s="24">
        <v>-5.5116065606700797</v>
      </c>
      <c r="F461" s="26">
        <v>3.5557304818969299E-8</v>
      </c>
      <c r="G461" s="26">
        <v>1.2883296717762501E-5</v>
      </c>
      <c r="H461" s="33" t="s">
        <v>10</v>
      </c>
      <c r="I461" s="33" t="s">
        <v>1270</v>
      </c>
      <c r="J461" s="33" t="s">
        <v>10</v>
      </c>
    </row>
    <row r="462" spans="1:10" ht="15.75" customHeight="1" x14ac:dyDescent="0.2">
      <c r="A462" s="24" t="s">
        <v>1374</v>
      </c>
      <c r="B462" s="24">
        <v>495.34513641457698</v>
      </c>
      <c r="C462" s="24">
        <v>-4.28509182904891</v>
      </c>
      <c r="D462" s="24">
        <v>0.77855955076577799</v>
      </c>
      <c r="E462" s="24">
        <v>-5.5038716368377498</v>
      </c>
      <c r="F462" s="26">
        <v>3.7154011174713903E-8</v>
      </c>
      <c r="G462" s="26">
        <v>1.32383904298085E-5</v>
      </c>
      <c r="H462" s="33" t="s">
        <v>10</v>
      </c>
      <c r="I462" s="33" t="s">
        <v>1292</v>
      </c>
      <c r="J462" s="33" t="s">
        <v>10</v>
      </c>
    </row>
    <row r="463" spans="1:10" ht="15.75" customHeight="1" x14ac:dyDescent="0.2">
      <c r="A463" s="24" t="s">
        <v>1378</v>
      </c>
      <c r="B463" s="24">
        <v>108.46997655559601</v>
      </c>
      <c r="C463" s="24">
        <v>-2.4371123117877</v>
      </c>
      <c r="D463" s="24">
        <v>0.443552400601959</v>
      </c>
      <c r="E463" s="24">
        <v>-5.4945307667824901</v>
      </c>
      <c r="F463" s="26">
        <v>3.9175062797768702E-8</v>
      </c>
      <c r="G463" s="26">
        <v>1.37523082118331E-5</v>
      </c>
      <c r="H463" s="33" t="s">
        <v>10</v>
      </c>
      <c r="I463" s="33" t="s">
        <v>1379</v>
      </c>
      <c r="J463" s="33" t="s">
        <v>10</v>
      </c>
    </row>
    <row r="464" spans="1:10" ht="15.75" customHeight="1" x14ac:dyDescent="0.2">
      <c r="A464" s="24" t="s">
        <v>1380</v>
      </c>
      <c r="B464" s="24">
        <v>547.07543969487801</v>
      </c>
      <c r="C464" s="24">
        <v>-3.1608888644494102</v>
      </c>
      <c r="D464" s="24">
        <v>0.57530829446833798</v>
      </c>
      <c r="E464" s="24">
        <v>-5.4942522032825796</v>
      </c>
      <c r="F464" s="26">
        <v>3.9236942761806799E-8</v>
      </c>
      <c r="G464" s="26">
        <v>1.37523082118331E-5</v>
      </c>
      <c r="H464" s="33" t="s">
        <v>1381</v>
      </c>
      <c r="I464" s="33" t="s">
        <v>86</v>
      </c>
      <c r="J464" s="33" t="s">
        <v>10</v>
      </c>
    </row>
    <row r="465" spans="1:10" ht="15.75" customHeight="1" x14ac:dyDescent="0.2">
      <c r="A465" s="24" t="s">
        <v>1382</v>
      </c>
      <c r="B465" s="24">
        <v>442.771868848292</v>
      </c>
      <c r="C465" s="24">
        <v>-2.721267956688</v>
      </c>
      <c r="D465" s="24">
        <v>0.497423985735364</v>
      </c>
      <c r="E465" s="24">
        <v>-5.4707212252039401</v>
      </c>
      <c r="F465" s="26">
        <v>4.4820784218720999E-8</v>
      </c>
      <c r="G465" s="26">
        <v>1.5519377264700801E-5</v>
      </c>
      <c r="H465" s="33" t="s">
        <v>3819</v>
      </c>
      <c r="I465" s="33" t="s">
        <v>3895</v>
      </c>
      <c r="J465" s="33" t="s">
        <v>10</v>
      </c>
    </row>
    <row r="466" spans="1:10" ht="15.75" customHeight="1" x14ac:dyDescent="0.2">
      <c r="A466" s="24" t="s">
        <v>1384</v>
      </c>
      <c r="B466" s="24">
        <v>38.254231493618903</v>
      </c>
      <c r="C466" s="24">
        <v>-5.2621826431695196</v>
      </c>
      <c r="D466" s="24">
        <v>0.96283340646833804</v>
      </c>
      <c r="E466" s="24">
        <v>-5.4653095829642497</v>
      </c>
      <c r="F466" s="26">
        <v>4.62099603256282E-8</v>
      </c>
      <c r="G466" s="26">
        <v>1.58723820124881E-5</v>
      </c>
      <c r="H466" s="33" t="s">
        <v>4125</v>
      </c>
      <c r="I466" s="33" t="s">
        <v>3933</v>
      </c>
      <c r="J466" s="33" t="s">
        <v>10</v>
      </c>
    </row>
    <row r="467" spans="1:10" ht="15.75" customHeight="1" x14ac:dyDescent="0.2">
      <c r="A467" s="24" t="s">
        <v>1386</v>
      </c>
      <c r="B467" s="24">
        <v>102.40588775504099</v>
      </c>
      <c r="C467" s="24">
        <v>-3.82014134773351</v>
      </c>
      <c r="D467" s="24">
        <v>0.69982847602950204</v>
      </c>
      <c r="E467" s="24">
        <v>-5.4586823465761096</v>
      </c>
      <c r="F467" s="26">
        <v>4.7968106411241302E-8</v>
      </c>
      <c r="G467" s="26">
        <v>1.6327298369593899E-5</v>
      </c>
      <c r="H467" s="33" t="s">
        <v>10</v>
      </c>
      <c r="I467" s="33" t="s">
        <v>369</v>
      </c>
      <c r="J467" s="33" t="s">
        <v>10</v>
      </c>
    </row>
    <row r="468" spans="1:10" ht="15.75" customHeight="1" x14ac:dyDescent="0.2">
      <c r="A468" s="24" t="s">
        <v>1388</v>
      </c>
      <c r="B468" s="24">
        <v>404.40843659546198</v>
      </c>
      <c r="C468" s="24">
        <v>-3.57200216799834</v>
      </c>
      <c r="D468" s="24">
        <v>0.65629112527361499</v>
      </c>
      <c r="E468" s="24">
        <v>-5.4427098439113202</v>
      </c>
      <c r="F468" s="26">
        <v>5.2476086011574401E-8</v>
      </c>
      <c r="G468" s="26">
        <v>1.7602242116796499E-5</v>
      </c>
      <c r="H468" s="33" t="s">
        <v>10</v>
      </c>
      <c r="I468" s="33" t="s">
        <v>1280</v>
      </c>
      <c r="J468" s="33" t="s">
        <v>10</v>
      </c>
    </row>
    <row r="469" spans="1:10" ht="15.75" customHeight="1" x14ac:dyDescent="0.2">
      <c r="A469" s="24" t="s">
        <v>1391</v>
      </c>
      <c r="B469" s="24">
        <v>465.91286835983198</v>
      </c>
      <c r="C469" s="24">
        <v>-2.7024541039048402</v>
      </c>
      <c r="D469" s="24">
        <v>0.49667875421702901</v>
      </c>
      <c r="E469" s="24">
        <v>-5.4410503387949802</v>
      </c>
      <c r="F469" s="26">
        <v>5.2967343171805698E-8</v>
      </c>
      <c r="G469" s="26">
        <v>1.7629297385682699E-5</v>
      </c>
      <c r="H469" s="33" t="s">
        <v>10</v>
      </c>
      <c r="I469" s="33" t="s">
        <v>4170</v>
      </c>
      <c r="J469" s="33" t="s">
        <v>10</v>
      </c>
    </row>
    <row r="470" spans="1:10" ht="15.75" customHeight="1" x14ac:dyDescent="0.2">
      <c r="A470" s="24" t="s">
        <v>1393</v>
      </c>
      <c r="B470" s="24">
        <v>192.24058513941901</v>
      </c>
      <c r="C470" s="24">
        <v>-2.1662318430426302</v>
      </c>
      <c r="D470" s="24">
        <v>0.39850707248517703</v>
      </c>
      <c r="E470" s="24">
        <v>-5.4358679998664403</v>
      </c>
      <c r="F470" s="26">
        <v>5.4530314332536797E-8</v>
      </c>
      <c r="G470" s="26">
        <v>1.8079430973163201E-5</v>
      </c>
      <c r="H470" s="33" t="s">
        <v>4126</v>
      </c>
      <c r="I470" s="33" t="s">
        <v>3955</v>
      </c>
      <c r="J470" s="33" t="s">
        <v>4094</v>
      </c>
    </row>
    <row r="471" spans="1:10" ht="15.75" customHeight="1" x14ac:dyDescent="0.2">
      <c r="A471" s="24" t="s">
        <v>1395</v>
      </c>
      <c r="B471" s="24">
        <v>26.9766545499789</v>
      </c>
      <c r="C471" s="24">
        <v>-3.7356244426040099</v>
      </c>
      <c r="D471" s="24">
        <v>0.68961052039904203</v>
      </c>
      <c r="E471" s="24">
        <v>-5.4170061681228301</v>
      </c>
      <c r="F471" s="26">
        <v>6.0605250748406402E-8</v>
      </c>
      <c r="G471" s="26">
        <v>1.9939591904277399E-5</v>
      </c>
      <c r="H471" s="33" t="s">
        <v>1306</v>
      </c>
      <c r="I471" s="33" t="s">
        <v>1307</v>
      </c>
      <c r="J471" s="33" t="s">
        <v>10</v>
      </c>
    </row>
    <row r="472" spans="1:10" ht="15.75" customHeight="1" x14ac:dyDescent="0.2">
      <c r="A472" s="24" t="s">
        <v>1398</v>
      </c>
      <c r="B472" s="24">
        <v>76.840622346639407</v>
      </c>
      <c r="C472" s="24">
        <v>-2.9138601770378898</v>
      </c>
      <c r="D472" s="24">
        <v>0.53850872970477903</v>
      </c>
      <c r="E472" s="24">
        <v>-5.4109803914141299</v>
      </c>
      <c r="F472" s="26">
        <v>6.2680636013171396E-8</v>
      </c>
      <c r="G472" s="26">
        <v>2.05436980728513E-5</v>
      </c>
      <c r="H472" s="33" t="s">
        <v>10</v>
      </c>
      <c r="I472" s="33" t="s">
        <v>1270</v>
      </c>
      <c r="J472" s="33" t="s">
        <v>10</v>
      </c>
    </row>
    <row r="473" spans="1:10" ht="15.75" customHeight="1" x14ac:dyDescent="0.2">
      <c r="A473" s="24" t="s">
        <v>1400</v>
      </c>
      <c r="B473" s="24">
        <v>54.789043482386802</v>
      </c>
      <c r="C473" s="24">
        <v>-4.8011062517323104</v>
      </c>
      <c r="D473" s="24">
        <v>0.88822951595317701</v>
      </c>
      <c r="E473" s="24">
        <v>-5.4052541212618399</v>
      </c>
      <c r="F473" s="26">
        <v>6.47165728091356E-8</v>
      </c>
      <c r="G473" s="26">
        <v>2.1050290998838199E-5</v>
      </c>
      <c r="H473" s="33" t="s">
        <v>1403</v>
      </c>
      <c r="I473" s="33" t="s">
        <v>3891</v>
      </c>
      <c r="J473" s="33" t="s">
        <v>10</v>
      </c>
    </row>
    <row r="474" spans="1:10" ht="15.75" customHeight="1" x14ac:dyDescent="0.2">
      <c r="A474" s="24" t="s">
        <v>1405</v>
      </c>
      <c r="B474" s="24">
        <v>483.78789341450999</v>
      </c>
      <c r="C474" s="24">
        <v>-3.01856677272872</v>
      </c>
      <c r="D474" s="24">
        <v>0.56010208842369302</v>
      </c>
      <c r="E474" s="24">
        <v>-5.3893153321815603</v>
      </c>
      <c r="F474" s="26">
        <v>7.0726613056965594E-8</v>
      </c>
      <c r="G474" s="26">
        <v>2.27466853551112E-5</v>
      </c>
      <c r="H474" s="33" t="s">
        <v>660</v>
      </c>
      <c r="I474" s="33" t="s">
        <v>1325</v>
      </c>
      <c r="J474" s="33" t="s">
        <v>10</v>
      </c>
    </row>
    <row r="475" spans="1:10" ht="15.75" customHeight="1" x14ac:dyDescent="0.2">
      <c r="A475" s="24" t="s">
        <v>1407</v>
      </c>
      <c r="B475" s="24">
        <v>197.43092188876099</v>
      </c>
      <c r="C475" s="24">
        <v>-2.2184083382825199</v>
      </c>
      <c r="D475" s="24">
        <v>0.41373235471022801</v>
      </c>
      <c r="E475" s="24">
        <v>-5.3619406677446397</v>
      </c>
      <c r="F475" s="26">
        <v>8.23325853305776E-8</v>
      </c>
      <c r="G475" s="26">
        <v>2.5523398682028999E-5</v>
      </c>
      <c r="H475" s="33" t="s">
        <v>4127</v>
      </c>
      <c r="I475" s="33" t="s">
        <v>3923</v>
      </c>
      <c r="J475" s="33" t="s">
        <v>10</v>
      </c>
    </row>
    <row r="476" spans="1:10" ht="15.75" customHeight="1" x14ac:dyDescent="0.2">
      <c r="A476" s="24" t="s">
        <v>1409</v>
      </c>
      <c r="B476" s="24">
        <v>126.98225796468201</v>
      </c>
      <c r="C476" s="24">
        <v>-2.2489396540211701</v>
      </c>
      <c r="D476" s="24">
        <v>0.41978855419980499</v>
      </c>
      <c r="E476" s="24">
        <v>-5.35731532344436</v>
      </c>
      <c r="F476" s="26">
        <v>8.4467632214114802E-8</v>
      </c>
      <c r="G476" s="26">
        <v>2.59047144494938E-5</v>
      </c>
      <c r="H476" s="33" t="s">
        <v>10</v>
      </c>
      <c r="I476" s="33" t="s">
        <v>369</v>
      </c>
      <c r="J476" s="33" t="s">
        <v>10</v>
      </c>
    </row>
    <row r="477" spans="1:10" ht="15.75" customHeight="1" x14ac:dyDescent="0.2">
      <c r="A477" s="24" t="s">
        <v>1411</v>
      </c>
      <c r="B477" s="24">
        <v>131.92633053748</v>
      </c>
      <c r="C477" s="24">
        <v>-5.0345354914523996</v>
      </c>
      <c r="D477" s="24">
        <v>0.94004467751980803</v>
      </c>
      <c r="E477" s="24">
        <v>-5.3556342712725202</v>
      </c>
      <c r="F477" s="26">
        <v>8.5256805960676103E-8</v>
      </c>
      <c r="G477" s="26">
        <v>2.60536910485737E-5</v>
      </c>
      <c r="H477" s="33" t="s">
        <v>1403</v>
      </c>
      <c r="I477" s="33" t="s">
        <v>3891</v>
      </c>
      <c r="J477" s="33" t="s">
        <v>10</v>
      </c>
    </row>
    <row r="478" spans="1:10" ht="15.75" customHeight="1" x14ac:dyDescent="0.2">
      <c r="A478" s="24" t="s">
        <v>1413</v>
      </c>
      <c r="B478" s="24">
        <v>63.754999521435899</v>
      </c>
      <c r="C478" s="24">
        <v>-4.8753019301232596</v>
      </c>
      <c r="D478" s="24">
        <v>0.91386617948308102</v>
      </c>
      <c r="E478" s="24">
        <v>-5.3348094497609297</v>
      </c>
      <c r="F478" s="26">
        <v>9.5644944187217193E-8</v>
      </c>
      <c r="G478" s="26">
        <v>2.8717227280771101E-5</v>
      </c>
      <c r="H478" s="33" t="s">
        <v>4128</v>
      </c>
      <c r="I478" s="33" t="s">
        <v>3137</v>
      </c>
      <c r="J478" s="33" t="s">
        <v>10</v>
      </c>
    </row>
    <row r="479" spans="1:10" ht="15.75" customHeight="1" x14ac:dyDescent="0.2">
      <c r="A479" s="24" t="s">
        <v>1416</v>
      </c>
      <c r="B479" s="24">
        <v>277.11456009977502</v>
      </c>
      <c r="C479" s="24">
        <v>-2.51591960810235</v>
      </c>
      <c r="D479" s="24">
        <v>0.47215545099465001</v>
      </c>
      <c r="E479" s="24">
        <v>-5.32858320877643</v>
      </c>
      <c r="F479" s="26">
        <v>9.8981848117207996E-8</v>
      </c>
      <c r="G479" s="26">
        <v>2.9410623805096101E-5</v>
      </c>
      <c r="H479" s="33" t="s">
        <v>10</v>
      </c>
      <c r="I479" s="33" t="s">
        <v>3981</v>
      </c>
      <c r="J479" s="33" t="s">
        <v>10</v>
      </c>
    </row>
    <row r="480" spans="1:10" ht="15.75" customHeight="1" x14ac:dyDescent="0.2">
      <c r="A480" s="24" t="s">
        <v>1418</v>
      </c>
      <c r="B480" s="24">
        <v>1069.24376287632</v>
      </c>
      <c r="C480" s="24">
        <v>-4.1844586650928601</v>
      </c>
      <c r="D480" s="24">
        <v>0.786695981237306</v>
      </c>
      <c r="E480" s="24">
        <v>-5.3190289068359</v>
      </c>
      <c r="F480" s="26">
        <v>1.04322561571338E-7</v>
      </c>
      <c r="G480" s="26">
        <v>3.0574343633762398E-5</v>
      </c>
      <c r="H480" s="33" t="s">
        <v>1420</v>
      </c>
      <c r="I480" s="33" t="s">
        <v>3945</v>
      </c>
      <c r="J480" s="33" t="s">
        <v>4059</v>
      </c>
    </row>
    <row r="481" spans="1:10" ht="15.75" customHeight="1" x14ac:dyDescent="0.2">
      <c r="A481" s="24" t="s">
        <v>1423</v>
      </c>
      <c r="B481" s="24">
        <v>144.13022435652999</v>
      </c>
      <c r="C481" s="24">
        <v>-2.7035838258383298</v>
      </c>
      <c r="D481" s="24">
        <v>0.50926098759264704</v>
      </c>
      <c r="E481" s="24">
        <v>-5.3088374953254798</v>
      </c>
      <c r="F481" s="26">
        <v>1.10326642563852E-7</v>
      </c>
      <c r="G481" s="26">
        <v>3.18985155676785E-5</v>
      </c>
      <c r="H481" s="33" t="s">
        <v>10</v>
      </c>
      <c r="I481" s="33" t="s">
        <v>1292</v>
      </c>
      <c r="J481" s="33" t="s">
        <v>10</v>
      </c>
    </row>
    <row r="482" spans="1:10" ht="15.75" customHeight="1" x14ac:dyDescent="0.2">
      <c r="A482" s="24" t="s">
        <v>1425</v>
      </c>
      <c r="B482" s="24">
        <v>59.832814997595598</v>
      </c>
      <c r="C482" s="24">
        <v>-2.8679098871987398</v>
      </c>
      <c r="D482" s="24">
        <v>0.54046007212467995</v>
      </c>
      <c r="E482" s="24">
        <v>-5.3064232403409397</v>
      </c>
      <c r="F482" s="26">
        <v>1.11797207280129E-7</v>
      </c>
      <c r="G482" s="26">
        <v>3.21074849041872E-5</v>
      </c>
      <c r="H482" s="33" t="s">
        <v>1427</v>
      </c>
      <c r="I482" s="33" t="s">
        <v>1359</v>
      </c>
      <c r="J482" s="33" t="s">
        <v>10</v>
      </c>
    </row>
    <row r="483" spans="1:10" ht="15.75" customHeight="1" x14ac:dyDescent="0.2">
      <c r="A483" s="24" t="s">
        <v>1428</v>
      </c>
      <c r="B483" s="24">
        <v>28.4908325519452</v>
      </c>
      <c r="C483" s="24">
        <v>-4.4592732052134698</v>
      </c>
      <c r="D483" s="24">
        <v>0.84209663244886301</v>
      </c>
      <c r="E483" s="24">
        <v>-5.2954412039930201</v>
      </c>
      <c r="F483" s="26">
        <v>1.18729392216113E-7</v>
      </c>
      <c r="G483" s="26">
        <v>3.3648223230989602E-5</v>
      </c>
      <c r="H483" s="33" t="s">
        <v>10</v>
      </c>
      <c r="I483" s="33" t="s">
        <v>1430</v>
      </c>
      <c r="J483" s="33" t="s">
        <v>10</v>
      </c>
    </row>
    <row r="484" spans="1:10" ht="15.75" customHeight="1" x14ac:dyDescent="0.2">
      <c r="A484" s="24" t="s">
        <v>1432</v>
      </c>
      <c r="B484" s="24">
        <v>60.487674734627902</v>
      </c>
      <c r="C484" s="24">
        <v>-5.3493544885776201</v>
      </c>
      <c r="D484" s="24">
        <v>1.0107463901575999</v>
      </c>
      <c r="E484" s="24">
        <v>-5.2924794396184103</v>
      </c>
      <c r="F484" s="26">
        <v>1.2066903980661001E-7</v>
      </c>
      <c r="G484" s="26">
        <v>3.3862650709912997E-5</v>
      </c>
      <c r="H484" s="33" t="s">
        <v>10</v>
      </c>
      <c r="I484" s="33" t="s">
        <v>1283</v>
      </c>
      <c r="J484" s="33" t="s">
        <v>10</v>
      </c>
    </row>
    <row r="485" spans="1:10" ht="15.75" customHeight="1" x14ac:dyDescent="0.2">
      <c r="A485" s="24" t="s">
        <v>1435</v>
      </c>
      <c r="B485" s="24">
        <v>71.6592463965858</v>
      </c>
      <c r="C485" s="24">
        <v>-3.98295584203911</v>
      </c>
      <c r="D485" s="24">
        <v>0.752918505710782</v>
      </c>
      <c r="E485" s="24">
        <v>-5.2900225081850696</v>
      </c>
      <c r="F485" s="26">
        <v>1.22301308278415E-7</v>
      </c>
      <c r="G485" s="26">
        <v>3.4097842997323899E-5</v>
      </c>
      <c r="H485" s="33" t="s">
        <v>10</v>
      </c>
      <c r="I485" s="33" t="s">
        <v>1280</v>
      </c>
      <c r="J485" s="33" t="s">
        <v>10</v>
      </c>
    </row>
    <row r="486" spans="1:10" ht="15.75" customHeight="1" x14ac:dyDescent="0.2">
      <c r="A486" s="24" t="s">
        <v>1438</v>
      </c>
      <c r="B486" s="24">
        <v>33.7081814171544</v>
      </c>
      <c r="C486" s="24">
        <v>-2.94607086691133</v>
      </c>
      <c r="D486" s="24">
        <v>0.55729140692937595</v>
      </c>
      <c r="E486" s="24">
        <v>-5.2864100007281802</v>
      </c>
      <c r="F486" s="26">
        <v>1.2474014313759E-7</v>
      </c>
      <c r="G486" s="26">
        <v>3.4665245408958001E-5</v>
      </c>
      <c r="H486" s="33" t="s">
        <v>10</v>
      </c>
      <c r="I486" s="33" t="s">
        <v>1280</v>
      </c>
      <c r="J486" s="33" t="s">
        <v>10</v>
      </c>
    </row>
    <row r="487" spans="1:10" ht="15.75" customHeight="1" x14ac:dyDescent="0.2">
      <c r="A487" s="24" t="s">
        <v>1439</v>
      </c>
      <c r="B487" s="24">
        <v>97.986079698908497</v>
      </c>
      <c r="C487" s="24">
        <v>-2.35228461649834</v>
      </c>
      <c r="D487" s="24">
        <v>0.445209629208621</v>
      </c>
      <c r="E487" s="24">
        <v>-5.2835438907276702</v>
      </c>
      <c r="F487" s="26">
        <v>1.26708488898099E-7</v>
      </c>
      <c r="G487" s="26">
        <v>3.4985802733661197E-5</v>
      </c>
      <c r="H487" s="33" t="s">
        <v>10</v>
      </c>
      <c r="I487" s="33" t="s">
        <v>1441</v>
      </c>
      <c r="J487" s="33" t="s">
        <v>10</v>
      </c>
    </row>
    <row r="488" spans="1:10" ht="15.75" customHeight="1" x14ac:dyDescent="0.2">
      <c r="A488" s="24" t="s">
        <v>1442</v>
      </c>
      <c r="B488" s="24">
        <v>84.124011733649496</v>
      </c>
      <c r="C488" s="24">
        <v>-3.6174450007943202</v>
      </c>
      <c r="D488" s="24">
        <v>0.68503791447997398</v>
      </c>
      <c r="E488" s="24">
        <v>-5.2806493251404802</v>
      </c>
      <c r="F488" s="26">
        <v>1.2872686111261E-7</v>
      </c>
      <c r="G488" s="26">
        <v>3.5429180418592903E-5</v>
      </c>
      <c r="H488" s="33" t="s">
        <v>660</v>
      </c>
      <c r="I488" s="33" t="s">
        <v>1325</v>
      </c>
      <c r="J488" s="33" t="s">
        <v>10</v>
      </c>
    </row>
    <row r="489" spans="1:10" ht="15.75" customHeight="1" x14ac:dyDescent="0.2">
      <c r="A489" s="24" t="s">
        <v>1444</v>
      </c>
      <c r="B489" s="24">
        <v>223.131363681854</v>
      </c>
      <c r="C489" s="24">
        <v>-4.5237862311159001</v>
      </c>
      <c r="D489" s="24">
        <v>0.85679152756124799</v>
      </c>
      <c r="E489" s="24">
        <v>-5.2799147582519899</v>
      </c>
      <c r="F489" s="26">
        <v>1.2924400008714401E-7</v>
      </c>
      <c r="G489" s="26">
        <v>3.5457864317837397E-5</v>
      </c>
      <c r="H489" s="33" t="s">
        <v>10</v>
      </c>
      <c r="I489" s="33" t="s">
        <v>1270</v>
      </c>
      <c r="J489" s="33" t="s">
        <v>10</v>
      </c>
    </row>
    <row r="490" spans="1:10" ht="15.75" customHeight="1" x14ac:dyDescent="0.2">
      <c r="A490" s="24" t="s">
        <v>1446</v>
      </c>
      <c r="B490" s="24">
        <v>484.20919039594497</v>
      </c>
      <c r="C490" s="24">
        <v>-2.0965888831375601</v>
      </c>
      <c r="D490" s="24">
        <v>0.39797717622557899</v>
      </c>
      <c r="E490" s="24">
        <v>-5.2681133702732303</v>
      </c>
      <c r="F490" s="26">
        <v>1.37832978348727E-7</v>
      </c>
      <c r="G490" s="26">
        <v>3.7574145027884297E-5</v>
      </c>
      <c r="H490" s="33" t="s">
        <v>1448</v>
      </c>
      <c r="I490" s="33" t="s">
        <v>1283</v>
      </c>
      <c r="J490" s="33" t="s">
        <v>10</v>
      </c>
    </row>
    <row r="491" spans="1:10" ht="15.75" customHeight="1" x14ac:dyDescent="0.2">
      <c r="A491" s="24" t="s">
        <v>1450</v>
      </c>
      <c r="B491" s="24">
        <v>48.458293438005803</v>
      </c>
      <c r="C491" s="24">
        <v>-4.2216677586427798</v>
      </c>
      <c r="D491" s="24">
        <v>0.80521340063989399</v>
      </c>
      <c r="E491" s="24">
        <v>-5.24291790882749</v>
      </c>
      <c r="F491" s="26">
        <v>1.5805687211015201E-7</v>
      </c>
      <c r="G491" s="26">
        <v>4.1633440690094598E-5</v>
      </c>
      <c r="H491" s="33" t="s">
        <v>10</v>
      </c>
      <c r="I491" s="33" t="s">
        <v>1270</v>
      </c>
      <c r="J491" s="33" t="s">
        <v>10</v>
      </c>
    </row>
    <row r="492" spans="1:10" ht="15.75" customHeight="1" x14ac:dyDescent="0.2">
      <c r="A492" s="24" t="s">
        <v>1453</v>
      </c>
      <c r="B492" s="24">
        <v>31.319401579091899</v>
      </c>
      <c r="C492" s="24">
        <v>-4.4660077553278503</v>
      </c>
      <c r="D492" s="24">
        <v>0.85281109959968604</v>
      </c>
      <c r="E492" s="24">
        <v>-5.23680772614735</v>
      </c>
      <c r="F492" s="26">
        <v>1.6337773697263601E-7</v>
      </c>
      <c r="G492" s="26">
        <v>4.2513362580537003E-5</v>
      </c>
      <c r="H492" s="33" t="s">
        <v>10</v>
      </c>
      <c r="I492" s="33" t="s">
        <v>1270</v>
      </c>
      <c r="J492" s="33" t="s">
        <v>10</v>
      </c>
    </row>
    <row r="493" spans="1:10" ht="15.75" customHeight="1" x14ac:dyDescent="0.2">
      <c r="A493" s="24" t="s">
        <v>1456</v>
      </c>
      <c r="B493" s="24">
        <v>204.31793694230399</v>
      </c>
      <c r="C493" s="24">
        <v>-4.5863417125822803</v>
      </c>
      <c r="D493" s="24">
        <v>0.87668607424762601</v>
      </c>
      <c r="E493" s="24">
        <v>-5.2314526799325396</v>
      </c>
      <c r="F493" s="26">
        <v>1.6818309036973899E-7</v>
      </c>
      <c r="G493" s="26">
        <v>4.3239671117185097E-5</v>
      </c>
      <c r="H493" s="33" t="s">
        <v>10</v>
      </c>
      <c r="I493" s="33" t="s">
        <v>3950</v>
      </c>
      <c r="J493" s="33" t="s">
        <v>10</v>
      </c>
    </row>
    <row r="494" spans="1:10" ht="15.75" customHeight="1" x14ac:dyDescent="0.2">
      <c r="A494" s="24" t="s">
        <v>1460</v>
      </c>
      <c r="B494" s="24">
        <v>43.913383922481401</v>
      </c>
      <c r="C494" s="24">
        <v>-3.5460889366569202</v>
      </c>
      <c r="D494" s="24">
        <v>0.67866070981446103</v>
      </c>
      <c r="E494" s="24">
        <v>-5.2251277926880197</v>
      </c>
      <c r="F494" s="26">
        <v>1.7403487050219799E-7</v>
      </c>
      <c r="G494" s="26">
        <v>4.4345840845383599E-5</v>
      </c>
      <c r="H494" s="33" t="s">
        <v>10</v>
      </c>
      <c r="I494" s="33" t="s">
        <v>1270</v>
      </c>
      <c r="J494" s="33" t="s">
        <v>10</v>
      </c>
    </row>
    <row r="495" spans="1:10" ht="15.75" customHeight="1" x14ac:dyDescent="0.2">
      <c r="A495" s="24" t="s">
        <v>1463</v>
      </c>
      <c r="B495" s="24">
        <v>144.477156576971</v>
      </c>
      <c r="C495" s="24">
        <v>-2.6457493931020299</v>
      </c>
      <c r="D495" s="24">
        <v>0.50791732201682205</v>
      </c>
      <c r="E495" s="24">
        <v>-5.2090158740725201</v>
      </c>
      <c r="F495" s="26">
        <v>1.8984487279007999E-7</v>
      </c>
      <c r="G495" s="26">
        <v>4.7806947423334199E-5</v>
      </c>
      <c r="H495" s="33" t="s">
        <v>1465</v>
      </c>
      <c r="I495" s="33" t="s">
        <v>3978</v>
      </c>
      <c r="J495" s="33" t="s">
        <v>10</v>
      </c>
    </row>
    <row r="496" spans="1:10" ht="15.75" customHeight="1" x14ac:dyDescent="0.2">
      <c r="A496" s="24" t="s">
        <v>1467</v>
      </c>
      <c r="B496" s="24">
        <v>162.03045650502901</v>
      </c>
      <c r="C496" s="24">
        <v>-2.2147955428428898</v>
      </c>
      <c r="D496" s="24">
        <v>0.42583928240329399</v>
      </c>
      <c r="E496" s="24">
        <v>-5.2010127631798602</v>
      </c>
      <c r="F496" s="26">
        <v>1.9820548902340399E-7</v>
      </c>
      <c r="G496" s="26">
        <v>4.9074130993086703E-5</v>
      </c>
      <c r="H496" s="33" t="s">
        <v>1469</v>
      </c>
      <c r="I496" s="33" t="s">
        <v>3988</v>
      </c>
      <c r="J496" s="33" t="s">
        <v>10</v>
      </c>
    </row>
    <row r="497" spans="1:10" ht="15.75" customHeight="1" x14ac:dyDescent="0.2">
      <c r="A497" s="24" t="s">
        <v>1470</v>
      </c>
      <c r="B497" s="24">
        <v>33.217989194624202</v>
      </c>
      <c r="C497" s="24">
        <v>-7.43439918824608</v>
      </c>
      <c r="D497" s="24">
        <v>1.42971489244307</v>
      </c>
      <c r="E497" s="24">
        <v>-5.1999172894830199</v>
      </c>
      <c r="F497" s="26">
        <v>1.9937722821328399E-7</v>
      </c>
      <c r="G497" s="26">
        <v>4.9074130993086703E-5</v>
      </c>
      <c r="H497" s="33" t="s">
        <v>10</v>
      </c>
      <c r="I497" s="33" t="s">
        <v>10</v>
      </c>
      <c r="J497" s="33" t="s">
        <v>10</v>
      </c>
    </row>
    <row r="498" spans="1:10" ht="15.75" customHeight="1" x14ac:dyDescent="0.2">
      <c r="A498" s="24" t="s">
        <v>1473</v>
      </c>
      <c r="B498" s="24">
        <v>118.709398187028</v>
      </c>
      <c r="C498" s="24">
        <v>-2.92326112121936</v>
      </c>
      <c r="D498" s="24">
        <v>0.562292373250319</v>
      </c>
      <c r="E498" s="24">
        <v>-5.1988276211564299</v>
      </c>
      <c r="F498" s="26">
        <v>2.0054939840002099E-7</v>
      </c>
      <c r="G498" s="26">
        <v>4.9074130993086703E-5</v>
      </c>
      <c r="H498" s="33" t="s">
        <v>660</v>
      </c>
      <c r="I498" s="33" t="s">
        <v>4171</v>
      </c>
      <c r="J498" s="33" t="s">
        <v>10</v>
      </c>
    </row>
    <row r="499" spans="1:10" ht="15.75" customHeight="1" x14ac:dyDescent="0.2">
      <c r="A499" s="24" t="s">
        <v>1476</v>
      </c>
      <c r="B499" s="24">
        <v>7415.2774816828596</v>
      </c>
      <c r="C499" s="24">
        <v>-2.37439337727873</v>
      </c>
      <c r="D499" s="24">
        <v>0.45681336042039999</v>
      </c>
      <c r="E499" s="24">
        <v>-5.1977319032298004</v>
      </c>
      <c r="F499" s="26">
        <v>2.0173479103026201E-7</v>
      </c>
      <c r="G499" s="26">
        <v>4.9074130993086703E-5</v>
      </c>
      <c r="H499" s="33" t="s">
        <v>1381</v>
      </c>
      <c r="I499" s="33" t="s">
        <v>1477</v>
      </c>
      <c r="J499" s="33" t="s">
        <v>10</v>
      </c>
    </row>
    <row r="500" spans="1:10" ht="15.75" customHeight="1" x14ac:dyDescent="0.2">
      <c r="A500" s="24" t="s">
        <v>1479</v>
      </c>
      <c r="B500" s="24">
        <v>1240.6715901887301</v>
      </c>
      <c r="C500" s="24">
        <v>-2.4835021091078202</v>
      </c>
      <c r="D500" s="24">
        <v>0.47829020925624499</v>
      </c>
      <c r="E500" s="24">
        <v>-5.1924585974062403</v>
      </c>
      <c r="F500" s="26">
        <v>2.0753503189087801E-7</v>
      </c>
      <c r="G500" s="26">
        <v>4.9897626455260998E-5</v>
      </c>
      <c r="H500" s="33" t="s">
        <v>10</v>
      </c>
      <c r="I500" s="33" t="s">
        <v>1283</v>
      </c>
      <c r="J500" s="33" t="s">
        <v>10</v>
      </c>
    </row>
    <row r="501" spans="1:10" ht="15.75" customHeight="1" x14ac:dyDescent="0.2">
      <c r="A501" s="24" t="s">
        <v>1482</v>
      </c>
      <c r="B501" s="24">
        <v>36.715096141104397</v>
      </c>
      <c r="C501" s="24">
        <v>-3.0684570979913199</v>
      </c>
      <c r="D501" s="24">
        <v>0.59143849180278196</v>
      </c>
      <c r="E501" s="24">
        <v>-5.1881254610910803</v>
      </c>
      <c r="F501" s="26">
        <v>2.1242147875111899E-7</v>
      </c>
      <c r="G501" s="26">
        <v>5.08101526513575E-5</v>
      </c>
      <c r="H501" s="33" t="s">
        <v>4117</v>
      </c>
      <c r="I501" s="33" t="s">
        <v>4172</v>
      </c>
      <c r="J501" s="33" t="s">
        <v>3052</v>
      </c>
    </row>
    <row r="502" spans="1:10" ht="15.75" customHeight="1" x14ac:dyDescent="0.2">
      <c r="A502" s="24" t="s">
        <v>1485</v>
      </c>
      <c r="B502" s="24">
        <v>52.1058271193168</v>
      </c>
      <c r="C502" s="24">
        <v>-3.4710679020113999</v>
      </c>
      <c r="D502" s="24">
        <v>0.66916916903788604</v>
      </c>
      <c r="E502" s="24">
        <v>-5.18713064291651</v>
      </c>
      <c r="F502" s="26">
        <v>2.1355892153783701E-7</v>
      </c>
      <c r="G502" s="26">
        <v>5.0940328198265599E-5</v>
      </c>
      <c r="H502" s="33" t="s">
        <v>10</v>
      </c>
      <c r="I502" s="33" t="s">
        <v>369</v>
      </c>
      <c r="J502" s="33" t="s">
        <v>10</v>
      </c>
    </row>
    <row r="503" spans="1:10" ht="15.75" customHeight="1" x14ac:dyDescent="0.2">
      <c r="A503" s="24" t="s">
        <v>1487</v>
      </c>
      <c r="B503" s="24">
        <v>98.990292660122904</v>
      </c>
      <c r="C503" s="24">
        <v>-9.9790144114790902</v>
      </c>
      <c r="D503" s="24">
        <v>1.9261594230605501</v>
      </c>
      <c r="E503" s="24">
        <v>-5.1807832165953602</v>
      </c>
      <c r="F503" s="26">
        <v>2.20956164379775E-7</v>
      </c>
      <c r="G503" s="26">
        <v>5.2005148261993402E-5</v>
      </c>
      <c r="H503" s="33" t="s">
        <v>10</v>
      </c>
      <c r="I503" s="33" t="s">
        <v>1430</v>
      </c>
      <c r="J503" s="33" t="s">
        <v>10</v>
      </c>
    </row>
    <row r="504" spans="1:10" ht="15.75" customHeight="1" x14ac:dyDescent="0.2">
      <c r="A504" s="24" t="s">
        <v>1489</v>
      </c>
      <c r="B504" s="24">
        <v>542.03334336806302</v>
      </c>
      <c r="C504" s="24">
        <v>-2.1080992098776901</v>
      </c>
      <c r="D504" s="24">
        <v>0.40720669123002401</v>
      </c>
      <c r="E504" s="24">
        <v>-5.1769758584022503</v>
      </c>
      <c r="F504" s="26">
        <v>2.2551138393296701E-7</v>
      </c>
      <c r="G504" s="26">
        <v>5.2765362533263799E-5</v>
      </c>
      <c r="H504" s="33" t="s">
        <v>1381</v>
      </c>
      <c r="I504" s="33" t="s">
        <v>1492</v>
      </c>
      <c r="J504" s="33" t="s">
        <v>10</v>
      </c>
    </row>
    <row r="505" spans="1:10" ht="15.75" customHeight="1" x14ac:dyDescent="0.2">
      <c r="A505" s="24" t="s">
        <v>1493</v>
      </c>
      <c r="B505" s="24">
        <v>27.305817545051099</v>
      </c>
      <c r="C505" s="24">
        <v>-4.1904361381373496</v>
      </c>
      <c r="D505" s="24">
        <v>0.81227450165526405</v>
      </c>
      <c r="E505" s="24">
        <v>-5.1588916426626996</v>
      </c>
      <c r="F505" s="26">
        <v>2.4841602040420699E-7</v>
      </c>
      <c r="G505" s="26">
        <v>5.7343365828305498E-5</v>
      </c>
      <c r="H505" s="33" t="s">
        <v>10</v>
      </c>
      <c r="I505" s="33" t="s">
        <v>1174</v>
      </c>
      <c r="J505" s="33" t="s">
        <v>10</v>
      </c>
    </row>
    <row r="506" spans="1:10" ht="15.75" customHeight="1" x14ac:dyDescent="0.2">
      <c r="A506" s="24" t="s">
        <v>1497</v>
      </c>
      <c r="B506" s="24">
        <v>2192.5773568487398</v>
      </c>
      <c r="C506" s="24">
        <v>-2.8861363826475102</v>
      </c>
      <c r="D506" s="24">
        <v>0.56005316735384902</v>
      </c>
      <c r="E506" s="24">
        <v>-5.1533257034934499</v>
      </c>
      <c r="F506" s="26">
        <v>2.5590692557670898E-7</v>
      </c>
      <c r="G506" s="26">
        <v>5.8289081183547898E-5</v>
      </c>
      <c r="H506" s="33" t="s">
        <v>1381</v>
      </c>
      <c r="I506" s="33" t="s">
        <v>10</v>
      </c>
      <c r="J506" s="33" t="s">
        <v>10</v>
      </c>
    </row>
    <row r="507" spans="1:10" ht="15.75" customHeight="1" x14ac:dyDescent="0.2">
      <c r="A507" s="24" t="s">
        <v>1500</v>
      </c>
      <c r="B507" s="24">
        <v>56.420475173108201</v>
      </c>
      <c r="C507" s="24">
        <v>-4.0593234498134496</v>
      </c>
      <c r="D507" s="24">
        <v>0.78822691443981496</v>
      </c>
      <c r="E507" s="24">
        <v>-5.1499427074224799</v>
      </c>
      <c r="F507" s="26">
        <v>2.6056604105672198E-7</v>
      </c>
      <c r="G507" s="26">
        <v>5.9193297649687199E-5</v>
      </c>
      <c r="H507" s="33" t="s">
        <v>10</v>
      </c>
      <c r="I507" s="33" t="s">
        <v>1283</v>
      </c>
      <c r="J507" s="33" t="s">
        <v>10</v>
      </c>
    </row>
    <row r="508" spans="1:10" ht="15.75" customHeight="1" x14ac:dyDescent="0.2">
      <c r="A508" s="24" t="s">
        <v>1502</v>
      </c>
      <c r="B508" s="24">
        <v>52.282864653771298</v>
      </c>
      <c r="C508" s="24">
        <v>-2.5222962537126201</v>
      </c>
      <c r="D508" s="24">
        <v>0.48996724475346698</v>
      </c>
      <c r="E508" s="24">
        <v>-5.1478874980341596</v>
      </c>
      <c r="F508" s="26">
        <v>2.6343640279349401E-7</v>
      </c>
      <c r="G508" s="26">
        <v>5.9687460011293197E-5</v>
      </c>
      <c r="H508" s="33" t="s">
        <v>10</v>
      </c>
      <c r="I508" s="33" t="s">
        <v>1270</v>
      </c>
      <c r="J508" s="33" t="s">
        <v>10</v>
      </c>
    </row>
    <row r="509" spans="1:10" ht="15.75" customHeight="1" x14ac:dyDescent="0.2">
      <c r="A509" s="24" t="s">
        <v>1506</v>
      </c>
      <c r="B509" s="24">
        <v>37.213757522090901</v>
      </c>
      <c r="C509" s="24">
        <v>-3.74722908721674</v>
      </c>
      <c r="D509" s="24">
        <v>0.73058639480257004</v>
      </c>
      <c r="E509" s="24">
        <v>-5.1290704478959901</v>
      </c>
      <c r="F509" s="26">
        <v>2.91176370989232E-7</v>
      </c>
      <c r="G509" s="26">
        <v>6.5283566979676999E-5</v>
      </c>
      <c r="H509" s="33" t="s">
        <v>10</v>
      </c>
      <c r="I509" s="33" t="s">
        <v>1430</v>
      </c>
      <c r="J509" s="33" t="s">
        <v>10</v>
      </c>
    </row>
    <row r="510" spans="1:10" ht="15.75" customHeight="1" x14ac:dyDescent="0.2">
      <c r="A510" s="24" t="s">
        <v>1509</v>
      </c>
      <c r="B510" s="24">
        <v>402.64495964552998</v>
      </c>
      <c r="C510" s="24">
        <v>-3.39144187741912</v>
      </c>
      <c r="D510" s="24">
        <v>0.66129098557400001</v>
      </c>
      <c r="E510" s="24">
        <v>-5.1285167216899996</v>
      </c>
      <c r="F510" s="26">
        <v>2.9203396264667199E-7</v>
      </c>
      <c r="G510" s="26">
        <v>6.5305334391750901E-5</v>
      </c>
      <c r="H510" s="33" t="s">
        <v>10</v>
      </c>
      <c r="I510" s="33" t="s">
        <v>1270</v>
      </c>
      <c r="J510" s="33" t="s">
        <v>10</v>
      </c>
    </row>
    <row r="511" spans="1:10" ht="15.75" customHeight="1" x14ac:dyDescent="0.2">
      <c r="A511" s="24" t="s">
        <v>1510</v>
      </c>
      <c r="B511" s="24">
        <v>26.551867375103299</v>
      </c>
      <c r="C511" s="24">
        <v>-7.1031324366289503</v>
      </c>
      <c r="D511" s="24">
        <v>1.3860197529791001</v>
      </c>
      <c r="E511" s="24">
        <v>-5.1248421397758204</v>
      </c>
      <c r="F511" s="26">
        <v>2.9778713719689001E-7</v>
      </c>
      <c r="G511" s="26">
        <v>6.6070653737967496E-5</v>
      </c>
      <c r="H511" s="33" t="s">
        <v>10</v>
      </c>
      <c r="I511" s="33" t="s">
        <v>1270</v>
      </c>
      <c r="J511" s="33" t="s">
        <v>10</v>
      </c>
    </row>
    <row r="512" spans="1:10" ht="15.75" customHeight="1" x14ac:dyDescent="0.2">
      <c r="A512" s="24" t="s">
        <v>1513</v>
      </c>
      <c r="B512" s="24">
        <v>210.858547329403</v>
      </c>
      <c r="C512" s="24">
        <v>-5.3658533600350999</v>
      </c>
      <c r="D512" s="24">
        <v>1.04721551906653</v>
      </c>
      <c r="E512" s="24">
        <v>-5.1239246003708203</v>
      </c>
      <c r="F512" s="26">
        <v>2.9924068579818299E-7</v>
      </c>
      <c r="G512" s="26">
        <v>6.6070653737967496E-5</v>
      </c>
      <c r="H512" s="33" t="s">
        <v>1515</v>
      </c>
      <c r="I512" s="33" t="s">
        <v>3940</v>
      </c>
      <c r="J512" s="33" t="s">
        <v>4056</v>
      </c>
    </row>
    <row r="513" spans="1:10" ht="15.75" customHeight="1" x14ac:dyDescent="0.2">
      <c r="A513" s="24" t="s">
        <v>1516</v>
      </c>
      <c r="B513" s="24">
        <v>225.97427088275799</v>
      </c>
      <c r="C513" s="24">
        <v>-4.6445686599209699</v>
      </c>
      <c r="D513" s="24">
        <v>0.90916763205851303</v>
      </c>
      <c r="E513" s="24">
        <v>-5.1085943847394404</v>
      </c>
      <c r="F513" s="26">
        <v>3.2456426342443598E-7</v>
      </c>
      <c r="G513" s="26">
        <v>7.1098617001325902E-5</v>
      </c>
      <c r="H513" s="33" t="s">
        <v>153</v>
      </c>
      <c r="I513" s="33" t="s">
        <v>4173</v>
      </c>
      <c r="J513" s="33" t="s">
        <v>10</v>
      </c>
    </row>
    <row r="514" spans="1:10" ht="15.75" customHeight="1" x14ac:dyDescent="0.2">
      <c r="A514" s="24" t="s">
        <v>1520</v>
      </c>
      <c r="B514" s="24">
        <v>28.699368976697201</v>
      </c>
      <c r="C514" s="24">
        <v>-3.7359480634302402</v>
      </c>
      <c r="D514" s="24">
        <v>0.73179272197813305</v>
      </c>
      <c r="E514" s="24">
        <v>-5.1051998075786802</v>
      </c>
      <c r="F514" s="26">
        <v>3.3044517322191401E-7</v>
      </c>
      <c r="G514" s="26">
        <v>7.2019435202383194E-5</v>
      </c>
      <c r="H514" s="33" t="s">
        <v>10</v>
      </c>
      <c r="I514" s="33" t="s">
        <v>1270</v>
      </c>
      <c r="J514" s="33" t="s">
        <v>10</v>
      </c>
    </row>
    <row r="515" spans="1:10" ht="15.75" customHeight="1" x14ac:dyDescent="0.2">
      <c r="A515" s="24" t="s">
        <v>1522</v>
      </c>
      <c r="B515" s="24">
        <v>46.639075006429898</v>
      </c>
      <c r="C515" s="24">
        <v>-2.9743251705013898</v>
      </c>
      <c r="D515" s="24">
        <v>0.58327982743144802</v>
      </c>
      <c r="E515" s="24">
        <v>-5.09931088067838</v>
      </c>
      <c r="F515" s="26">
        <v>3.4089227261402002E-7</v>
      </c>
      <c r="G515" s="26">
        <v>7.4108254029464703E-5</v>
      </c>
      <c r="H515" s="33" t="s">
        <v>10</v>
      </c>
      <c r="I515" s="33" t="s">
        <v>10</v>
      </c>
      <c r="J515" s="33" t="s">
        <v>10</v>
      </c>
    </row>
    <row r="516" spans="1:10" ht="15.75" customHeight="1" x14ac:dyDescent="0.2">
      <c r="A516" s="24" t="s">
        <v>1525</v>
      </c>
      <c r="B516" s="24">
        <v>70.840429891376601</v>
      </c>
      <c r="C516" s="24">
        <v>-2.1696108278270998</v>
      </c>
      <c r="D516" s="24">
        <v>0.425750608550926</v>
      </c>
      <c r="E516" s="24">
        <v>-5.09596647486081</v>
      </c>
      <c r="F516" s="26">
        <v>3.4696653066389998E-7</v>
      </c>
      <c r="G516" s="26">
        <v>7.5238290289494306E-5</v>
      </c>
      <c r="H516" s="33" t="s">
        <v>10</v>
      </c>
      <c r="I516" s="33" t="s">
        <v>1346</v>
      </c>
      <c r="J516" s="33" t="s">
        <v>10</v>
      </c>
    </row>
    <row r="517" spans="1:10" ht="15.75" customHeight="1" x14ac:dyDescent="0.2">
      <c r="A517" s="24" t="s">
        <v>1528</v>
      </c>
      <c r="B517" s="24">
        <v>165.163999937342</v>
      </c>
      <c r="C517" s="24">
        <v>-4.0557075091023602</v>
      </c>
      <c r="D517" s="24">
        <v>0.79668449245731798</v>
      </c>
      <c r="E517" s="24">
        <v>-5.0907323382093299</v>
      </c>
      <c r="F517" s="26">
        <v>3.566832252794E-7</v>
      </c>
      <c r="G517" s="26">
        <v>7.6956646326550995E-5</v>
      </c>
      <c r="H517" s="33" t="s">
        <v>10</v>
      </c>
      <c r="I517" s="33" t="s">
        <v>1283</v>
      </c>
      <c r="J517" s="33" t="s">
        <v>10</v>
      </c>
    </row>
    <row r="518" spans="1:10" ht="15.75" customHeight="1" x14ac:dyDescent="0.2">
      <c r="A518" s="24" t="s">
        <v>1529</v>
      </c>
      <c r="B518" s="24">
        <v>24.205006333812499</v>
      </c>
      <c r="C518" s="24">
        <v>-4.5299489964695399</v>
      </c>
      <c r="D518" s="24">
        <v>0.89043525237462695</v>
      </c>
      <c r="E518" s="24">
        <v>-5.0873423804695497</v>
      </c>
      <c r="F518" s="26">
        <v>3.6311594845790099E-7</v>
      </c>
      <c r="G518" s="26">
        <v>7.81481945113493E-5</v>
      </c>
      <c r="H518" s="33" t="s">
        <v>1262</v>
      </c>
      <c r="I518" s="33" t="s">
        <v>1531</v>
      </c>
      <c r="J518" s="33" t="s">
        <v>10</v>
      </c>
    </row>
    <row r="519" spans="1:10" ht="15.75" customHeight="1" x14ac:dyDescent="0.2">
      <c r="A519" s="24" t="s">
        <v>1532</v>
      </c>
      <c r="B519" s="24">
        <v>290.23580227867899</v>
      </c>
      <c r="C519" s="24">
        <v>-2.3936698704344201</v>
      </c>
      <c r="D519" s="24">
        <v>0.471405762684458</v>
      </c>
      <c r="E519" s="24">
        <v>-5.0777272148806096</v>
      </c>
      <c r="F519" s="26">
        <v>3.81976574599218E-7</v>
      </c>
      <c r="G519" s="26">
        <v>8.1189877320320394E-5</v>
      </c>
      <c r="H519" s="33" t="s">
        <v>10</v>
      </c>
      <c r="I519" s="33" t="s">
        <v>1270</v>
      </c>
      <c r="J519" s="33" t="s">
        <v>10</v>
      </c>
    </row>
    <row r="520" spans="1:10" ht="15.75" customHeight="1" x14ac:dyDescent="0.2">
      <c r="A520" s="24" t="s">
        <v>1534</v>
      </c>
      <c r="B520" s="24">
        <v>1395.4652032851</v>
      </c>
      <c r="C520" s="24">
        <v>-2.4751089247674498</v>
      </c>
      <c r="D520" s="24">
        <v>0.48816766259223598</v>
      </c>
      <c r="E520" s="24">
        <v>-5.0702025439872198</v>
      </c>
      <c r="F520" s="26">
        <v>3.9739255806754998E-7</v>
      </c>
      <c r="G520" s="26">
        <v>8.3141949108208498E-5</v>
      </c>
      <c r="H520" s="33" t="s">
        <v>3868</v>
      </c>
      <c r="I520" s="33" t="s">
        <v>4002</v>
      </c>
      <c r="J520" s="33" t="s">
        <v>4099</v>
      </c>
    </row>
    <row r="521" spans="1:10" ht="15.75" customHeight="1" x14ac:dyDescent="0.2">
      <c r="A521" s="24" t="s">
        <v>1537</v>
      </c>
      <c r="B521" s="24">
        <v>46.588685500709502</v>
      </c>
      <c r="C521" s="24">
        <v>-7.9233004017208204</v>
      </c>
      <c r="D521" s="24">
        <v>1.56301030877417</v>
      </c>
      <c r="E521" s="24">
        <v>-5.0692566499672402</v>
      </c>
      <c r="F521" s="26">
        <v>3.9937239857001402E-7</v>
      </c>
      <c r="G521" s="26">
        <v>8.3141949108208498E-5</v>
      </c>
      <c r="H521" s="33" t="s">
        <v>4129</v>
      </c>
      <c r="I521" s="33" t="s">
        <v>4174</v>
      </c>
      <c r="J521" s="33" t="s">
        <v>10</v>
      </c>
    </row>
    <row r="522" spans="1:10" ht="15.75" customHeight="1" x14ac:dyDescent="0.2">
      <c r="A522" s="24" t="s">
        <v>1539</v>
      </c>
      <c r="B522" s="24">
        <v>190.184041083821</v>
      </c>
      <c r="C522" s="24">
        <v>-4.4001441755734998</v>
      </c>
      <c r="D522" s="24">
        <v>0.86812216385224406</v>
      </c>
      <c r="E522" s="24">
        <v>-5.0685771643568103</v>
      </c>
      <c r="F522" s="26">
        <v>4.0080049323282202E-7</v>
      </c>
      <c r="G522" s="26">
        <v>8.3141949108208498E-5</v>
      </c>
      <c r="H522" s="33" t="s">
        <v>10</v>
      </c>
      <c r="I522" s="33" t="s">
        <v>369</v>
      </c>
      <c r="J522" s="33" t="s">
        <v>10</v>
      </c>
    </row>
    <row r="523" spans="1:10" ht="15.75" customHeight="1" x14ac:dyDescent="0.2">
      <c r="A523" s="24" t="s">
        <v>1541</v>
      </c>
      <c r="B523" s="24">
        <v>127.769928166886</v>
      </c>
      <c r="C523" s="24">
        <v>-2.6242559716343199</v>
      </c>
      <c r="D523" s="24">
        <v>0.51776987600862401</v>
      </c>
      <c r="E523" s="24">
        <v>-5.06838287283946</v>
      </c>
      <c r="F523" s="26">
        <v>4.0120974645623498E-7</v>
      </c>
      <c r="G523" s="26">
        <v>8.3141949108208498E-5</v>
      </c>
      <c r="H523" s="33" t="s">
        <v>4130</v>
      </c>
      <c r="I523" s="33" t="s">
        <v>4175</v>
      </c>
      <c r="J523" s="33" t="s">
        <v>10</v>
      </c>
    </row>
    <row r="524" spans="1:10" ht="15.75" customHeight="1" x14ac:dyDescent="0.2">
      <c r="A524" s="24" t="s">
        <v>1543</v>
      </c>
      <c r="B524" s="24">
        <v>19.927774575182799</v>
      </c>
      <c r="C524" s="24">
        <v>-7.6656303872607996</v>
      </c>
      <c r="D524" s="24">
        <v>1.51323173152992</v>
      </c>
      <c r="E524" s="24">
        <v>-5.0657346310803497</v>
      </c>
      <c r="F524" s="26">
        <v>4.0682833312875E-7</v>
      </c>
      <c r="G524" s="26">
        <v>8.3950426836922301E-5</v>
      </c>
      <c r="H524" s="33" t="s">
        <v>10</v>
      </c>
      <c r="I524" s="33" t="s">
        <v>1270</v>
      </c>
      <c r="J524" s="33" t="s">
        <v>10</v>
      </c>
    </row>
    <row r="525" spans="1:10" ht="15.75" customHeight="1" x14ac:dyDescent="0.2">
      <c r="A525" s="24" t="s">
        <v>1546</v>
      </c>
      <c r="B525" s="24">
        <v>58.008251077010001</v>
      </c>
      <c r="C525" s="24">
        <v>-2.2382443271780499</v>
      </c>
      <c r="D525" s="24">
        <v>0.44187450706601999</v>
      </c>
      <c r="E525" s="24">
        <v>-5.0653393472270096</v>
      </c>
      <c r="F525" s="26">
        <v>4.0767346357905E-7</v>
      </c>
      <c r="G525" s="26">
        <v>8.3950426836922301E-5</v>
      </c>
      <c r="H525" s="33" t="s">
        <v>10</v>
      </c>
      <c r="I525" s="33" t="s">
        <v>1270</v>
      </c>
      <c r="J525" s="33" t="s">
        <v>10</v>
      </c>
    </row>
    <row r="526" spans="1:10" ht="15.75" customHeight="1" x14ac:dyDescent="0.2">
      <c r="A526" s="24" t="s">
        <v>1550</v>
      </c>
      <c r="B526" s="24">
        <v>274.20781440534898</v>
      </c>
      <c r="C526" s="24">
        <v>-3.6129772162395501</v>
      </c>
      <c r="D526" s="24">
        <v>0.7144796021816</v>
      </c>
      <c r="E526" s="24">
        <v>-5.0567954707281304</v>
      </c>
      <c r="F526" s="26">
        <v>4.2636007384415898E-7</v>
      </c>
      <c r="G526" s="26">
        <v>8.6632331108437794E-5</v>
      </c>
      <c r="H526" s="33" t="s">
        <v>10</v>
      </c>
      <c r="I526" s="33" t="s">
        <v>1552</v>
      </c>
      <c r="J526" s="33" t="s">
        <v>10</v>
      </c>
    </row>
    <row r="527" spans="1:10" ht="15.75" customHeight="1" x14ac:dyDescent="0.2">
      <c r="A527" s="24" t="s">
        <v>1553</v>
      </c>
      <c r="B527" s="24">
        <v>87.152989620923194</v>
      </c>
      <c r="C527" s="24">
        <v>-2.9044094622946099</v>
      </c>
      <c r="D527" s="24">
        <v>0.57531880559868898</v>
      </c>
      <c r="E527" s="24">
        <v>-5.0483478621426601</v>
      </c>
      <c r="F527" s="26">
        <v>4.4564715128343799E-7</v>
      </c>
      <c r="G527" s="26">
        <v>8.9620998894285997E-5</v>
      </c>
      <c r="H527" s="33" t="s">
        <v>1381</v>
      </c>
      <c r="I527" s="33" t="s">
        <v>1556</v>
      </c>
      <c r="J527" s="33" t="s">
        <v>10</v>
      </c>
    </row>
    <row r="528" spans="1:10" ht="15.75" customHeight="1" x14ac:dyDescent="0.2">
      <c r="A528" s="24" t="s">
        <v>1557</v>
      </c>
      <c r="B528" s="24">
        <v>49.460631913294897</v>
      </c>
      <c r="C528" s="24">
        <v>-6.1626734796316702</v>
      </c>
      <c r="D528" s="24">
        <v>1.2249269387991599</v>
      </c>
      <c r="E528" s="24">
        <v>-5.0310539220185397</v>
      </c>
      <c r="F528" s="26">
        <v>4.8779092039889101E-7</v>
      </c>
      <c r="G528" s="26">
        <v>9.7638914045625094E-5</v>
      </c>
      <c r="H528" s="33" t="s">
        <v>1559</v>
      </c>
      <c r="I528" s="33" t="s">
        <v>1560</v>
      </c>
      <c r="J528" s="33" t="s">
        <v>10</v>
      </c>
    </row>
    <row r="529" spans="1:10" ht="15.75" customHeight="1" x14ac:dyDescent="0.2">
      <c r="A529" s="24" t="s">
        <v>1561</v>
      </c>
      <c r="B529" s="24">
        <v>90.037666151418804</v>
      </c>
      <c r="C529" s="24">
        <v>-2.8683230531920598</v>
      </c>
      <c r="D529" s="24">
        <v>0.57223124572971795</v>
      </c>
      <c r="E529" s="24">
        <v>-5.0125243502464398</v>
      </c>
      <c r="F529" s="26">
        <v>5.3720574688162504E-7</v>
      </c>
      <c r="G529" s="24">
        <v>1.05384131009322E-4</v>
      </c>
      <c r="H529" s="33" t="s">
        <v>10</v>
      </c>
      <c r="I529" s="33" t="s">
        <v>10</v>
      </c>
      <c r="J529" s="33" t="s">
        <v>10</v>
      </c>
    </row>
    <row r="530" spans="1:10" ht="15.75" customHeight="1" x14ac:dyDescent="0.2">
      <c r="A530" s="24" t="s">
        <v>1564</v>
      </c>
      <c r="B530" s="24">
        <v>69.284903430875502</v>
      </c>
      <c r="C530" s="24">
        <v>-2.1936831915254298</v>
      </c>
      <c r="D530" s="24">
        <v>0.43807374914554598</v>
      </c>
      <c r="E530" s="24">
        <v>-5.0075659539156696</v>
      </c>
      <c r="F530" s="26">
        <v>5.5122666055782302E-7</v>
      </c>
      <c r="G530" s="24">
        <v>1.0733420537134E-4</v>
      </c>
      <c r="H530" s="33" t="s">
        <v>1381</v>
      </c>
      <c r="I530" s="33" t="s">
        <v>3909</v>
      </c>
      <c r="J530" s="33" t="s">
        <v>10</v>
      </c>
    </row>
    <row r="531" spans="1:10" ht="15.75" customHeight="1" x14ac:dyDescent="0.2">
      <c r="A531" s="24" t="s">
        <v>1566</v>
      </c>
      <c r="B531" s="24">
        <v>87.078173643583696</v>
      </c>
      <c r="C531" s="24">
        <v>-3.1332250310758498</v>
      </c>
      <c r="D531" s="24">
        <v>0.627458235271523</v>
      </c>
      <c r="E531" s="24">
        <v>-4.9935196558859296</v>
      </c>
      <c r="F531" s="26">
        <v>5.9288748571046201E-7</v>
      </c>
      <c r="G531" s="24">
        <v>1.14666309201448E-4</v>
      </c>
      <c r="H531" s="33" t="s">
        <v>10</v>
      </c>
      <c r="I531" s="33" t="s">
        <v>1280</v>
      </c>
      <c r="J531" s="33" t="s">
        <v>10</v>
      </c>
    </row>
    <row r="532" spans="1:10" ht="15.75" customHeight="1" x14ac:dyDescent="0.2">
      <c r="A532" s="24" t="s">
        <v>1570</v>
      </c>
      <c r="B532" s="24">
        <v>89.995272630974696</v>
      </c>
      <c r="C532" s="24">
        <v>-2.4763414191996098</v>
      </c>
      <c r="D532" s="24">
        <v>0.49830557252128599</v>
      </c>
      <c r="E532" s="24">
        <v>-4.9695238338797196</v>
      </c>
      <c r="F532" s="26">
        <v>6.7117520762265496E-7</v>
      </c>
      <c r="G532" s="24">
        <v>1.2864840681644E-4</v>
      </c>
      <c r="H532" s="33" t="s">
        <v>10</v>
      </c>
      <c r="I532" s="33" t="s">
        <v>369</v>
      </c>
      <c r="J532" s="33" t="s">
        <v>10</v>
      </c>
    </row>
    <row r="533" spans="1:10" ht="15.75" customHeight="1" x14ac:dyDescent="0.2">
      <c r="A533" s="24" t="s">
        <v>1572</v>
      </c>
      <c r="B533" s="24">
        <v>1735.8207578676399</v>
      </c>
      <c r="C533" s="24">
        <v>-4.0008971015160197</v>
      </c>
      <c r="D533" s="24">
        <v>0.80549695799151</v>
      </c>
      <c r="E533" s="24">
        <v>-4.9669921926113503</v>
      </c>
      <c r="F533" s="26">
        <v>6.7999324655491999E-7</v>
      </c>
      <c r="G533" s="24">
        <v>1.3004832978823501E-4</v>
      </c>
      <c r="H533" s="33" t="s">
        <v>10</v>
      </c>
      <c r="I533" s="33" t="s">
        <v>1346</v>
      </c>
      <c r="J533" s="33" t="s">
        <v>10</v>
      </c>
    </row>
    <row r="534" spans="1:10" ht="15.75" customHeight="1" x14ac:dyDescent="0.2">
      <c r="A534" s="24" t="s">
        <v>1574</v>
      </c>
      <c r="B534" s="24">
        <v>123.805426384623</v>
      </c>
      <c r="C534" s="24">
        <v>-2.2962058426049898</v>
      </c>
      <c r="D534" s="24">
        <v>0.462415778103692</v>
      </c>
      <c r="E534" s="24">
        <v>-4.9656736455261798</v>
      </c>
      <c r="F534" s="26">
        <v>6.8463002593168102E-7</v>
      </c>
      <c r="G534" s="24">
        <v>1.3035446775339101E-4</v>
      </c>
      <c r="H534" s="33" t="s">
        <v>1575</v>
      </c>
      <c r="I534" s="33" t="s">
        <v>4176</v>
      </c>
      <c r="J534" s="33" t="s">
        <v>10</v>
      </c>
    </row>
    <row r="535" spans="1:10" ht="15.75" customHeight="1" x14ac:dyDescent="0.2">
      <c r="A535" s="24" t="s">
        <v>1576</v>
      </c>
      <c r="B535" s="24">
        <v>1963.4001688861299</v>
      </c>
      <c r="C535" s="24">
        <v>-2.3745664891057801</v>
      </c>
      <c r="D535" s="24">
        <v>0.47854561799405498</v>
      </c>
      <c r="E535" s="24">
        <v>-4.9620483394234798</v>
      </c>
      <c r="F535" s="26">
        <v>6.97536291565432E-7</v>
      </c>
      <c r="G535" s="24">
        <v>1.31841366237024E-4</v>
      </c>
      <c r="H535" s="33" t="s">
        <v>1559</v>
      </c>
      <c r="I535" s="33" t="s">
        <v>1560</v>
      </c>
      <c r="J535" s="33" t="s">
        <v>10</v>
      </c>
    </row>
    <row r="536" spans="1:10" ht="15.75" customHeight="1" x14ac:dyDescent="0.2">
      <c r="A536" s="24" t="s">
        <v>1577</v>
      </c>
      <c r="B536" s="24">
        <v>128.43466682158001</v>
      </c>
      <c r="C536" s="24">
        <v>-6.9692938711598398</v>
      </c>
      <c r="D536" s="24">
        <v>1.40573803602304</v>
      </c>
      <c r="E536" s="24">
        <v>-4.9577472420655297</v>
      </c>
      <c r="F536" s="26">
        <v>7.1315258061214197E-7</v>
      </c>
      <c r="G536" s="24">
        <v>1.33418573528857E-4</v>
      </c>
      <c r="H536" s="33" t="s">
        <v>3831</v>
      </c>
      <c r="I536" s="33" t="s">
        <v>4177</v>
      </c>
      <c r="J536" s="33" t="s">
        <v>4045</v>
      </c>
    </row>
    <row r="537" spans="1:10" ht="15.75" customHeight="1" x14ac:dyDescent="0.2">
      <c r="A537" s="24" t="s">
        <v>1579</v>
      </c>
      <c r="B537" s="24">
        <v>56.049539021748203</v>
      </c>
      <c r="C537" s="24">
        <v>-2.7424345642911101</v>
      </c>
      <c r="D537" s="24">
        <v>0.55348617593175897</v>
      </c>
      <c r="E537" s="24">
        <v>-4.9548384106872998</v>
      </c>
      <c r="F537" s="26">
        <v>7.2390423495484295E-7</v>
      </c>
      <c r="G537" s="24">
        <v>1.35135609912625E-4</v>
      </c>
      <c r="H537" s="33" t="s">
        <v>10</v>
      </c>
      <c r="I537" s="33" t="s">
        <v>1270</v>
      </c>
      <c r="J537" s="33" t="s">
        <v>10</v>
      </c>
    </row>
    <row r="538" spans="1:10" ht="15.75" customHeight="1" x14ac:dyDescent="0.2">
      <c r="A538" s="24" t="s">
        <v>1580</v>
      </c>
      <c r="B538" s="24">
        <v>2766.7672030785602</v>
      </c>
      <c r="C538" s="24">
        <v>-2.9368992330274999</v>
      </c>
      <c r="D538" s="24">
        <v>0.59331397791979001</v>
      </c>
      <c r="E538" s="24">
        <v>-4.9499916440946299</v>
      </c>
      <c r="F538" s="26">
        <v>7.4216667933908805E-7</v>
      </c>
      <c r="G538" s="24">
        <v>1.37647073264637E-4</v>
      </c>
      <c r="H538" s="33" t="s">
        <v>440</v>
      </c>
      <c r="I538" s="33" t="s">
        <v>1270</v>
      </c>
      <c r="J538" s="33" t="s">
        <v>10</v>
      </c>
    </row>
    <row r="539" spans="1:10" ht="15.75" customHeight="1" x14ac:dyDescent="0.2">
      <c r="A539" s="24" t="s">
        <v>1581</v>
      </c>
      <c r="B539" s="24">
        <v>221.404128474429</v>
      </c>
      <c r="C539" s="24">
        <v>-2.9871735413023299</v>
      </c>
      <c r="D539" s="24">
        <v>0.604292397093385</v>
      </c>
      <c r="E539" s="24">
        <v>-4.9432585213225799</v>
      </c>
      <c r="F539" s="26">
        <v>7.6827496510514204E-7</v>
      </c>
      <c r="G539" s="24">
        <v>1.41734858663546E-4</v>
      </c>
      <c r="H539" s="33" t="s">
        <v>10</v>
      </c>
      <c r="I539" s="33" t="s">
        <v>369</v>
      </c>
      <c r="J539" s="33" t="s">
        <v>10</v>
      </c>
    </row>
    <row r="540" spans="1:10" ht="15.75" customHeight="1" x14ac:dyDescent="0.2">
      <c r="A540" s="24" t="s">
        <v>1583</v>
      </c>
      <c r="B540" s="24">
        <v>55.026776263377798</v>
      </c>
      <c r="C540" s="24">
        <v>-3.7084375586177898</v>
      </c>
      <c r="D540" s="24">
        <v>0.75244176937767204</v>
      </c>
      <c r="E540" s="24">
        <v>-4.9285376085447199</v>
      </c>
      <c r="F540" s="26">
        <v>8.2847388531771604E-7</v>
      </c>
      <c r="G540" s="24">
        <v>1.5008835655299101E-4</v>
      </c>
      <c r="H540" s="33" t="s">
        <v>10</v>
      </c>
      <c r="I540" s="33" t="s">
        <v>369</v>
      </c>
      <c r="J540" s="33" t="s">
        <v>10</v>
      </c>
    </row>
    <row r="541" spans="1:10" ht="15.75" customHeight="1" x14ac:dyDescent="0.2">
      <c r="A541" s="24" t="s">
        <v>1586</v>
      </c>
      <c r="B541" s="24">
        <v>135.55634779378801</v>
      </c>
      <c r="C541" s="24">
        <v>-2.84339790201442</v>
      </c>
      <c r="D541" s="24">
        <v>0.57777389248186095</v>
      </c>
      <c r="E541" s="24">
        <v>-4.92129869316254</v>
      </c>
      <c r="F541" s="26">
        <v>8.5971802940154695E-7</v>
      </c>
      <c r="G541" s="24">
        <v>1.54769071074927E-4</v>
      </c>
      <c r="H541" s="33" t="s">
        <v>10</v>
      </c>
      <c r="I541" s="33" t="s">
        <v>369</v>
      </c>
      <c r="J541" s="33" t="s">
        <v>10</v>
      </c>
    </row>
    <row r="542" spans="1:10" ht="15.75" customHeight="1" x14ac:dyDescent="0.2">
      <c r="A542" s="24" t="s">
        <v>1588</v>
      </c>
      <c r="B542" s="24">
        <v>26.132218929037801</v>
      </c>
      <c r="C542" s="24">
        <v>-3.0805937583551701</v>
      </c>
      <c r="D542" s="24">
        <v>0.62670058662182604</v>
      </c>
      <c r="E542" s="24">
        <v>-4.9155750355378496</v>
      </c>
      <c r="F542" s="26">
        <v>8.8522236121230301E-7</v>
      </c>
      <c r="G542" s="24">
        <v>1.59027048911426E-4</v>
      </c>
      <c r="H542" s="33" t="s">
        <v>10</v>
      </c>
      <c r="I542" s="33" t="s">
        <v>1270</v>
      </c>
      <c r="J542" s="33" t="s">
        <v>10</v>
      </c>
    </row>
    <row r="543" spans="1:10" ht="15.75" customHeight="1" x14ac:dyDescent="0.2">
      <c r="A543" s="24" t="s">
        <v>1591</v>
      </c>
      <c r="B543" s="24">
        <v>35.379651747120498</v>
      </c>
      <c r="C543" s="24">
        <v>-4.3394757503912098</v>
      </c>
      <c r="D543" s="24">
        <v>0.88293211213439404</v>
      </c>
      <c r="E543" s="24">
        <v>-4.9148464426115304</v>
      </c>
      <c r="F543" s="26">
        <v>8.8852074078657004E-7</v>
      </c>
      <c r="G543" s="24">
        <v>1.5928635601687599E-4</v>
      </c>
      <c r="H543" s="33" t="s">
        <v>10</v>
      </c>
      <c r="I543" s="33" t="s">
        <v>1593</v>
      </c>
      <c r="J543" s="33" t="s">
        <v>10</v>
      </c>
    </row>
    <row r="544" spans="1:10" ht="15.75" customHeight="1" x14ac:dyDescent="0.2">
      <c r="A544" s="24" t="s">
        <v>1594</v>
      </c>
      <c r="B544" s="24">
        <v>161.21233331092299</v>
      </c>
      <c r="C544" s="24">
        <v>-3.6623139045971498</v>
      </c>
      <c r="D544" s="24">
        <v>0.74608102907123597</v>
      </c>
      <c r="E544" s="24">
        <v>-4.9087347913888202</v>
      </c>
      <c r="F544" s="26">
        <v>9.1665839395542002E-7</v>
      </c>
      <c r="G544" s="24">
        <v>1.6364734500487699E-4</v>
      </c>
      <c r="H544" s="33" t="s">
        <v>10</v>
      </c>
      <c r="I544" s="33" t="s">
        <v>1359</v>
      </c>
      <c r="J544" s="33" t="s">
        <v>10</v>
      </c>
    </row>
    <row r="545" spans="1:10" ht="15.75" customHeight="1" x14ac:dyDescent="0.2">
      <c r="A545" s="24" t="s">
        <v>1596</v>
      </c>
      <c r="B545" s="24">
        <v>186.38818915954599</v>
      </c>
      <c r="C545" s="24">
        <v>-2.3033933100814901</v>
      </c>
      <c r="D545" s="24">
        <v>0.469646011570513</v>
      </c>
      <c r="E545" s="24">
        <v>-4.9045307600481101</v>
      </c>
      <c r="F545" s="26">
        <v>9.3650945597729703E-7</v>
      </c>
      <c r="G545" s="24">
        <v>1.6684440558968199E-4</v>
      </c>
      <c r="H545" s="33" t="s">
        <v>1578</v>
      </c>
      <c r="I545" s="33" t="s">
        <v>1404</v>
      </c>
      <c r="J545" s="33" t="s">
        <v>10</v>
      </c>
    </row>
    <row r="546" spans="1:10" ht="15.75" customHeight="1" x14ac:dyDescent="0.2">
      <c r="A546" s="24" t="s">
        <v>1599</v>
      </c>
      <c r="B546" s="24">
        <v>881.08775249971495</v>
      </c>
      <c r="C546" s="24">
        <v>-3.0317006527625101</v>
      </c>
      <c r="D546" s="24">
        <v>0.61855240891933305</v>
      </c>
      <c r="E546" s="24">
        <v>-4.9012833982154698</v>
      </c>
      <c r="F546" s="26">
        <v>9.52125882426423E-7</v>
      </c>
      <c r="G546" s="24">
        <v>1.69275365734657E-4</v>
      </c>
      <c r="H546" s="33" t="s">
        <v>1381</v>
      </c>
      <c r="I546" s="33" t="s">
        <v>1600</v>
      </c>
      <c r="J546" s="33" t="s">
        <v>10</v>
      </c>
    </row>
    <row r="547" spans="1:10" ht="15.75" customHeight="1" x14ac:dyDescent="0.2">
      <c r="A547" s="24" t="s">
        <v>1602</v>
      </c>
      <c r="B547" s="24">
        <v>27.639016338619498</v>
      </c>
      <c r="C547" s="24">
        <v>-3.8859223649568801</v>
      </c>
      <c r="D547" s="24">
        <v>0.79406512293526099</v>
      </c>
      <c r="E547" s="24">
        <v>-4.8937073959281499</v>
      </c>
      <c r="F547" s="26">
        <v>9.8953929442542509E-7</v>
      </c>
      <c r="G547" s="24">
        <v>1.7520150258062999E-4</v>
      </c>
      <c r="H547" s="33" t="s">
        <v>10</v>
      </c>
      <c r="I547" s="33" t="s">
        <v>369</v>
      </c>
      <c r="J547" s="33" t="s">
        <v>10</v>
      </c>
    </row>
    <row r="548" spans="1:10" ht="15.75" customHeight="1" x14ac:dyDescent="0.2">
      <c r="A548" s="24" t="s">
        <v>1603</v>
      </c>
      <c r="B548" s="24">
        <v>375.02184164988398</v>
      </c>
      <c r="C548" s="24">
        <v>-3.14209800981694</v>
      </c>
      <c r="D548" s="24">
        <v>0.64365540225887896</v>
      </c>
      <c r="E548" s="24">
        <v>-4.88164629519133</v>
      </c>
      <c r="F548" s="26">
        <v>1.05203831741173E-6</v>
      </c>
      <c r="G548" s="24">
        <v>1.8474352219726499E-4</v>
      </c>
      <c r="H548" s="33" t="s">
        <v>1604</v>
      </c>
      <c r="I548" s="33" t="s">
        <v>3931</v>
      </c>
      <c r="J548" s="33" t="s">
        <v>10</v>
      </c>
    </row>
    <row r="549" spans="1:10" ht="15.75" customHeight="1" x14ac:dyDescent="0.2">
      <c r="A549" s="24" t="s">
        <v>1605</v>
      </c>
      <c r="B549" s="24">
        <v>235.55932969497499</v>
      </c>
      <c r="C549" s="24">
        <v>-2.4997729197848702</v>
      </c>
      <c r="D549" s="24">
        <v>0.51241835164143001</v>
      </c>
      <c r="E549" s="24">
        <v>-4.8783828912007996</v>
      </c>
      <c r="F549" s="26">
        <v>1.06959138864498E-6</v>
      </c>
      <c r="G549" s="24">
        <v>1.87060859744059E-4</v>
      </c>
      <c r="H549" s="33" t="s">
        <v>1606</v>
      </c>
      <c r="I549" s="33" t="s">
        <v>1607</v>
      </c>
      <c r="J549" s="33" t="s">
        <v>10</v>
      </c>
    </row>
    <row r="550" spans="1:10" ht="15.75" customHeight="1" x14ac:dyDescent="0.2">
      <c r="A550" s="24" t="s">
        <v>1608</v>
      </c>
      <c r="B550" s="24">
        <v>224.93682830248201</v>
      </c>
      <c r="C550" s="24">
        <v>-2.5133101222232601</v>
      </c>
      <c r="D550" s="24">
        <v>0.515756936328019</v>
      </c>
      <c r="E550" s="24">
        <v>-4.8730515194172899</v>
      </c>
      <c r="F550" s="26">
        <v>1.09887551531395E-6</v>
      </c>
      <c r="G550" s="24">
        <v>1.9140271678605301E-4</v>
      </c>
      <c r="H550" s="33" t="s">
        <v>10</v>
      </c>
      <c r="I550" s="33" t="s">
        <v>4178</v>
      </c>
      <c r="J550" s="33" t="s">
        <v>10</v>
      </c>
    </row>
    <row r="551" spans="1:10" ht="15.75" customHeight="1" x14ac:dyDescent="0.2">
      <c r="A551" s="24" t="s">
        <v>1609</v>
      </c>
      <c r="B551" s="24">
        <v>55.125507349061003</v>
      </c>
      <c r="C551" s="24">
        <v>-2.7086620430274602</v>
      </c>
      <c r="D551" s="24">
        <v>0.55623555917279799</v>
      </c>
      <c r="E551" s="24">
        <v>-4.8696312171333096</v>
      </c>
      <c r="F551" s="26">
        <v>1.11806717620041E-6</v>
      </c>
      <c r="G551" s="24">
        <v>1.9356763404739099E-4</v>
      </c>
      <c r="H551" s="33" t="s">
        <v>10</v>
      </c>
      <c r="I551" s="33" t="s">
        <v>1292</v>
      </c>
      <c r="J551" s="33" t="s">
        <v>10</v>
      </c>
    </row>
    <row r="552" spans="1:10" ht="15.75" customHeight="1" x14ac:dyDescent="0.2">
      <c r="A552" s="24" t="s">
        <v>1610</v>
      </c>
      <c r="B552" s="24">
        <v>47.128835749164203</v>
      </c>
      <c r="C552" s="24">
        <v>-3.1714373726943301</v>
      </c>
      <c r="D552" s="24">
        <v>0.651732546362779</v>
      </c>
      <c r="E552" s="24">
        <v>-4.8661638741131599</v>
      </c>
      <c r="F552" s="26">
        <v>1.13785181696714E-6</v>
      </c>
      <c r="G552" s="24">
        <v>1.9557958618519501E-4</v>
      </c>
      <c r="H552" s="33" t="s">
        <v>10</v>
      </c>
      <c r="I552" s="33" t="s">
        <v>10</v>
      </c>
      <c r="J552" s="33" t="s">
        <v>10</v>
      </c>
    </row>
    <row r="553" spans="1:10" ht="15.75" customHeight="1" x14ac:dyDescent="0.2">
      <c r="A553" s="24" t="s">
        <v>1613</v>
      </c>
      <c r="B553" s="24">
        <v>157.15643438372601</v>
      </c>
      <c r="C553" s="24">
        <v>-4.4093007420869803</v>
      </c>
      <c r="D553" s="24">
        <v>0.90614494772713905</v>
      </c>
      <c r="E553" s="24">
        <v>-4.8659993670402502</v>
      </c>
      <c r="F553" s="26">
        <v>1.1387988155791499E-6</v>
      </c>
      <c r="G553" s="24">
        <v>1.9557958618519501E-4</v>
      </c>
      <c r="H553" s="33" t="s">
        <v>10</v>
      </c>
      <c r="I553" s="33" t="s">
        <v>369</v>
      </c>
      <c r="J553" s="33" t="s">
        <v>10</v>
      </c>
    </row>
    <row r="554" spans="1:10" ht="15.75" customHeight="1" x14ac:dyDescent="0.2">
      <c r="A554" s="24" t="s">
        <v>1616</v>
      </c>
      <c r="B554" s="24">
        <v>86.190379779805994</v>
      </c>
      <c r="C554" s="24">
        <v>-3.4172142428019199</v>
      </c>
      <c r="D554" s="24">
        <v>0.70327387655968898</v>
      </c>
      <c r="E554" s="24">
        <v>-4.8590092092122301</v>
      </c>
      <c r="F554" s="26">
        <v>1.17974646737051E-6</v>
      </c>
      <c r="G554" s="24">
        <v>2.0220760259395801E-4</v>
      </c>
      <c r="H554" s="33" t="s">
        <v>660</v>
      </c>
      <c r="I554" s="33" t="s">
        <v>1325</v>
      </c>
      <c r="J554" s="33" t="s">
        <v>10</v>
      </c>
    </row>
    <row r="555" spans="1:10" ht="15.75" customHeight="1" x14ac:dyDescent="0.2">
      <c r="A555" s="24" t="s">
        <v>1619</v>
      </c>
      <c r="B555" s="24">
        <v>28.602492794461501</v>
      </c>
      <c r="C555" s="24">
        <v>-3.3363866984324999</v>
      </c>
      <c r="D555" s="24">
        <v>0.68817142302906298</v>
      </c>
      <c r="E555" s="24">
        <v>-4.8481912889480698</v>
      </c>
      <c r="F555" s="26">
        <v>1.2459223144954599E-6</v>
      </c>
      <c r="G555" s="24">
        <v>2.11022869956685E-4</v>
      </c>
      <c r="H555" s="33" t="s">
        <v>1381</v>
      </c>
      <c r="I555" s="33" t="s">
        <v>1477</v>
      </c>
      <c r="J555" s="33" t="s">
        <v>10</v>
      </c>
    </row>
    <row r="556" spans="1:10" ht="15.75" customHeight="1" x14ac:dyDescent="0.2">
      <c r="A556" s="24" t="s">
        <v>1621</v>
      </c>
      <c r="B556" s="24">
        <v>2367.0770200758798</v>
      </c>
      <c r="C556" s="24">
        <v>-3.9691645284482302</v>
      </c>
      <c r="D556" s="24">
        <v>0.82019385823964497</v>
      </c>
      <c r="E556" s="24">
        <v>-4.8393004758254596</v>
      </c>
      <c r="F556" s="26">
        <v>1.30296926421786E-6</v>
      </c>
      <c r="G556" s="24">
        <v>2.189574827547E-4</v>
      </c>
      <c r="H556" s="33" t="s">
        <v>222</v>
      </c>
      <c r="I556" s="33" t="s">
        <v>223</v>
      </c>
      <c r="J556" s="33" t="s">
        <v>10</v>
      </c>
    </row>
    <row r="557" spans="1:10" ht="15.75" customHeight="1" x14ac:dyDescent="0.2">
      <c r="A557" s="24" t="s">
        <v>1623</v>
      </c>
      <c r="B557" s="24">
        <v>67.646530887471499</v>
      </c>
      <c r="C557" s="24">
        <v>-2.7094490637751401</v>
      </c>
      <c r="D557" s="24">
        <v>0.56046583697913899</v>
      </c>
      <c r="E557" s="24">
        <v>-4.8342804949162197</v>
      </c>
      <c r="F557" s="26">
        <v>1.33628059992587E-6</v>
      </c>
      <c r="G557" s="24">
        <v>2.21949229006256E-4</v>
      </c>
      <c r="H557" s="33" t="s">
        <v>1273</v>
      </c>
      <c r="I557" s="33" t="s">
        <v>1274</v>
      </c>
      <c r="J557" s="33" t="s">
        <v>10</v>
      </c>
    </row>
    <row r="558" spans="1:10" ht="15.75" customHeight="1" x14ac:dyDescent="0.2">
      <c r="A558" s="24" t="s">
        <v>1625</v>
      </c>
      <c r="B558" s="24">
        <v>92.861309739453802</v>
      </c>
      <c r="C558" s="24">
        <v>-3.2073381034056498</v>
      </c>
      <c r="D558" s="24">
        <v>0.66449769621367305</v>
      </c>
      <c r="E558" s="24">
        <v>-4.8267106442673198</v>
      </c>
      <c r="F558" s="26">
        <v>1.3880656833349899E-6</v>
      </c>
      <c r="G558" s="24">
        <v>2.2966201983363899E-4</v>
      </c>
      <c r="H558" s="33" t="s">
        <v>10</v>
      </c>
      <c r="I558" s="33" t="s">
        <v>1267</v>
      </c>
      <c r="J558" s="33" t="s">
        <v>10</v>
      </c>
    </row>
    <row r="559" spans="1:10" ht="15.75" customHeight="1" x14ac:dyDescent="0.2">
      <c r="A559" s="24" t="s">
        <v>1627</v>
      </c>
      <c r="B559" s="24">
        <v>44.959688896040802</v>
      </c>
      <c r="C559" s="24">
        <v>-2.9800582926758499</v>
      </c>
      <c r="D559" s="24">
        <v>0.61771197093292995</v>
      </c>
      <c r="E559" s="24">
        <v>-4.8243492645529802</v>
      </c>
      <c r="F559" s="26">
        <v>1.40461096202536E-6</v>
      </c>
      <c r="G559" s="24">
        <v>2.31547829771531E-4</v>
      </c>
      <c r="H559" s="33" t="s">
        <v>10</v>
      </c>
      <c r="I559" s="33" t="s">
        <v>1283</v>
      </c>
      <c r="J559" s="33" t="s">
        <v>10</v>
      </c>
    </row>
    <row r="560" spans="1:10" ht="15.75" customHeight="1" x14ac:dyDescent="0.2">
      <c r="A560" s="24" t="s">
        <v>1632</v>
      </c>
      <c r="B560" s="24">
        <v>339.76934701897699</v>
      </c>
      <c r="C560" s="24">
        <v>-4.8952218194941697</v>
      </c>
      <c r="D560" s="24">
        <v>1.0146979173656001</v>
      </c>
      <c r="E560" s="24">
        <v>-4.8243144444440702</v>
      </c>
      <c r="F560" s="26">
        <v>1.40485634627485E-6</v>
      </c>
      <c r="G560" s="24">
        <v>2.31547829771531E-4</v>
      </c>
      <c r="H560" s="33" t="s">
        <v>1634</v>
      </c>
      <c r="I560" s="33" t="s">
        <v>1635</v>
      </c>
      <c r="J560" s="33" t="s">
        <v>10</v>
      </c>
    </row>
    <row r="561" spans="1:10" ht="15.75" customHeight="1" x14ac:dyDescent="0.2">
      <c r="A561" s="24" t="s">
        <v>1636</v>
      </c>
      <c r="B561" s="24">
        <v>49.904608616587801</v>
      </c>
      <c r="C561" s="24">
        <v>-2.9028924302289401</v>
      </c>
      <c r="D561" s="24">
        <v>0.60220472142528803</v>
      </c>
      <c r="E561" s="24">
        <v>-4.8204411671805198</v>
      </c>
      <c r="F561" s="26">
        <v>1.4324109672703999E-6</v>
      </c>
      <c r="G561" s="24">
        <v>2.35637092280606E-4</v>
      </c>
      <c r="H561" s="33" t="s">
        <v>10</v>
      </c>
      <c r="I561" s="33" t="s">
        <v>369</v>
      </c>
      <c r="J561" s="33" t="s">
        <v>10</v>
      </c>
    </row>
    <row r="562" spans="1:10" ht="15.75" customHeight="1" x14ac:dyDescent="0.2">
      <c r="A562" s="24" t="s">
        <v>1638</v>
      </c>
      <c r="B562" s="24">
        <v>42.1961162127498</v>
      </c>
      <c r="C562" s="24">
        <v>-5.1388699594396599</v>
      </c>
      <c r="D562" s="24">
        <v>1.0664641925621099</v>
      </c>
      <c r="E562" s="24">
        <v>-4.8186052520843097</v>
      </c>
      <c r="F562" s="26">
        <v>1.4456525672839801E-6</v>
      </c>
      <c r="G562" s="24">
        <v>2.3647422501022399E-4</v>
      </c>
      <c r="H562" s="33" t="s">
        <v>1641</v>
      </c>
      <c r="I562" s="33" t="s">
        <v>3965</v>
      </c>
      <c r="J562" s="33" t="s">
        <v>10</v>
      </c>
    </row>
    <row r="563" spans="1:10" ht="15.75" customHeight="1" x14ac:dyDescent="0.2">
      <c r="A563" s="24" t="s">
        <v>1642</v>
      </c>
      <c r="B563" s="24">
        <v>708.50291125928095</v>
      </c>
      <c r="C563" s="24">
        <v>-2.7271639848678499</v>
      </c>
      <c r="D563" s="24">
        <v>0.56706324868640701</v>
      </c>
      <c r="E563" s="24">
        <v>-4.8092765510466204</v>
      </c>
      <c r="F563" s="26">
        <v>1.5147751774313701E-6</v>
      </c>
      <c r="G563" s="24">
        <v>2.4577332074368098E-4</v>
      </c>
      <c r="H563" s="33" t="s">
        <v>10</v>
      </c>
      <c r="I563" s="33" t="s">
        <v>369</v>
      </c>
      <c r="J563" s="33" t="s">
        <v>10</v>
      </c>
    </row>
    <row r="564" spans="1:10" ht="15.75" customHeight="1" x14ac:dyDescent="0.2">
      <c r="A564" s="24" t="s">
        <v>1645</v>
      </c>
      <c r="B564" s="24">
        <v>8831.4344091871608</v>
      </c>
      <c r="C564" s="24">
        <v>-2.6526456470175699</v>
      </c>
      <c r="D564" s="24">
        <v>0.55165742934175599</v>
      </c>
      <c r="E564" s="24">
        <v>-4.8085016278720998</v>
      </c>
      <c r="F564" s="26">
        <v>1.5206579091814101E-6</v>
      </c>
      <c r="G564" s="24">
        <v>2.4577332074368098E-4</v>
      </c>
      <c r="H564" s="33" t="s">
        <v>4131</v>
      </c>
      <c r="I564" s="33" t="s">
        <v>3928</v>
      </c>
      <c r="J564" s="33" t="s">
        <v>10</v>
      </c>
    </row>
    <row r="565" spans="1:10" ht="15.75" customHeight="1" x14ac:dyDescent="0.2">
      <c r="A565" s="24" t="s">
        <v>1648</v>
      </c>
      <c r="B565" s="24">
        <v>100.473689429548</v>
      </c>
      <c r="C565" s="24">
        <v>-2.5100305149330202</v>
      </c>
      <c r="D565" s="24">
        <v>0.523306036619541</v>
      </c>
      <c r="E565" s="24">
        <v>-4.7964868342573403</v>
      </c>
      <c r="F565" s="26">
        <v>1.61472565126351E-6</v>
      </c>
      <c r="G565" s="24">
        <v>2.5820876424515599E-4</v>
      </c>
      <c r="H565" s="33" t="s">
        <v>10</v>
      </c>
      <c r="I565" s="33" t="s">
        <v>10</v>
      </c>
      <c r="J565" s="33" t="s">
        <v>10</v>
      </c>
    </row>
    <row r="566" spans="1:10" ht="15.75" customHeight="1" x14ac:dyDescent="0.2">
      <c r="A566" s="24" t="s">
        <v>1652</v>
      </c>
      <c r="B566" s="24">
        <v>140.22679255040001</v>
      </c>
      <c r="C566" s="24">
        <v>-4.9258903153240103</v>
      </c>
      <c r="D566" s="24">
        <v>1.0277078777011901</v>
      </c>
      <c r="E566" s="24">
        <v>-4.7930841265344704</v>
      </c>
      <c r="F566" s="26">
        <v>1.6423671277584401E-6</v>
      </c>
      <c r="G566" s="24">
        <v>2.61169828940268E-4</v>
      </c>
      <c r="H566" s="33" t="s">
        <v>10</v>
      </c>
      <c r="I566" s="33" t="s">
        <v>369</v>
      </c>
      <c r="J566" s="33" t="s">
        <v>10</v>
      </c>
    </row>
    <row r="567" spans="1:10" ht="15.75" customHeight="1" x14ac:dyDescent="0.2">
      <c r="A567" s="24" t="s">
        <v>1656</v>
      </c>
      <c r="B567" s="24">
        <v>58.071622455954397</v>
      </c>
      <c r="C567" s="24">
        <v>-3.2622093843426501</v>
      </c>
      <c r="D567" s="24">
        <v>0.68186422832095295</v>
      </c>
      <c r="E567" s="24">
        <v>-4.7842506599526802</v>
      </c>
      <c r="F567" s="26">
        <v>1.71626398765323E-6</v>
      </c>
      <c r="G567" s="24">
        <v>2.70417073181231E-4</v>
      </c>
      <c r="H567" s="33" t="s">
        <v>10</v>
      </c>
      <c r="I567" s="33" t="s">
        <v>10</v>
      </c>
      <c r="J567" s="33" t="s">
        <v>10</v>
      </c>
    </row>
    <row r="568" spans="1:10" ht="15.75" customHeight="1" x14ac:dyDescent="0.2">
      <c r="A568" s="24" t="s">
        <v>1658</v>
      </c>
      <c r="B568" s="24">
        <v>78.386534626860595</v>
      </c>
      <c r="C568" s="24">
        <v>-2.6030091201937</v>
      </c>
      <c r="D568" s="24">
        <v>0.54539538108004104</v>
      </c>
      <c r="E568" s="24">
        <v>-4.7727010724568002</v>
      </c>
      <c r="F568" s="26">
        <v>1.81771484068209E-6</v>
      </c>
      <c r="G568" s="24">
        <v>2.8182422906948801E-4</v>
      </c>
      <c r="H568" s="33" t="s">
        <v>660</v>
      </c>
      <c r="I568" s="33" t="s">
        <v>4162</v>
      </c>
      <c r="J568" s="33" t="s">
        <v>4033</v>
      </c>
    </row>
    <row r="569" spans="1:10" ht="15.75" customHeight="1" x14ac:dyDescent="0.2">
      <c r="A569" s="24" t="s">
        <v>1659</v>
      </c>
      <c r="B569" s="24">
        <v>948.57562818448002</v>
      </c>
      <c r="C569" s="24">
        <v>-2.2926519440295601</v>
      </c>
      <c r="D569" s="24">
        <v>0.48037321035397001</v>
      </c>
      <c r="E569" s="24">
        <v>-4.7726473804402696</v>
      </c>
      <c r="F569" s="26">
        <v>1.81819965884287E-6</v>
      </c>
      <c r="G569" s="24">
        <v>2.8182422906948801E-4</v>
      </c>
      <c r="H569" s="33" t="s">
        <v>10</v>
      </c>
      <c r="I569" s="33" t="s">
        <v>1270</v>
      </c>
      <c r="J569" s="33" t="s">
        <v>10</v>
      </c>
    </row>
    <row r="570" spans="1:10" ht="15.75" customHeight="1" x14ac:dyDescent="0.2">
      <c r="A570" s="24" t="s">
        <v>1662</v>
      </c>
      <c r="B570" s="24">
        <v>53.6484970084312</v>
      </c>
      <c r="C570" s="24">
        <v>-3.0124365533936701</v>
      </c>
      <c r="D570" s="24">
        <v>0.63153640083687401</v>
      </c>
      <c r="E570" s="24">
        <v>-4.7700125430644604</v>
      </c>
      <c r="F570" s="26">
        <v>1.84214448233817E-6</v>
      </c>
      <c r="G570" s="24">
        <v>2.8450861302672801E-4</v>
      </c>
      <c r="H570" s="33" t="s">
        <v>10</v>
      </c>
      <c r="I570" s="33" t="s">
        <v>1430</v>
      </c>
      <c r="J570" s="33" t="s">
        <v>10</v>
      </c>
    </row>
    <row r="571" spans="1:10" ht="15.75" customHeight="1" x14ac:dyDescent="0.2">
      <c r="A571" s="24" t="s">
        <v>1664</v>
      </c>
      <c r="B571" s="24">
        <v>285.05192725489098</v>
      </c>
      <c r="C571" s="24">
        <v>-3.4257442839823602</v>
      </c>
      <c r="D571" s="24">
        <v>0.71827253562887095</v>
      </c>
      <c r="E571" s="24">
        <v>-4.7694212350511398</v>
      </c>
      <c r="F571" s="26">
        <v>1.84755963838259E-6</v>
      </c>
      <c r="G571" s="24">
        <v>2.84832663747849E-4</v>
      </c>
      <c r="H571" s="33" t="s">
        <v>10</v>
      </c>
      <c r="I571" s="33" t="s">
        <v>4179</v>
      </c>
      <c r="J571" s="33" t="s">
        <v>10</v>
      </c>
    </row>
    <row r="572" spans="1:10" ht="15.75" customHeight="1" x14ac:dyDescent="0.2">
      <c r="A572" s="24" t="s">
        <v>1665</v>
      </c>
      <c r="B572" s="24">
        <v>146.42073948697501</v>
      </c>
      <c r="C572" s="24">
        <v>-2.51537823112993</v>
      </c>
      <c r="D572" s="24">
        <v>0.52759057317681002</v>
      </c>
      <c r="E572" s="24">
        <v>-4.7676709156949997</v>
      </c>
      <c r="F572" s="26">
        <v>1.8636787303246201E-6</v>
      </c>
      <c r="G572" s="24">
        <v>2.8628972495832802E-4</v>
      </c>
      <c r="H572" s="33" t="s">
        <v>1669</v>
      </c>
      <c r="I572" s="33" t="s">
        <v>3974</v>
      </c>
      <c r="J572" s="33" t="s">
        <v>10</v>
      </c>
    </row>
    <row r="573" spans="1:10" ht="15.75" customHeight="1" x14ac:dyDescent="0.2">
      <c r="A573" s="24" t="s">
        <v>1671</v>
      </c>
      <c r="B573" s="24">
        <v>741.90203352107301</v>
      </c>
      <c r="C573" s="24">
        <v>-2.1615023253223402</v>
      </c>
      <c r="D573" s="24">
        <v>0.45396631370587598</v>
      </c>
      <c r="E573" s="24">
        <v>-4.7613716261836396</v>
      </c>
      <c r="F573" s="26">
        <v>1.9228159478760501E-6</v>
      </c>
      <c r="G573" s="24">
        <v>2.9484665760725801E-4</v>
      </c>
      <c r="H573" s="33" t="s">
        <v>10</v>
      </c>
      <c r="I573" s="33" t="s">
        <v>369</v>
      </c>
      <c r="J573" s="33" t="s">
        <v>10</v>
      </c>
    </row>
    <row r="574" spans="1:10" ht="15.75" customHeight="1" x14ac:dyDescent="0.2">
      <c r="A574" s="24" t="s">
        <v>1675</v>
      </c>
      <c r="B574" s="24">
        <v>24.908540150404502</v>
      </c>
      <c r="C574" s="24">
        <v>-3.2286192745388802</v>
      </c>
      <c r="D574" s="24">
        <v>0.67914597561596501</v>
      </c>
      <c r="E574" s="24">
        <v>-4.7539400813067001</v>
      </c>
      <c r="F574" s="26">
        <v>1.9949018246293099E-6</v>
      </c>
      <c r="G574" s="24">
        <v>3.0427036337965101E-4</v>
      </c>
      <c r="H574" s="33" t="s">
        <v>10</v>
      </c>
      <c r="I574" s="33" t="s">
        <v>4180</v>
      </c>
      <c r="J574" s="33" t="s">
        <v>4060</v>
      </c>
    </row>
    <row r="575" spans="1:10" ht="15.75" customHeight="1" x14ac:dyDescent="0.2">
      <c r="A575" s="24" t="s">
        <v>1677</v>
      </c>
      <c r="B575" s="24">
        <v>744.585896333042</v>
      </c>
      <c r="C575" s="24">
        <v>-2.0910026228384599</v>
      </c>
      <c r="D575" s="24">
        <v>0.440941850408195</v>
      </c>
      <c r="E575" s="24">
        <v>-4.7421278359102299</v>
      </c>
      <c r="F575" s="26">
        <v>2.1148509807183698E-6</v>
      </c>
      <c r="G575" s="24">
        <v>3.2199356128593501E-4</v>
      </c>
      <c r="H575" s="33" t="s">
        <v>10</v>
      </c>
      <c r="I575" s="33" t="s">
        <v>1292</v>
      </c>
      <c r="J575" s="33" t="s">
        <v>10</v>
      </c>
    </row>
    <row r="576" spans="1:10" ht="15.75" customHeight="1" x14ac:dyDescent="0.2">
      <c r="A576" s="24" t="s">
        <v>1681</v>
      </c>
      <c r="B576" s="24">
        <v>92.7835635945452</v>
      </c>
      <c r="C576" s="24">
        <v>-3.6756231045357199</v>
      </c>
      <c r="D576" s="24">
        <v>0.77717388403980703</v>
      </c>
      <c r="E576" s="24">
        <v>-4.7294732620576001</v>
      </c>
      <c r="F576" s="26">
        <v>2.2510309718390602E-6</v>
      </c>
      <c r="G576" s="24">
        <v>3.4031387426547899E-4</v>
      </c>
      <c r="H576" s="33" t="s">
        <v>1684</v>
      </c>
      <c r="I576" s="33" t="s">
        <v>4181</v>
      </c>
      <c r="J576" s="33" t="s">
        <v>10</v>
      </c>
    </row>
    <row r="577" spans="1:10" ht="15.75" customHeight="1" x14ac:dyDescent="0.2">
      <c r="A577" s="24" t="s">
        <v>1687</v>
      </c>
      <c r="B577" s="24">
        <v>23.5820851114687</v>
      </c>
      <c r="C577" s="24">
        <v>-4.6876971308235298</v>
      </c>
      <c r="D577" s="24">
        <v>0.99379941120386095</v>
      </c>
      <c r="E577" s="24">
        <v>-4.7169449669375298</v>
      </c>
      <c r="F577" s="26">
        <v>2.3941241600456399E-6</v>
      </c>
      <c r="G577" s="24">
        <v>3.6004524649260901E-4</v>
      </c>
      <c r="H577" s="33" t="s">
        <v>10</v>
      </c>
      <c r="I577" s="33" t="s">
        <v>1270</v>
      </c>
      <c r="J577" s="33" t="s">
        <v>10</v>
      </c>
    </row>
    <row r="578" spans="1:10" ht="15.75" customHeight="1" x14ac:dyDescent="0.2">
      <c r="A578" s="24" t="s">
        <v>1688</v>
      </c>
      <c r="B578" s="24">
        <v>97.997944469478199</v>
      </c>
      <c r="C578" s="24">
        <v>-4.2015912293671098</v>
      </c>
      <c r="D578" s="24">
        <v>0.89160653259248401</v>
      </c>
      <c r="E578" s="24">
        <v>-4.7123827336149402</v>
      </c>
      <c r="F578" s="26">
        <v>2.4483697811419899E-6</v>
      </c>
      <c r="G578" s="24">
        <v>3.6627867853039002E-4</v>
      </c>
      <c r="H578" s="33" t="s">
        <v>10</v>
      </c>
      <c r="I578" s="33" t="s">
        <v>10</v>
      </c>
      <c r="J578" s="33" t="s">
        <v>10</v>
      </c>
    </row>
    <row r="579" spans="1:10" ht="15.75" customHeight="1" x14ac:dyDescent="0.2">
      <c r="A579" s="24" t="s">
        <v>1690</v>
      </c>
      <c r="B579" s="24">
        <v>3605.70609729333</v>
      </c>
      <c r="C579" s="24">
        <v>-2.1633366798704601</v>
      </c>
      <c r="D579" s="24">
        <v>0.45949613218931501</v>
      </c>
      <c r="E579" s="24">
        <v>-4.7080628721791902</v>
      </c>
      <c r="F579" s="26">
        <v>2.5008197414875202E-6</v>
      </c>
      <c r="G579" s="24">
        <v>3.72180055496143E-4</v>
      </c>
      <c r="H579" s="33" t="s">
        <v>3857</v>
      </c>
      <c r="I579" s="33" t="s">
        <v>3982</v>
      </c>
      <c r="J579" s="33" t="s">
        <v>10</v>
      </c>
    </row>
    <row r="580" spans="1:10" ht="15.75" customHeight="1" x14ac:dyDescent="0.2">
      <c r="A580" s="24" t="s">
        <v>1693</v>
      </c>
      <c r="B580" s="24">
        <v>242.26847531892199</v>
      </c>
      <c r="C580" s="24">
        <v>-2.1284333169448399</v>
      </c>
      <c r="D580" s="24">
        <v>0.45241382600862201</v>
      </c>
      <c r="E580" s="24">
        <v>-4.7046159833857102</v>
      </c>
      <c r="F580" s="26">
        <v>2.5434424125258501E-6</v>
      </c>
      <c r="G580" s="24">
        <v>3.7656541966553001E-4</v>
      </c>
      <c r="H580" s="33" t="s">
        <v>1695</v>
      </c>
      <c r="I580" s="33" t="s">
        <v>1696</v>
      </c>
      <c r="J580" s="33" t="s">
        <v>10</v>
      </c>
    </row>
    <row r="581" spans="1:10" ht="15.75" customHeight="1" x14ac:dyDescent="0.2">
      <c r="A581" s="24" t="s">
        <v>1697</v>
      </c>
      <c r="B581" s="24">
        <v>51.109349254446698</v>
      </c>
      <c r="C581" s="24">
        <v>-3.3295068790065301</v>
      </c>
      <c r="D581" s="24">
        <v>0.70993553748023197</v>
      </c>
      <c r="E581" s="24">
        <v>-4.6898721126483096</v>
      </c>
      <c r="F581" s="26">
        <v>2.7337585584741299E-6</v>
      </c>
      <c r="G581" s="24">
        <v>4.0128304474313102E-4</v>
      </c>
      <c r="H581" s="33" t="s">
        <v>10</v>
      </c>
      <c r="I581" s="33" t="s">
        <v>369</v>
      </c>
      <c r="J581" s="33" t="s">
        <v>10</v>
      </c>
    </row>
    <row r="582" spans="1:10" ht="15.75" customHeight="1" x14ac:dyDescent="0.2">
      <c r="A582" s="24" t="s">
        <v>1700</v>
      </c>
      <c r="B582" s="24">
        <v>96.838989177832701</v>
      </c>
      <c r="C582" s="24">
        <v>-3.0277842872961802</v>
      </c>
      <c r="D582" s="24">
        <v>0.647573405900149</v>
      </c>
      <c r="E582" s="24">
        <v>-4.6755846668648502</v>
      </c>
      <c r="F582" s="26">
        <v>2.93117311139707E-6</v>
      </c>
      <c r="G582" s="24">
        <v>4.2517359163645E-4</v>
      </c>
      <c r="H582" s="33" t="s">
        <v>446</v>
      </c>
      <c r="I582" s="33" t="s">
        <v>521</v>
      </c>
      <c r="J582" s="33" t="s">
        <v>3047</v>
      </c>
    </row>
    <row r="583" spans="1:10" ht="15.75" customHeight="1" x14ac:dyDescent="0.2">
      <c r="A583" s="24" t="s">
        <v>1704</v>
      </c>
      <c r="B583" s="24">
        <v>42.855965571374497</v>
      </c>
      <c r="C583" s="24">
        <v>-3.4643251681733398</v>
      </c>
      <c r="D583" s="24">
        <v>0.741163059892883</v>
      </c>
      <c r="E583" s="24">
        <v>-4.67417408616401</v>
      </c>
      <c r="F583" s="26">
        <v>2.9513890999929498E-6</v>
      </c>
      <c r="G583" s="24">
        <v>4.2738403609695501E-4</v>
      </c>
      <c r="H583" s="33" t="s">
        <v>1465</v>
      </c>
      <c r="I583" s="33" t="s">
        <v>934</v>
      </c>
      <c r="J583" s="33" t="s">
        <v>10</v>
      </c>
    </row>
    <row r="584" spans="1:10" ht="15.75" customHeight="1" x14ac:dyDescent="0.2">
      <c r="A584" s="24" t="s">
        <v>1706</v>
      </c>
      <c r="B584" s="24">
        <v>1335.3533524704301</v>
      </c>
      <c r="C584" s="24">
        <v>-2.6048000341748301</v>
      </c>
      <c r="D584" s="24">
        <v>0.55762561197254801</v>
      </c>
      <c r="E584" s="24">
        <v>-4.6712345671508704</v>
      </c>
      <c r="F584" s="26">
        <v>2.9939480345614801E-6</v>
      </c>
      <c r="G584" s="24">
        <v>4.3136461690575299E-4</v>
      </c>
      <c r="H584" s="33" t="s">
        <v>1559</v>
      </c>
      <c r="I584" s="33" t="s">
        <v>1560</v>
      </c>
      <c r="J584" s="33" t="s">
        <v>10</v>
      </c>
    </row>
    <row r="585" spans="1:10" ht="15.75" customHeight="1" x14ac:dyDescent="0.2">
      <c r="A585" s="24" t="s">
        <v>1709</v>
      </c>
      <c r="B585" s="24">
        <v>17.915294345613798</v>
      </c>
      <c r="C585" s="24">
        <v>-6.5347357956143997</v>
      </c>
      <c r="D585" s="24">
        <v>1.40076284580374</v>
      </c>
      <c r="E585" s="24">
        <v>-4.6651264453440504</v>
      </c>
      <c r="F585" s="26">
        <v>3.0842732115910898E-6</v>
      </c>
      <c r="G585" s="24">
        <v>4.4068157230039702E-4</v>
      </c>
      <c r="H585" s="33" t="s">
        <v>660</v>
      </c>
      <c r="I585" s="33" t="s">
        <v>1325</v>
      </c>
      <c r="J585" s="33" t="s">
        <v>10</v>
      </c>
    </row>
    <row r="586" spans="1:10" ht="15.75" customHeight="1" x14ac:dyDescent="0.2">
      <c r="A586" s="24" t="s">
        <v>1710</v>
      </c>
      <c r="B586" s="24">
        <v>36.282056210170097</v>
      </c>
      <c r="C586" s="24">
        <v>-3.2568405110387402</v>
      </c>
      <c r="D586" s="24">
        <v>0.70001071776722901</v>
      </c>
      <c r="E586" s="24">
        <v>-4.6525580657205303</v>
      </c>
      <c r="F586" s="26">
        <v>3.2784237833984602E-6</v>
      </c>
      <c r="G586" s="24">
        <v>4.64556978059751E-4</v>
      </c>
      <c r="H586" s="33" t="s">
        <v>10</v>
      </c>
      <c r="I586" s="33" t="s">
        <v>1713</v>
      </c>
      <c r="J586" s="33" t="s">
        <v>10</v>
      </c>
    </row>
    <row r="587" spans="1:10" ht="15.75" customHeight="1" x14ac:dyDescent="0.2">
      <c r="A587" s="24" t="s">
        <v>1714</v>
      </c>
      <c r="B587" s="24">
        <v>315.14548606874303</v>
      </c>
      <c r="C587" s="24">
        <v>-2.7876144331841699</v>
      </c>
      <c r="D587" s="24">
        <v>0.59936244912583503</v>
      </c>
      <c r="E587" s="24">
        <v>-4.6509661011461096</v>
      </c>
      <c r="F587" s="26">
        <v>3.30383637997337E-6</v>
      </c>
      <c r="G587" s="24">
        <v>4.6738671134216299E-4</v>
      </c>
      <c r="H587" s="33" t="s">
        <v>3860</v>
      </c>
      <c r="I587" s="33" t="s">
        <v>4182</v>
      </c>
      <c r="J587" s="33" t="s">
        <v>10</v>
      </c>
    </row>
    <row r="588" spans="1:10" ht="15.75" customHeight="1" x14ac:dyDescent="0.2">
      <c r="A588" s="24" t="s">
        <v>1718</v>
      </c>
      <c r="B588" s="24">
        <v>44.098951287524201</v>
      </c>
      <c r="C588" s="24">
        <v>-2.1237754793681201</v>
      </c>
      <c r="D588" s="24">
        <v>0.456730633692428</v>
      </c>
      <c r="E588" s="24">
        <v>-4.6499519031568104</v>
      </c>
      <c r="F588" s="26">
        <v>3.3201244634571099E-6</v>
      </c>
      <c r="G588" s="24">
        <v>4.6891843388408803E-4</v>
      </c>
      <c r="H588" s="33" t="s">
        <v>3883</v>
      </c>
      <c r="I588" s="33" t="s">
        <v>4183</v>
      </c>
      <c r="J588" s="33" t="s">
        <v>10</v>
      </c>
    </row>
    <row r="589" spans="1:10" ht="15.75" customHeight="1" x14ac:dyDescent="0.2">
      <c r="A589" s="24" t="s">
        <v>1721</v>
      </c>
      <c r="B589" s="24">
        <v>67.309998218941104</v>
      </c>
      <c r="C589" s="24">
        <v>-2.5126375085349602</v>
      </c>
      <c r="D589" s="24">
        <v>0.54060208368489704</v>
      </c>
      <c r="E589" s="24">
        <v>-4.6478502106542203</v>
      </c>
      <c r="F589" s="26">
        <v>3.3541232710844899E-6</v>
      </c>
      <c r="G589" s="24">
        <v>4.7216708100212499E-4</v>
      </c>
      <c r="H589" s="33" t="s">
        <v>1381</v>
      </c>
      <c r="I589" s="33" t="s">
        <v>1492</v>
      </c>
      <c r="J589" s="33" t="s">
        <v>10</v>
      </c>
    </row>
    <row r="590" spans="1:10" ht="15.75" customHeight="1" x14ac:dyDescent="0.2">
      <c r="A590" s="24" t="s">
        <v>1724</v>
      </c>
      <c r="B590" s="24">
        <v>111.938195914153</v>
      </c>
      <c r="C590" s="24">
        <v>-3.9050923617276498</v>
      </c>
      <c r="D590" s="24">
        <v>0.84073685318123503</v>
      </c>
      <c r="E590" s="24">
        <v>-4.6448449915705599</v>
      </c>
      <c r="F590" s="26">
        <v>3.4033188819476798E-6</v>
      </c>
      <c r="G590" s="24">
        <v>4.7830833995372998E-4</v>
      </c>
      <c r="H590" s="33" t="s">
        <v>10</v>
      </c>
      <c r="I590" s="33" t="s">
        <v>369</v>
      </c>
      <c r="J590" s="33" t="s">
        <v>10</v>
      </c>
    </row>
    <row r="591" spans="1:10" ht="15.75" customHeight="1" x14ac:dyDescent="0.2">
      <c r="A591" s="24" t="s">
        <v>1728</v>
      </c>
      <c r="B591" s="24">
        <v>22.019400400040102</v>
      </c>
      <c r="C591" s="24">
        <v>-4.3148863424347104</v>
      </c>
      <c r="D591" s="24">
        <v>0.93012799488715603</v>
      </c>
      <c r="E591" s="24">
        <v>-4.6390242699427597</v>
      </c>
      <c r="F591" s="26">
        <v>3.5005794746606801E-6</v>
      </c>
      <c r="G591" s="24">
        <v>4.8798418842303098E-4</v>
      </c>
      <c r="H591" s="33" t="s">
        <v>10</v>
      </c>
      <c r="I591" s="33" t="s">
        <v>1270</v>
      </c>
      <c r="J591" s="33" t="s">
        <v>10</v>
      </c>
    </row>
    <row r="592" spans="1:10" ht="15.75" customHeight="1" x14ac:dyDescent="0.2">
      <c r="A592" s="24" t="s">
        <v>1730</v>
      </c>
      <c r="B592" s="24">
        <v>6389.47893290722</v>
      </c>
      <c r="C592" s="24">
        <v>-3.0117869813492502</v>
      </c>
      <c r="D592" s="24">
        <v>0.64929838939661699</v>
      </c>
      <c r="E592" s="24">
        <v>-4.6385252613179304</v>
      </c>
      <c r="F592" s="26">
        <v>3.5090405126166698E-6</v>
      </c>
      <c r="G592" s="24">
        <v>4.8837085552496903E-4</v>
      </c>
      <c r="H592" s="33" t="s">
        <v>4132</v>
      </c>
      <c r="I592" s="33" t="s">
        <v>3962</v>
      </c>
      <c r="J592" s="33" t="s">
        <v>4072</v>
      </c>
    </row>
    <row r="593" spans="1:10" ht="15.75" customHeight="1" x14ac:dyDescent="0.2">
      <c r="A593" s="24" t="s">
        <v>1732</v>
      </c>
      <c r="B593" s="24">
        <v>645.60133278306898</v>
      </c>
      <c r="C593" s="24">
        <v>-2.11491299475782</v>
      </c>
      <c r="D593" s="24">
        <v>0.456225337429775</v>
      </c>
      <c r="E593" s="24">
        <v>-4.6356763231795801</v>
      </c>
      <c r="F593" s="26">
        <v>3.5577230603016501E-6</v>
      </c>
      <c r="G593" s="24">
        <v>4.9354642473531905E-4</v>
      </c>
      <c r="H593" s="33" t="s">
        <v>10</v>
      </c>
      <c r="I593" s="33" t="s">
        <v>369</v>
      </c>
      <c r="J593" s="33" t="s">
        <v>10</v>
      </c>
    </row>
    <row r="594" spans="1:10" ht="15.75" customHeight="1" x14ac:dyDescent="0.2">
      <c r="A594" s="24" t="s">
        <v>1734</v>
      </c>
      <c r="B594" s="24">
        <v>148.55192586794601</v>
      </c>
      <c r="C594" s="24">
        <v>-2.30227574062814</v>
      </c>
      <c r="D594" s="24">
        <v>0.49731554933016398</v>
      </c>
      <c r="E594" s="24">
        <v>-4.6294063069796998</v>
      </c>
      <c r="F594" s="26">
        <v>3.66715602207908E-6</v>
      </c>
      <c r="G594" s="24">
        <v>5.0790702382572995E-4</v>
      </c>
      <c r="H594" s="33" t="s">
        <v>10</v>
      </c>
      <c r="I594" s="33" t="s">
        <v>369</v>
      </c>
      <c r="J594" s="33" t="s">
        <v>10</v>
      </c>
    </row>
    <row r="595" spans="1:10" ht="15.75" customHeight="1" x14ac:dyDescent="0.2">
      <c r="A595" s="24" t="s">
        <v>1737</v>
      </c>
      <c r="B595" s="24">
        <v>79.221604946257202</v>
      </c>
      <c r="C595" s="24">
        <v>-2.9151625708676399</v>
      </c>
      <c r="D595" s="24">
        <v>0.63010395519707696</v>
      </c>
      <c r="E595" s="24">
        <v>-4.6264787688181901</v>
      </c>
      <c r="F595" s="26">
        <v>3.7193497473159999E-6</v>
      </c>
      <c r="G595" s="24">
        <v>5.1430641248272502E-4</v>
      </c>
      <c r="H595" s="33" t="s">
        <v>10</v>
      </c>
      <c r="I595" s="33" t="s">
        <v>1174</v>
      </c>
      <c r="J595" s="33" t="s">
        <v>10</v>
      </c>
    </row>
    <row r="596" spans="1:10" ht="15.75" customHeight="1" x14ac:dyDescent="0.2">
      <c r="A596" s="24" t="s">
        <v>1739</v>
      </c>
      <c r="B596" s="24">
        <v>50.7399203849522</v>
      </c>
      <c r="C596" s="24">
        <v>-2.4519130505028301</v>
      </c>
      <c r="D596" s="24">
        <v>0.53109871360165495</v>
      </c>
      <c r="E596" s="24">
        <v>-4.61668045451502</v>
      </c>
      <c r="F596" s="26">
        <v>3.8992696835082802E-6</v>
      </c>
      <c r="G596" s="24">
        <v>5.3487889295932803E-4</v>
      </c>
      <c r="H596" s="33" t="s">
        <v>10</v>
      </c>
      <c r="I596" s="33" t="s">
        <v>10</v>
      </c>
      <c r="J596" s="33" t="s">
        <v>10</v>
      </c>
    </row>
    <row r="597" spans="1:10" ht="15.75" customHeight="1" x14ac:dyDescent="0.2">
      <c r="A597" s="24" t="s">
        <v>1740</v>
      </c>
      <c r="B597" s="24">
        <v>42.530216403691298</v>
      </c>
      <c r="C597" s="24">
        <v>-3.47110741109947</v>
      </c>
      <c r="D597" s="24">
        <v>0.75198105401679705</v>
      </c>
      <c r="E597" s="24">
        <v>-4.6159506181148302</v>
      </c>
      <c r="F597" s="26">
        <v>3.9129999168052596E-6</v>
      </c>
      <c r="G597" s="24">
        <v>5.3510613438971901E-4</v>
      </c>
      <c r="H597" s="33" t="s">
        <v>10</v>
      </c>
      <c r="I597" s="33" t="s">
        <v>10</v>
      </c>
      <c r="J597" s="33" t="s">
        <v>10</v>
      </c>
    </row>
    <row r="598" spans="1:10" ht="15.75" customHeight="1" x14ac:dyDescent="0.2">
      <c r="A598" s="24" t="s">
        <v>1744</v>
      </c>
      <c r="B598" s="24">
        <v>72.765825480709793</v>
      </c>
      <c r="C598" s="24">
        <v>-4.6142033150714301</v>
      </c>
      <c r="D598" s="24">
        <v>1.0003149302793799</v>
      </c>
      <c r="E598" s="24">
        <v>-4.6127506202298703</v>
      </c>
      <c r="F598" s="26">
        <v>3.9737496198364097E-6</v>
      </c>
      <c r="G598" s="24">
        <v>5.4112221934323596E-4</v>
      </c>
      <c r="H598" s="33" t="s">
        <v>660</v>
      </c>
      <c r="I598" s="33" t="s">
        <v>4184</v>
      </c>
      <c r="J598" s="33" t="s">
        <v>10</v>
      </c>
    </row>
    <row r="599" spans="1:10" ht="15.75" customHeight="1" x14ac:dyDescent="0.2">
      <c r="A599" s="24" t="s">
        <v>1747</v>
      </c>
      <c r="B599" s="24">
        <v>110.486697129934</v>
      </c>
      <c r="C599" s="24">
        <v>-2.0020743795818401</v>
      </c>
      <c r="D599" s="24">
        <v>0.43433417587246598</v>
      </c>
      <c r="E599" s="24">
        <v>-4.60952531667622</v>
      </c>
      <c r="F599" s="26">
        <v>4.0358938748880499E-6</v>
      </c>
      <c r="G599" s="24">
        <v>5.4644949475669803E-4</v>
      </c>
      <c r="H599" s="33" t="s">
        <v>10</v>
      </c>
      <c r="I599" s="33" t="s">
        <v>10</v>
      </c>
      <c r="J599" s="33" t="s">
        <v>10</v>
      </c>
    </row>
    <row r="600" spans="1:10" ht="15.75" customHeight="1" x14ac:dyDescent="0.2">
      <c r="A600" s="24" t="s">
        <v>1748</v>
      </c>
      <c r="B600" s="24">
        <v>16.889446231816802</v>
      </c>
      <c r="C600" s="24">
        <v>-4.60229943601004</v>
      </c>
      <c r="D600" s="24">
        <v>1.00193782004864</v>
      </c>
      <c r="E600" s="24">
        <v>-4.5933982567766902</v>
      </c>
      <c r="F600" s="26">
        <v>4.3608568068812398E-6</v>
      </c>
      <c r="G600" s="24">
        <v>5.8511114822452903E-4</v>
      </c>
      <c r="H600" s="33" t="s">
        <v>10</v>
      </c>
      <c r="I600" s="33" t="s">
        <v>1283</v>
      </c>
      <c r="J600" s="33" t="s">
        <v>10</v>
      </c>
    </row>
    <row r="601" spans="1:10" ht="15.75" customHeight="1" x14ac:dyDescent="0.2">
      <c r="A601" s="24" t="s">
        <v>1752</v>
      </c>
      <c r="B601" s="24">
        <v>103.764729394743</v>
      </c>
      <c r="C601" s="24">
        <v>-3.8982337017439899</v>
      </c>
      <c r="D601" s="24">
        <v>0.84939208459095095</v>
      </c>
      <c r="E601" s="24">
        <v>-4.5894396386108198</v>
      </c>
      <c r="F601" s="26">
        <v>4.4443749053804602E-6</v>
      </c>
      <c r="G601" s="24">
        <v>5.9538676677055498E-4</v>
      </c>
      <c r="H601" s="33" t="s">
        <v>10</v>
      </c>
      <c r="I601" s="33" t="s">
        <v>369</v>
      </c>
      <c r="J601" s="33" t="s">
        <v>10</v>
      </c>
    </row>
    <row r="602" spans="1:10" ht="15.75" customHeight="1" x14ac:dyDescent="0.2">
      <c r="A602" s="24" t="s">
        <v>1753</v>
      </c>
      <c r="B602" s="24">
        <v>68.720402235495996</v>
      </c>
      <c r="C602" s="24">
        <v>-2.1945656010149301</v>
      </c>
      <c r="D602" s="24">
        <v>0.47895261137300699</v>
      </c>
      <c r="E602" s="24">
        <v>-4.5820098876250004</v>
      </c>
      <c r="F602" s="26">
        <v>4.6052811420029097E-6</v>
      </c>
      <c r="G602" s="24">
        <v>6.1502347891902404E-4</v>
      </c>
      <c r="H602" s="33" t="s">
        <v>10</v>
      </c>
      <c r="I602" s="33" t="s">
        <v>369</v>
      </c>
      <c r="J602" s="33" t="s">
        <v>10</v>
      </c>
    </row>
    <row r="603" spans="1:10" ht="15.75" customHeight="1" x14ac:dyDescent="0.2">
      <c r="A603" s="24" t="s">
        <v>1756</v>
      </c>
      <c r="B603" s="24">
        <v>209.149000194796</v>
      </c>
      <c r="C603" s="24">
        <v>-2.4063108451393398</v>
      </c>
      <c r="D603" s="24">
        <v>0.52676977403451997</v>
      </c>
      <c r="E603" s="24">
        <v>-4.5680503395429302</v>
      </c>
      <c r="F603" s="26">
        <v>4.9228181850669299E-6</v>
      </c>
      <c r="G603" s="24">
        <v>6.5135180334342498E-4</v>
      </c>
      <c r="H603" s="30" t="s">
        <v>5229</v>
      </c>
      <c r="I603" s="33" t="s">
        <v>525</v>
      </c>
      <c r="J603" s="33" t="s">
        <v>10</v>
      </c>
    </row>
    <row r="604" spans="1:10" ht="15.75" customHeight="1" x14ac:dyDescent="0.2">
      <c r="A604" s="24" t="s">
        <v>1757</v>
      </c>
      <c r="B604" s="24">
        <v>38.6393287322745</v>
      </c>
      <c r="C604" s="24">
        <v>-5.0827494834592004</v>
      </c>
      <c r="D604" s="24">
        <v>1.11363490616913</v>
      </c>
      <c r="E604" s="24">
        <v>-4.5641075502416797</v>
      </c>
      <c r="F604" s="26">
        <v>5.0162359952269402E-6</v>
      </c>
      <c r="G604" s="24">
        <v>6.6269107868635699E-4</v>
      </c>
      <c r="H604" s="33" t="s">
        <v>10</v>
      </c>
      <c r="I604" s="33" t="s">
        <v>1270</v>
      </c>
      <c r="J604" s="33" t="s">
        <v>10</v>
      </c>
    </row>
    <row r="605" spans="1:10" ht="15.75" customHeight="1" x14ac:dyDescent="0.2">
      <c r="A605" s="24" t="s">
        <v>1758</v>
      </c>
      <c r="B605" s="24">
        <v>35.071919184901297</v>
      </c>
      <c r="C605" s="24">
        <v>-4.8973751527996301</v>
      </c>
      <c r="D605" s="24">
        <v>1.0735483190336601</v>
      </c>
      <c r="E605" s="24">
        <v>-4.5618581539095899</v>
      </c>
      <c r="F605" s="26">
        <v>5.0702897501644801E-6</v>
      </c>
      <c r="G605" s="24">
        <v>6.6777737904351905E-4</v>
      </c>
      <c r="H605" s="33" t="s">
        <v>3822</v>
      </c>
      <c r="I605" s="33" t="s">
        <v>4185</v>
      </c>
      <c r="J605" s="33" t="s">
        <v>10</v>
      </c>
    </row>
    <row r="606" spans="1:10" ht="15.75" customHeight="1" x14ac:dyDescent="0.2">
      <c r="A606" s="24" t="s">
        <v>1761</v>
      </c>
      <c r="B606" s="24">
        <v>58.190847065492598</v>
      </c>
      <c r="C606" s="24">
        <v>-2.5490799746077899</v>
      </c>
      <c r="D606" s="24">
        <v>0.55882619519486099</v>
      </c>
      <c r="E606" s="24">
        <v>-4.5614897736118696</v>
      </c>
      <c r="F606" s="26">
        <v>5.07919503751601E-6</v>
      </c>
      <c r="G606" s="24">
        <v>6.6792581480327302E-4</v>
      </c>
      <c r="H606" s="33" t="s">
        <v>4133</v>
      </c>
      <c r="I606" s="33" t="s">
        <v>4186</v>
      </c>
      <c r="J606" s="33" t="s">
        <v>4036</v>
      </c>
    </row>
    <row r="607" spans="1:10" ht="15.75" customHeight="1" x14ac:dyDescent="0.2">
      <c r="A607" s="24" t="s">
        <v>1763</v>
      </c>
      <c r="B607" s="24">
        <v>938.48067786645504</v>
      </c>
      <c r="C607" s="24">
        <v>-3.4239757109946001</v>
      </c>
      <c r="D607" s="24">
        <v>0.75155596399150104</v>
      </c>
      <c r="E607" s="24">
        <v>-4.5558492980481802</v>
      </c>
      <c r="F607" s="26">
        <v>5.2174334527652198E-6</v>
      </c>
      <c r="G607" s="24">
        <v>6.8505539452966605E-4</v>
      </c>
      <c r="H607" s="33" t="s">
        <v>4134</v>
      </c>
      <c r="I607" s="33" t="s">
        <v>3895</v>
      </c>
      <c r="J607" s="33" t="s">
        <v>4032</v>
      </c>
    </row>
    <row r="608" spans="1:10" ht="15.75" customHeight="1" x14ac:dyDescent="0.2">
      <c r="A608" s="24" t="s">
        <v>1764</v>
      </c>
      <c r="B608" s="24">
        <v>26.271874525665801</v>
      </c>
      <c r="C608" s="24">
        <v>-4.7424876895845598</v>
      </c>
      <c r="D608" s="24">
        <v>1.0430366807157201</v>
      </c>
      <c r="E608" s="24">
        <v>-4.5468081585878002</v>
      </c>
      <c r="F608" s="26">
        <v>5.44656011639306E-6</v>
      </c>
      <c r="G608" s="24">
        <v>7.08806681376823E-4</v>
      </c>
      <c r="H608" s="33" t="s">
        <v>10</v>
      </c>
      <c r="I608" s="33" t="s">
        <v>1270</v>
      </c>
      <c r="J608" s="33" t="s">
        <v>10</v>
      </c>
    </row>
    <row r="609" spans="1:10" ht="15.75" customHeight="1" x14ac:dyDescent="0.2">
      <c r="A609" s="24" t="s">
        <v>1766</v>
      </c>
      <c r="B609" s="24">
        <v>88.677682257197105</v>
      </c>
      <c r="C609" s="24">
        <v>-2.4457447462121999</v>
      </c>
      <c r="D609" s="24">
        <v>0.537954840565529</v>
      </c>
      <c r="E609" s="24">
        <v>-4.5463755724199704</v>
      </c>
      <c r="F609" s="26">
        <v>5.4577610465266004E-6</v>
      </c>
      <c r="G609" s="24">
        <v>7.0902178339831399E-4</v>
      </c>
      <c r="H609" s="33" t="s">
        <v>10</v>
      </c>
      <c r="I609" s="33" t="s">
        <v>369</v>
      </c>
      <c r="J609" s="33" t="s">
        <v>10</v>
      </c>
    </row>
    <row r="610" spans="1:10" ht="15.75" customHeight="1" x14ac:dyDescent="0.2">
      <c r="A610" s="24" t="s">
        <v>1769</v>
      </c>
      <c r="B610" s="24">
        <v>26.119213596523299</v>
      </c>
      <c r="C610" s="24">
        <v>-3.6805876797568402</v>
      </c>
      <c r="D610" s="24">
        <v>0.80973182837024704</v>
      </c>
      <c r="E610" s="24">
        <v>-4.5454402936893104</v>
      </c>
      <c r="F610" s="26">
        <v>5.4820535977105197E-6</v>
      </c>
      <c r="G610" s="24">
        <v>7.1017542914822895E-4</v>
      </c>
      <c r="H610" s="33" t="s">
        <v>3825</v>
      </c>
      <c r="I610" s="33" t="s">
        <v>4187</v>
      </c>
      <c r="J610" s="33" t="s">
        <v>10</v>
      </c>
    </row>
    <row r="611" spans="1:10" ht="15.75" customHeight="1" x14ac:dyDescent="0.2">
      <c r="A611" s="24" t="s">
        <v>1772</v>
      </c>
      <c r="B611" s="24">
        <v>209.163042029422</v>
      </c>
      <c r="C611" s="24">
        <v>-2.6110440765821599</v>
      </c>
      <c r="D611" s="24">
        <v>0.57447709585324203</v>
      </c>
      <c r="E611" s="24">
        <v>-4.54507950870366</v>
      </c>
      <c r="F611" s="26">
        <v>5.4914521195097702E-6</v>
      </c>
      <c r="G611" s="24">
        <v>7.1017542914822895E-4</v>
      </c>
      <c r="H611" s="33" t="s">
        <v>10</v>
      </c>
      <c r="I611" s="33" t="s">
        <v>369</v>
      </c>
      <c r="J611" s="33" t="s">
        <v>10</v>
      </c>
    </row>
    <row r="612" spans="1:10" ht="15.75" customHeight="1" x14ac:dyDescent="0.2">
      <c r="A612" s="24" t="s">
        <v>1775</v>
      </c>
      <c r="B612" s="24">
        <v>46.128152329810597</v>
      </c>
      <c r="C612" s="24">
        <v>-3.8337529879918901</v>
      </c>
      <c r="D612" s="24">
        <v>0.84368799307236797</v>
      </c>
      <c r="E612" s="24">
        <v>-4.5440411852146001</v>
      </c>
      <c r="F612" s="26">
        <v>5.5185868126081002E-6</v>
      </c>
      <c r="G612" s="24">
        <v>7.1261138073003001E-4</v>
      </c>
      <c r="H612" s="33" t="s">
        <v>270</v>
      </c>
      <c r="I612" s="33" t="s">
        <v>4188</v>
      </c>
      <c r="J612" s="33" t="s">
        <v>10</v>
      </c>
    </row>
    <row r="613" spans="1:10" ht="15.75" customHeight="1" x14ac:dyDescent="0.2">
      <c r="A613" s="24" t="s">
        <v>1777</v>
      </c>
      <c r="B613" s="24">
        <v>79.7697968811636</v>
      </c>
      <c r="C613" s="24">
        <v>-2.3470296379582498</v>
      </c>
      <c r="D613" s="24">
        <v>0.51720864766105201</v>
      </c>
      <c r="E613" s="24">
        <v>-4.5378777956867298</v>
      </c>
      <c r="F613" s="26">
        <v>5.6823171167981096E-6</v>
      </c>
      <c r="G613" s="24">
        <v>7.2611049573894401E-4</v>
      </c>
      <c r="H613" s="33" t="s">
        <v>10</v>
      </c>
      <c r="I613" s="33" t="s">
        <v>10</v>
      </c>
      <c r="J613" s="33" t="s">
        <v>10</v>
      </c>
    </row>
    <row r="614" spans="1:10" ht="15.75" customHeight="1" x14ac:dyDescent="0.2">
      <c r="A614" s="24" t="s">
        <v>1779</v>
      </c>
      <c r="B614" s="24">
        <v>79.390826315546093</v>
      </c>
      <c r="C614" s="24">
        <v>-2.28923651884659</v>
      </c>
      <c r="D614" s="24">
        <v>0.50496914351215405</v>
      </c>
      <c r="E614" s="24">
        <v>-4.5334186222241701</v>
      </c>
      <c r="F614" s="26">
        <v>5.80366318240536E-6</v>
      </c>
      <c r="G614" s="24">
        <v>7.3722834487622896E-4</v>
      </c>
      <c r="H614" s="33" t="s">
        <v>10</v>
      </c>
      <c r="I614" s="33" t="s">
        <v>10</v>
      </c>
      <c r="J614" s="33" t="s">
        <v>10</v>
      </c>
    </row>
    <row r="615" spans="1:10" ht="15.75" customHeight="1" x14ac:dyDescent="0.2">
      <c r="A615" s="24" t="s">
        <v>1781</v>
      </c>
      <c r="B615" s="24">
        <v>18.182080082917199</v>
      </c>
      <c r="C615" s="24">
        <v>-4.2539120025683204</v>
      </c>
      <c r="D615" s="24">
        <v>0.93888710078711402</v>
      </c>
      <c r="E615" s="24">
        <v>-4.5308024777442002</v>
      </c>
      <c r="F615" s="26">
        <v>5.8760058007195596E-6</v>
      </c>
      <c r="G615" s="24">
        <v>7.4202719722586696E-4</v>
      </c>
      <c r="H615" s="33" t="s">
        <v>10</v>
      </c>
      <c r="I615" s="33" t="s">
        <v>1784</v>
      </c>
      <c r="J615" s="33" t="s">
        <v>10</v>
      </c>
    </row>
    <row r="616" spans="1:10" ht="15.75" customHeight="1" x14ac:dyDescent="0.2">
      <c r="A616" s="24" t="s">
        <v>1785</v>
      </c>
      <c r="B616" s="24">
        <v>31.091051620720901</v>
      </c>
      <c r="C616" s="24">
        <v>-4.7557839738162304</v>
      </c>
      <c r="D616" s="24">
        <v>1.0502652176359799</v>
      </c>
      <c r="E616" s="24">
        <v>-4.5281743067916702</v>
      </c>
      <c r="F616" s="26">
        <v>5.94954954748501E-6</v>
      </c>
      <c r="G616" s="24">
        <v>7.4905149249168798E-4</v>
      </c>
      <c r="H616" s="33" t="s">
        <v>1324</v>
      </c>
      <c r="I616" s="33" t="s">
        <v>4189</v>
      </c>
      <c r="J616" s="33" t="s">
        <v>10</v>
      </c>
    </row>
    <row r="617" spans="1:10" ht="15.75" customHeight="1" x14ac:dyDescent="0.2">
      <c r="A617" s="24" t="s">
        <v>1786</v>
      </c>
      <c r="B617" s="24">
        <v>325.33899987057299</v>
      </c>
      <c r="C617" s="24">
        <v>-2.5630175823533299</v>
      </c>
      <c r="D617" s="24">
        <v>0.56646365921891295</v>
      </c>
      <c r="E617" s="24">
        <v>-4.5245931325717104</v>
      </c>
      <c r="F617" s="26">
        <v>6.0511802389885504E-6</v>
      </c>
      <c r="G617" s="24">
        <v>7.5526293357875795E-4</v>
      </c>
      <c r="H617" s="33" t="s">
        <v>3839</v>
      </c>
      <c r="I617" s="33" t="s">
        <v>898</v>
      </c>
      <c r="J617" s="33" t="s">
        <v>10</v>
      </c>
    </row>
    <row r="618" spans="1:10" ht="15.75" customHeight="1" x14ac:dyDescent="0.2">
      <c r="A618" s="24" t="s">
        <v>1788</v>
      </c>
      <c r="B618" s="24">
        <v>76.002165206627495</v>
      </c>
      <c r="C618" s="24">
        <v>-3.5874995424190801</v>
      </c>
      <c r="D618" s="24">
        <v>0.79567309392150198</v>
      </c>
      <c r="E618" s="24">
        <v>-4.5087606578952801</v>
      </c>
      <c r="F618" s="26">
        <v>6.5207420407070702E-6</v>
      </c>
      <c r="G618" s="24">
        <v>8.0720450004962904E-4</v>
      </c>
      <c r="H618" s="33" t="s">
        <v>10</v>
      </c>
      <c r="I618" s="33" t="s">
        <v>1270</v>
      </c>
      <c r="J618" s="33" t="s">
        <v>10</v>
      </c>
    </row>
    <row r="619" spans="1:10" ht="15.75" customHeight="1" x14ac:dyDescent="0.2">
      <c r="A619" s="24" t="s">
        <v>1789</v>
      </c>
      <c r="B619" s="24">
        <v>1229.6865664120101</v>
      </c>
      <c r="C619" s="24">
        <v>-2.5557089560233299</v>
      </c>
      <c r="D619" s="24">
        <v>0.56688395963529103</v>
      </c>
      <c r="E619" s="24">
        <v>-4.5083458661761497</v>
      </c>
      <c r="F619" s="26">
        <v>6.5335007525390496E-6</v>
      </c>
      <c r="G619" s="24">
        <v>8.0724927067810104E-4</v>
      </c>
      <c r="H619" s="33" t="s">
        <v>1791</v>
      </c>
      <c r="I619" s="33" t="s">
        <v>4190</v>
      </c>
      <c r="J619" s="33" t="s">
        <v>10</v>
      </c>
    </row>
    <row r="620" spans="1:10" ht="15.75" customHeight="1" x14ac:dyDescent="0.2">
      <c r="A620" s="24" t="s">
        <v>1793</v>
      </c>
      <c r="B620" s="24">
        <v>46.764801176659397</v>
      </c>
      <c r="C620" s="24">
        <v>-2.6708733543665799</v>
      </c>
      <c r="D620" s="24">
        <v>0.59285930274174403</v>
      </c>
      <c r="E620" s="24">
        <v>-4.5050711728985702</v>
      </c>
      <c r="F620" s="26">
        <v>6.6350700401849699E-6</v>
      </c>
      <c r="G620" s="24">
        <v>8.1862083250104005E-4</v>
      </c>
      <c r="H620" s="33" t="s">
        <v>1794</v>
      </c>
      <c r="I620" s="33" t="s">
        <v>4028</v>
      </c>
      <c r="J620" s="33" t="s">
        <v>10</v>
      </c>
    </row>
    <row r="621" spans="1:10" ht="15.75" customHeight="1" x14ac:dyDescent="0.2">
      <c r="A621" s="24" t="s">
        <v>1795</v>
      </c>
      <c r="B621" s="24">
        <v>554.98599759128604</v>
      </c>
      <c r="C621" s="24">
        <v>-3.7205135890899501</v>
      </c>
      <c r="D621" s="24">
        <v>0.82628690755166301</v>
      </c>
      <c r="E621" s="24">
        <v>-4.50268974987641</v>
      </c>
      <c r="F621" s="26">
        <v>6.7098801006826096E-6</v>
      </c>
      <c r="G621" s="24">
        <v>8.2312016303673699E-4</v>
      </c>
      <c r="H621" s="33" t="s">
        <v>3889</v>
      </c>
      <c r="I621" s="33" t="s">
        <v>4191</v>
      </c>
      <c r="J621" s="33" t="s">
        <v>4114</v>
      </c>
    </row>
    <row r="622" spans="1:10" ht="15.75" customHeight="1" x14ac:dyDescent="0.2">
      <c r="A622" s="24" t="s">
        <v>1797</v>
      </c>
      <c r="B622" s="24">
        <v>152.12613424064699</v>
      </c>
      <c r="C622" s="24">
        <v>-2.8499570679574702</v>
      </c>
      <c r="D622" s="24">
        <v>0.63298847578540296</v>
      </c>
      <c r="E622" s="24">
        <v>-4.5023838142097103</v>
      </c>
      <c r="F622" s="26">
        <v>6.7195490544020197E-6</v>
      </c>
      <c r="G622" s="24">
        <v>8.2313038067126398E-4</v>
      </c>
      <c r="H622" s="33" t="s">
        <v>3836</v>
      </c>
      <c r="I622" s="33" t="s">
        <v>227</v>
      </c>
      <c r="J622" s="33" t="s">
        <v>4051</v>
      </c>
    </row>
    <row r="623" spans="1:10" ht="15.75" customHeight="1" x14ac:dyDescent="0.2">
      <c r="A623" s="24" t="s">
        <v>1798</v>
      </c>
      <c r="B623" s="24">
        <v>104.172624288419</v>
      </c>
      <c r="C623" s="24">
        <v>-4.8041775808814604</v>
      </c>
      <c r="D623" s="24">
        <v>1.0681952898545899</v>
      </c>
      <c r="E623" s="24">
        <v>-4.49747122694711</v>
      </c>
      <c r="F623" s="26">
        <v>6.8766463698339602E-6</v>
      </c>
      <c r="G623" s="24">
        <v>8.3997795223899295E-4</v>
      </c>
      <c r="H623" s="33" t="s">
        <v>10</v>
      </c>
      <c r="I623" s="33" t="s">
        <v>1267</v>
      </c>
      <c r="J623" s="33" t="s">
        <v>10</v>
      </c>
    </row>
    <row r="624" spans="1:10" ht="15.75" customHeight="1" x14ac:dyDescent="0.2">
      <c r="A624" s="24" t="s">
        <v>1800</v>
      </c>
      <c r="B624" s="24">
        <v>48.469103301522203</v>
      </c>
      <c r="C624" s="24">
        <v>-2.5539714207517501</v>
      </c>
      <c r="D624" s="24">
        <v>0.568327074142849</v>
      </c>
      <c r="E624" s="24">
        <v>-4.4938408479019802</v>
      </c>
      <c r="F624" s="26">
        <v>6.9949915032172404E-6</v>
      </c>
      <c r="G624" s="24">
        <v>8.4910829272638296E-4</v>
      </c>
      <c r="H624" s="33" t="s">
        <v>10</v>
      </c>
      <c r="I624" s="33" t="s">
        <v>369</v>
      </c>
      <c r="J624" s="33" t="s">
        <v>10</v>
      </c>
    </row>
    <row r="625" spans="1:10" ht="15.75" customHeight="1" x14ac:dyDescent="0.2">
      <c r="A625" s="24" t="s">
        <v>1802</v>
      </c>
      <c r="B625" s="24">
        <v>35.659966646214798</v>
      </c>
      <c r="C625" s="24">
        <v>-4.0221490224788301</v>
      </c>
      <c r="D625" s="24">
        <v>0.89515572252053499</v>
      </c>
      <c r="E625" s="24">
        <v>-4.4932394680485999</v>
      </c>
      <c r="F625" s="26">
        <v>7.0147827431136802E-6</v>
      </c>
      <c r="G625" s="24">
        <v>8.4910829272638296E-4</v>
      </c>
      <c r="H625" s="33" t="s">
        <v>4135</v>
      </c>
      <c r="I625" s="33" t="s">
        <v>3152</v>
      </c>
      <c r="J625" s="33" t="s">
        <v>3085</v>
      </c>
    </row>
    <row r="626" spans="1:10" ht="15.75" customHeight="1" x14ac:dyDescent="0.2">
      <c r="A626" s="24" t="s">
        <v>1804</v>
      </c>
      <c r="B626" s="24">
        <v>232.03975429069399</v>
      </c>
      <c r="C626" s="24">
        <v>-2.5633440770254401</v>
      </c>
      <c r="D626" s="24">
        <v>0.57051153306795199</v>
      </c>
      <c r="E626" s="24">
        <v>-4.4930626787524197</v>
      </c>
      <c r="F626" s="26">
        <v>7.0206110076246004E-6</v>
      </c>
      <c r="G626" s="24">
        <v>8.4910829272638296E-4</v>
      </c>
      <c r="H626" s="33" t="s">
        <v>4136</v>
      </c>
      <c r="I626" s="33" t="s">
        <v>3918</v>
      </c>
      <c r="J626" s="33" t="s">
        <v>10</v>
      </c>
    </row>
    <row r="627" spans="1:10" ht="15.75" customHeight="1" x14ac:dyDescent="0.2">
      <c r="A627" s="24" t="s">
        <v>1807</v>
      </c>
      <c r="B627" s="24">
        <v>239.04635556971701</v>
      </c>
      <c r="C627" s="24">
        <v>-2.0471690150859798</v>
      </c>
      <c r="D627" s="24">
        <v>0.45571140912494101</v>
      </c>
      <c r="E627" s="24">
        <v>-4.4922487655443204</v>
      </c>
      <c r="F627" s="26">
        <v>7.0475033203464602E-6</v>
      </c>
      <c r="G627" s="24">
        <v>8.5116196571233596E-4</v>
      </c>
      <c r="H627" s="33" t="s">
        <v>10</v>
      </c>
      <c r="I627" s="33" t="s">
        <v>3912</v>
      </c>
      <c r="J627" s="33" t="s">
        <v>10</v>
      </c>
    </row>
    <row r="628" spans="1:10" ht="15.75" customHeight="1" x14ac:dyDescent="0.2">
      <c r="A628" s="24" t="s">
        <v>1810</v>
      </c>
      <c r="B628" s="24">
        <v>84.756757103082094</v>
      </c>
      <c r="C628" s="24">
        <v>-5.7035331860756804</v>
      </c>
      <c r="D628" s="24">
        <v>1.2702039598014301</v>
      </c>
      <c r="E628" s="24">
        <v>-4.4902498862996003</v>
      </c>
      <c r="F628" s="26">
        <v>7.1139665454680603E-6</v>
      </c>
      <c r="G628" s="24">
        <v>8.5788917733825305E-4</v>
      </c>
      <c r="H628" s="33" t="s">
        <v>10</v>
      </c>
      <c r="I628" s="33" t="s">
        <v>10</v>
      </c>
      <c r="J628" s="33" t="s">
        <v>10</v>
      </c>
    </row>
    <row r="629" spans="1:10" ht="15.75" customHeight="1" x14ac:dyDescent="0.2">
      <c r="A629" s="24" t="s">
        <v>1812</v>
      </c>
      <c r="B629" s="24">
        <v>100.32320844181</v>
      </c>
      <c r="C629" s="24">
        <v>-2.1167444465915399</v>
      </c>
      <c r="D629" s="24">
        <v>0.471638089923967</v>
      </c>
      <c r="E629" s="24">
        <v>-4.4880693307293598</v>
      </c>
      <c r="F629" s="26">
        <v>7.1871541227631401E-6</v>
      </c>
      <c r="G629" s="24">
        <v>8.6317218416194898E-4</v>
      </c>
      <c r="H629" s="33" t="s">
        <v>1814</v>
      </c>
      <c r="I629" s="33" t="s">
        <v>1815</v>
      </c>
      <c r="J629" s="33" t="s">
        <v>10</v>
      </c>
    </row>
    <row r="630" spans="1:10" ht="15.75" customHeight="1" x14ac:dyDescent="0.2">
      <c r="A630" s="24" t="s">
        <v>1816</v>
      </c>
      <c r="B630" s="24">
        <v>26.818481965144802</v>
      </c>
      <c r="C630" s="24">
        <v>-4.8993874264303203</v>
      </c>
      <c r="D630" s="24">
        <v>1.09225449059563</v>
      </c>
      <c r="E630" s="24">
        <v>-4.4855731595651998</v>
      </c>
      <c r="F630" s="26">
        <v>7.2718189076899901E-6</v>
      </c>
      <c r="G630" s="24">
        <v>8.7090426976603604E-4</v>
      </c>
      <c r="H630" s="33" t="s">
        <v>10</v>
      </c>
      <c r="I630" s="33" t="s">
        <v>369</v>
      </c>
      <c r="J630" s="33" t="s">
        <v>10</v>
      </c>
    </row>
    <row r="631" spans="1:10" ht="15.75" customHeight="1" x14ac:dyDescent="0.2">
      <c r="A631" s="24" t="s">
        <v>1817</v>
      </c>
      <c r="B631" s="24">
        <v>170.495614810066</v>
      </c>
      <c r="C631" s="24">
        <v>-2.0318271841709898</v>
      </c>
      <c r="D631" s="24">
        <v>0.45378078080824003</v>
      </c>
      <c r="E631" s="24">
        <v>-4.4775523118278704</v>
      </c>
      <c r="F631" s="26">
        <v>7.5503729822673602E-6</v>
      </c>
      <c r="G631" s="24">
        <v>8.9924837497958499E-4</v>
      </c>
      <c r="H631" s="33" t="s">
        <v>3846</v>
      </c>
      <c r="I631" s="33" t="s">
        <v>3955</v>
      </c>
      <c r="J631" s="33" t="s">
        <v>10</v>
      </c>
    </row>
    <row r="632" spans="1:10" ht="15.75" customHeight="1" x14ac:dyDescent="0.2">
      <c r="A632" s="24" t="s">
        <v>1820</v>
      </c>
      <c r="B632" s="24">
        <v>26.319789642052001</v>
      </c>
      <c r="C632" s="24">
        <v>-4.7151919298219704</v>
      </c>
      <c r="D632" s="24">
        <v>1.05421846137848</v>
      </c>
      <c r="E632" s="24">
        <v>-4.4726895824385799</v>
      </c>
      <c r="F632" s="26">
        <v>7.7241866914287594E-6</v>
      </c>
      <c r="G632" s="24">
        <v>9.1487397983404004E-4</v>
      </c>
      <c r="H632" s="33" t="s">
        <v>10</v>
      </c>
      <c r="I632" s="33" t="s">
        <v>1174</v>
      </c>
      <c r="J632" s="33" t="s">
        <v>10</v>
      </c>
    </row>
    <row r="633" spans="1:10" ht="15.75" customHeight="1" x14ac:dyDescent="0.2">
      <c r="A633" s="24" t="s">
        <v>1823</v>
      </c>
      <c r="B633" s="24">
        <v>21.294041327529001</v>
      </c>
      <c r="C633" s="24">
        <v>-4.2440946475838501</v>
      </c>
      <c r="D633" s="24">
        <v>0.95233027337181497</v>
      </c>
      <c r="E633" s="24">
        <v>-4.4565365254611002</v>
      </c>
      <c r="F633" s="26">
        <v>8.3294414653918995E-6</v>
      </c>
      <c r="G633" s="24">
        <v>9.7579463584538599E-4</v>
      </c>
      <c r="H633" s="33" t="s">
        <v>597</v>
      </c>
      <c r="I633" s="33" t="s">
        <v>1762</v>
      </c>
      <c r="J633" s="33" t="s">
        <v>10</v>
      </c>
    </row>
    <row r="634" spans="1:10" ht="15.75" customHeight="1" x14ac:dyDescent="0.2">
      <c r="A634" s="24" t="s">
        <v>1825</v>
      </c>
      <c r="B634" s="24">
        <v>76.694829000474499</v>
      </c>
      <c r="C634" s="24">
        <v>-2.2477942990652702</v>
      </c>
      <c r="D634" s="24">
        <v>0.50451444144497903</v>
      </c>
      <c r="E634" s="24">
        <v>-4.4553616594747396</v>
      </c>
      <c r="F634" s="26">
        <v>8.3751887857845805E-6</v>
      </c>
      <c r="G634" s="24">
        <v>9.7981721556417893E-4</v>
      </c>
      <c r="H634" s="33" t="s">
        <v>1826</v>
      </c>
      <c r="I634" s="33" t="s">
        <v>1827</v>
      </c>
      <c r="J634" s="33" t="s">
        <v>10</v>
      </c>
    </row>
    <row r="635" spans="1:10" ht="15.75" customHeight="1" x14ac:dyDescent="0.2">
      <c r="A635" s="24" t="s">
        <v>1829</v>
      </c>
      <c r="B635" s="24">
        <v>298.90864308664197</v>
      </c>
      <c r="C635" s="24">
        <v>-2.0896997444011398</v>
      </c>
      <c r="D635" s="24">
        <v>0.46967497612895698</v>
      </c>
      <c r="E635" s="24">
        <v>-4.4492465015368001</v>
      </c>
      <c r="F635" s="26">
        <v>8.6172070796863697E-6</v>
      </c>
      <c r="G635" s="24">
        <v>9.9995701235101094E-4</v>
      </c>
      <c r="H635" s="33" t="s">
        <v>1830</v>
      </c>
      <c r="I635" s="33" t="s">
        <v>4192</v>
      </c>
      <c r="J635" s="33" t="s">
        <v>10</v>
      </c>
    </row>
    <row r="636" spans="1:10" ht="15.75" customHeight="1" x14ac:dyDescent="0.2">
      <c r="A636" s="24"/>
      <c r="B636" s="24"/>
      <c r="C636" s="24"/>
      <c r="D636" s="24"/>
      <c r="E636" s="24"/>
      <c r="F636" s="24"/>
      <c r="G636" s="24"/>
      <c r="H636" s="24"/>
      <c r="I636" s="24"/>
    </row>
    <row r="637" spans="1:10" ht="15.75" customHeight="1" x14ac:dyDescent="0.2">
      <c r="A637" s="24"/>
      <c r="B637" s="24"/>
      <c r="C637" s="24"/>
      <c r="D637" s="24"/>
      <c r="E637" s="24"/>
      <c r="F637" s="24"/>
      <c r="G637" s="24"/>
      <c r="H637" s="24"/>
      <c r="I637" s="24"/>
    </row>
    <row r="638" spans="1:10" ht="15.75" customHeight="1" x14ac:dyDescent="0.2">
      <c r="A638" s="24"/>
      <c r="B638" s="24"/>
      <c r="C638" s="24"/>
      <c r="D638" s="24"/>
      <c r="E638" s="24"/>
      <c r="F638" s="24"/>
      <c r="G638" s="24"/>
      <c r="H638" s="24"/>
      <c r="I638" s="24"/>
    </row>
    <row r="639" spans="1:10" ht="15.75" customHeight="1" x14ac:dyDescent="0.2">
      <c r="A639" s="24"/>
      <c r="B639" s="24"/>
      <c r="C639" s="24"/>
      <c r="D639" s="24"/>
      <c r="E639" s="24"/>
      <c r="F639" s="24"/>
      <c r="G639" s="24"/>
      <c r="H639" s="24"/>
      <c r="I639" s="24"/>
    </row>
    <row r="640" spans="1:10" ht="15.75" customHeight="1" x14ac:dyDescent="0.2">
      <c r="A640" s="24"/>
      <c r="B640" s="24"/>
      <c r="C640" s="24"/>
      <c r="D640" s="24"/>
      <c r="E640" s="24"/>
      <c r="F640" s="24"/>
      <c r="G640" s="24"/>
      <c r="H640" s="24"/>
      <c r="I640" s="24"/>
    </row>
    <row r="641" spans="1:9" ht="15.75" customHeight="1" x14ac:dyDescent="0.2">
      <c r="A641" s="24"/>
      <c r="B641" s="24"/>
      <c r="C641" s="24"/>
      <c r="D641" s="24"/>
      <c r="E641" s="24"/>
      <c r="F641" s="24"/>
      <c r="G641" s="24"/>
      <c r="H641" s="24"/>
      <c r="I641" s="24"/>
    </row>
    <row r="642" spans="1:9" ht="15.75" customHeight="1" x14ac:dyDescent="0.2">
      <c r="A642" s="24"/>
      <c r="B642" s="24"/>
      <c r="C642" s="24"/>
      <c r="D642" s="24"/>
      <c r="E642" s="24"/>
      <c r="F642" s="24"/>
      <c r="G642" s="24"/>
      <c r="H642" s="24"/>
      <c r="I642" s="24"/>
    </row>
    <row r="643" spans="1:9" ht="15.75" customHeight="1" x14ac:dyDescent="0.2">
      <c r="A643" s="24"/>
      <c r="B643" s="24"/>
      <c r="C643" s="24"/>
      <c r="D643" s="24"/>
      <c r="E643" s="24"/>
      <c r="F643" s="24"/>
      <c r="G643" s="24"/>
      <c r="H643" s="24"/>
      <c r="I643" s="24"/>
    </row>
    <row r="644" spans="1:9" ht="15.75" customHeight="1" x14ac:dyDescent="0.2">
      <c r="A644" s="24"/>
      <c r="B644" s="24"/>
      <c r="C644" s="24"/>
      <c r="D644" s="24"/>
      <c r="E644" s="24"/>
      <c r="F644" s="24"/>
      <c r="G644" s="24"/>
      <c r="H644" s="24"/>
      <c r="I644" s="24"/>
    </row>
    <row r="645" spans="1:9" ht="15.75" customHeight="1" x14ac:dyDescent="0.2">
      <c r="A645" s="24"/>
      <c r="B645" s="24"/>
      <c r="C645" s="24"/>
      <c r="D645" s="24"/>
      <c r="E645" s="24"/>
      <c r="F645" s="24"/>
      <c r="G645" s="24"/>
      <c r="H645" s="24"/>
      <c r="I645" s="24"/>
    </row>
    <row r="646" spans="1:9" ht="15.75" customHeight="1" x14ac:dyDescent="0.2">
      <c r="A646" s="24"/>
      <c r="B646" s="24"/>
      <c r="C646" s="24"/>
      <c r="D646" s="24"/>
      <c r="E646" s="24"/>
      <c r="F646" s="24"/>
      <c r="G646" s="24"/>
      <c r="H646" s="24"/>
      <c r="I646" s="24"/>
    </row>
    <row r="647" spans="1:9" ht="15.75" customHeight="1" x14ac:dyDescent="0.2">
      <c r="A647" s="24"/>
      <c r="B647" s="24"/>
      <c r="C647" s="24"/>
      <c r="D647" s="24"/>
      <c r="E647" s="24"/>
      <c r="F647" s="24"/>
      <c r="G647" s="24"/>
      <c r="H647" s="24"/>
      <c r="I647" s="24"/>
    </row>
    <row r="648" spans="1:9" ht="15.75" customHeight="1" x14ac:dyDescent="0.2">
      <c r="A648" s="24"/>
      <c r="B648" s="24"/>
      <c r="C648" s="24"/>
      <c r="D648" s="24"/>
      <c r="E648" s="24"/>
      <c r="F648" s="24"/>
      <c r="G648" s="24"/>
      <c r="H648" s="24"/>
      <c r="I648" s="24"/>
    </row>
    <row r="649" spans="1:9" ht="15.75" customHeight="1" x14ac:dyDescent="0.2">
      <c r="A649" s="24"/>
      <c r="B649" s="24"/>
      <c r="C649" s="24"/>
      <c r="D649" s="24"/>
      <c r="E649" s="24"/>
      <c r="F649" s="24"/>
      <c r="G649" s="24"/>
      <c r="H649" s="24"/>
      <c r="I649" s="24"/>
    </row>
    <row r="650" spans="1:9" ht="15.75" customHeight="1" x14ac:dyDescent="0.2">
      <c r="A650" s="24"/>
      <c r="B650" s="24"/>
      <c r="C650" s="24"/>
      <c r="D650" s="24"/>
      <c r="E650" s="24"/>
      <c r="F650" s="24"/>
      <c r="G650" s="24"/>
      <c r="H650" s="24"/>
      <c r="I650" s="24"/>
    </row>
    <row r="651" spans="1:9" ht="15.75" customHeight="1" x14ac:dyDescent="0.2">
      <c r="A651" s="24"/>
      <c r="B651" s="24"/>
      <c r="C651" s="24"/>
      <c r="D651" s="24"/>
      <c r="E651" s="24"/>
      <c r="F651" s="24"/>
      <c r="G651" s="24"/>
      <c r="H651" s="24"/>
      <c r="I651" s="24"/>
    </row>
    <row r="652" spans="1:9" ht="15.75" customHeight="1" x14ac:dyDescent="0.2">
      <c r="A652" s="24"/>
      <c r="B652" s="24"/>
      <c r="C652" s="24"/>
      <c r="D652" s="24"/>
      <c r="E652" s="24"/>
      <c r="F652" s="24"/>
      <c r="G652" s="24"/>
      <c r="H652" s="24"/>
      <c r="I652" s="24"/>
    </row>
    <row r="653" spans="1:9" ht="15.75" customHeight="1" x14ac:dyDescent="0.2">
      <c r="A653" s="24"/>
      <c r="B653" s="24"/>
      <c r="C653" s="24"/>
      <c r="D653" s="24"/>
      <c r="E653" s="24"/>
      <c r="F653" s="24"/>
      <c r="G653" s="24"/>
      <c r="H653" s="24"/>
      <c r="I653" s="24"/>
    </row>
    <row r="654" spans="1:9" ht="15.75" customHeight="1" x14ac:dyDescent="0.2">
      <c r="A654" s="24"/>
      <c r="B654" s="24"/>
      <c r="C654" s="24"/>
      <c r="D654" s="24"/>
      <c r="E654" s="24"/>
      <c r="F654" s="24"/>
      <c r="G654" s="24"/>
      <c r="H654" s="24"/>
      <c r="I654" s="24"/>
    </row>
    <row r="655" spans="1:9" ht="15.75" customHeight="1" x14ac:dyDescent="0.2">
      <c r="A655" s="24"/>
      <c r="B655" s="24"/>
      <c r="C655" s="24"/>
      <c r="D655" s="24"/>
      <c r="E655" s="24"/>
      <c r="F655" s="24"/>
      <c r="G655" s="24"/>
      <c r="H655" s="24"/>
      <c r="I655" s="24"/>
    </row>
    <row r="656" spans="1:9" ht="15.75" customHeight="1" x14ac:dyDescent="0.2">
      <c r="A656" s="24"/>
      <c r="B656" s="24"/>
      <c r="C656" s="24"/>
      <c r="D656" s="24"/>
      <c r="E656" s="24"/>
      <c r="F656" s="24"/>
      <c r="G656" s="24"/>
      <c r="H656" s="24"/>
      <c r="I656" s="24"/>
    </row>
    <row r="657" spans="1:9" ht="15.75" customHeight="1" x14ac:dyDescent="0.2">
      <c r="A657" s="24"/>
      <c r="B657" s="24"/>
      <c r="C657" s="24"/>
      <c r="D657" s="24"/>
      <c r="E657" s="24"/>
      <c r="F657" s="24"/>
      <c r="G657" s="24"/>
      <c r="H657" s="24"/>
      <c r="I657" s="24"/>
    </row>
    <row r="658" spans="1:9" ht="15.75" customHeight="1" x14ac:dyDescent="0.2">
      <c r="A658" s="24"/>
      <c r="B658" s="24"/>
      <c r="C658" s="24"/>
      <c r="D658" s="24"/>
      <c r="E658" s="24"/>
      <c r="F658" s="24"/>
      <c r="G658" s="24"/>
      <c r="H658" s="24"/>
      <c r="I658" s="24"/>
    </row>
    <row r="659" spans="1:9" ht="15.75" customHeight="1" x14ac:dyDescent="0.2">
      <c r="A659" s="24"/>
      <c r="B659" s="24"/>
      <c r="C659" s="24"/>
      <c r="D659" s="24"/>
      <c r="E659" s="24"/>
      <c r="F659" s="24"/>
      <c r="G659" s="24"/>
      <c r="H659" s="24"/>
      <c r="I659" s="24"/>
    </row>
    <row r="660" spans="1:9" ht="15.75" customHeight="1" x14ac:dyDescent="0.2">
      <c r="A660" s="24"/>
      <c r="B660" s="24"/>
      <c r="C660" s="24"/>
      <c r="D660" s="24"/>
      <c r="E660" s="24"/>
      <c r="F660" s="24"/>
      <c r="G660" s="24"/>
      <c r="H660" s="24"/>
      <c r="I660" s="24"/>
    </row>
    <row r="661" spans="1:9" ht="15.75" customHeight="1" x14ac:dyDescent="0.2">
      <c r="A661" s="24"/>
      <c r="B661" s="24"/>
      <c r="C661" s="24"/>
      <c r="D661" s="24"/>
      <c r="E661" s="24"/>
      <c r="F661" s="24"/>
      <c r="G661" s="24"/>
      <c r="H661" s="24"/>
      <c r="I661" s="24"/>
    </row>
    <row r="662" spans="1:9" ht="15.75" customHeight="1" x14ac:dyDescent="0.2">
      <c r="A662" s="24"/>
      <c r="B662" s="24"/>
      <c r="C662" s="24"/>
      <c r="D662" s="24"/>
      <c r="E662" s="24"/>
      <c r="F662" s="24"/>
      <c r="G662" s="24"/>
      <c r="H662" s="24"/>
      <c r="I662" s="24"/>
    </row>
    <row r="663" spans="1:9" ht="15.75" customHeight="1" x14ac:dyDescent="0.2">
      <c r="A663" s="24"/>
      <c r="B663" s="24"/>
      <c r="C663" s="24"/>
      <c r="D663" s="24"/>
      <c r="E663" s="24"/>
      <c r="F663" s="24"/>
      <c r="G663" s="24"/>
      <c r="H663" s="24"/>
      <c r="I663" s="24"/>
    </row>
    <row r="664" spans="1:9" ht="15.75" customHeight="1" x14ac:dyDescent="0.2">
      <c r="A664" s="24"/>
      <c r="B664" s="24"/>
      <c r="C664" s="24"/>
      <c r="D664" s="24"/>
      <c r="E664" s="24"/>
      <c r="F664" s="24"/>
      <c r="G664" s="24"/>
      <c r="H664" s="24"/>
      <c r="I664" s="24"/>
    </row>
    <row r="665" spans="1:9" ht="15.75" customHeight="1" x14ac:dyDescent="0.2">
      <c r="A665" s="24"/>
      <c r="B665" s="24"/>
      <c r="C665" s="24"/>
      <c r="D665" s="24"/>
      <c r="E665" s="24"/>
      <c r="F665" s="24"/>
      <c r="G665" s="24"/>
      <c r="H665" s="24"/>
      <c r="I665" s="24"/>
    </row>
    <row r="666" spans="1:9" ht="15.75" customHeight="1" x14ac:dyDescent="0.2">
      <c r="A666" s="24"/>
      <c r="B666" s="24"/>
      <c r="C666" s="24"/>
      <c r="D666" s="24"/>
      <c r="E666" s="24"/>
      <c r="F666" s="24"/>
      <c r="G666" s="24"/>
      <c r="H666" s="24"/>
      <c r="I666" s="24"/>
    </row>
    <row r="667" spans="1:9" ht="15.75" customHeight="1" x14ac:dyDescent="0.2">
      <c r="A667" s="24"/>
      <c r="B667" s="24"/>
      <c r="C667" s="24"/>
      <c r="D667" s="24"/>
      <c r="E667" s="24"/>
      <c r="F667" s="24"/>
      <c r="G667" s="24"/>
      <c r="H667" s="24"/>
      <c r="I667" s="24"/>
    </row>
    <row r="668" spans="1:9" ht="15.75" customHeight="1" x14ac:dyDescent="0.2">
      <c r="A668" s="24"/>
      <c r="B668" s="24"/>
      <c r="C668" s="24"/>
      <c r="D668" s="24"/>
      <c r="E668" s="24"/>
      <c r="F668" s="24"/>
      <c r="G668" s="24"/>
      <c r="H668" s="24"/>
      <c r="I668" s="24"/>
    </row>
    <row r="669" spans="1:9" ht="15.75" customHeight="1" x14ac:dyDescent="0.2">
      <c r="A669" s="24"/>
      <c r="B669" s="24"/>
      <c r="C669" s="24"/>
      <c r="D669" s="24"/>
      <c r="E669" s="24"/>
      <c r="F669" s="24"/>
      <c r="G669" s="24"/>
      <c r="H669" s="24"/>
      <c r="I669" s="24"/>
    </row>
    <row r="670" spans="1:9" ht="15.75" customHeight="1" x14ac:dyDescent="0.2">
      <c r="A670" s="24"/>
      <c r="B670" s="24"/>
      <c r="C670" s="24"/>
      <c r="D670" s="24"/>
      <c r="E670" s="24"/>
      <c r="F670" s="24"/>
      <c r="G670" s="24"/>
      <c r="H670" s="24"/>
      <c r="I670" s="24"/>
    </row>
    <row r="671" spans="1:9" ht="15.75" customHeight="1" x14ac:dyDescent="0.2">
      <c r="A671" s="24"/>
      <c r="B671" s="24"/>
      <c r="C671" s="24"/>
      <c r="D671" s="24"/>
      <c r="E671" s="24"/>
      <c r="F671" s="24"/>
      <c r="G671" s="24"/>
      <c r="H671" s="24"/>
      <c r="I671" s="24"/>
    </row>
    <row r="672" spans="1:9" ht="15.75" customHeight="1" x14ac:dyDescent="0.2">
      <c r="A672" s="24"/>
      <c r="B672" s="24"/>
      <c r="C672" s="24"/>
      <c r="D672" s="24"/>
      <c r="E672" s="24"/>
      <c r="F672" s="24"/>
      <c r="G672" s="24"/>
      <c r="H672" s="24"/>
      <c r="I672" s="24"/>
    </row>
    <row r="673" spans="1:9" ht="15.75" customHeight="1" x14ac:dyDescent="0.2">
      <c r="A673" s="24"/>
      <c r="B673" s="24"/>
      <c r="C673" s="24"/>
      <c r="D673" s="24"/>
      <c r="E673" s="24"/>
      <c r="F673" s="24"/>
      <c r="G673" s="24"/>
      <c r="H673" s="24"/>
      <c r="I673" s="24"/>
    </row>
    <row r="674" spans="1:9" ht="15.75" customHeight="1" x14ac:dyDescent="0.2">
      <c r="A674" s="24"/>
      <c r="B674" s="24"/>
      <c r="C674" s="24"/>
      <c r="D674" s="24"/>
      <c r="E674" s="24"/>
      <c r="F674" s="24"/>
      <c r="G674" s="24"/>
      <c r="H674" s="24"/>
      <c r="I674" s="24"/>
    </row>
    <row r="675" spans="1:9" ht="15.75" customHeight="1" x14ac:dyDescent="0.2">
      <c r="A675" s="24"/>
      <c r="B675" s="24"/>
      <c r="C675" s="24"/>
      <c r="D675" s="24"/>
      <c r="E675" s="24"/>
      <c r="F675" s="24"/>
      <c r="G675" s="24"/>
      <c r="H675" s="24"/>
      <c r="I675" s="24"/>
    </row>
    <row r="676" spans="1:9" ht="15.75" customHeight="1" x14ac:dyDescent="0.2">
      <c r="A676" s="24"/>
      <c r="B676" s="24"/>
      <c r="C676" s="24"/>
      <c r="D676" s="24"/>
      <c r="E676" s="24"/>
      <c r="F676" s="24"/>
      <c r="G676" s="24"/>
      <c r="H676" s="24"/>
      <c r="I676" s="24"/>
    </row>
    <row r="677" spans="1:9" ht="15.75" customHeight="1" x14ac:dyDescent="0.2">
      <c r="A677" s="24"/>
      <c r="B677" s="24"/>
      <c r="C677" s="24"/>
      <c r="D677" s="24"/>
      <c r="E677" s="24"/>
      <c r="F677" s="24"/>
      <c r="G677" s="24"/>
      <c r="H677" s="24"/>
      <c r="I677" s="24"/>
    </row>
    <row r="678" spans="1:9" ht="15.75" customHeight="1" x14ac:dyDescent="0.2">
      <c r="A678" s="24"/>
      <c r="B678" s="24"/>
      <c r="C678" s="24"/>
      <c r="D678" s="24"/>
      <c r="E678" s="24"/>
      <c r="F678" s="24"/>
      <c r="G678" s="24"/>
      <c r="H678" s="24"/>
      <c r="I678" s="24"/>
    </row>
    <row r="679" spans="1:9" ht="15.75" customHeight="1" x14ac:dyDescent="0.2">
      <c r="A679" s="24"/>
      <c r="B679" s="24"/>
      <c r="C679" s="24"/>
      <c r="D679" s="24"/>
      <c r="E679" s="24"/>
      <c r="F679" s="24"/>
      <c r="G679" s="24"/>
      <c r="H679" s="24"/>
      <c r="I679" s="24"/>
    </row>
    <row r="680" spans="1:9" ht="15.75" customHeight="1" x14ac:dyDescent="0.2">
      <c r="A680" s="24"/>
      <c r="B680" s="24"/>
      <c r="C680" s="24"/>
      <c r="D680" s="24"/>
      <c r="E680" s="24"/>
      <c r="F680" s="24"/>
      <c r="G680" s="24"/>
      <c r="H680" s="24"/>
      <c r="I680" s="24"/>
    </row>
    <row r="681" spans="1:9" ht="15.75" customHeight="1" x14ac:dyDescent="0.2">
      <c r="A681" s="24"/>
      <c r="B681" s="24"/>
      <c r="C681" s="24"/>
      <c r="D681" s="24"/>
      <c r="E681" s="24"/>
      <c r="F681" s="24"/>
      <c r="G681" s="24"/>
      <c r="H681" s="24"/>
      <c r="I681" s="24"/>
    </row>
    <row r="682" spans="1:9" ht="15.75" customHeight="1" x14ac:dyDescent="0.2">
      <c r="A682" s="24"/>
      <c r="B682" s="24"/>
      <c r="C682" s="24"/>
      <c r="D682" s="24"/>
      <c r="E682" s="24"/>
      <c r="F682" s="24"/>
      <c r="G682" s="24"/>
      <c r="H682" s="24"/>
      <c r="I682" s="24"/>
    </row>
    <row r="683" spans="1:9" ht="15.75" customHeight="1" x14ac:dyDescent="0.2">
      <c r="A683" s="24"/>
      <c r="B683" s="24"/>
      <c r="C683" s="24"/>
      <c r="D683" s="24"/>
      <c r="E683" s="24"/>
      <c r="F683" s="24"/>
      <c r="G683" s="24"/>
      <c r="H683" s="24"/>
      <c r="I683" s="24"/>
    </row>
    <row r="684" spans="1:9" ht="15.75" customHeight="1" x14ac:dyDescent="0.2">
      <c r="A684" s="24"/>
      <c r="B684" s="24"/>
      <c r="C684" s="24"/>
      <c r="D684" s="24"/>
      <c r="E684" s="24"/>
      <c r="F684" s="24"/>
      <c r="G684" s="24"/>
      <c r="H684" s="24"/>
      <c r="I684" s="24"/>
    </row>
    <row r="685" spans="1:9" ht="15.75" customHeight="1" x14ac:dyDescent="0.2">
      <c r="A685" s="24"/>
      <c r="B685" s="24"/>
      <c r="C685" s="24"/>
      <c r="D685" s="24"/>
      <c r="E685" s="24"/>
      <c r="F685" s="24"/>
      <c r="G685" s="24"/>
      <c r="H685" s="24"/>
      <c r="I685" s="24"/>
    </row>
    <row r="686" spans="1:9" ht="15.75" customHeight="1" x14ac:dyDescent="0.2">
      <c r="A686" s="24"/>
      <c r="B686" s="24"/>
      <c r="C686" s="24"/>
      <c r="D686" s="24"/>
      <c r="E686" s="24"/>
      <c r="F686" s="24"/>
      <c r="G686" s="24"/>
      <c r="H686" s="24"/>
      <c r="I686" s="24"/>
    </row>
    <row r="687" spans="1:9" ht="15.75" customHeight="1" x14ac:dyDescent="0.2">
      <c r="A687" s="24"/>
      <c r="B687" s="24"/>
      <c r="C687" s="24"/>
      <c r="D687" s="24"/>
      <c r="E687" s="24"/>
      <c r="F687" s="24"/>
      <c r="G687" s="24"/>
      <c r="H687" s="24"/>
      <c r="I687" s="24"/>
    </row>
    <row r="688" spans="1:9" ht="15.75" customHeight="1" x14ac:dyDescent="0.2">
      <c r="A688" s="24"/>
      <c r="B688" s="24"/>
      <c r="C688" s="24"/>
      <c r="D688" s="24"/>
      <c r="E688" s="24"/>
      <c r="F688" s="24"/>
      <c r="G688" s="24"/>
      <c r="H688" s="24"/>
      <c r="I688" s="24"/>
    </row>
    <row r="689" spans="1:9" ht="15.75" customHeight="1" x14ac:dyDescent="0.2">
      <c r="A689" s="24"/>
      <c r="B689" s="24"/>
      <c r="C689" s="24"/>
      <c r="D689" s="24"/>
      <c r="E689" s="24"/>
      <c r="F689" s="24"/>
      <c r="G689" s="24"/>
      <c r="H689" s="24"/>
      <c r="I689" s="24"/>
    </row>
    <row r="690" spans="1:9" ht="15.75" customHeight="1" x14ac:dyDescent="0.2">
      <c r="A690" s="24"/>
      <c r="B690" s="24"/>
      <c r="C690" s="24"/>
      <c r="D690" s="24"/>
      <c r="E690" s="24"/>
      <c r="F690" s="24"/>
      <c r="G690" s="24"/>
      <c r="H690" s="24"/>
      <c r="I690" s="24"/>
    </row>
    <row r="691" spans="1:9" ht="15.75" customHeight="1" x14ac:dyDescent="0.2">
      <c r="A691" s="24"/>
      <c r="B691" s="24"/>
      <c r="C691" s="24"/>
      <c r="D691" s="24"/>
      <c r="E691" s="24"/>
      <c r="F691" s="24"/>
      <c r="G691" s="24"/>
      <c r="H691" s="24"/>
      <c r="I691" s="24"/>
    </row>
    <row r="692" spans="1:9" ht="15.75" customHeight="1" x14ac:dyDescent="0.2">
      <c r="A692" s="24"/>
      <c r="B692" s="24"/>
      <c r="C692" s="24"/>
      <c r="D692" s="24"/>
      <c r="E692" s="24"/>
      <c r="F692" s="24"/>
      <c r="G692" s="24"/>
      <c r="H692" s="24"/>
      <c r="I692" s="24"/>
    </row>
    <row r="693" spans="1:9" ht="15.75" customHeight="1" x14ac:dyDescent="0.2">
      <c r="A693" s="24"/>
      <c r="B693" s="24"/>
      <c r="C693" s="24"/>
      <c r="D693" s="24"/>
      <c r="E693" s="24"/>
      <c r="F693" s="24"/>
      <c r="G693" s="24"/>
      <c r="H693" s="24"/>
      <c r="I693" s="24"/>
    </row>
    <row r="694" spans="1:9" ht="15.75" customHeight="1" x14ac:dyDescent="0.2">
      <c r="A694" s="24"/>
      <c r="B694" s="24"/>
      <c r="C694" s="24"/>
      <c r="D694" s="24"/>
      <c r="E694" s="24"/>
      <c r="F694" s="24"/>
      <c r="G694" s="24"/>
      <c r="H694" s="24"/>
      <c r="I694" s="24"/>
    </row>
    <row r="695" spans="1:9" ht="15.75" customHeight="1" x14ac:dyDescent="0.2">
      <c r="A695" s="24"/>
      <c r="B695" s="24"/>
      <c r="C695" s="24"/>
      <c r="D695" s="24"/>
      <c r="E695" s="24"/>
      <c r="F695" s="24"/>
      <c r="G695" s="24"/>
      <c r="H695" s="24"/>
      <c r="I695" s="24"/>
    </row>
    <row r="696" spans="1:9" ht="15.75" customHeight="1" x14ac:dyDescent="0.2">
      <c r="A696" s="24"/>
      <c r="B696" s="24"/>
      <c r="C696" s="24"/>
      <c r="D696" s="24"/>
      <c r="E696" s="24"/>
      <c r="F696" s="24"/>
      <c r="G696" s="24"/>
      <c r="H696" s="24"/>
      <c r="I696" s="24"/>
    </row>
    <row r="697" spans="1:9" ht="15.75" customHeight="1" x14ac:dyDescent="0.2">
      <c r="A697" s="24"/>
      <c r="B697" s="24"/>
      <c r="C697" s="24"/>
      <c r="D697" s="24"/>
      <c r="E697" s="24"/>
      <c r="F697" s="24"/>
      <c r="G697" s="24"/>
      <c r="H697" s="24"/>
      <c r="I697" s="24"/>
    </row>
    <row r="698" spans="1:9" ht="15.75" customHeight="1" x14ac:dyDescent="0.2">
      <c r="A698" s="24"/>
      <c r="B698" s="24"/>
      <c r="C698" s="24"/>
      <c r="D698" s="24"/>
      <c r="E698" s="24"/>
      <c r="F698" s="24"/>
      <c r="G698" s="24"/>
      <c r="H698" s="24"/>
      <c r="I698" s="24"/>
    </row>
    <row r="699" spans="1:9" ht="15.75" customHeight="1" x14ac:dyDescent="0.2">
      <c r="A699" s="24"/>
      <c r="B699" s="24"/>
      <c r="C699" s="24"/>
      <c r="D699" s="24"/>
      <c r="E699" s="24"/>
      <c r="F699" s="24"/>
      <c r="G699" s="24"/>
      <c r="H699" s="24"/>
      <c r="I699" s="24"/>
    </row>
    <row r="700" spans="1:9" ht="15.75" customHeight="1" x14ac:dyDescent="0.2">
      <c r="A700" s="24"/>
      <c r="B700" s="24"/>
      <c r="C700" s="24"/>
      <c r="D700" s="24"/>
      <c r="E700" s="24"/>
      <c r="F700" s="24"/>
      <c r="G700" s="24"/>
      <c r="H700" s="24"/>
      <c r="I700" s="24"/>
    </row>
    <row r="701" spans="1:9" ht="15.75" customHeight="1" x14ac:dyDescent="0.2">
      <c r="A701" s="24"/>
      <c r="B701" s="24"/>
      <c r="C701" s="24"/>
      <c r="D701" s="24"/>
      <c r="E701" s="24"/>
      <c r="F701" s="24"/>
      <c r="G701" s="24"/>
      <c r="H701" s="24"/>
      <c r="I701" s="24"/>
    </row>
    <row r="702" spans="1:9" ht="15.75" customHeight="1" x14ac:dyDescent="0.2">
      <c r="A702" s="24"/>
      <c r="B702" s="24"/>
      <c r="C702" s="24"/>
      <c r="D702" s="24"/>
      <c r="E702" s="24"/>
      <c r="F702" s="24"/>
      <c r="G702" s="24"/>
      <c r="H702" s="24"/>
      <c r="I702" s="24"/>
    </row>
    <row r="703" spans="1:9" ht="15.75" customHeight="1" x14ac:dyDescent="0.2">
      <c r="A703" s="24"/>
      <c r="B703" s="24"/>
      <c r="C703" s="24"/>
      <c r="D703" s="24"/>
      <c r="E703" s="24"/>
      <c r="F703" s="24"/>
      <c r="G703" s="24"/>
      <c r="H703" s="24"/>
      <c r="I703" s="24"/>
    </row>
    <row r="704" spans="1:9" ht="15.75" customHeight="1" x14ac:dyDescent="0.2">
      <c r="A704" s="24"/>
      <c r="B704" s="24"/>
      <c r="C704" s="24"/>
      <c r="D704" s="24"/>
      <c r="E704" s="24"/>
      <c r="F704" s="24"/>
      <c r="G704" s="24"/>
      <c r="H704" s="24"/>
      <c r="I704" s="24"/>
    </row>
    <row r="705" spans="1:9" ht="15.75" customHeight="1" x14ac:dyDescent="0.2">
      <c r="A705" s="24"/>
      <c r="B705" s="24"/>
      <c r="C705" s="24"/>
      <c r="D705" s="24"/>
      <c r="E705" s="24"/>
      <c r="F705" s="24"/>
      <c r="G705" s="24"/>
      <c r="H705" s="24"/>
      <c r="I705" s="24"/>
    </row>
    <row r="706" spans="1:9" ht="15.75" customHeight="1" x14ac:dyDescent="0.2">
      <c r="A706" s="24"/>
      <c r="B706" s="24"/>
      <c r="C706" s="24"/>
      <c r="D706" s="24"/>
      <c r="E706" s="24"/>
      <c r="F706" s="24"/>
      <c r="G706" s="24"/>
      <c r="H706" s="24"/>
      <c r="I706" s="24"/>
    </row>
    <row r="707" spans="1:9" ht="15.75" customHeight="1" x14ac:dyDescent="0.2">
      <c r="A707" s="24"/>
      <c r="B707" s="24"/>
      <c r="C707" s="24"/>
      <c r="D707" s="24"/>
      <c r="E707" s="24"/>
      <c r="F707" s="24"/>
      <c r="G707" s="24"/>
      <c r="H707" s="24"/>
      <c r="I707" s="24"/>
    </row>
    <row r="708" spans="1:9" ht="15.75" customHeight="1" x14ac:dyDescent="0.2">
      <c r="A708" s="24"/>
      <c r="B708" s="24"/>
      <c r="C708" s="24"/>
      <c r="D708" s="24"/>
      <c r="E708" s="24"/>
      <c r="F708" s="24"/>
      <c r="G708" s="24"/>
      <c r="H708" s="24"/>
      <c r="I708" s="24"/>
    </row>
    <row r="709" spans="1:9" ht="15.75" customHeight="1" x14ac:dyDescent="0.2">
      <c r="A709" s="24"/>
      <c r="B709" s="24"/>
      <c r="C709" s="24"/>
      <c r="D709" s="24"/>
      <c r="E709" s="24"/>
      <c r="F709" s="24"/>
      <c r="G709" s="24"/>
      <c r="H709" s="24"/>
      <c r="I709" s="24"/>
    </row>
    <row r="710" spans="1:9" ht="15.75" customHeight="1" x14ac:dyDescent="0.2">
      <c r="A710" s="24"/>
      <c r="B710" s="24"/>
      <c r="C710" s="24"/>
      <c r="D710" s="24"/>
      <c r="E710" s="24"/>
      <c r="F710" s="24"/>
      <c r="G710" s="24"/>
      <c r="H710" s="24"/>
      <c r="I710" s="24"/>
    </row>
    <row r="711" spans="1:9" ht="15.75" customHeight="1" x14ac:dyDescent="0.2">
      <c r="A711" s="24"/>
      <c r="B711" s="24"/>
      <c r="C711" s="24"/>
      <c r="D711" s="24"/>
      <c r="E711" s="24"/>
      <c r="F711" s="24"/>
      <c r="G711" s="24"/>
      <c r="H711" s="24"/>
      <c r="I711" s="24"/>
    </row>
    <row r="712" spans="1:9" ht="15.75" customHeight="1" x14ac:dyDescent="0.2">
      <c r="A712" s="24"/>
      <c r="B712" s="24"/>
      <c r="C712" s="24"/>
      <c r="D712" s="24"/>
      <c r="E712" s="24"/>
      <c r="F712" s="24"/>
      <c r="G712" s="24"/>
      <c r="H712" s="24"/>
      <c r="I712" s="24"/>
    </row>
    <row r="713" spans="1:9" ht="15.75" customHeight="1" x14ac:dyDescent="0.2">
      <c r="A713" s="24"/>
      <c r="B713" s="24"/>
      <c r="C713" s="24"/>
      <c r="D713" s="24"/>
      <c r="E713" s="24"/>
      <c r="F713" s="24"/>
      <c r="G713" s="24"/>
      <c r="H713" s="24"/>
      <c r="I713" s="24"/>
    </row>
    <row r="714" spans="1:9" ht="15.75" customHeight="1" x14ac:dyDescent="0.2">
      <c r="A714" s="24"/>
      <c r="B714" s="24"/>
      <c r="C714" s="24"/>
      <c r="D714" s="24"/>
      <c r="E714" s="24"/>
      <c r="F714" s="24"/>
      <c r="G714" s="24"/>
      <c r="H714" s="24"/>
      <c r="I714" s="24"/>
    </row>
    <row r="715" spans="1:9" ht="15.75" customHeight="1" x14ac:dyDescent="0.2">
      <c r="A715" s="24"/>
      <c r="B715" s="24"/>
      <c r="C715" s="24"/>
      <c r="D715" s="24"/>
      <c r="E715" s="24"/>
      <c r="F715" s="24"/>
      <c r="G715" s="24"/>
      <c r="H715" s="24"/>
      <c r="I715" s="24"/>
    </row>
    <row r="716" spans="1:9" ht="15.75" customHeight="1" x14ac:dyDescent="0.2">
      <c r="A716" s="24"/>
      <c r="B716" s="24"/>
      <c r="C716" s="24"/>
      <c r="D716" s="24"/>
      <c r="E716" s="24"/>
      <c r="F716" s="24"/>
      <c r="G716" s="24"/>
      <c r="H716" s="24"/>
      <c r="I716" s="24"/>
    </row>
    <row r="717" spans="1:9" ht="15.75" customHeight="1" x14ac:dyDescent="0.2">
      <c r="A717" s="24"/>
      <c r="B717" s="24"/>
      <c r="C717" s="24"/>
      <c r="D717" s="24"/>
      <c r="E717" s="24"/>
      <c r="F717" s="24"/>
      <c r="G717" s="24"/>
      <c r="H717" s="24"/>
      <c r="I717" s="24"/>
    </row>
    <row r="718" spans="1:9" ht="15.75" customHeight="1" x14ac:dyDescent="0.2">
      <c r="A718" s="24"/>
      <c r="B718" s="24"/>
      <c r="C718" s="24"/>
      <c r="D718" s="24"/>
      <c r="E718" s="24"/>
      <c r="F718" s="24"/>
      <c r="G718" s="24"/>
      <c r="H718" s="24"/>
      <c r="I718" s="24"/>
    </row>
    <row r="719" spans="1:9" ht="15.75" customHeight="1" x14ac:dyDescent="0.2">
      <c r="A719" s="24"/>
      <c r="B719" s="24"/>
      <c r="C719" s="24"/>
      <c r="D719" s="24"/>
      <c r="E719" s="24"/>
      <c r="F719" s="24"/>
      <c r="G719" s="24"/>
      <c r="H719" s="24"/>
      <c r="I719" s="24"/>
    </row>
    <row r="720" spans="1:9" ht="15.75" customHeight="1" x14ac:dyDescent="0.2">
      <c r="A720" s="24"/>
      <c r="B720" s="24"/>
      <c r="C720" s="24"/>
      <c r="D720" s="24"/>
      <c r="E720" s="24"/>
      <c r="F720" s="24"/>
      <c r="G720" s="24"/>
      <c r="H720" s="24"/>
      <c r="I720" s="24"/>
    </row>
    <row r="721" spans="1:9" ht="15.75" customHeight="1" x14ac:dyDescent="0.2">
      <c r="A721" s="24"/>
      <c r="B721" s="24"/>
      <c r="C721" s="24"/>
      <c r="D721" s="24"/>
      <c r="E721" s="24"/>
      <c r="F721" s="24"/>
      <c r="G721" s="24"/>
      <c r="H721" s="24"/>
      <c r="I721" s="24"/>
    </row>
    <row r="722" spans="1:9" ht="15.75" customHeight="1" x14ac:dyDescent="0.2">
      <c r="A722" s="24"/>
      <c r="B722" s="24"/>
      <c r="C722" s="24"/>
      <c r="D722" s="24"/>
      <c r="E722" s="24"/>
      <c r="F722" s="24"/>
      <c r="G722" s="24"/>
      <c r="H722" s="24"/>
      <c r="I722" s="24"/>
    </row>
    <row r="723" spans="1:9" ht="15.75" customHeight="1" x14ac:dyDescent="0.2">
      <c r="A723" s="24"/>
      <c r="B723" s="24"/>
      <c r="C723" s="24"/>
      <c r="D723" s="24"/>
      <c r="E723" s="24"/>
      <c r="F723" s="24"/>
      <c r="G723" s="24"/>
      <c r="H723" s="24"/>
      <c r="I723" s="24"/>
    </row>
    <row r="724" spans="1:9" ht="15.75" customHeight="1" x14ac:dyDescent="0.2">
      <c r="A724" s="24"/>
      <c r="B724" s="24"/>
      <c r="C724" s="24"/>
      <c r="D724" s="24"/>
      <c r="E724" s="24"/>
      <c r="F724" s="24"/>
      <c r="G724" s="24"/>
      <c r="H724" s="24"/>
      <c r="I724" s="24"/>
    </row>
    <row r="725" spans="1:9" ht="15.75" customHeight="1" x14ac:dyDescent="0.2">
      <c r="A725" s="24"/>
      <c r="B725" s="24"/>
      <c r="C725" s="24"/>
      <c r="D725" s="24"/>
      <c r="E725" s="24"/>
      <c r="F725" s="24"/>
      <c r="G725" s="24"/>
      <c r="H725" s="24"/>
      <c r="I725" s="24"/>
    </row>
    <row r="726" spans="1:9" ht="15.75" customHeight="1" x14ac:dyDescent="0.2">
      <c r="A726" s="24"/>
      <c r="B726" s="24"/>
      <c r="C726" s="24"/>
      <c r="D726" s="24"/>
      <c r="E726" s="24"/>
      <c r="F726" s="24"/>
      <c r="G726" s="24"/>
      <c r="H726" s="24"/>
      <c r="I726" s="24"/>
    </row>
    <row r="727" spans="1:9" ht="15.75" customHeight="1" x14ac:dyDescent="0.2">
      <c r="A727" s="24"/>
      <c r="B727" s="24"/>
      <c r="C727" s="24"/>
      <c r="D727" s="24"/>
      <c r="E727" s="24"/>
      <c r="F727" s="24"/>
      <c r="G727" s="24"/>
      <c r="H727" s="24"/>
      <c r="I727" s="24"/>
    </row>
    <row r="728" spans="1:9" ht="15.75" customHeight="1" x14ac:dyDescent="0.2">
      <c r="A728" s="24"/>
      <c r="B728" s="24"/>
      <c r="C728" s="24"/>
      <c r="D728" s="24"/>
      <c r="E728" s="24"/>
      <c r="F728" s="24"/>
      <c r="G728" s="24"/>
      <c r="H728" s="24"/>
      <c r="I728" s="24"/>
    </row>
    <row r="729" spans="1:9" ht="15.75" customHeight="1" x14ac:dyDescent="0.2">
      <c r="A729" s="24"/>
      <c r="B729" s="24"/>
      <c r="C729" s="24"/>
      <c r="D729" s="24"/>
      <c r="E729" s="24"/>
      <c r="F729" s="24"/>
      <c r="G729" s="24"/>
      <c r="H729" s="24"/>
      <c r="I729" s="24"/>
    </row>
    <row r="730" spans="1:9" ht="15.75" customHeight="1" x14ac:dyDescent="0.2">
      <c r="A730" s="24"/>
      <c r="B730" s="24"/>
      <c r="C730" s="24"/>
      <c r="D730" s="24"/>
      <c r="E730" s="24"/>
      <c r="F730" s="24"/>
      <c r="G730" s="24"/>
      <c r="H730" s="24"/>
      <c r="I730" s="24"/>
    </row>
    <row r="731" spans="1:9" ht="15.75" customHeight="1" x14ac:dyDescent="0.2">
      <c r="A731" s="24"/>
      <c r="B731" s="24"/>
      <c r="C731" s="24"/>
      <c r="D731" s="24"/>
      <c r="E731" s="24"/>
      <c r="F731" s="24"/>
      <c r="G731" s="24"/>
      <c r="H731" s="24"/>
      <c r="I731" s="24"/>
    </row>
    <row r="732" spans="1:9" ht="15.75" customHeight="1" x14ac:dyDescent="0.2">
      <c r="A732" s="24"/>
      <c r="B732" s="24"/>
      <c r="C732" s="24"/>
      <c r="D732" s="24"/>
      <c r="E732" s="24"/>
      <c r="F732" s="24"/>
      <c r="G732" s="24"/>
      <c r="H732" s="24"/>
      <c r="I732" s="24"/>
    </row>
    <row r="733" spans="1:9" ht="15.75" customHeight="1" x14ac:dyDescent="0.2">
      <c r="A733" s="24"/>
      <c r="B733" s="24"/>
      <c r="C733" s="24"/>
      <c r="D733" s="24"/>
      <c r="E733" s="24"/>
      <c r="F733" s="24"/>
      <c r="G733" s="24"/>
      <c r="H733" s="24"/>
      <c r="I733" s="24"/>
    </row>
    <row r="734" spans="1:9" ht="15.75" customHeight="1" x14ac:dyDescent="0.2">
      <c r="A734" s="24"/>
      <c r="B734" s="24"/>
      <c r="C734" s="24"/>
      <c r="D734" s="24"/>
      <c r="E734" s="24"/>
      <c r="F734" s="24"/>
      <c r="G734" s="24"/>
      <c r="H734" s="24"/>
      <c r="I734" s="24"/>
    </row>
    <row r="735" spans="1:9" ht="15.75" customHeight="1" x14ac:dyDescent="0.2">
      <c r="A735" s="24"/>
      <c r="B735" s="24"/>
      <c r="C735" s="24"/>
      <c r="D735" s="24"/>
      <c r="E735" s="24"/>
      <c r="F735" s="24"/>
      <c r="G735" s="24"/>
      <c r="H735" s="24"/>
      <c r="I735" s="24"/>
    </row>
    <row r="736" spans="1:9" ht="15.75" customHeight="1" x14ac:dyDescent="0.2">
      <c r="A736" s="24"/>
      <c r="B736" s="24"/>
      <c r="C736" s="24"/>
      <c r="D736" s="24"/>
      <c r="E736" s="24"/>
      <c r="F736" s="24"/>
      <c r="G736" s="24"/>
      <c r="H736" s="24"/>
      <c r="I736" s="24"/>
    </row>
    <row r="737" spans="1:9" ht="15.75" customHeight="1" x14ac:dyDescent="0.2">
      <c r="A737" s="24"/>
      <c r="B737" s="24"/>
      <c r="C737" s="24"/>
      <c r="D737" s="24"/>
      <c r="E737" s="24"/>
      <c r="F737" s="24"/>
      <c r="G737" s="24"/>
      <c r="H737" s="24"/>
      <c r="I737" s="24"/>
    </row>
    <row r="738" spans="1:9" ht="15.75" customHeight="1" x14ac:dyDescent="0.2">
      <c r="A738" s="24"/>
      <c r="B738" s="24"/>
      <c r="C738" s="24"/>
      <c r="D738" s="24"/>
      <c r="E738" s="24"/>
      <c r="F738" s="24"/>
      <c r="G738" s="24"/>
      <c r="H738" s="24"/>
      <c r="I738" s="24"/>
    </row>
    <row r="739" spans="1:9" ht="15.75" customHeight="1" x14ac:dyDescent="0.2">
      <c r="A739" s="24"/>
      <c r="B739" s="24"/>
      <c r="C739" s="24"/>
      <c r="D739" s="24"/>
      <c r="E739" s="24"/>
      <c r="F739" s="24"/>
      <c r="G739" s="24"/>
      <c r="H739" s="24"/>
      <c r="I739" s="24"/>
    </row>
    <row r="740" spans="1:9" ht="15.75" customHeight="1" x14ac:dyDescent="0.2">
      <c r="A740" s="24"/>
      <c r="B740" s="24"/>
      <c r="C740" s="24"/>
      <c r="D740" s="24"/>
      <c r="E740" s="24"/>
      <c r="F740" s="24"/>
      <c r="G740" s="24"/>
      <c r="H740" s="24"/>
      <c r="I740" s="24"/>
    </row>
    <row r="741" spans="1:9" ht="15.75" customHeight="1" x14ac:dyDescent="0.2">
      <c r="A741" s="24"/>
      <c r="B741" s="24"/>
      <c r="C741" s="24"/>
      <c r="D741" s="24"/>
      <c r="E741" s="24"/>
      <c r="F741" s="24"/>
      <c r="G741" s="24"/>
      <c r="H741" s="24"/>
      <c r="I741" s="24"/>
    </row>
    <row r="742" spans="1:9" ht="15.75" customHeight="1" x14ac:dyDescent="0.2">
      <c r="A742" s="24"/>
      <c r="B742" s="24"/>
      <c r="C742" s="24"/>
      <c r="D742" s="24"/>
      <c r="E742" s="24"/>
      <c r="F742" s="24"/>
      <c r="G742" s="24"/>
      <c r="H742" s="24"/>
      <c r="I742" s="24"/>
    </row>
    <row r="743" spans="1:9" ht="15.75" customHeight="1" x14ac:dyDescent="0.2">
      <c r="A743" s="24"/>
      <c r="B743" s="24"/>
      <c r="C743" s="24"/>
      <c r="D743" s="24"/>
      <c r="E743" s="24"/>
      <c r="F743" s="24"/>
      <c r="G743" s="24"/>
      <c r="H743" s="24"/>
      <c r="I743" s="24"/>
    </row>
    <row r="744" spans="1:9" ht="15.75" customHeight="1" x14ac:dyDescent="0.2">
      <c r="A744" s="24"/>
      <c r="B744" s="24"/>
      <c r="C744" s="24"/>
      <c r="D744" s="24"/>
      <c r="E744" s="24"/>
      <c r="F744" s="24"/>
      <c r="G744" s="24"/>
      <c r="H744" s="24"/>
      <c r="I744" s="24"/>
    </row>
    <row r="745" spans="1:9" ht="15.75" customHeight="1" x14ac:dyDescent="0.2">
      <c r="A745" s="24"/>
      <c r="B745" s="24"/>
      <c r="C745" s="24"/>
      <c r="D745" s="24"/>
      <c r="E745" s="24"/>
      <c r="F745" s="24"/>
      <c r="G745" s="24"/>
      <c r="H745" s="24"/>
      <c r="I745" s="24"/>
    </row>
    <row r="746" spans="1:9" ht="15.75" customHeight="1" x14ac:dyDescent="0.2">
      <c r="A746" s="24"/>
      <c r="B746" s="24"/>
      <c r="C746" s="24"/>
      <c r="D746" s="24"/>
      <c r="E746" s="24"/>
      <c r="F746" s="24"/>
      <c r="G746" s="24"/>
      <c r="H746" s="24"/>
      <c r="I746" s="24"/>
    </row>
    <row r="747" spans="1:9" ht="15.75" customHeight="1" x14ac:dyDescent="0.2">
      <c r="A747" s="24"/>
      <c r="B747" s="24"/>
      <c r="C747" s="24"/>
      <c r="D747" s="24"/>
      <c r="E747" s="24"/>
      <c r="F747" s="24"/>
      <c r="G747" s="24"/>
      <c r="H747" s="24"/>
      <c r="I747" s="24"/>
    </row>
    <row r="748" spans="1:9" ht="15.75" customHeight="1" x14ac:dyDescent="0.2">
      <c r="A748" s="24"/>
      <c r="B748" s="24"/>
      <c r="C748" s="24"/>
      <c r="D748" s="24"/>
      <c r="E748" s="24"/>
      <c r="F748" s="24"/>
      <c r="G748" s="24"/>
      <c r="H748" s="24"/>
      <c r="I748" s="24"/>
    </row>
    <row r="749" spans="1:9" ht="15.75" customHeight="1" x14ac:dyDescent="0.2">
      <c r="A749" s="24"/>
      <c r="B749" s="24"/>
      <c r="C749" s="24"/>
      <c r="D749" s="24"/>
      <c r="E749" s="24"/>
      <c r="F749" s="24"/>
      <c r="G749" s="24"/>
      <c r="H749" s="24"/>
      <c r="I749" s="24"/>
    </row>
    <row r="750" spans="1:9" ht="15.75" customHeight="1" x14ac:dyDescent="0.2">
      <c r="A750" s="24"/>
      <c r="B750" s="24"/>
      <c r="C750" s="24"/>
      <c r="D750" s="24"/>
      <c r="E750" s="24"/>
      <c r="F750" s="24"/>
      <c r="G750" s="24"/>
      <c r="H750" s="24"/>
      <c r="I750" s="24"/>
    </row>
    <row r="751" spans="1:9" ht="15.75" customHeight="1" x14ac:dyDescent="0.2">
      <c r="A751" s="24"/>
      <c r="B751" s="24"/>
      <c r="C751" s="24"/>
      <c r="D751" s="24"/>
      <c r="E751" s="24"/>
      <c r="F751" s="24"/>
      <c r="G751" s="24"/>
      <c r="H751" s="24"/>
      <c r="I751" s="24"/>
    </row>
    <row r="752" spans="1:9" ht="15.75" customHeight="1" x14ac:dyDescent="0.2">
      <c r="A752" s="24"/>
      <c r="B752" s="24"/>
      <c r="C752" s="24"/>
      <c r="D752" s="24"/>
      <c r="E752" s="24"/>
      <c r="F752" s="24"/>
      <c r="G752" s="24"/>
      <c r="H752" s="24"/>
      <c r="I752" s="24"/>
    </row>
    <row r="753" spans="1:9" ht="15.75" customHeight="1" x14ac:dyDescent="0.2">
      <c r="A753" s="24"/>
      <c r="B753" s="24"/>
      <c r="C753" s="24"/>
      <c r="D753" s="24"/>
      <c r="E753" s="24"/>
      <c r="F753" s="24"/>
      <c r="G753" s="24"/>
      <c r="H753" s="24"/>
      <c r="I753" s="24"/>
    </row>
    <row r="754" spans="1:9" ht="15.75" customHeight="1" x14ac:dyDescent="0.2">
      <c r="A754" s="24"/>
      <c r="B754" s="24"/>
      <c r="C754" s="24"/>
      <c r="D754" s="24"/>
      <c r="E754" s="24"/>
      <c r="F754" s="24"/>
      <c r="G754" s="24"/>
      <c r="H754" s="24"/>
      <c r="I754" s="24"/>
    </row>
    <row r="755" spans="1:9" ht="15.75" customHeight="1" x14ac:dyDescent="0.2">
      <c r="A755" s="24"/>
      <c r="B755" s="24"/>
      <c r="C755" s="24"/>
      <c r="D755" s="24"/>
      <c r="E755" s="24"/>
      <c r="F755" s="24"/>
      <c r="G755" s="24"/>
      <c r="H755" s="24"/>
      <c r="I755" s="24"/>
    </row>
    <row r="756" spans="1:9" ht="15.75" customHeight="1" x14ac:dyDescent="0.2">
      <c r="A756" s="24"/>
      <c r="B756" s="24"/>
      <c r="C756" s="24"/>
      <c r="D756" s="24"/>
      <c r="E756" s="24"/>
      <c r="F756" s="24"/>
      <c r="G756" s="24"/>
      <c r="H756" s="24"/>
      <c r="I756" s="24"/>
    </row>
    <row r="757" spans="1:9" ht="15.75" customHeight="1" x14ac:dyDescent="0.2">
      <c r="A757" s="24"/>
      <c r="B757" s="24"/>
      <c r="C757" s="24"/>
      <c r="D757" s="24"/>
      <c r="E757" s="24"/>
      <c r="F757" s="24"/>
      <c r="G757" s="24"/>
      <c r="H757" s="24"/>
      <c r="I757" s="24"/>
    </row>
    <row r="758" spans="1:9" ht="15.75" customHeight="1" x14ac:dyDescent="0.2">
      <c r="A758" s="24"/>
      <c r="B758" s="24"/>
      <c r="C758" s="24"/>
      <c r="D758" s="24"/>
      <c r="E758" s="24"/>
      <c r="F758" s="24"/>
      <c r="G758" s="24"/>
      <c r="H758" s="24"/>
      <c r="I758" s="24"/>
    </row>
    <row r="759" spans="1:9" ht="15.75" customHeight="1" x14ac:dyDescent="0.2">
      <c r="A759" s="24"/>
      <c r="B759" s="24"/>
      <c r="C759" s="24"/>
      <c r="D759" s="24"/>
      <c r="E759" s="24"/>
      <c r="F759" s="24"/>
      <c r="G759" s="24"/>
      <c r="H759" s="24"/>
      <c r="I759" s="24"/>
    </row>
    <row r="760" spans="1:9" ht="15.75" customHeight="1" x14ac:dyDescent="0.2">
      <c r="A760" s="24"/>
      <c r="B760" s="24"/>
      <c r="C760" s="24"/>
      <c r="D760" s="24"/>
      <c r="E760" s="24"/>
      <c r="F760" s="24"/>
      <c r="G760" s="24"/>
      <c r="H760" s="24"/>
      <c r="I760" s="24"/>
    </row>
    <row r="761" spans="1:9" ht="15.75" customHeight="1" x14ac:dyDescent="0.2">
      <c r="A761" s="24"/>
      <c r="B761" s="24"/>
      <c r="C761" s="24"/>
      <c r="D761" s="24"/>
      <c r="E761" s="24"/>
      <c r="F761" s="24"/>
      <c r="G761" s="24"/>
      <c r="H761" s="24"/>
      <c r="I761" s="24"/>
    </row>
    <row r="762" spans="1:9" ht="15.75" customHeight="1" x14ac:dyDescent="0.2">
      <c r="A762" s="24"/>
      <c r="B762" s="24"/>
      <c r="C762" s="24"/>
      <c r="D762" s="24"/>
      <c r="E762" s="24"/>
      <c r="F762" s="24"/>
      <c r="G762" s="24"/>
      <c r="H762" s="24"/>
      <c r="I762" s="24"/>
    </row>
    <row r="763" spans="1:9" ht="15.75" customHeight="1" x14ac:dyDescent="0.2">
      <c r="A763" s="24"/>
      <c r="B763" s="24"/>
      <c r="C763" s="24"/>
      <c r="D763" s="24"/>
      <c r="E763" s="24"/>
      <c r="F763" s="24"/>
      <c r="G763" s="24"/>
      <c r="H763" s="24"/>
      <c r="I763" s="24"/>
    </row>
    <row r="764" spans="1:9" ht="15.75" customHeight="1" x14ac:dyDescent="0.2">
      <c r="A764" s="24"/>
      <c r="B764" s="24"/>
      <c r="C764" s="24"/>
      <c r="D764" s="24"/>
      <c r="E764" s="24"/>
      <c r="F764" s="24"/>
      <c r="G764" s="24"/>
      <c r="H764" s="24"/>
      <c r="I764" s="24"/>
    </row>
    <row r="765" spans="1:9" ht="15.75" customHeight="1" x14ac:dyDescent="0.2">
      <c r="A765" s="24"/>
      <c r="B765" s="24"/>
      <c r="C765" s="24"/>
      <c r="D765" s="24"/>
      <c r="E765" s="24"/>
      <c r="F765" s="24"/>
      <c r="G765" s="24"/>
      <c r="H765" s="24"/>
      <c r="I765" s="24"/>
    </row>
    <row r="766" spans="1:9" ht="15.75" customHeight="1" x14ac:dyDescent="0.2">
      <c r="A766" s="24"/>
      <c r="B766" s="24"/>
      <c r="C766" s="24"/>
      <c r="D766" s="24"/>
      <c r="E766" s="24"/>
      <c r="F766" s="24"/>
      <c r="G766" s="24"/>
      <c r="H766" s="24"/>
      <c r="I766" s="24"/>
    </row>
    <row r="767" spans="1:9" ht="15.75" customHeight="1" x14ac:dyDescent="0.2">
      <c r="A767" s="24"/>
      <c r="B767" s="24"/>
      <c r="C767" s="24"/>
      <c r="D767" s="24"/>
      <c r="E767" s="24"/>
      <c r="F767" s="24"/>
      <c r="G767" s="24"/>
      <c r="H767" s="24"/>
      <c r="I767" s="24"/>
    </row>
    <row r="768" spans="1:9" ht="15.75" customHeight="1" x14ac:dyDescent="0.2">
      <c r="A768" s="24"/>
      <c r="B768" s="24"/>
      <c r="C768" s="24"/>
      <c r="D768" s="24"/>
      <c r="E768" s="24"/>
      <c r="F768" s="24"/>
      <c r="G768" s="24"/>
      <c r="H768" s="24"/>
      <c r="I768" s="24"/>
    </row>
    <row r="769" spans="1:9" ht="15.75" customHeight="1" x14ac:dyDescent="0.2">
      <c r="A769" s="24"/>
      <c r="B769" s="24"/>
      <c r="C769" s="24"/>
      <c r="D769" s="24"/>
      <c r="E769" s="24"/>
      <c r="F769" s="24"/>
      <c r="G769" s="24"/>
      <c r="H769" s="24"/>
      <c r="I769" s="24"/>
    </row>
    <row r="770" spans="1:9" ht="15.75" customHeight="1" x14ac:dyDescent="0.2">
      <c r="A770" s="24"/>
      <c r="B770" s="24"/>
      <c r="C770" s="24"/>
      <c r="D770" s="24"/>
      <c r="E770" s="24"/>
      <c r="F770" s="24"/>
      <c r="G770" s="24"/>
      <c r="H770" s="24"/>
      <c r="I770" s="24"/>
    </row>
    <row r="771" spans="1:9" ht="15.75" customHeight="1" x14ac:dyDescent="0.2">
      <c r="A771" s="24"/>
      <c r="B771" s="24"/>
      <c r="C771" s="24"/>
      <c r="D771" s="24"/>
      <c r="E771" s="24"/>
      <c r="F771" s="24"/>
      <c r="G771" s="24"/>
      <c r="H771" s="24"/>
      <c r="I771" s="24"/>
    </row>
    <row r="772" spans="1:9" ht="15.75" customHeight="1" x14ac:dyDescent="0.2">
      <c r="A772" s="24"/>
      <c r="B772" s="24"/>
      <c r="C772" s="24"/>
      <c r="D772" s="24"/>
      <c r="E772" s="24"/>
      <c r="F772" s="24"/>
      <c r="G772" s="24"/>
      <c r="H772" s="24"/>
      <c r="I772" s="24"/>
    </row>
    <row r="773" spans="1:9" ht="15.75" customHeight="1" x14ac:dyDescent="0.2">
      <c r="A773" s="24"/>
      <c r="B773" s="24"/>
      <c r="C773" s="24"/>
      <c r="D773" s="24"/>
      <c r="E773" s="24"/>
      <c r="F773" s="24"/>
      <c r="G773" s="24"/>
      <c r="H773" s="24"/>
      <c r="I773" s="24"/>
    </row>
    <row r="774" spans="1:9" ht="15.75" customHeight="1" x14ac:dyDescent="0.2">
      <c r="A774" s="24"/>
      <c r="B774" s="24"/>
      <c r="C774" s="24"/>
      <c r="D774" s="24"/>
      <c r="E774" s="24"/>
      <c r="F774" s="24"/>
      <c r="G774" s="24"/>
      <c r="H774" s="24"/>
      <c r="I774" s="24"/>
    </row>
    <row r="775" spans="1:9" ht="15.75" customHeight="1" x14ac:dyDescent="0.2">
      <c r="A775" s="24"/>
      <c r="B775" s="24"/>
      <c r="C775" s="24"/>
      <c r="D775" s="24"/>
      <c r="E775" s="24"/>
      <c r="F775" s="24"/>
      <c r="G775" s="24"/>
      <c r="H775" s="24"/>
      <c r="I775" s="24"/>
    </row>
    <row r="776" spans="1:9" ht="15.75" customHeight="1" x14ac:dyDescent="0.2">
      <c r="A776" s="24"/>
      <c r="B776" s="24"/>
      <c r="C776" s="24"/>
      <c r="D776" s="24"/>
      <c r="E776" s="24"/>
      <c r="F776" s="24"/>
      <c r="G776" s="24"/>
      <c r="H776" s="24"/>
      <c r="I776" s="24"/>
    </row>
    <row r="777" spans="1:9" ht="15.75" customHeight="1" x14ac:dyDescent="0.2">
      <c r="A777" s="24"/>
      <c r="B777" s="24"/>
      <c r="C777" s="24"/>
      <c r="D777" s="24"/>
      <c r="E777" s="24"/>
      <c r="F777" s="24"/>
      <c r="G777" s="24"/>
      <c r="H777" s="24"/>
      <c r="I777" s="24"/>
    </row>
    <row r="778" spans="1:9" ht="15.75" customHeight="1" x14ac:dyDescent="0.2">
      <c r="A778" s="24"/>
      <c r="B778" s="24"/>
      <c r="C778" s="24"/>
      <c r="D778" s="24"/>
      <c r="E778" s="24"/>
      <c r="F778" s="24"/>
      <c r="G778" s="24"/>
      <c r="H778" s="24"/>
      <c r="I778" s="24"/>
    </row>
    <row r="779" spans="1:9" ht="15.75" customHeight="1" x14ac:dyDescent="0.2">
      <c r="A779" s="24"/>
      <c r="B779" s="24"/>
      <c r="C779" s="24"/>
      <c r="D779" s="24"/>
      <c r="E779" s="24"/>
      <c r="F779" s="24"/>
      <c r="G779" s="24"/>
      <c r="H779" s="24"/>
      <c r="I779" s="24"/>
    </row>
    <row r="780" spans="1:9" ht="15.75" customHeight="1" x14ac:dyDescent="0.2">
      <c r="A780" s="24"/>
      <c r="B780" s="24"/>
      <c r="C780" s="24"/>
      <c r="D780" s="24"/>
      <c r="E780" s="24"/>
      <c r="F780" s="24"/>
      <c r="G780" s="24"/>
      <c r="H780" s="24"/>
      <c r="I780" s="24"/>
    </row>
    <row r="781" spans="1:9" ht="15.75" customHeight="1" x14ac:dyDescent="0.2">
      <c r="A781" s="24"/>
      <c r="B781" s="24"/>
      <c r="C781" s="24"/>
      <c r="D781" s="24"/>
      <c r="E781" s="24"/>
      <c r="F781" s="24"/>
      <c r="G781" s="24"/>
      <c r="H781" s="24"/>
      <c r="I781" s="24"/>
    </row>
    <row r="782" spans="1:9" ht="15.75" customHeight="1" x14ac:dyDescent="0.2">
      <c r="A782" s="24"/>
      <c r="B782" s="24"/>
      <c r="C782" s="24"/>
      <c r="D782" s="24"/>
      <c r="E782" s="24"/>
      <c r="F782" s="24"/>
      <c r="G782" s="24"/>
      <c r="H782" s="24"/>
      <c r="I782" s="24"/>
    </row>
    <row r="783" spans="1:9" ht="15.75" customHeight="1" x14ac:dyDescent="0.2">
      <c r="A783" s="24"/>
      <c r="B783" s="24"/>
      <c r="C783" s="24"/>
      <c r="D783" s="24"/>
      <c r="E783" s="24"/>
      <c r="F783" s="24"/>
      <c r="G783" s="24"/>
      <c r="H783" s="24"/>
      <c r="I783" s="24"/>
    </row>
    <row r="784" spans="1:9" ht="15.75" customHeight="1" x14ac:dyDescent="0.2">
      <c r="A784" s="24"/>
      <c r="B784" s="24"/>
      <c r="C784" s="24"/>
      <c r="D784" s="24"/>
      <c r="E784" s="24"/>
      <c r="F784" s="24"/>
      <c r="G784" s="24"/>
      <c r="H784" s="24"/>
      <c r="I784" s="24"/>
    </row>
    <row r="785" spans="1:9" ht="15.75" customHeight="1" x14ac:dyDescent="0.2">
      <c r="A785" s="24"/>
      <c r="B785" s="24"/>
      <c r="C785" s="24"/>
      <c r="D785" s="24"/>
      <c r="E785" s="24"/>
      <c r="F785" s="24"/>
      <c r="G785" s="24"/>
      <c r="H785" s="24"/>
      <c r="I785" s="24"/>
    </row>
    <row r="786" spans="1:9" ht="15.75" customHeight="1" x14ac:dyDescent="0.2">
      <c r="A786" s="24"/>
      <c r="B786" s="24"/>
      <c r="C786" s="24"/>
      <c r="D786" s="24"/>
      <c r="E786" s="24"/>
      <c r="F786" s="24"/>
      <c r="G786" s="24"/>
      <c r="H786" s="24"/>
      <c r="I786" s="24"/>
    </row>
    <row r="787" spans="1:9" ht="15.75" customHeight="1" x14ac:dyDescent="0.2">
      <c r="A787" s="24"/>
      <c r="B787" s="24"/>
      <c r="C787" s="24"/>
      <c r="D787" s="24"/>
      <c r="E787" s="24"/>
      <c r="F787" s="24"/>
      <c r="G787" s="24"/>
      <c r="H787" s="24"/>
      <c r="I787" s="24"/>
    </row>
    <row r="788" spans="1:9" ht="15.75" customHeight="1" x14ac:dyDescent="0.2">
      <c r="A788" s="24"/>
      <c r="B788" s="24"/>
      <c r="C788" s="24"/>
      <c r="D788" s="24"/>
      <c r="E788" s="24"/>
      <c r="F788" s="24"/>
      <c r="G788" s="24"/>
      <c r="H788" s="24"/>
      <c r="I788" s="24"/>
    </row>
    <row r="789" spans="1:9" ht="15.75" customHeight="1" x14ac:dyDescent="0.2">
      <c r="A789" s="24"/>
      <c r="B789" s="24"/>
      <c r="C789" s="24"/>
      <c r="D789" s="24"/>
      <c r="E789" s="24"/>
      <c r="F789" s="24"/>
      <c r="G789" s="24"/>
      <c r="H789" s="24"/>
      <c r="I789" s="24"/>
    </row>
    <row r="790" spans="1:9" ht="15.75" customHeight="1" x14ac:dyDescent="0.2">
      <c r="A790" s="24"/>
      <c r="B790" s="24"/>
      <c r="C790" s="24"/>
      <c r="D790" s="24"/>
      <c r="E790" s="24"/>
      <c r="F790" s="24"/>
      <c r="G790" s="24"/>
      <c r="H790" s="24"/>
      <c r="I790" s="24"/>
    </row>
    <row r="791" spans="1:9" ht="15.75" customHeight="1" x14ac:dyDescent="0.2">
      <c r="A791" s="24"/>
      <c r="B791" s="24"/>
      <c r="C791" s="24"/>
      <c r="D791" s="24"/>
      <c r="E791" s="24"/>
      <c r="F791" s="24"/>
      <c r="G791" s="24"/>
      <c r="H791" s="24"/>
      <c r="I791" s="24"/>
    </row>
    <row r="792" spans="1:9" ht="15.75" customHeight="1" x14ac:dyDescent="0.2">
      <c r="A792" s="24"/>
      <c r="B792" s="24"/>
      <c r="C792" s="24"/>
      <c r="D792" s="24"/>
      <c r="E792" s="24"/>
      <c r="F792" s="24"/>
      <c r="G792" s="24"/>
      <c r="H792" s="24"/>
      <c r="I792" s="24"/>
    </row>
    <row r="793" spans="1:9" ht="15.75" customHeight="1" x14ac:dyDescent="0.2">
      <c r="A793" s="24"/>
      <c r="B793" s="24"/>
      <c r="C793" s="24"/>
      <c r="D793" s="24"/>
      <c r="E793" s="24"/>
      <c r="F793" s="24"/>
      <c r="G793" s="24"/>
      <c r="H793" s="24"/>
      <c r="I793" s="24"/>
    </row>
    <row r="794" spans="1:9" ht="15.75" customHeight="1" x14ac:dyDescent="0.2">
      <c r="A794" s="24"/>
      <c r="B794" s="24"/>
      <c r="C794" s="24"/>
      <c r="D794" s="24"/>
      <c r="E794" s="24"/>
      <c r="F794" s="24"/>
      <c r="G794" s="24"/>
      <c r="H794" s="24"/>
      <c r="I794" s="24"/>
    </row>
    <row r="795" spans="1:9" ht="15.75" customHeight="1" x14ac:dyDescent="0.2">
      <c r="A795" s="24"/>
      <c r="B795" s="24"/>
      <c r="C795" s="24"/>
      <c r="D795" s="24"/>
      <c r="E795" s="24"/>
      <c r="F795" s="24"/>
      <c r="G795" s="24"/>
      <c r="H795" s="24"/>
      <c r="I795" s="24"/>
    </row>
    <row r="796" spans="1:9" ht="15.75" customHeight="1" x14ac:dyDescent="0.2">
      <c r="A796" s="24"/>
      <c r="B796" s="24"/>
      <c r="C796" s="24"/>
      <c r="D796" s="24"/>
      <c r="E796" s="24"/>
      <c r="F796" s="24"/>
      <c r="G796" s="24"/>
      <c r="H796" s="24"/>
      <c r="I796" s="24"/>
    </row>
    <row r="797" spans="1:9" ht="15.75" customHeight="1" x14ac:dyDescent="0.2">
      <c r="A797" s="24"/>
      <c r="B797" s="24"/>
      <c r="C797" s="24"/>
      <c r="D797" s="24"/>
      <c r="E797" s="24"/>
      <c r="F797" s="24"/>
      <c r="G797" s="24"/>
      <c r="H797" s="24"/>
      <c r="I797" s="24"/>
    </row>
    <row r="798" spans="1:9" ht="15.75" customHeight="1" x14ac:dyDescent="0.2">
      <c r="A798" s="24"/>
      <c r="B798" s="24"/>
      <c r="C798" s="24"/>
      <c r="D798" s="24"/>
      <c r="E798" s="24"/>
      <c r="F798" s="24"/>
      <c r="G798" s="24"/>
      <c r="H798" s="24"/>
      <c r="I798" s="24"/>
    </row>
    <row r="799" spans="1:9" ht="15.75" customHeight="1" x14ac:dyDescent="0.2">
      <c r="A799" s="24"/>
      <c r="B799" s="24"/>
      <c r="C799" s="24"/>
      <c r="D799" s="24"/>
      <c r="E799" s="24"/>
      <c r="F799" s="24"/>
      <c r="G799" s="24"/>
      <c r="H799" s="24"/>
      <c r="I799" s="24"/>
    </row>
    <row r="800" spans="1:9" ht="15.75" customHeight="1" x14ac:dyDescent="0.2">
      <c r="A800" s="24"/>
      <c r="B800" s="24"/>
      <c r="C800" s="24"/>
      <c r="D800" s="24"/>
      <c r="E800" s="24"/>
      <c r="F800" s="24"/>
      <c r="G800" s="24"/>
      <c r="H800" s="24"/>
      <c r="I800" s="24"/>
    </row>
    <row r="801" spans="1:9" ht="15.75" customHeight="1" x14ac:dyDescent="0.2">
      <c r="A801" s="24"/>
      <c r="B801" s="24"/>
      <c r="C801" s="24"/>
      <c r="D801" s="24"/>
      <c r="E801" s="24"/>
      <c r="F801" s="24"/>
      <c r="G801" s="24"/>
      <c r="H801" s="24"/>
      <c r="I801" s="24"/>
    </row>
    <row r="802" spans="1:9" ht="15.75" customHeight="1" x14ac:dyDescent="0.2">
      <c r="A802" s="24"/>
      <c r="B802" s="24"/>
      <c r="C802" s="24"/>
      <c r="D802" s="24"/>
      <c r="E802" s="24"/>
      <c r="F802" s="24"/>
      <c r="G802" s="24"/>
      <c r="H802" s="24"/>
      <c r="I802" s="24"/>
    </row>
    <row r="803" spans="1:9" ht="15.75" customHeight="1" x14ac:dyDescent="0.2">
      <c r="A803" s="24"/>
      <c r="B803" s="24"/>
      <c r="C803" s="24"/>
      <c r="D803" s="24"/>
      <c r="E803" s="24"/>
      <c r="F803" s="24"/>
      <c r="G803" s="24"/>
      <c r="H803" s="24"/>
      <c r="I803" s="24"/>
    </row>
    <row r="804" spans="1:9" ht="15.75" customHeight="1" x14ac:dyDescent="0.2">
      <c r="A804" s="24"/>
      <c r="B804" s="24"/>
      <c r="C804" s="24"/>
      <c r="D804" s="24"/>
      <c r="E804" s="24"/>
      <c r="F804" s="24"/>
      <c r="G804" s="24"/>
      <c r="H804" s="24"/>
      <c r="I804" s="24"/>
    </row>
    <row r="805" spans="1:9" ht="15.75" customHeight="1" x14ac:dyDescent="0.2">
      <c r="A805" s="24"/>
      <c r="B805" s="24"/>
      <c r="C805" s="24"/>
      <c r="D805" s="24"/>
      <c r="E805" s="24"/>
      <c r="F805" s="24"/>
      <c r="G805" s="24"/>
      <c r="H805" s="24"/>
      <c r="I805" s="24"/>
    </row>
    <row r="806" spans="1:9" ht="15.75" customHeight="1" x14ac:dyDescent="0.2">
      <c r="A806" s="24"/>
      <c r="B806" s="24"/>
      <c r="C806" s="24"/>
      <c r="D806" s="24"/>
      <c r="E806" s="24"/>
      <c r="F806" s="24"/>
      <c r="G806" s="24"/>
      <c r="H806" s="24"/>
      <c r="I806" s="24"/>
    </row>
    <row r="807" spans="1:9" ht="15.75" customHeight="1" x14ac:dyDescent="0.2">
      <c r="A807" s="24"/>
      <c r="B807" s="24"/>
      <c r="C807" s="24"/>
      <c r="D807" s="24"/>
      <c r="E807" s="24"/>
      <c r="F807" s="24"/>
      <c r="G807" s="24"/>
      <c r="H807" s="24"/>
      <c r="I807" s="24"/>
    </row>
    <row r="808" spans="1:9" ht="15.75" customHeight="1" x14ac:dyDescent="0.2">
      <c r="A808" s="24"/>
      <c r="B808" s="24"/>
      <c r="C808" s="24"/>
      <c r="D808" s="24"/>
      <c r="E808" s="24"/>
      <c r="F808" s="24"/>
      <c r="G808" s="24"/>
      <c r="H808" s="24"/>
      <c r="I808" s="24"/>
    </row>
    <row r="809" spans="1:9" ht="15.75" customHeight="1" x14ac:dyDescent="0.2">
      <c r="A809" s="24"/>
      <c r="B809" s="24"/>
      <c r="C809" s="24"/>
      <c r="D809" s="24"/>
      <c r="E809" s="24"/>
      <c r="F809" s="24"/>
      <c r="G809" s="24"/>
      <c r="H809" s="24"/>
      <c r="I809" s="24"/>
    </row>
    <row r="810" spans="1:9" ht="15.75" customHeight="1" x14ac:dyDescent="0.2">
      <c r="A810" s="24"/>
      <c r="B810" s="24"/>
      <c r="C810" s="24"/>
      <c r="D810" s="24"/>
      <c r="E810" s="24"/>
      <c r="F810" s="24"/>
      <c r="G810" s="24"/>
      <c r="H810" s="24"/>
      <c r="I810" s="24"/>
    </row>
    <row r="811" spans="1:9" ht="15.75" customHeight="1" x14ac:dyDescent="0.2">
      <c r="A811" s="24"/>
      <c r="B811" s="24"/>
      <c r="C811" s="24"/>
      <c r="D811" s="24"/>
      <c r="E811" s="24"/>
      <c r="F811" s="24"/>
      <c r="G811" s="24"/>
      <c r="H811" s="24"/>
      <c r="I811" s="24"/>
    </row>
    <row r="812" spans="1:9" ht="15.75" customHeight="1" x14ac:dyDescent="0.2">
      <c r="A812" s="24"/>
      <c r="B812" s="24"/>
      <c r="C812" s="24"/>
      <c r="D812" s="24"/>
      <c r="E812" s="24"/>
      <c r="F812" s="24"/>
      <c r="G812" s="24"/>
      <c r="H812" s="24"/>
      <c r="I812" s="24"/>
    </row>
    <row r="813" spans="1:9" ht="15.75" customHeight="1" x14ac:dyDescent="0.2">
      <c r="A813" s="24"/>
      <c r="B813" s="24"/>
      <c r="C813" s="24"/>
      <c r="D813" s="24"/>
      <c r="E813" s="24"/>
      <c r="F813" s="24"/>
      <c r="G813" s="24"/>
      <c r="H813" s="24"/>
      <c r="I813" s="24"/>
    </row>
    <row r="814" spans="1:9" ht="15.75" customHeight="1" x14ac:dyDescent="0.2">
      <c r="A814" s="24"/>
      <c r="B814" s="24"/>
      <c r="C814" s="24"/>
      <c r="D814" s="24"/>
      <c r="E814" s="24"/>
      <c r="F814" s="24"/>
      <c r="G814" s="24"/>
      <c r="H814" s="24"/>
      <c r="I814" s="24"/>
    </row>
    <row r="815" spans="1:9" ht="15.75" customHeight="1" x14ac:dyDescent="0.2">
      <c r="A815" s="24"/>
      <c r="B815" s="24"/>
      <c r="C815" s="24"/>
      <c r="D815" s="24"/>
      <c r="E815" s="24"/>
      <c r="F815" s="24"/>
      <c r="G815" s="24"/>
      <c r="H815" s="24"/>
      <c r="I815" s="24"/>
    </row>
    <row r="816" spans="1:9" ht="15.75" customHeight="1" x14ac:dyDescent="0.2">
      <c r="A816" s="24"/>
      <c r="B816" s="24"/>
      <c r="C816" s="24"/>
      <c r="D816" s="24"/>
      <c r="E816" s="24"/>
      <c r="F816" s="24"/>
      <c r="G816" s="24"/>
      <c r="H816" s="24"/>
      <c r="I816" s="24"/>
    </row>
    <row r="817" spans="1:9" ht="15.75" customHeight="1" x14ac:dyDescent="0.2">
      <c r="A817" s="24"/>
      <c r="B817" s="24"/>
      <c r="C817" s="24"/>
      <c r="D817" s="24"/>
      <c r="E817" s="24"/>
      <c r="F817" s="24"/>
      <c r="G817" s="24"/>
      <c r="H817" s="24"/>
      <c r="I817" s="24"/>
    </row>
    <row r="818" spans="1:9" ht="15.75" customHeight="1" x14ac:dyDescent="0.2">
      <c r="A818" s="24"/>
      <c r="B818" s="24"/>
      <c r="C818" s="24"/>
      <c r="D818" s="24"/>
      <c r="E818" s="24"/>
      <c r="F818" s="24"/>
      <c r="G818" s="24"/>
      <c r="H818" s="24"/>
      <c r="I818" s="24"/>
    </row>
    <row r="819" spans="1:9" ht="15.75" customHeight="1" x14ac:dyDescent="0.2">
      <c r="A819" s="24"/>
      <c r="B819" s="24"/>
      <c r="C819" s="24"/>
      <c r="D819" s="24"/>
      <c r="E819" s="24"/>
      <c r="F819" s="24"/>
      <c r="G819" s="24"/>
      <c r="H819" s="24"/>
      <c r="I819" s="24"/>
    </row>
    <row r="820" spans="1:9" ht="15.75" customHeight="1" x14ac:dyDescent="0.2">
      <c r="A820" s="24"/>
      <c r="B820" s="24"/>
      <c r="C820" s="24"/>
      <c r="D820" s="24"/>
      <c r="E820" s="24"/>
      <c r="F820" s="24"/>
      <c r="G820" s="24"/>
      <c r="H820" s="24"/>
      <c r="I820" s="24"/>
    </row>
    <row r="821" spans="1:9" ht="15.75" customHeight="1" x14ac:dyDescent="0.2">
      <c r="A821" s="24"/>
      <c r="B821" s="24"/>
      <c r="C821" s="24"/>
      <c r="D821" s="24"/>
      <c r="E821" s="24"/>
      <c r="F821" s="24"/>
      <c r="G821" s="24"/>
      <c r="H821" s="24"/>
      <c r="I821" s="24"/>
    </row>
    <row r="822" spans="1:9" ht="15.75" customHeight="1" x14ac:dyDescent="0.2">
      <c r="A822" s="24"/>
      <c r="B822" s="24"/>
      <c r="C822" s="24"/>
      <c r="D822" s="24"/>
      <c r="E822" s="24"/>
      <c r="F822" s="24"/>
      <c r="G822" s="24"/>
      <c r="H822" s="24"/>
      <c r="I822" s="24"/>
    </row>
    <row r="823" spans="1:9" ht="15.75" customHeight="1" x14ac:dyDescent="0.2">
      <c r="A823" s="24"/>
      <c r="B823" s="24"/>
      <c r="C823" s="24"/>
      <c r="D823" s="24"/>
      <c r="E823" s="24"/>
      <c r="F823" s="24"/>
      <c r="G823" s="24"/>
      <c r="H823" s="24"/>
      <c r="I823" s="24"/>
    </row>
    <row r="824" spans="1:9" ht="15.75" customHeight="1" x14ac:dyDescent="0.2">
      <c r="A824" s="24"/>
      <c r="B824" s="24"/>
      <c r="C824" s="24"/>
      <c r="D824" s="24"/>
      <c r="E824" s="24"/>
      <c r="F824" s="24"/>
      <c r="G824" s="24"/>
      <c r="H824" s="24"/>
      <c r="I824" s="24"/>
    </row>
    <row r="825" spans="1:9" ht="15.75" customHeight="1" x14ac:dyDescent="0.2">
      <c r="A825" s="24"/>
      <c r="B825" s="24"/>
      <c r="C825" s="24"/>
      <c r="D825" s="24"/>
      <c r="E825" s="24"/>
      <c r="F825" s="24"/>
      <c r="G825" s="24"/>
      <c r="H825" s="24"/>
      <c r="I825" s="24"/>
    </row>
    <row r="826" spans="1:9" ht="15.75" customHeight="1" x14ac:dyDescent="0.2">
      <c r="A826" s="24"/>
      <c r="B826" s="24"/>
      <c r="C826" s="24"/>
      <c r="D826" s="24"/>
      <c r="E826" s="24"/>
      <c r="F826" s="24"/>
      <c r="G826" s="24"/>
      <c r="H826" s="24"/>
      <c r="I826" s="24"/>
    </row>
    <row r="827" spans="1:9" ht="15.75" customHeight="1" x14ac:dyDescent="0.2">
      <c r="A827" s="24"/>
      <c r="B827" s="24"/>
      <c r="C827" s="24"/>
      <c r="D827" s="24"/>
      <c r="E827" s="24"/>
      <c r="F827" s="24"/>
      <c r="G827" s="24"/>
      <c r="H827" s="24"/>
      <c r="I827" s="24"/>
    </row>
    <row r="828" spans="1:9" ht="15.75" customHeight="1" x14ac:dyDescent="0.2">
      <c r="A828" s="24"/>
      <c r="B828" s="24"/>
      <c r="C828" s="24"/>
      <c r="D828" s="24"/>
      <c r="E828" s="24"/>
      <c r="F828" s="24"/>
      <c r="G828" s="24"/>
      <c r="H828" s="24"/>
      <c r="I828" s="24"/>
    </row>
    <row r="829" spans="1:9" ht="15.75" customHeight="1" x14ac:dyDescent="0.2">
      <c r="A829" s="24"/>
      <c r="B829" s="24"/>
      <c r="C829" s="24"/>
      <c r="D829" s="24"/>
      <c r="E829" s="24"/>
      <c r="F829" s="24"/>
      <c r="G829" s="24"/>
      <c r="H829" s="24"/>
      <c r="I829" s="24"/>
    </row>
    <row r="830" spans="1:9" ht="15.75" customHeight="1" x14ac:dyDescent="0.2">
      <c r="A830" s="24"/>
      <c r="B830" s="24"/>
      <c r="C830" s="24"/>
      <c r="D830" s="24"/>
      <c r="E830" s="24"/>
      <c r="F830" s="24"/>
      <c r="G830" s="24"/>
      <c r="H830" s="24"/>
      <c r="I830" s="24"/>
    </row>
    <row r="831" spans="1:9" ht="15.75" customHeight="1" x14ac:dyDescent="0.2">
      <c r="A831" s="24"/>
      <c r="B831" s="24"/>
      <c r="C831" s="24"/>
      <c r="D831" s="24"/>
      <c r="E831" s="24"/>
      <c r="F831" s="24"/>
      <c r="G831" s="24"/>
      <c r="H831" s="24"/>
      <c r="I831" s="24"/>
    </row>
    <row r="832" spans="1:9" ht="15.75" customHeight="1" x14ac:dyDescent="0.2">
      <c r="A832" s="24"/>
      <c r="B832" s="24"/>
      <c r="C832" s="24"/>
      <c r="D832" s="24"/>
      <c r="E832" s="24"/>
      <c r="F832" s="24"/>
      <c r="G832" s="24"/>
      <c r="H832" s="24"/>
      <c r="I832" s="24"/>
    </row>
    <row r="833" spans="1:9" ht="15.75" customHeight="1" x14ac:dyDescent="0.2">
      <c r="A833" s="24"/>
      <c r="B833" s="24"/>
      <c r="C833" s="24"/>
      <c r="D833" s="24"/>
      <c r="E833" s="24"/>
      <c r="F833" s="24"/>
      <c r="G833" s="24"/>
      <c r="H833" s="24"/>
      <c r="I833" s="24"/>
    </row>
    <row r="834" spans="1:9" ht="15.75" customHeight="1" x14ac:dyDescent="0.2">
      <c r="A834" s="24"/>
      <c r="B834" s="24"/>
      <c r="C834" s="24"/>
      <c r="D834" s="24"/>
      <c r="E834" s="24"/>
      <c r="F834" s="24"/>
      <c r="G834" s="24"/>
      <c r="H834" s="24"/>
      <c r="I834" s="24"/>
    </row>
    <row r="835" spans="1:9" ht="15.75" customHeight="1" x14ac:dyDescent="0.2">
      <c r="A835" s="24"/>
      <c r="B835" s="24"/>
      <c r="C835" s="24"/>
      <c r="D835" s="24"/>
      <c r="E835" s="24"/>
      <c r="F835" s="24"/>
      <c r="G835" s="24"/>
      <c r="H835" s="24"/>
      <c r="I835" s="24"/>
    </row>
    <row r="836" spans="1:9" ht="15.75" customHeight="1" x14ac:dyDescent="0.2">
      <c r="A836" s="24"/>
      <c r="B836" s="24"/>
      <c r="C836" s="24"/>
      <c r="D836" s="24"/>
      <c r="E836" s="24"/>
      <c r="F836" s="24"/>
      <c r="G836" s="24"/>
      <c r="H836" s="24"/>
      <c r="I836" s="24"/>
    </row>
    <row r="837" spans="1:9" ht="15.75" customHeight="1" x14ac:dyDescent="0.2">
      <c r="A837" s="24"/>
      <c r="B837" s="24"/>
      <c r="C837" s="24"/>
      <c r="D837" s="24"/>
      <c r="E837" s="24"/>
      <c r="F837" s="24"/>
      <c r="G837" s="24"/>
      <c r="H837" s="24"/>
      <c r="I837" s="24"/>
    </row>
    <row r="838" spans="1:9" ht="15.75" customHeight="1" x14ac:dyDescent="0.2">
      <c r="A838" s="24"/>
      <c r="B838" s="24"/>
      <c r="C838" s="24"/>
      <c r="D838" s="24"/>
      <c r="E838" s="24"/>
      <c r="F838" s="24"/>
      <c r="G838" s="24"/>
      <c r="H838" s="24"/>
      <c r="I838" s="24"/>
    </row>
    <row r="839" spans="1:9" ht="15.75" customHeight="1" x14ac:dyDescent="0.2">
      <c r="A839" s="24"/>
      <c r="B839" s="24"/>
      <c r="C839" s="24"/>
      <c r="D839" s="24"/>
      <c r="E839" s="24"/>
      <c r="F839" s="24"/>
      <c r="G839" s="24"/>
      <c r="H839" s="24"/>
      <c r="I839" s="24"/>
    </row>
    <row r="840" spans="1:9" ht="15.75" customHeight="1" x14ac:dyDescent="0.2">
      <c r="A840" s="24"/>
      <c r="B840" s="24"/>
      <c r="C840" s="24"/>
      <c r="D840" s="24"/>
      <c r="E840" s="24"/>
      <c r="F840" s="24"/>
      <c r="G840" s="24"/>
      <c r="H840" s="24"/>
      <c r="I840" s="24"/>
    </row>
    <row r="841" spans="1:9" ht="15.75" customHeight="1" x14ac:dyDescent="0.2">
      <c r="A841" s="24"/>
      <c r="B841" s="24"/>
      <c r="C841" s="24"/>
      <c r="D841" s="24"/>
      <c r="E841" s="24"/>
      <c r="F841" s="24"/>
      <c r="G841" s="24"/>
      <c r="H841" s="24"/>
      <c r="I841" s="24"/>
    </row>
    <row r="842" spans="1:9" ht="15.75" customHeight="1" x14ac:dyDescent="0.2">
      <c r="A842" s="24"/>
      <c r="B842" s="24"/>
      <c r="C842" s="24"/>
      <c r="D842" s="24"/>
      <c r="E842" s="24"/>
      <c r="F842" s="24"/>
      <c r="G842" s="24"/>
      <c r="H842" s="24"/>
      <c r="I842" s="24"/>
    </row>
    <row r="843" spans="1:9" ht="15.75" customHeight="1" x14ac:dyDescent="0.2">
      <c r="A843" s="24"/>
      <c r="B843" s="24"/>
      <c r="C843" s="24"/>
      <c r="D843" s="24"/>
      <c r="E843" s="24"/>
      <c r="F843" s="24"/>
      <c r="G843" s="24"/>
      <c r="H843" s="24"/>
      <c r="I843" s="24"/>
    </row>
    <row r="844" spans="1:9" ht="15.75" customHeight="1" x14ac:dyDescent="0.2">
      <c r="A844" s="24"/>
      <c r="B844" s="24"/>
      <c r="C844" s="24"/>
      <c r="D844" s="24"/>
      <c r="E844" s="24"/>
      <c r="F844" s="24"/>
      <c r="G844" s="24"/>
      <c r="H844" s="24"/>
      <c r="I844" s="24"/>
    </row>
    <row r="845" spans="1:9" ht="15.75" customHeight="1" x14ac:dyDescent="0.2">
      <c r="A845" s="24"/>
      <c r="B845" s="24"/>
      <c r="C845" s="24"/>
      <c r="D845" s="24"/>
      <c r="E845" s="24"/>
      <c r="F845" s="24"/>
      <c r="G845" s="24"/>
      <c r="H845" s="24"/>
      <c r="I845" s="24"/>
    </row>
    <row r="846" spans="1:9" ht="15.75" customHeight="1" x14ac:dyDescent="0.2">
      <c r="A846" s="24"/>
      <c r="B846" s="24"/>
      <c r="C846" s="24"/>
      <c r="D846" s="24"/>
      <c r="E846" s="24"/>
      <c r="F846" s="24"/>
      <c r="G846" s="24"/>
      <c r="H846" s="24"/>
      <c r="I846" s="24"/>
    </row>
    <row r="847" spans="1:9" ht="15.75" customHeight="1" x14ac:dyDescent="0.2">
      <c r="A847" s="24"/>
      <c r="B847" s="24"/>
      <c r="C847" s="24"/>
      <c r="D847" s="24"/>
      <c r="E847" s="24"/>
      <c r="F847" s="24"/>
      <c r="G847" s="24"/>
      <c r="H847" s="24"/>
      <c r="I847" s="24"/>
    </row>
    <row r="848" spans="1:9" ht="15.75" customHeight="1" x14ac:dyDescent="0.2">
      <c r="A848" s="24"/>
      <c r="B848" s="24"/>
      <c r="C848" s="24"/>
      <c r="D848" s="24"/>
      <c r="E848" s="24"/>
      <c r="F848" s="24"/>
      <c r="G848" s="24"/>
      <c r="H848" s="24"/>
      <c r="I848" s="24"/>
    </row>
    <row r="849" spans="1:9" ht="15.75" customHeight="1" x14ac:dyDescent="0.2">
      <c r="A849" s="24"/>
      <c r="B849" s="24"/>
      <c r="C849" s="24"/>
      <c r="D849" s="24"/>
      <c r="E849" s="24"/>
      <c r="F849" s="24"/>
      <c r="G849" s="24"/>
      <c r="H849" s="24"/>
      <c r="I849" s="24"/>
    </row>
    <row r="850" spans="1:9" ht="15.75" customHeight="1" x14ac:dyDescent="0.2">
      <c r="A850" s="24"/>
      <c r="B850" s="24"/>
      <c r="C850" s="24"/>
      <c r="D850" s="24"/>
      <c r="E850" s="24"/>
      <c r="F850" s="24"/>
      <c r="G850" s="24"/>
      <c r="H850" s="24"/>
      <c r="I850" s="24"/>
    </row>
    <row r="851" spans="1:9" ht="15.75" customHeight="1" x14ac:dyDescent="0.2">
      <c r="A851" s="24"/>
      <c r="B851" s="24"/>
      <c r="C851" s="24"/>
      <c r="D851" s="24"/>
      <c r="E851" s="24"/>
      <c r="F851" s="24"/>
      <c r="G851" s="24"/>
      <c r="H851" s="24"/>
      <c r="I851" s="24"/>
    </row>
    <row r="852" spans="1:9" ht="15.75" customHeight="1" x14ac:dyDescent="0.2">
      <c r="A852" s="24"/>
      <c r="B852" s="24"/>
      <c r="C852" s="24"/>
      <c r="D852" s="24"/>
      <c r="E852" s="24"/>
      <c r="F852" s="24"/>
      <c r="G852" s="24"/>
      <c r="H852" s="24"/>
      <c r="I852" s="24"/>
    </row>
    <row r="853" spans="1:9" ht="15.75" customHeight="1" x14ac:dyDescent="0.2">
      <c r="A853" s="24"/>
      <c r="B853" s="24"/>
      <c r="C853" s="24"/>
      <c r="D853" s="24"/>
      <c r="E853" s="24"/>
      <c r="F853" s="24"/>
      <c r="G853" s="24"/>
      <c r="H853" s="24"/>
      <c r="I853" s="24"/>
    </row>
    <row r="854" spans="1:9" ht="15.75" customHeight="1" x14ac:dyDescent="0.2">
      <c r="A854" s="24"/>
      <c r="B854" s="24"/>
      <c r="C854" s="24"/>
      <c r="D854" s="24"/>
      <c r="E854" s="24"/>
      <c r="F854" s="24"/>
      <c r="G854" s="24"/>
      <c r="H854" s="24"/>
      <c r="I854" s="24"/>
    </row>
    <row r="855" spans="1:9" ht="15.75" customHeight="1" x14ac:dyDescent="0.2">
      <c r="A855" s="24"/>
      <c r="B855" s="24"/>
      <c r="C855" s="24"/>
      <c r="D855" s="24"/>
      <c r="E855" s="24"/>
      <c r="F855" s="24"/>
      <c r="G855" s="24"/>
      <c r="H855" s="24"/>
      <c r="I855" s="24"/>
    </row>
    <row r="856" spans="1:9" ht="15.75" customHeight="1" x14ac:dyDescent="0.2">
      <c r="A856" s="24"/>
      <c r="B856" s="24"/>
      <c r="C856" s="24"/>
      <c r="D856" s="24"/>
      <c r="E856" s="24"/>
      <c r="F856" s="24"/>
      <c r="G856" s="24"/>
      <c r="H856" s="24"/>
      <c r="I856" s="24"/>
    </row>
    <row r="857" spans="1:9" ht="15.75" customHeight="1" x14ac:dyDescent="0.2">
      <c r="A857" s="24"/>
      <c r="B857" s="24"/>
      <c r="C857" s="24"/>
      <c r="D857" s="24"/>
      <c r="E857" s="24"/>
      <c r="F857" s="24"/>
      <c r="G857" s="24"/>
      <c r="H857" s="24"/>
      <c r="I857" s="24"/>
    </row>
    <row r="858" spans="1:9" ht="15.75" customHeight="1" x14ac:dyDescent="0.2">
      <c r="A858" s="24"/>
      <c r="B858" s="24"/>
      <c r="C858" s="24"/>
      <c r="D858" s="24"/>
      <c r="E858" s="24"/>
      <c r="F858" s="24"/>
      <c r="G858" s="24"/>
      <c r="H858" s="24"/>
      <c r="I858" s="24"/>
    </row>
    <row r="859" spans="1:9" ht="15.75" customHeight="1" x14ac:dyDescent="0.2">
      <c r="A859" s="24"/>
      <c r="B859" s="24"/>
      <c r="C859" s="24"/>
      <c r="D859" s="24"/>
      <c r="E859" s="24"/>
      <c r="F859" s="24"/>
      <c r="G859" s="24"/>
      <c r="H859" s="24"/>
      <c r="I859" s="24"/>
    </row>
    <row r="860" spans="1:9" ht="15.75" customHeight="1" x14ac:dyDescent="0.2">
      <c r="A860" s="24"/>
      <c r="B860" s="24"/>
      <c r="C860" s="24"/>
      <c r="D860" s="24"/>
      <c r="E860" s="24"/>
      <c r="F860" s="24"/>
      <c r="G860" s="24"/>
      <c r="H860" s="24"/>
      <c r="I860" s="24"/>
    </row>
    <row r="861" spans="1:9" ht="15.75" customHeight="1" x14ac:dyDescent="0.2">
      <c r="A861" s="24"/>
      <c r="B861" s="24"/>
      <c r="C861" s="24"/>
      <c r="D861" s="24"/>
      <c r="E861" s="24"/>
      <c r="F861" s="24"/>
      <c r="G861" s="24"/>
      <c r="H861" s="24"/>
      <c r="I861" s="24"/>
    </row>
    <row r="862" spans="1:9" ht="15.75" customHeight="1" x14ac:dyDescent="0.2">
      <c r="A862" s="24"/>
      <c r="B862" s="24"/>
      <c r="C862" s="24"/>
      <c r="D862" s="24"/>
      <c r="E862" s="24"/>
      <c r="F862" s="24"/>
      <c r="G862" s="24"/>
      <c r="H862" s="24"/>
      <c r="I862" s="24"/>
    </row>
    <row r="863" spans="1:9" ht="15.75" customHeight="1" x14ac:dyDescent="0.2">
      <c r="A863" s="24"/>
      <c r="B863" s="24"/>
      <c r="C863" s="24"/>
      <c r="D863" s="24"/>
      <c r="E863" s="24"/>
      <c r="F863" s="24"/>
      <c r="G863" s="24"/>
      <c r="H863" s="24"/>
      <c r="I863" s="24"/>
    </row>
    <row r="864" spans="1:9" ht="15.75" customHeight="1" x14ac:dyDescent="0.2">
      <c r="A864" s="24"/>
      <c r="B864" s="24"/>
      <c r="C864" s="24"/>
      <c r="D864" s="24"/>
      <c r="E864" s="24"/>
      <c r="F864" s="24"/>
      <c r="G864" s="24"/>
      <c r="H864" s="24"/>
      <c r="I864" s="24"/>
    </row>
    <row r="865" spans="1:9" ht="15.75" customHeight="1" x14ac:dyDescent="0.2">
      <c r="A865" s="24"/>
      <c r="B865" s="24"/>
      <c r="C865" s="24"/>
      <c r="D865" s="24"/>
      <c r="E865" s="24"/>
      <c r="F865" s="24"/>
      <c r="G865" s="24"/>
      <c r="H865" s="24"/>
      <c r="I865" s="24"/>
    </row>
    <row r="866" spans="1:9" ht="15.75" customHeight="1" x14ac:dyDescent="0.2">
      <c r="A866" s="24"/>
      <c r="B866" s="24"/>
      <c r="C866" s="24"/>
      <c r="D866" s="24"/>
      <c r="E866" s="24"/>
      <c r="F866" s="24"/>
      <c r="G866" s="24"/>
      <c r="H866" s="24"/>
      <c r="I866" s="24"/>
    </row>
    <row r="867" spans="1:9" ht="15.75" customHeight="1" x14ac:dyDescent="0.2">
      <c r="A867" s="24"/>
      <c r="B867" s="24"/>
      <c r="C867" s="24"/>
      <c r="D867" s="24"/>
      <c r="E867" s="24"/>
      <c r="F867" s="24"/>
      <c r="G867" s="24"/>
      <c r="H867" s="24"/>
      <c r="I867" s="24"/>
    </row>
    <row r="868" spans="1:9" ht="15.75" customHeight="1" x14ac:dyDescent="0.2">
      <c r="A868" s="24"/>
      <c r="B868" s="24"/>
      <c r="C868" s="24"/>
      <c r="D868" s="24"/>
      <c r="E868" s="24"/>
      <c r="F868" s="24"/>
      <c r="G868" s="24"/>
      <c r="H868" s="24"/>
      <c r="I868" s="24"/>
    </row>
    <row r="869" spans="1:9" ht="15.75" customHeight="1" x14ac:dyDescent="0.2">
      <c r="A869" s="24"/>
      <c r="B869" s="24"/>
      <c r="C869" s="24"/>
      <c r="D869" s="24"/>
      <c r="E869" s="24"/>
      <c r="F869" s="24"/>
      <c r="G869" s="24"/>
      <c r="H869" s="24"/>
      <c r="I869" s="24"/>
    </row>
    <row r="870" spans="1:9" ht="15.75" customHeight="1" x14ac:dyDescent="0.2">
      <c r="A870" s="24"/>
      <c r="B870" s="24"/>
      <c r="C870" s="24"/>
      <c r="D870" s="24"/>
      <c r="E870" s="24"/>
      <c r="F870" s="24"/>
      <c r="G870" s="24"/>
      <c r="H870" s="24"/>
      <c r="I870" s="24"/>
    </row>
    <row r="871" spans="1:9" ht="15.75" customHeight="1" x14ac:dyDescent="0.2">
      <c r="A871" s="24"/>
      <c r="B871" s="24"/>
      <c r="C871" s="24"/>
      <c r="D871" s="24"/>
      <c r="E871" s="24"/>
      <c r="F871" s="24"/>
      <c r="G871" s="24"/>
      <c r="H871" s="24"/>
      <c r="I871" s="24"/>
    </row>
    <row r="872" spans="1:9" ht="15.75" customHeight="1" x14ac:dyDescent="0.2">
      <c r="A872" s="24"/>
      <c r="B872" s="24"/>
      <c r="C872" s="24"/>
      <c r="D872" s="24"/>
      <c r="E872" s="24"/>
      <c r="F872" s="24"/>
      <c r="G872" s="24"/>
      <c r="H872" s="24"/>
      <c r="I872" s="24"/>
    </row>
    <row r="873" spans="1:9" ht="15.75" customHeight="1" x14ac:dyDescent="0.2">
      <c r="A873" s="24"/>
      <c r="B873" s="24"/>
      <c r="C873" s="24"/>
      <c r="D873" s="24"/>
      <c r="E873" s="24"/>
      <c r="F873" s="24"/>
      <c r="G873" s="24"/>
      <c r="H873" s="24"/>
      <c r="I873" s="24"/>
    </row>
    <row r="874" spans="1:9" ht="15.75" customHeight="1" x14ac:dyDescent="0.2">
      <c r="A874" s="24"/>
      <c r="B874" s="24"/>
      <c r="C874" s="24"/>
      <c r="D874" s="24"/>
      <c r="E874" s="24"/>
      <c r="F874" s="24"/>
      <c r="G874" s="24"/>
      <c r="H874" s="24"/>
      <c r="I874" s="24"/>
    </row>
    <row r="875" spans="1:9" ht="15.75" customHeight="1" x14ac:dyDescent="0.2">
      <c r="A875" s="24"/>
      <c r="B875" s="24"/>
      <c r="C875" s="24"/>
      <c r="D875" s="24"/>
      <c r="E875" s="24"/>
      <c r="F875" s="24"/>
      <c r="G875" s="24"/>
      <c r="H875" s="24"/>
      <c r="I875" s="24"/>
    </row>
    <row r="876" spans="1:9" ht="15.75" customHeight="1" x14ac:dyDescent="0.2">
      <c r="A876" s="24"/>
      <c r="B876" s="24"/>
      <c r="C876" s="24"/>
      <c r="D876" s="24"/>
      <c r="E876" s="24"/>
      <c r="F876" s="24"/>
      <c r="G876" s="24"/>
      <c r="H876" s="24"/>
      <c r="I876" s="24"/>
    </row>
    <row r="877" spans="1:9" ht="15.75" customHeight="1" x14ac:dyDescent="0.2">
      <c r="A877" s="24"/>
      <c r="B877" s="24"/>
      <c r="C877" s="24"/>
      <c r="D877" s="24"/>
      <c r="E877" s="24"/>
      <c r="F877" s="24"/>
      <c r="G877" s="24"/>
      <c r="H877" s="24"/>
      <c r="I877" s="24"/>
    </row>
    <row r="878" spans="1:9" ht="15.75" customHeight="1" x14ac:dyDescent="0.2">
      <c r="A878" s="24"/>
      <c r="B878" s="24"/>
      <c r="C878" s="24"/>
      <c r="D878" s="24"/>
      <c r="E878" s="24"/>
      <c r="F878" s="24"/>
      <c r="G878" s="24"/>
      <c r="H878" s="24"/>
      <c r="I878" s="24"/>
    </row>
    <row r="879" spans="1:9" ht="15.75" customHeight="1" x14ac:dyDescent="0.2">
      <c r="A879" s="24"/>
      <c r="B879" s="24"/>
      <c r="C879" s="24"/>
      <c r="D879" s="24"/>
      <c r="E879" s="24"/>
      <c r="F879" s="24"/>
      <c r="G879" s="24"/>
      <c r="H879" s="24"/>
      <c r="I879" s="24"/>
    </row>
    <row r="880" spans="1:9" ht="15.75" customHeight="1" x14ac:dyDescent="0.2">
      <c r="A880" s="24"/>
      <c r="B880" s="24"/>
      <c r="C880" s="24"/>
      <c r="D880" s="24"/>
      <c r="E880" s="24"/>
      <c r="F880" s="24"/>
      <c r="G880" s="24"/>
      <c r="H880" s="24"/>
      <c r="I880" s="24"/>
    </row>
    <row r="881" spans="1:9" ht="15.75" customHeight="1" x14ac:dyDescent="0.2">
      <c r="A881" s="24"/>
      <c r="B881" s="24"/>
      <c r="C881" s="24"/>
      <c r="D881" s="24"/>
      <c r="E881" s="24"/>
      <c r="F881" s="24"/>
      <c r="G881" s="24"/>
      <c r="H881" s="24"/>
      <c r="I881" s="24"/>
    </row>
    <row r="882" spans="1:9" ht="15.75" customHeight="1" x14ac:dyDescent="0.2">
      <c r="A882" s="24"/>
      <c r="B882" s="24"/>
      <c r="C882" s="24"/>
      <c r="D882" s="24"/>
      <c r="E882" s="24"/>
      <c r="F882" s="24"/>
      <c r="G882" s="24"/>
      <c r="H882" s="24"/>
      <c r="I882" s="24"/>
    </row>
    <row r="883" spans="1:9" ht="15.75" customHeight="1" x14ac:dyDescent="0.2">
      <c r="A883" s="24"/>
      <c r="B883" s="24"/>
      <c r="C883" s="24"/>
      <c r="D883" s="24"/>
      <c r="E883" s="24"/>
      <c r="F883" s="24"/>
      <c r="G883" s="24"/>
      <c r="H883" s="24"/>
      <c r="I883" s="24"/>
    </row>
    <row r="884" spans="1:9" ht="15.75" customHeight="1" x14ac:dyDescent="0.2">
      <c r="A884" s="24"/>
      <c r="B884" s="24"/>
      <c r="C884" s="24"/>
      <c r="D884" s="24"/>
      <c r="E884" s="24"/>
      <c r="F884" s="24"/>
      <c r="G884" s="24"/>
      <c r="H884" s="24"/>
      <c r="I884" s="24"/>
    </row>
    <row r="885" spans="1:9" ht="15.75" customHeight="1" x14ac:dyDescent="0.2">
      <c r="A885" s="24"/>
      <c r="B885" s="24"/>
      <c r="C885" s="24"/>
      <c r="D885" s="24"/>
      <c r="E885" s="24"/>
      <c r="F885" s="24"/>
      <c r="G885" s="24"/>
      <c r="H885" s="24"/>
      <c r="I885" s="24"/>
    </row>
    <row r="886" spans="1:9" ht="15.75" customHeight="1" x14ac:dyDescent="0.2">
      <c r="A886" s="24"/>
      <c r="B886" s="24"/>
      <c r="C886" s="24"/>
      <c r="D886" s="24"/>
      <c r="E886" s="24"/>
      <c r="F886" s="24"/>
      <c r="G886" s="24"/>
      <c r="H886" s="24"/>
      <c r="I886" s="24"/>
    </row>
    <row r="887" spans="1:9" ht="15.75" customHeight="1" x14ac:dyDescent="0.2">
      <c r="A887" s="24"/>
      <c r="B887" s="24"/>
      <c r="C887" s="24"/>
      <c r="D887" s="24"/>
      <c r="E887" s="24"/>
      <c r="F887" s="24"/>
      <c r="G887" s="24"/>
      <c r="H887" s="24"/>
      <c r="I887" s="24"/>
    </row>
    <row r="888" spans="1:9" ht="15.75" customHeight="1" x14ac:dyDescent="0.2">
      <c r="A888" s="24"/>
      <c r="B888" s="24"/>
      <c r="C888" s="24"/>
      <c r="D888" s="24"/>
      <c r="E888" s="24"/>
      <c r="F888" s="24"/>
      <c r="G888" s="24"/>
      <c r="H888" s="24"/>
      <c r="I888" s="24"/>
    </row>
    <row r="889" spans="1:9" ht="15.75" customHeight="1" x14ac:dyDescent="0.2">
      <c r="A889" s="24"/>
      <c r="B889" s="24"/>
      <c r="C889" s="24"/>
      <c r="D889" s="24"/>
      <c r="E889" s="24"/>
      <c r="F889" s="24"/>
      <c r="G889" s="24"/>
      <c r="H889" s="24"/>
      <c r="I889" s="24"/>
    </row>
    <row r="890" spans="1:9" ht="15.75" customHeight="1" x14ac:dyDescent="0.2">
      <c r="A890" s="24"/>
      <c r="B890" s="24"/>
      <c r="C890" s="24"/>
      <c r="D890" s="24"/>
      <c r="E890" s="24"/>
      <c r="F890" s="24"/>
      <c r="G890" s="24"/>
      <c r="H890" s="24"/>
      <c r="I890" s="24"/>
    </row>
    <row r="891" spans="1:9" ht="15.75" customHeight="1" x14ac:dyDescent="0.2">
      <c r="A891" s="24"/>
      <c r="B891" s="24"/>
      <c r="C891" s="24"/>
      <c r="D891" s="24"/>
      <c r="E891" s="24"/>
      <c r="F891" s="24"/>
      <c r="G891" s="24"/>
      <c r="H891" s="24"/>
      <c r="I891" s="24"/>
    </row>
    <row r="892" spans="1:9" ht="15.75" customHeight="1" x14ac:dyDescent="0.2">
      <c r="A892" s="24"/>
      <c r="B892" s="24"/>
      <c r="C892" s="24"/>
      <c r="D892" s="24"/>
      <c r="E892" s="24"/>
      <c r="F892" s="24"/>
      <c r="G892" s="24"/>
      <c r="H892" s="24"/>
      <c r="I892" s="24"/>
    </row>
    <row r="893" spans="1:9" ht="15.75" customHeight="1" x14ac:dyDescent="0.2">
      <c r="A893" s="24"/>
      <c r="B893" s="24"/>
      <c r="C893" s="24"/>
      <c r="D893" s="24"/>
      <c r="E893" s="24"/>
      <c r="F893" s="24"/>
      <c r="G893" s="24"/>
      <c r="H893" s="24"/>
      <c r="I893" s="24"/>
    </row>
    <row r="894" spans="1:9" ht="15.75" customHeight="1" x14ac:dyDescent="0.2">
      <c r="A894" s="24"/>
      <c r="B894" s="24"/>
      <c r="C894" s="24"/>
      <c r="D894" s="24"/>
      <c r="E894" s="24"/>
      <c r="F894" s="24"/>
      <c r="G894" s="24"/>
      <c r="H894" s="24"/>
      <c r="I894" s="24"/>
    </row>
    <row r="895" spans="1:9" ht="15.75" customHeight="1" x14ac:dyDescent="0.2">
      <c r="A895" s="24"/>
      <c r="B895" s="24"/>
      <c r="C895" s="24"/>
      <c r="D895" s="24"/>
      <c r="E895" s="24"/>
      <c r="F895" s="24"/>
      <c r="G895" s="24"/>
      <c r="H895" s="24"/>
      <c r="I895" s="24"/>
    </row>
    <row r="896" spans="1:9" ht="15.75" customHeight="1" x14ac:dyDescent="0.2">
      <c r="A896" s="24"/>
      <c r="B896" s="24"/>
      <c r="C896" s="24"/>
      <c r="D896" s="24"/>
      <c r="E896" s="24"/>
      <c r="F896" s="24"/>
      <c r="G896" s="24"/>
      <c r="H896" s="24"/>
      <c r="I896" s="24"/>
    </row>
    <row r="897" spans="1:9" ht="15.75" customHeight="1" x14ac:dyDescent="0.2">
      <c r="A897" s="24"/>
      <c r="B897" s="24"/>
      <c r="C897" s="24"/>
      <c r="D897" s="24"/>
      <c r="E897" s="24"/>
      <c r="F897" s="24"/>
      <c r="G897" s="24"/>
      <c r="H897" s="24"/>
      <c r="I897" s="24"/>
    </row>
    <row r="898" spans="1:9" ht="15.75" customHeight="1" x14ac:dyDescent="0.2">
      <c r="A898" s="24"/>
      <c r="B898" s="24"/>
      <c r="C898" s="24"/>
      <c r="D898" s="24"/>
      <c r="E898" s="24"/>
      <c r="F898" s="24"/>
      <c r="G898" s="24"/>
      <c r="H898" s="24"/>
      <c r="I898" s="24"/>
    </row>
    <row r="899" spans="1:9" ht="15.75" customHeight="1" x14ac:dyDescent="0.2">
      <c r="A899" s="24"/>
      <c r="B899" s="24"/>
      <c r="C899" s="24"/>
      <c r="D899" s="24"/>
      <c r="E899" s="24"/>
      <c r="F899" s="24"/>
      <c r="G899" s="24"/>
      <c r="H899" s="24"/>
      <c r="I899" s="24"/>
    </row>
    <row r="900" spans="1:9" ht="15.75" customHeight="1" x14ac:dyDescent="0.2">
      <c r="A900" s="24"/>
      <c r="B900" s="24"/>
      <c r="C900" s="24"/>
      <c r="D900" s="24"/>
      <c r="E900" s="24"/>
      <c r="F900" s="24"/>
      <c r="G900" s="24"/>
      <c r="H900" s="24"/>
      <c r="I900" s="24"/>
    </row>
    <row r="901" spans="1:9" ht="15.75" customHeight="1" x14ac:dyDescent="0.2">
      <c r="A901" s="24"/>
      <c r="B901" s="24"/>
      <c r="C901" s="24"/>
      <c r="D901" s="24"/>
      <c r="E901" s="24"/>
      <c r="F901" s="24"/>
      <c r="G901" s="24"/>
      <c r="H901" s="24"/>
      <c r="I901" s="24"/>
    </row>
    <row r="902" spans="1:9" ht="15.75" customHeight="1" x14ac:dyDescent="0.2">
      <c r="A902" s="24"/>
      <c r="B902" s="24"/>
      <c r="C902" s="24"/>
      <c r="D902" s="24"/>
      <c r="E902" s="24"/>
      <c r="F902" s="24"/>
      <c r="G902" s="24"/>
      <c r="H902" s="24"/>
      <c r="I902" s="24"/>
    </row>
    <row r="903" spans="1:9" ht="15.75" customHeight="1" x14ac:dyDescent="0.2">
      <c r="A903" s="24"/>
      <c r="B903" s="24"/>
      <c r="C903" s="24"/>
      <c r="D903" s="24"/>
      <c r="E903" s="24"/>
      <c r="F903" s="24"/>
      <c r="G903" s="24"/>
      <c r="H903" s="24"/>
      <c r="I903" s="24"/>
    </row>
    <row r="904" spans="1:9" ht="15.75" customHeight="1" x14ac:dyDescent="0.2">
      <c r="A904" s="24"/>
      <c r="B904" s="24"/>
      <c r="C904" s="24"/>
      <c r="D904" s="24"/>
      <c r="E904" s="24"/>
      <c r="F904" s="24"/>
      <c r="G904" s="24"/>
      <c r="H904" s="24"/>
      <c r="I904" s="24"/>
    </row>
    <row r="905" spans="1:9" ht="15.75" customHeight="1" x14ac:dyDescent="0.2">
      <c r="A905" s="24"/>
      <c r="B905" s="24"/>
      <c r="C905" s="24"/>
      <c r="D905" s="24"/>
      <c r="E905" s="24"/>
      <c r="F905" s="24"/>
      <c r="G905" s="24"/>
      <c r="H905" s="24"/>
      <c r="I905" s="24"/>
    </row>
    <row r="906" spans="1:9" ht="15.75" customHeight="1" x14ac:dyDescent="0.2">
      <c r="A906" s="24"/>
      <c r="B906" s="24"/>
      <c r="C906" s="24"/>
      <c r="D906" s="24"/>
      <c r="E906" s="24"/>
      <c r="F906" s="24"/>
      <c r="G906" s="24"/>
      <c r="H906" s="24"/>
      <c r="I906" s="24"/>
    </row>
    <row r="907" spans="1:9" ht="15.75" customHeight="1" x14ac:dyDescent="0.2">
      <c r="A907" s="24"/>
      <c r="B907" s="24"/>
      <c r="C907" s="24"/>
      <c r="D907" s="24"/>
      <c r="E907" s="24"/>
      <c r="F907" s="24"/>
      <c r="G907" s="24"/>
      <c r="H907" s="24"/>
      <c r="I907" s="24"/>
    </row>
    <row r="908" spans="1:9" ht="15.75" customHeight="1" x14ac:dyDescent="0.2">
      <c r="A908" s="24"/>
      <c r="B908" s="24"/>
      <c r="C908" s="24"/>
      <c r="D908" s="24"/>
      <c r="E908" s="24"/>
      <c r="F908" s="24"/>
      <c r="G908" s="24"/>
      <c r="H908" s="24"/>
      <c r="I908" s="24"/>
    </row>
    <row r="909" spans="1:9" ht="15.75" customHeight="1" x14ac:dyDescent="0.2">
      <c r="A909" s="24"/>
      <c r="B909" s="24"/>
      <c r="C909" s="24"/>
      <c r="D909" s="24"/>
      <c r="E909" s="24"/>
      <c r="F909" s="24"/>
      <c r="G909" s="24"/>
      <c r="H909" s="24"/>
      <c r="I909" s="24"/>
    </row>
    <row r="910" spans="1:9" ht="15.75" customHeight="1" x14ac:dyDescent="0.2">
      <c r="A910" s="24"/>
      <c r="B910" s="24"/>
      <c r="C910" s="24"/>
      <c r="D910" s="24"/>
      <c r="E910" s="24"/>
      <c r="F910" s="24"/>
      <c r="G910" s="24"/>
      <c r="H910" s="24"/>
      <c r="I910" s="24"/>
    </row>
    <row r="911" spans="1:9" ht="15.75" customHeight="1" x14ac:dyDescent="0.2">
      <c r="A911" s="24"/>
      <c r="B911" s="24"/>
      <c r="C911" s="24"/>
      <c r="D911" s="24"/>
      <c r="E911" s="24"/>
      <c r="F911" s="24"/>
      <c r="G911" s="24"/>
      <c r="H911" s="24"/>
      <c r="I911" s="24"/>
    </row>
    <row r="912" spans="1:9" ht="15.75" customHeight="1" x14ac:dyDescent="0.2">
      <c r="A912" s="24"/>
      <c r="B912" s="24"/>
      <c r="C912" s="24"/>
      <c r="D912" s="24"/>
      <c r="E912" s="24"/>
      <c r="F912" s="24"/>
      <c r="G912" s="24"/>
      <c r="H912" s="24"/>
      <c r="I912" s="24"/>
    </row>
    <row r="913" spans="1:9" ht="15.75" customHeight="1" x14ac:dyDescent="0.2">
      <c r="A913" s="24"/>
      <c r="B913" s="24"/>
      <c r="C913" s="24"/>
      <c r="D913" s="24"/>
      <c r="E913" s="24"/>
      <c r="F913" s="24"/>
      <c r="G913" s="24"/>
      <c r="H913" s="24"/>
      <c r="I913" s="24"/>
    </row>
    <row r="914" spans="1:9" ht="15.75" customHeight="1" x14ac:dyDescent="0.2">
      <c r="A914" s="24"/>
      <c r="B914" s="24"/>
      <c r="C914" s="24"/>
      <c r="D914" s="24"/>
      <c r="E914" s="24"/>
      <c r="F914" s="24"/>
      <c r="G914" s="24"/>
      <c r="H914" s="24"/>
      <c r="I914" s="24"/>
    </row>
    <row r="915" spans="1:9" ht="15.75" customHeight="1" x14ac:dyDescent="0.2">
      <c r="A915" s="24"/>
      <c r="B915" s="24"/>
      <c r="C915" s="24"/>
      <c r="D915" s="24"/>
      <c r="E915" s="24"/>
      <c r="F915" s="24"/>
      <c r="G915" s="24"/>
      <c r="H915" s="24"/>
      <c r="I915" s="24"/>
    </row>
    <row r="916" spans="1:9" ht="15.75" customHeight="1" x14ac:dyDescent="0.2">
      <c r="A916" s="24"/>
      <c r="B916" s="24"/>
      <c r="C916" s="24"/>
      <c r="D916" s="24"/>
      <c r="E916" s="24"/>
      <c r="F916" s="24"/>
      <c r="G916" s="24"/>
      <c r="H916" s="24"/>
      <c r="I916" s="24"/>
    </row>
    <row r="917" spans="1:9" ht="15.75" customHeight="1" x14ac:dyDescent="0.2">
      <c r="A917" s="24"/>
      <c r="B917" s="24"/>
      <c r="C917" s="24"/>
      <c r="D917" s="24"/>
      <c r="E917" s="24"/>
      <c r="F917" s="24"/>
      <c r="G917" s="24"/>
      <c r="H917" s="24"/>
      <c r="I917" s="24"/>
    </row>
    <row r="918" spans="1:9" ht="15.75" customHeight="1" x14ac:dyDescent="0.2">
      <c r="A918" s="24"/>
      <c r="B918" s="24"/>
      <c r="C918" s="24"/>
      <c r="D918" s="24"/>
      <c r="E918" s="24"/>
      <c r="F918" s="24"/>
      <c r="G918" s="24"/>
      <c r="H918" s="24"/>
      <c r="I918" s="24"/>
    </row>
    <row r="919" spans="1:9" ht="15.75" customHeight="1" x14ac:dyDescent="0.2">
      <c r="A919" s="24"/>
      <c r="B919" s="24"/>
      <c r="C919" s="24"/>
      <c r="D919" s="24"/>
      <c r="E919" s="24"/>
      <c r="F919" s="24"/>
      <c r="G919" s="24"/>
      <c r="H919" s="24"/>
      <c r="I919" s="24"/>
    </row>
    <row r="920" spans="1:9" ht="15.75" customHeight="1" x14ac:dyDescent="0.2">
      <c r="A920" s="24"/>
      <c r="B920" s="24"/>
      <c r="C920" s="24"/>
      <c r="D920" s="24"/>
      <c r="E920" s="24"/>
      <c r="F920" s="24"/>
      <c r="G920" s="24"/>
      <c r="H920" s="24"/>
      <c r="I920" s="24"/>
    </row>
    <row r="921" spans="1:9" ht="15.75" customHeight="1" x14ac:dyDescent="0.2">
      <c r="A921" s="24"/>
      <c r="B921" s="24"/>
      <c r="C921" s="24"/>
      <c r="D921" s="24"/>
      <c r="E921" s="24"/>
      <c r="F921" s="24"/>
      <c r="G921" s="24"/>
      <c r="H921" s="24"/>
      <c r="I921" s="24"/>
    </row>
    <row r="922" spans="1:9" ht="15.75" customHeight="1" x14ac:dyDescent="0.2">
      <c r="A922" s="24"/>
      <c r="B922" s="24"/>
      <c r="C922" s="24"/>
      <c r="D922" s="24"/>
      <c r="E922" s="24"/>
      <c r="F922" s="24"/>
      <c r="G922" s="24"/>
      <c r="H922" s="24"/>
      <c r="I922" s="24"/>
    </row>
    <row r="923" spans="1:9" ht="15.75" customHeight="1" x14ac:dyDescent="0.2">
      <c r="A923" s="24"/>
      <c r="B923" s="24"/>
      <c r="C923" s="24"/>
      <c r="D923" s="24"/>
      <c r="E923" s="24"/>
      <c r="F923" s="24"/>
      <c r="G923" s="24"/>
      <c r="H923" s="24"/>
      <c r="I923" s="24"/>
    </row>
    <row r="924" spans="1:9" ht="15.75" customHeight="1" x14ac:dyDescent="0.2">
      <c r="A924" s="24"/>
      <c r="B924" s="24"/>
      <c r="C924" s="24"/>
      <c r="D924" s="24"/>
      <c r="E924" s="24"/>
      <c r="F924" s="24"/>
      <c r="G924" s="24"/>
      <c r="H924" s="24"/>
      <c r="I924" s="24"/>
    </row>
    <row r="925" spans="1:9" ht="15.75" customHeight="1" x14ac:dyDescent="0.2">
      <c r="A925" s="24"/>
      <c r="B925" s="24"/>
      <c r="C925" s="24"/>
      <c r="D925" s="24"/>
      <c r="E925" s="24"/>
      <c r="F925" s="24"/>
      <c r="G925" s="24"/>
      <c r="H925" s="24"/>
      <c r="I925" s="24"/>
    </row>
    <row r="926" spans="1:9" ht="15.75" customHeight="1" x14ac:dyDescent="0.2">
      <c r="A926" s="24"/>
      <c r="B926" s="24"/>
      <c r="C926" s="24"/>
      <c r="D926" s="24"/>
      <c r="E926" s="24"/>
      <c r="F926" s="24"/>
      <c r="G926" s="24"/>
      <c r="H926" s="24"/>
      <c r="I926" s="24"/>
    </row>
    <row r="927" spans="1:9" ht="15.75" customHeight="1" x14ac:dyDescent="0.2">
      <c r="A927" s="24"/>
      <c r="B927" s="24"/>
      <c r="C927" s="24"/>
      <c r="D927" s="24"/>
      <c r="E927" s="24"/>
      <c r="F927" s="24"/>
      <c r="G927" s="24"/>
      <c r="H927" s="24"/>
      <c r="I927" s="24"/>
    </row>
    <row r="928" spans="1:9" ht="15.75" customHeight="1" x14ac:dyDescent="0.2">
      <c r="A928" s="24"/>
      <c r="B928" s="24"/>
      <c r="C928" s="24"/>
      <c r="D928" s="24"/>
      <c r="E928" s="24"/>
      <c r="F928" s="24"/>
      <c r="G928" s="24"/>
      <c r="H928" s="24"/>
      <c r="I928" s="24"/>
    </row>
    <row r="929" spans="1:9" ht="15.75" customHeight="1" x14ac:dyDescent="0.2">
      <c r="A929" s="24"/>
      <c r="B929" s="24"/>
      <c r="C929" s="24"/>
      <c r="D929" s="24"/>
      <c r="E929" s="24"/>
      <c r="F929" s="24"/>
      <c r="G929" s="24"/>
      <c r="H929" s="24"/>
      <c r="I929" s="24"/>
    </row>
    <row r="930" spans="1:9" ht="15.75" customHeight="1" x14ac:dyDescent="0.2">
      <c r="A930" s="24"/>
      <c r="B930" s="24"/>
      <c r="C930" s="24"/>
      <c r="D930" s="24"/>
      <c r="E930" s="24"/>
      <c r="F930" s="24"/>
      <c r="G930" s="24"/>
      <c r="H930" s="24"/>
      <c r="I930" s="24"/>
    </row>
    <row r="931" spans="1:9" ht="15.75" customHeight="1" x14ac:dyDescent="0.2">
      <c r="A931" s="24"/>
      <c r="B931" s="24"/>
      <c r="C931" s="24"/>
      <c r="D931" s="24"/>
      <c r="E931" s="24"/>
      <c r="F931" s="24"/>
      <c r="G931" s="24"/>
      <c r="H931" s="24"/>
      <c r="I931" s="24"/>
    </row>
    <row r="932" spans="1:9" ht="15.75" customHeight="1" x14ac:dyDescent="0.2">
      <c r="A932" s="24"/>
      <c r="B932" s="24"/>
      <c r="C932" s="24"/>
      <c r="D932" s="24"/>
      <c r="E932" s="24"/>
      <c r="F932" s="24"/>
      <c r="G932" s="24"/>
      <c r="H932" s="24"/>
      <c r="I932" s="24"/>
    </row>
    <row r="933" spans="1:9" ht="15.75" customHeight="1" x14ac:dyDescent="0.2">
      <c r="A933" s="24"/>
      <c r="B933" s="24"/>
      <c r="C933" s="24"/>
      <c r="D933" s="24"/>
      <c r="E933" s="24"/>
      <c r="F933" s="24"/>
      <c r="G933" s="24"/>
      <c r="H933" s="24"/>
      <c r="I933" s="24"/>
    </row>
    <row r="934" spans="1:9" ht="15.75" customHeight="1" x14ac:dyDescent="0.2">
      <c r="A934" s="24"/>
      <c r="B934" s="24"/>
      <c r="C934" s="24"/>
      <c r="D934" s="24"/>
      <c r="E934" s="24"/>
      <c r="F934" s="24"/>
      <c r="G934" s="24"/>
      <c r="H934" s="24"/>
      <c r="I934" s="24"/>
    </row>
    <row r="935" spans="1:9" ht="15.75" customHeight="1" x14ac:dyDescent="0.2">
      <c r="A935" s="24"/>
      <c r="B935" s="24"/>
      <c r="C935" s="24"/>
      <c r="D935" s="24"/>
      <c r="E935" s="24"/>
      <c r="F935" s="24"/>
      <c r="G935" s="24"/>
      <c r="H935" s="24"/>
      <c r="I935" s="24"/>
    </row>
    <row r="936" spans="1:9" ht="15.75" customHeight="1" x14ac:dyDescent="0.2">
      <c r="A936" s="24"/>
      <c r="B936" s="24"/>
      <c r="C936" s="24"/>
      <c r="D936" s="24"/>
      <c r="E936" s="24"/>
      <c r="F936" s="24"/>
      <c r="G936" s="24"/>
      <c r="H936" s="24"/>
      <c r="I936" s="24"/>
    </row>
    <row r="937" spans="1:9" ht="15.75" customHeight="1" x14ac:dyDescent="0.2">
      <c r="A937" s="24"/>
      <c r="B937" s="24"/>
      <c r="C937" s="24"/>
      <c r="D937" s="24"/>
      <c r="E937" s="24"/>
      <c r="F937" s="24"/>
      <c r="G937" s="24"/>
      <c r="H937" s="24"/>
      <c r="I937" s="24"/>
    </row>
    <row r="938" spans="1:9" ht="15.75" customHeight="1" x14ac:dyDescent="0.2">
      <c r="A938" s="24"/>
      <c r="B938" s="24"/>
      <c r="C938" s="24"/>
      <c r="D938" s="24"/>
      <c r="E938" s="24"/>
      <c r="F938" s="24"/>
      <c r="G938" s="24"/>
      <c r="H938" s="24"/>
      <c r="I938" s="24"/>
    </row>
    <row r="939" spans="1:9" ht="15.75" customHeight="1" x14ac:dyDescent="0.2">
      <c r="A939" s="24"/>
      <c r="B939" s="24"/>
      <c r="C939" s="24"/>
      <c r="D939" s="24"/>
      <c r="E939" s="24"/>
      <c r="F939" s="24"/>
      <c r="G939" s="24"/>
      <c r="H939" s="24"/>
      <c r="I939" s="24"/>
    </row>
    <row r="940" spans="1:9" ht="15.75" customHeight="1" x14ac:dyDescent="0.2">
      <c r="A940" s="24"/>
      <c r="B940" s="24"/>
      <c r="C940" s="24"/>
      <c r="D940" s="24"/>
      <c r="E940" s="24"/>
      <c r="F940" s="24"/>
      <c r="G940" s="24"/>
      <c r="H940" s="24"/>
      <c r="I940" s="24"/>
    </row>
    <row r="941" spans="1:9" ht="15.75" customHeight="1" x14ac:dyDescent="0.2">
      <c r="A941" s="24"/>
      <c r="B941" s="24"/>
      <c r="C941" s="24"/>
      <c r="D941" s="24"/>
      <c r="E941" s="24"/>
      <c r="F941" s="24"/>
      <c r="G941" s="24"/>
      <c r="H941" s="24"/>
      <c r="I941" s="24"/>
    </row>
    <row r="942" spans="1:9" ht="15.75" customHeight="1" x14ac:dyDescent="0.2">
      <c r="A942" s="24"/>
      <c r="B942" s="24"/>
      <c r="C942" s="24"/>
      <c r="D942" s="24"/>
      <c r="E942" s="24"/>
      <c r="F942" s="24"/>
      <c r="G942" s="24"/>
      <c r="H942" s="24"/>
      <c r="I942" s="24"/>
    </row>
    <row r="943" spans="1:9" ht="15.75" customHeight="1" x14ac:dyDescent="0.2">
      <c r="A943" s="24"/>
      <c r="B943" s="24"/>
      <c r="C943" s="24"/>
      <c r="D943" s="24"/>
      <c r="E943" s="24"/>
      <c r="F943" s="24"/>
      <c r="G943" s="24"/>
      <c r="H943" s="24"/>
      <c r="I943" s="24"/>
    </row>
    <row r="944" spans="1:9" ht="15.75" customHeight="1" x14ac:dyDescent="0.2">
      <c r="A944" s="24"/>
      <c r="B944" s="24"/>
      <c r="C944" s="24"/>
      <c r="D944" s="24"/>
      <c r="E944" s="24"/>
      <c r="F944" s="24"/>
      <c r="G944" s="24"/>
      <c r="H944" s="24"/>
      <c r="I944" s="24"/>
    </row>
    <row r="945" spans="1:9" ht="15.75" customHeight="1" x14ac:dyDescent="0.2">
      <c r="A945" s="24"/>
      <c r="B945" s="24"/>
      <c r="C945" s="24"/>
      <c r="D945" s="24"/>
      <c r="E945" s="24"/>
      <c r="F945" s="24"/>
      <c r="G945" s="24"/>
      <c r="H945" s="24"/>
      <c r="I945" s="24"/>
    </row>
    <row r="946" spans="1:9" ht="15.75" customHeight="1" x14ac:dyDescent="0.2">
      <c r="A946" s="24"/>
      <c r="B946" s="24"/>
      <c r="C946" s="24"/>
      <c r="D946" s="24"/>
      <c r="E946" s="24"/>
      <c r="F946" s="24"/>
      <c r="G946" s="24"/>
      <c r="H946" s="24"/>
      <c r="I946" s="24"/>
    </row>
    <row r="947" spans="1:9" ht="15.75" customHeight="1" x14ac:dyDescent="0.2">
      <c r="A947" s="24"/>
      <c r="B947" s="24"/>
      <c r="C947" s="24"/>
      <c r="D947" s="24"/>
      <c r="E947" s="24"/>
      <c r="F947" s="24"/>
      <c r="G947" s="24"/>
      <c r="H947" s="24"/>
      <c r="I947" s="24"/>
    </row>
    <row r="948" spans="1:9" ht="15.75" customHeight="1" x14ac:dyDescent="0.2">
      <c r="A948" s="24"/>
      <c r="B948" s="24"/>
      <c r="C948" s="24"/>
      <c r="D948" s="24"/>
      <c r="E948" s="24"/>
      <c r="F948" s="24"/>
      <c r="G948" s="24"/>
      <c r="H948" s="24"/>
      <c r="I948" s="24"/>
    </row>
    <row r="949" spans="1:9" ht="15.75" customHeight="1" x14ac:dyDescent="0.2">
      <c r="A949" s="24"/>
      <c r="B949" s="24"/>
      <c r="C949" s="24"/>
      <c r="D949" s="24"/>
      <c r="E949" s="24"/>
      <c r="F949" s="24"/>
      <c r="G949" s="24"/>
      <c r="H949" s="24"/>
      <c r="I949" s="24"/>
    </row>
    <row r="950" spans="1:9" ht="15.75" customHeight="1" x14ac:dyDescent="0.2">
      <c r="A950" s="24"/>
      <c r="B950" s="24"/>
      <c r="C950" s="24"/>
      <c r="D950" s="24"/>
      <c r="E950" s="24"/>
      <c r="F950" s="24"/>
      <c r="G950" s="24"/>
      <c r="H950" s="24"/>
      <c r="I950" s="24"/>
    </row>
    <row r="951" spans="1:9" ht="15.75" customHeight="1" x14ac:dyDescent="0.2">
      <c r="A951" s="24"/>
      <c r="B951" s="24"/>
      <c r="C951" s="24"/>
      <c r="D951" s="24"/>
      <c r="E951" s="24"/>
      <c r="F951" s="24"/>
      <c r="G951" s="24"/>
      <c r="H951" s="24"/>
      <c r="I951" s="24"/>
    </row>
    <row r="952" spans="1:9" ht="15.75" customHeight="1" x14ac:dyDescent="0.2">
      <c r="A952" s="24"/>
      <c r="B952" s="24"/>
      <c r="C952" s="24"/>
      <c r="D952" s="24"/>
      <c r="E952" s="24"/>
      <c r="F952" s="24"/>
      <c r="G952" s="24"/>
      <c r="H952" s="24"/>
      <c r="I952" s="24"/>
    </row>
    <row r="953" spans="1:9" ht="15.75" customHeight="1" x14ac:dyDescent="0.2">
      <c r="A953" s="24"/>
      <c r="B953" s="24"/>
      <c r="C953" s="24"/>
      <c r="D953" s="24"/>
      <c r="E953" s="24"/>
      <c r="F953" s="24"/>
      <c r="G953" s="24"/>
      <c r="H953" s="24"/>
      <c r="I953" s="24"/>
    </row>
    <row r="954" spans="1:9" ht="15.75" customHeight="1" x14ac:dyDescent="0.2">
      <c r="A954" s="24"/>
      <c r="B954" s="24"/>
      <c r="C954" s="24"/>
      <c r="D954" s="24"/>
      <c r="E954" s="24"/>
      <c r="F954" s="24"/>
      <c r="G954" s="24"/>
      <c r="H954" s="24"/>
      <c r="I954" s="24"/>
    </row>
    <row r="955" spans="1:9" ht="15.75" customHeight="1" x14ac:dyDescent="0.2">
      <c r="A955" s="24"/>
      <c r="B955" s="24"/>
      <c r="C955" s="24"/>
      <c r="D955" s="24"/>
      <c r="E955" s="24"/>
      <c r="F955" s="24"/>
      <c r="G955" s="24"/>
      <c r="H955" s="24"/>
      <c r="I955" s="24"/>
    </row>
    <row r="956" spans="1:9" ht="15.75" customHeight="1" x14ac:dyDescent="0.2">
      <c r="A956" s="24"/>
      <c r="B956" s="24"/>
      <c r="C956" s="24"/>
      <c r="D956" s="24"/>
      <c r="E956" s="24"/>
      <c r="F956" s="24"/>
      <c r="G956" s="24"/>
      <c r="H956" s="24"/>
      <c r="I956" s="24"/>
    </row>
    <row r="957" spans="1:9" ht="15.75" customHeight="1" x14ac:dyDescent="0.2">
      <c r="A957" s="24"/>
      <c r="B957" s="24"/>
      <c r="C957" s="24"/>
      <c r="D957" s="24"/>
      <c r="E957" s="24"/>
      <c r="F957" s="24"/>
      <c r="G957" s="24"/>
      <c r="H957" s="24"/>
      <c r="I957" s="24"/>
    </row>
    <row r="958" spans="1:9" ht="15.75" customHeight="1" x14ac:dyDescent="0.2">
      <c r="A958" s="24"/>
      <c r="B958" s="24"/>
      <c r="C958" s="24"/>
      <c r="D958" s="24"/>
      <c r="E958" s="24"/>
      <c r="F958" s="24"/>
      <c r="G958" s="24"/>
      <c r="H958" s="24"/>
      <c r="I958" s="24"/>
    </row>
    <row r="959" spans="1:9" ht="15.75" customHeight="1" x14ac:dyDescent="0.2">
      <c r="A959" s="24"/>
      <c r="B959" s="24"/>
      <c r="C959" s="24"/>
      <c r="D959" s="24"/>
      <c r="E959" s="24"/>
      <c r="F959" s="24"/>
      <c r="G959" s="24"/>
      <c r="H959" s="24"/>
      <c r="I959" s="24"/>
    </row>
    <row r="960" spans="1:9" ht="15.75" customHeight="1" x14ac:dyDescent="0.2">
      <c r="A960" s="24"/>
      <c r="B960" s="24"/>
      <c r="C960" s="24"/>
      <c r="D960" s="24"/>
      <c r="E960" s="24"/>
      <c r="F960" s="24"/>
      <c r="G960" s="24"/>
      <c r="H960" s="24"/>
      <c r="I960" s="24"/>
    </row>
    <row r="961" spans="1:9" ht="15.75" customHeight="1" x14ac:dyDescent="0.2">
      <c r="A961" s="24"/>
      <c r="B961" s="24"/>
      <c r="C961" s="24"/>
      <c r="D961" s="24"/>
      <c r="E961" s="24"/>
      <c r="F961" s="24"/>
      <c r="G961" s="24"/>
      <c r="H961" s="24"/>
      <c r="I961" s="24"/>
    </row>
    <row r="962" spans="1:9" ht="15.75" customHeight="1" x14ac:dyDescent="0.2">
      <c r="A962" s="24"/>
      <c r="B962" s="24"/>
      <c r="C962" s="24"/>
      <c r="D962" s="24"/>
      <c r="E962" s="24"/>
      <c r="F962" s="24"/>
      <c r="G962" s="24"/>
      <c r="H962" s="24"/>
      <c r="I962" s="24"/>
    </row>
    <row r="963" spans="1:9" ht="15.75" customHeight="1" x14ac:dyDescent="0.2">
      <c r="A963" s="24"/>
      <c r="B963" s="24"/>
      <c r="C963" s="24"/>
      <c r="D963" s="24"/>
      <c r="E963" s="24"/>
      <c r="F963" s="24"/>
      <c r="G963" s="24"/>
      <c r="H963" s="24"/>
      <c r="I963" s="24"/>
    </row>
    <row r="964" spans="1:9" ht="15.75" customHeight="1" x14ac:dyDescent="0.2">
      <c r="A964" s="24"/>
      <c r="B964" s="24"/>
      <c r="C964" s="24"/>
      <c r="D964" s="24"/>
      <c r="E964" s="24"/>
      <c r="F964" s="24"/>
      <c r="G964" s="24"/>
      <c r="H964" s="24"/>
      <c r="I964" s="24"/>
    </row>
    <row r="965" spans="1:9" ht="15.75" customHeight="1" x14ac:dyDescent="0.2">
      <c r="A965" s="24"/>
      <c r="B965" s="24"/>
      <c r="C965" s="24"/>
      <c r="D965" s="24"/>
      <c r="E965" s="24"/>
      <c r="F965" s="24"/>
      <c r="G965" s="24"/>
      <c r="H965" s="24"/>
      <c r="I965" s="24"/>
    </row>
    <row r="966" spans="1:9" ht="15.75" customHeight="1" x14ac:dyDescent="0.2">
      <c r="A966" s="24"/>
      <c r="B966" s="24"/>
      <c r="C966" s="24"/>
      <c r="D966" s="24"/>
      <c r="E966" s="24"/>
      <c r="F966" s="24"/>
      <c r="G966" s="24"/>
      <c r="H966" s="24"/>
      <c r="I966" s="24"/>
    </row>
    <row r="967" spans="1:9" ht="15.75" customHeight="1" x14ac:dyDescent="0.2">
      <c r="A967" s="24"/>
      <c r="B967" s="24"/>
      <c r="C967" s="24"/>
      <c r="D967" s="24"/>
      <c r="E967" s="24"/>
      <c r="F967" s="24"/>
      <c r="G967" s="24"/>
      <c r="H967" s="24"/>
      <c r="I967" s="24"/>
    </row>
    <row r="968" spans="1:9" ht="15.75" customHeight="1" x14ac:dyDescent="0.2">
      <c r="A968" s="24"/>
      <c r="B968" s="24"/>
      <c r="C968" s="24"/>
      <c r="D968" s="24"/>
      <c r="E968" s="24"/>
      <c r="F968" s="24"/>
      <c r="G968" s="24"/>
      <c r="H968" s="24"/>
      <c r="I968" s="24"/>
    </row>
    <row r="969" spans="1:9" ht="15.75" customHeight="1" x14ac:dyDescent="0.2">
      <c r="A969" s="24"/>
      <c r="B969" s="24"/>
      <c r="C969" s="24"/>
      <c r="D969" s="24"/>
      <c r="E969" s="24"/>
      <c r="F969" s="24"/>
      <c r="G969" s="24"/>
      <c r="H969" s="24"/>
      <c r="I969" s="24"/>
    </row>
    <row r="970" spans="1:9" ht="15.75" customHeight="1" x14ac:dyDescent="0.2">
      <c r="A970" s="24"/>
      <c r="B970" s="24"/>
      <c r="C970" s="24"/>
      <c r="D970" s="24"/>
      <c r="E970" s="24"/>
      <c r="F970" s="24"/>
      <c r="G970" s="24"/>
      <c r="H970" s="24"/>
      <c r="I970" s="24"/>
    </row>
    <row r="971" spans="1:9" ht="15.75" customHeight="1" x14ac:dyDescent="0.2">
      <c r="A971" s="24"/>
      <c r="B971" s="24"/>
      <c r="C971" s="24"/>
      <c r="D971" s="24"/>
      <c r="E971" s="24"/>
      <c r="F971" s="24"/>
      <c r="G971" s="24"/>
      <c r="H971" s="24"/>
      <c r="I971" s="24"/>
    </row>
    <row r="972" spans="1:9" ht="15.75" customHeight="1" x14ac:dyDescent="0.2">
      <c r="A972" s="24"/>
      <c r="B972" s="24"/>
      <c r="C972" s="24"/>
      <c r="D972" s="24"/>
      <c r="E972" s="24"/>
      <c r="F972" s="24"/>
      <c r="G972" s="24"/>
      <c r="H972" s="24"/>
      <c r="I972" s="24"/>
    </row>
    <row r="973" spans="1:9" ht="15.75" customHeight="1" x14ac:dyDescent="0.2">
      <c r="A973" s="24"/>
      <c r="B973" s="24"/>
      <c r="C973" s="24"/>
      <c r="D973" s="24"/>
      <c r="E973" s="24"/>
      <c r="F973" s="24"/>
      <c r="G973" s="24"/>
      <c r="H973" s="24"/>
      <c r="I973" s="24"/>
    </row>
    <row r="974" spans="1:9" ht="15.75" customHeight="1" x14ac:dyDescent="0.2">
      <c r="A974" s="24"/>
      <c r="B974" s="24"/>
      <c r="C974" s="24"/>
      <c r="D974" s="24"/>
      <c r="E974" s="24"/>
      <c r="F974" s="24"/>
      <c r="G974" s="24"/>
      <c r="H974" s="24"/>
      <c r="I974" s="24"/>
    </row>
    <row r="975" spans="1:9" ht="15.75" customHeight="1" x14ac:dyDescent="0.2">
      <c r="A975" s="24"/>
      <c r="B975" s="24"/>
      <c r="C975" s="24"/>
      <c r="D975" s="24"/>
      <c r="E975" s="24"/>
      <c r="F975" s="24"/>
      <c r="G975" s="24"/>
      <c r="H975" s="24"/>
      <c r="I975" s="24"/>
    </row>
    <row r="976" spans="1:9" ht="15.75" customHeight="1" x14ac:dyDescent="0.2">
      <c r="A976" s="24"/>
      <c r="B976" s="24"/>
      <c r="C976" s="24"/>
      <c r="D976" s="24"/>
      <c r="E976" s="24"/>
      <c r="F976" s="24"/>
      <c r="G976" s="24"/>
      <c r="H976" s="24"/>
      <c r="I976" s="24"/>
    </row>
    <row r="977" spans="1:9" ht="15.75" customHeight="1" x14ac:dyDescent="0.2">
      <c r="A977" s="24"/>
      <c r="B977" s="24"/>
      <c r="C977" s="24"/>
      <c r="D977" s="24"/>
      <c r="E977" s="24"/>
      <c r="F977" s="24"/>
      <c r="G977" s="24"/>
      <c r="H977" s="24"/>
      <c r="I977" s="24"/>
    </row>
    <row r="978" spans="1:9" ht="15.75" customHeight="1" x14ac:dyDescent="0.2">
      <c r="A978" s="24"/>
      <c r="B978" s="24"/>
      <c r="C978" s="24"/>
      <c r="D978" s="24"/>
      <c r="E978" s="24"/>
      <c r="F978" s="24"/>
      <c r="G978" s="24"/>
      <c r="H978" s="24"/>
      <c r="I978" s="24"/>
    </row>
    <row r="979" spans="1:9" ht="15.75" customHeight="1" x14ac:dyDescent="0.2">
      <c r="A979" s="24"/>
      <c r="B979" s="24"/>
      <c r="C979" s="24"/>
      <c r="D979" s="24"/>
      <c r="E979" s="24"/>
      <c r="F979" s="24"/>
      <c r="G979" s="24"/>
      <c r="H979" s="24"/>
      <c r="I979" s="24"/>
    </row>
    <row r="980" spans="1:9" ht="15.75" customHeight="1" x14ac:dyDescent="0.2">
      <c r="A980" s="24"/>
      <c r="B980" s="24"/>
      <c r="C980" s="24"/>
      <c r="D980" s="24"/>
      <c r="E980" s="24"/>
      <c r="F980" s="24"/>
      <c r="G980" s="24"/>
      <c r="H980" s="24"/>
      <c r="I980" s="24"/>
    </row>
    <row r="981" spans="1:9" ht="15.75" customHeight="1" x14ac:dyDescent="0.2">
      <c r="A981" s="24"/>
      <c r="B981" s="24"/>
      <c r="C981" s="24"/>
      <c r="D981" s="24"/>
      <c r="E981" s="24"/>
      <c r="F981" s="24"/>
      <c r="G981" s="24"/>
      <c r="H981" s="24"/>
      <c r="I981" s="24"/>
    </row>
    <row r="982" spans="1:9" ht="15.75" customHeight="1" x14ac:dyDescent="0.2">
      <c r="A982" s="24"/>
      <c r="B982" s="24"/>
      <c r="C982" s="24"/>
      <c r="D982" s="24"/>
      <c r="E982" s="24"/>
      <c r="F982" s="24"/>
      <c r="G982" s="24"/>
      <c r="H982" s="24"/>
      <c r="I982" s="24"/>
    </row>
    <row r="983" spans="1:9" ht="15.75" customHeight="1" x14ac:dyDescent="0.2">
      <c r="A983" s="24"/>
      <c r="B983" s="24"/>
      <c r="C983" s="24"/>
      <c r="D983" s="24"/>
      <c r="E983" s="24"/>
      <c r="F983" s="24"/>
      <c r="G983" s="24"/>
      <c r="H983" s="24"/>
      <c r="I983" s="24"/>
    </row>
    <row r="984" spans="1:9" ht="15.75" customHeight="1" x14ac:dyDescent="0.2">
      <c r="A984" s="24"/>
      <c r="B984" s="24"/>
      <c r="C984" s="24"/>
      <c r="D984" s="24"/>
      <c r="E984" s="24"/>
      <c r="F984" s="24"/>
      <c r="G984" s="24"/>
      <c r="H984" s="24"/>
      <c r="I984" s="24"/>
    </row>
    <row r="985" spans="1:9" ht="15.75" customHeight="1" x14ac:dyDescent="0.2">
      <c r="A985" s="24"/>
      <c r="B985" s="24"/>
      <c r="C985" s="24"/>
      <c r="D985" s="24"/>
      <c r="E985" s="24"/>
      <c r="F985" s="24"/>
      <c r="G985" s="24"/>
      <c r="H985" s="24"/>
      <c r="I985" s="24"/>
    </row>
    <row r="986" spans="1:9" ht="15.75" customHeight="1" x14ac:dyDescent="0.2">
      <c r="A986" s="24"/>
      <c r="B986" s="24"/>
      <c r="C986" s="24"/>
      <c r="D986" s="24"/>
      <c r="E986" s="24"/>
      <c r="F986" s="24"/>
      <c r="G986" s="24"/>
      <c r="H986" s="24"/>
      <c r="I986" s="24"/>
    </row>
    <row r="987" spans="1:9" ht="15.75" customHeight="1" x14ac:dyDescent="0.2">
      <c r="A987" s="24"/>
      <c r="B987" s="24"/>
      <c r="C987" s="24"/>
      <c r="D987" s="24"/>
      <c r="E987" s="24"/>
      <c r="F987" s="24"/>
      <c r="G987" s="24"/>
      <c r="H987" s="24"/>
      <c r="I987" s="24"/>
    </row>
    <row r="988" spans="1:9" ht="15.75" customHeight="1" x14ac:dyDescent="0.2">
      <c r="A988" s="24"/>
      <c r="B988" s="24"/>
      <c r="C988" s="24"/>
      <c r="D988" s="24"/>
      <c r="E988" s="24"/>
      <c r="F988" s="24"/>
      <c r="G988" s="24"/>
      <c r="H988" s="24"/>
      <c r="I988" s="24"/>
    </row>
    <row r="989" spans="1:9" ht="15.75" customHeight="1" x14ac:dyDescent="0.2">
      <c r="A989" s="24"/>
      <c r="B989" s="24"/>
      <c r="C989" s="24"/>
      <c r="D989" s="24"/>
      <c r="E989" s="24"/>
      <c r="F989" s="24"/>
      <c r="G989" s="24"/>
      <c r="H989" s="24"/>
      <c r="I989" s="24"/>
    </row>
    <row r="990" spans="1:9" ht="15.75" customHeight="1" x14ac:dyDescent="0.2">
      <c r="A990" s="24"/>
      <c r="B990" s="24"/>
      <c r="C990" s="24"/>
      <c r="D990" s="24"/>
      <c r="E990" s="24"/>
      <c r="F990" s="24"/>
      <c r="G990" s="24"/>
      <c r="H990" s="24"/>
      <c r="I990" s="24"/>
    </row>
    <row r="991" spans="1:9" ht="15.75" customHeight="1" x14ac:dyDescent="0.2">
      <c r="A991" s="24"/>
      <c r="B991" s="24"/>
      <c r="C991" s="24"/>
      <c r="D991" s="24"/>
      <c r="E991" s="24"/>
      <c r="F991" s="24"/>
      <c r="G991" s="24"/>
      <c r="H991" s="24"/>
      <c r="I991" s="24"/>
    </row>
    <row r="992" spans="1:9" ht="15.75" customHeight="1" x14ac:dyDescent="0.2">
      <c r="A992" s="24"/>
      <c r="B992" s="24"/>
      <c r="C992" s="24"/>
      <c r="D992" s="24"/>
      <c r="E992" s="24"/>
      <c r="F992" s="24"/>
      <c r="G992" s="24"/>
      <c r="H992" s="24"/>
      <c r="I992" s="24"/>
    </row>
    <row r="993" spans="1:9" ht="15.75" customHeight="1" x14ac:dyDescent="0.2">
      <c r="A993" s="24"/>
      <c r="B993" s="24"/>
      <c r="C993" s="24"/>
      <c r="D993" s="24"/>
      <c r="E993" s="24"/>
      <c r="F993" s="24"/>
      <c r="G993" s="24"/>
      <c r="H993" s="24"/>
      <c r="I993" s="24"/>
    </row>
    <row r="994" spans="1:9" ht="15.75" customHeight="1" x14ac:dyDescent="0.2">
      <c r="A994" s="24"/>
      <c r="B994" s="24"/>
      <c r="C994" s="24"/>
      <c r="D994" s="24"/>
      <c r="E994" s="24"/>
      <c r="F994" s="24"/>
      <c r="G994" s="24"/>
      <c r="H994" s="24"/>
      <c r="I994" s="24"/>
    </row>
    <row r="995" spans="1:9" ht="15.75" customHeight="1" x14ac:dyDescent="0.2">
      <c r="A995" s="24"/>
      <c r="B995" s="24"/>
      <c r="C995" s="24"/>
      <c r="D995" s="24"/>
      <c r="E995" s="24"/>
      <c r="F995" s="24"/>
      <c r="G995" s="24"/>
      <c r="H995" s="24"/>
      <c r="I995" s="24"/>
    </row>
    <row r="996" spans="1:9" ht="15.75" customHeight="1" x14ac:dyDescent="0.2">
      <c r="A996" s="24"/>
      <c r="B996" s="24"/>
      <c r="C996" s="24"/>
      <c r="D996" s="24"/>
      <c r="E996" s="24"/>
      <c r="F996" s="24"/>
      <c r="G996" s="24"/>
      <c r="H996" s="24"/>
      <c r="I996" s="24"/>
    </row>
    <row r="997" spans="1:9" ht="15.75" customHeight="1" x14ac:dyDescent="0.2">
      <c r="A997" s="24"/>
      <c r="B997" s="24"/>
      <c r="C997" s="24"/>
      <c r="D997" s="24"/>
      <c r="E997" s="24"/>
      <c r="F997" s="24"/>
      <c r="G997" s="24"/>
      <c r="H997" s="24"/>
      <c r="I997" s="24"/>
    </row>
    <row r="998" spans="1:9" ht="15.75" customHeight="1" x14ac:dyDescent="0.2">
      <c r="A998" s="24"/>
      <c r="B998" s="24"/>
      <c r="C998" s="24"/>
      <c r="D998" s="24"/>
      <c r="E998" s="24"/>
      <c r="F998" s="24"/>
      <c r="G998" s="24"/>
      <c r="H998" s="24"/>
      <c r="I998" s="24"/>
    </row>
    <row r="999" spans="1:9" ht="15.75" customHeight="1" x14ac:dyDescent="0.2">
      <c r="A999" s="24"/>
      <c r="B999" s="24"/>
      <c r="C999" s="24"/>
      <c r="D999" s="24"/>
      <c r="E999" s="24"/>
      <c r="F999" s="24"/>
      <c r="G999" s="24"/>
      <c r="H999" s="24"/>
      <c r="I999" s="24"/>
    </row>
    <row r="1000" spans="1:9" ht="15.75" customHeight="1" x14ac:dyDescent="0.2">
      <c r="A1000" s="24"/>
      <c r="B1000" s="24"/>
      <c r="C1000" s="24"/>
      <c r="D1000" s="24"/>
      <c r="E1000" s="24"/>
      <c r="F1000" s="24"/>
      <c r="G1000" s="24"/>
      <c r="H1000" s="24"/>
      <c r="I1000" s="24"/>
    </row>
  </sheetData>
  <mergeCells count="1">
    <mergeCell ref="A1:G1"/>
  </mergeCells>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8FC0C-E8C6-4835-8EBD-06D45298CDC7}">
  <dimension ref="A1:P1166"/>
  <sheetViews>
    <sheetView workbookViewId="0">
      <selection sqref="A1:G1"/>
    </sheetView>
  </sheetViews>
  <sheetFormatPr baseColWidth="10" defaultColWidth="8.7109375" defaultRowHeight="16" x14ac:dyDescent="0.2"/>
  <cols>
    <col min="1" max="1" width="22.140625" customWidth="1"/>
    <col min="8" max="8" width="27" customWidth="1"/>
    <col min="9" max="9" width="66" customWidth="1"/>
    <col min="10" max="10" width="17" customWidth="1"/>
  </cols>
  <sheetData>
    <row r="1" spans="1:16" ht="29" customHeight="1" x14ac:dyDescent="0.2">
      <c r="A1" s="57" t="s">
        <v>5249</v>
      </c>
      <c r="B1" s="57"/>
      <c r="C1" s="57"/>
      <c r="D1" s="57"/>
      <c r="E1" s="57"/>
      <c r="F1" s="57"/>
      <c r="G1" s="57"/>
      <c r="H1" s="23"/>
      <c r="I1" s="23"/>
      <c r="J1" s="33"/>
    </row>
    <row r="2" spans="1:16" x14ac:dyDescent="0.2">
      <c r="A2" s="24" t="s">
        <v>0</v>
      </c>
      <c r="B2" s="24" t="s">
        <v>1</v>
      </c>
      <c r="C2" s="24" t="s">
        <v>2</v>
      </c>
      <c r="D2" s="24" t="s">
        <v>3</v>
      </c>
      <c r="E2" s="24" t="s">
        <v>4</v>
      </c>
      <c r="F2" s="24" t="s">
        <v>5</v>
      </c>
      <c r="G2" s="24" t="s">
        <v>6</v>
      </c>
      <c r="H2" s="24" t="s">
        <v>7</v>
      </c>
      <c r="I2" s="25" t="s">
        <v>8</v>
      </c>
      <c r="J2" s="39" t="s">
        <v>3155</v>
      </c>
    </row>
    <row r="3" spans="1:16" x14ac:dyDescent="0.2">
      <c r="A3" s="35" t="s">
        <v>1256</v>
      </c>
      <c r="B3" s="35">
        <v>166.987294556427</v>
      </c>
      <c r="C3" s="35">
        <v>-3.6035192353862202</v>
      </c>
      <c r="D3" s="35">
        <v>0.40717266193622598</v>
      </c>
      <c r="E3" s="35">
        <v>-8.8501011297035994</v>
      </c>
      <c r="F3" s="40">
        <v>8.7440025835475403E-19</v>
      </c>
      <c r="G3" s="40">
        <v>1.5017124917036201E-14</v>
      </c>
      <c r="H3" s="24" t="s">
        <v>10</v>
      </c>
      <c r="I3" t="str">
        <f>VLOOKUP(A3,TableS5!A:J,9,FALSE)</f>
        <v>Predicted protein</v>
      </c>
      <c r="J3" s="33" t="s">
        <v>10</v>
      </c>
      <c r="K3" s="33"/>
      <c r="L3" s="35"/>
      <c r="M3" s="35"/>
      <c r="O3" s="35"/>
      <c r="P3" s="35"/>
    </row>
    <row r="4" spans="1:16" x14ac:dyDescent="0.2">
      <c r="A4" s="35" t="s">
        <v>1257</v>
      </c>
      <c r="B4" s="35">
        <v>1515.9142615205999</v>
      </c>
      <c r="C4" s="35">
        <v>-7.6730802494955697</v>
      </c>
      <c r="D4" s="35">
        <v>0.87044686505948599</v>
      </c>
      <c r="E4" s="35">
        <v>-8.8151046979429299</v>
      </c>
      <c r="F4" s="40">
        <v>1.1957326742873501E-18</v>
      </c>
      <c r="G4" s="40">
        <v>1.71131267456215E-14</v>
      </c>
      <c r="H4" s="29" t="s">
        <v>10</v>
      </c>
      <c r="I4" s="33" t="str">
        <f>VLOOKUP(A4,TableS5!A:J,9,FALSE)</f>
        <v>GFP-like fluorescent chromoprotein cFP484</v>
      </c>
      <c r="J4" s="30" t="s">
        <v>10</v>
      </c>
      <c r="K4" s="33"/>
      <c r="L4" s="35"/>
      <c r="M4" s="35"/>
      <c r="O4" s="35"/>
      <c r="P4" s="35"/>
    </row>
    <row r="5" spans="1:16" x14ac:dyDescent="0.2">
      <c r="A5" s="35" t="s">
        <v>1259</v>
      </c>
      <c r="B5" s="35">
        <v>574.34755878249098</v>
      </c>
      <c r="C5" s="35">
        <v>-3.0898698678930798</v>
      </c>
      <c r="D5" s="35">
        <v>0.35339188355305201</v>
      </c>
      <c r="E5" s="35">
        <v>-8.7434658567341508</v>
      </c>
      <c r="F5" s="40">
        <v>2.26066220853602E-18</v>
      </c>
      <c r="G5" s="40">
        <v>2.77321892155995E-14</v>
      </c>
      <c r="H5" s="33" t="str">
        <f>VLOOKUP(A5,TableS5!A:J,8,FALSE)</f>
        <v>K04605</v>
      </c>
      <c r="I5" s="24" t="s">
        <v>10</v>
      </c>
      <c r="J5" s="33" t="s">
        <v>10</v>
      </c>
      <c r="K5" s="33"/>
      <c r="L5" s="35"/>
      <c r="M5" s="35"/>
      <c r="O5" s="35"/>
      <c r="P5" s="35"/>
    </row>
    <row r="6" spans="1:16" x14ac:dyDescent="0.2">
      <c r="A6" s="35" t="s">
        <v>1261</v>
      </c>
      <c r="B6" s="35">
        <v>811.99282736342695</v>
      </c>
      <c r="C6" s="35">
        <v>-7.5397692976335504</v>
      </c>
      <c r="D6" s="35">
        <v>0.86957287737981404</v>
      </c>
      <c r="E6" s="35">
        <v>-8.6706583125640808</v>
      </c>
      <c r="F6" s="40">
        <v>4.29629154453227E-18</v>
      </c>
      <c r="G6" s="40">
        <v>4.6115856402566403E-14</v>
      </c>
      <c r="H6" s="33" t="str">
        <f>VLOOKUP(A6,TableS5!A:J,8,FALSE)</f>
        <v>K06051</v>
      </c>
      <c r="I6" s="33" t="str">
        <f>VLOOKUP(A6,TableS5!A:J,9,FALSE)</f>
        <v>Putative delta-like protein D</v>
      </c>
      <c r="J6" s="33" t="s">
        <v>10</v>
      </c>
      <c r="K6" s="33"/>
      <c r="L6" s="35"/>
      <c r="M6" s="35"/>
      <c r="O6" s="35"/>
      <c r="P6" s="35"/>
    </row>
    <row r="7" spans="1:16" x14ac:dyDescent="0.2">
      <c r="A7" s="35" t="s">
        <v>1264</v>
      </c>
      <c r="B7" s="35">
        <v>117.427829681334</v>
      </c>
      <c r="C7" s="35">
        <v>-5.2293084156456198</v>
      </c>
      <c r="D7" s="35">
        <v>0.60480240311061795</v>
      </c>
      <c r="E7" s="35">
        <v>-8.6463089246177898</v>
      </c>
      <c r="F7" s="40">
        <v>5.3191990578902801E-18</v>
      </c>
      <c r="G7" s="40">
        <v>5.0751660255566298E-14</v>
      </c>
      <c r="H7" s="24" t="s">
        <v>382</v>
      </c>
      <c r="I7" s="33" t="str">
        <f>VLOOKUP(A7,TableS5!A:J,9,FALSE)</f>
        <v xml:space="preserve"> basement membrane-specific heparan sulfate proteoglycan core protein-lik</v>
      </c>
      <c r="J7" s="33" t="s">
        <v>4071</v>
      </c>
      <c r="K7" s="33"/>
      <c r="L7" s="35"/>
      <c r="M7" s="35"/>
      <c r="O7" s="35"/>
      <c r="P7" s="35"/>
    </row>
    <row r="8" spans="1:16" x14ac:dyDescent="0.2">
      <c r="A8" s="35" t="s">
        <v>1266</v>
      </c>
      <c r="B8" s="35">
        <v>146.059719443501</v>
      </c>
      <c r="C8" s="35">
        <v>-3.1158050615953901</v>
      </c>
      <c r="D8" s="35">
        <v>0.40853344218231502</v>
      </c>
      <c r="E8" s="35">
        <v>-7.6268053967658096</v>
      </c>
      <c r="F8" s="40">
        <v>2.40642429434774E-14</v>
      </c>
      <c r="G8" s="40">
        <v>8.6100858574972801E-11</v>
      </c>
      <c r="H8" s="29" t="s">
        <v>10</v>
      </c>
      <c r="I8" s="24" t="s">
        <v>4025</v>
      </c>
      <c r="J8" s="30" t="s">
        <v>10</v>
      </c>
      <c r="K8" s="33"/>
      <c r="L8" s="35"/>
      <c r="M8" s="35"/>
      <c r="O8" s="35"/>
      <c r="P8" s="35"/>
    </row>
    <row r="9" spans="1:16" x14ac:dyDescent="0.2">
      <c r="A9" s="45" t="s">
        <v>1268</v>
      </c>
      <c r="B9" s="45">
        <v>235.943808040531</v>
      </c>
      <c r="C9" s="45">
        <v>-3.6264986602232399</v>
      </c>
      <c r="D9" s="45">
        <v>0.48210765009251699</v>
      </c>
      <c r="E9" s="45">
        <v>-7.5221761354073298</v>
      </c>
      <c r="F9" s="46">
        <v>5.3871939909047E-14</v>
      </c>
      <c r="G9" s="46">
        <v>1.8504149407719101E-10</v>
      </c>
      <c r="H9" s="47" t="s">
        <v>3837</v>
      </c>
      <c r="I9" s="47" t="s">
        <v>4156</v>
      </c>
      <c r="J9" s="50" t="s">
        <v>4052</v>
      </c>
      <c r="K9" s="33"/>
      <c r="L9" s="35"/>
      <c r="M9" s="35"/>
      <c r="O9" s="35"/>
      <c r="P9" s="35"/>
    </row>
    <row r="10" spans="1:16" x14ac:dyDescent="0.2">
      <c r="A10" s="35" t="s">
        <v>1269</v>
      </c>
      <c r="B10" s="35">
        <v>910.419104019423</v>
      </c>
      <c r="C10" s="35">
        <v>-4.8643315413636499</v>
      </c>
      <c r="D10" s="35">
        <v>0.65074399695668195</v>
      </c>
      <c r="E10" s="35">
        <v>-7.4750309862442696</v>
      </c>
      <c r="F10" s="40">
        <v>7.7185664642190794E-14</v>
      </c>
      <c r="G10" s="40">
        <v>2.3671465030319901E-10</v>
      </c>
      <c r="H10" s="24" t="s">
        <v>10</v>
      </c>
      <c r="I10" s="33" t="str">
        <f>VLOOKUP(A10,TableS5!A:J,9,FALSE)</f>
        <v>Predicted protein (Fragment)</v>
      </c>
      <c r="J10" s="33" t="s">
        <v>10</v>
      </c>
      <c r="K10" s="33"/>
      <c r="L10" s="35"/>
      <c r="M10" s="35"/>
      <c r="O10" s="35"/>
      <c r="P10" s="35"/>
    </row>
    <row r="11" spans="1:16" x14ac:dyDescent="0.2">
      <c r="A11" s="35" t="s">
        <v>1271</v>
      </c>
      <c r="B11" s="35">
        <v>75.283318232687094</v>
      </c>
      <c r="C11" s="35">
        <v>-4.3426906711043198</v>
      </c>
      <c r="D11" s="35">
        <v>0.58980834634939605</v>
      </c>
      <c r="E11" s="35">
        <v>-7.3628843979290703</v>
      </c>
      <c r="F11" s="40">
        <v>1.79978226582736E-13</v>
      </c>
      <c r="G11" s="40">
        <v>4.8296594671519195E-10</v>
      </c>
      <c r="H11" s="24" t="s">
        <v>10</v>
      </c>
      <c r="I11" s="33" t="str">
        <f>VLOOKUP(A11,TableS5!A:J,9,FALSE)</f>
        <v>Predicted protein</v>
      </c>
      <c r="J11" s="33" t="s">
        <v>10</v>
      </c>
      <c r="K11" s="33"/>
      <c r="L11" s="35"/>
      <c r="M11" s="35"/>
      <c r="O11" s="35"/>
      <c r="P11" s="35"/>
    </row>
    <row r="12" spans="1:16" x14ac:dyDescent="0.2">
      <c r="A12" s="35" t="s">
        <v>1272</v>
      </c>
      <c r="B12" s="35">
        <v>223.539023767559</v>
      </c>
      <c r="C12" s="35">
        <v>-4.1914917326050096</v>
      </c>
      <c r="D12" s="35">
        <v>0.57991051008918804</v>
      </c>
      <c r="E12" s="35">
        <v>-7.2278250862540299</v>
      </c>
      <c r="F12" s="40">
        <v>4.9079026802678396E-13</v>
      </c>
      <c r="G12" s="40">
        <v>1.1706847529368901E-9</v>
      </c>
      <c r="H12" s="33" t="str">
        <f>VLOOKUP(A12,TableS5!A:J,8,FALSE)</f>
        <v>K08467</v>
      </c>
      <c r="I12" s="33" t="str">
        <f>VLOOKUP(A12,TableS5!A:J,9,FALSE)</f>
        <v>Potassium channel (Fragment)</v>
      </c>
      <c r="J12" s="33" t="s">
        <v>10</v>
      </c>
      <c r="K12" s="33"/>
      <c r="L12" s="35"/>
      <c r="M12" s="35"/>
      <c r="O12" s="35"/>
      <c r="P12" s="35"/>
    </row>
    <row r="13" spans="1:16" x14ac:dyDescent="0.2">
      <c r="A13" s="35" t="s">
        <v>1275</v>
      </c>
      <c r="B13" s="35">
        <v>876.75391402790001</v>
      </c>
      <c r="C13" s="35">
        <v>-3.4291437241403901</v>
      </c>
      <c r="D13" s="35">
        <v>0.47578585367544002</v>
      </c>
      <c r="E13" s="35">
        <v>-7.2073259380250496</v>
      </c>
      <c r="F13" s="40">
        <v>5.7061308378752596E-13</v>
      </c>
      <c r="G13" s="40">
        <v>1.2980522843139801E-9</v>
      </c>
      <c r="H13" s="33" t="str">
        <f>VLOOKUP(A13,TableS5!A:J,8,FALSE)</f>
        <v>K04200</v>
      </c>
      <c r="I13" s="33" t="str">
        <f>VLOOKUP(A13,TableS5!A:J,9,FALSE)</f>
        <v xml:space="preserve">putative adrenocorticotropic hormone receptor-like </v>
      </c>
      <c r="J13" s="33" t="s">
        <v>10</v>
      </c>
      <c r="K13" s="33"/>
      <c r="L13" s="35"/>
      <c r="M13" s="35"/>
      <c r="O13" s="35"/>
      <c r="P13" s="35"/>
    </row>
    <row r="14" spans="1:16" x14ac:dyDescent="0.2">
      <c r="A14" s="35" t="s">
        <v>1278</v>
      </c>
      <c r="B14" s="35">
        <v>282.10010282588502</v>
      </c>
      <c r="C14" s="35">
        <v>-2.6830589080878098</v>
      </c>
      <c r="D14" s="35">
        <v>0.37231507936622699</v>
      </c>
      <c r="E14" s="35">
        <v>-7.2064201983305303</v>
      </c>
      <c r="F14" s="40">
        <v>5.74419615515498E-13</v>
      </c>
      <c r="G14" s="40">
        <v>1.2980522843139801E-9</v>
      </c>
      <c r="H14" s="24" t="s">
        <v>10</v>
      </c>
      <c r="I14" s="33" t="str">
        <f>VLOOKUP(A14,TableS5!A:J,9,FALSE)</f>
        <v>Predicted protein</v>
      </c>
      <c r="J14" s="33" t="s">
        <v>10</v>
      </c>
      <c r="K14" s="33"/>
      <c r="L14" s="35"/>
      <c r="M14" s="35"/>
      <c r="O14" s="35"/>
      <c r="P14" s="35"/>
    </row>
    <row r="15" spans="1:16" x14ac:dyDescent="0.2">
      <c r="A15" s="35" t="s">
        <v>1279</v>
      </c>
      <c r="B15" s="35">
        <v>373.458835249331</v>
      </c>
      <c r="C15" s="35">
        <v>-3.5473604456575498</v>
      </c>
      <c r="D15" s="35">
        <v>0.49422973348128002</v>
      </c>
      <c r="E15" s="35">
        <v>-7.1775536867652203</v>
      </c>
      <c r="F15" s="40">
        <v>7.0969793520643901E-13</v>
      </c>
      <c r="G15" s="40">
        <v>1.5626274716439E-9</v>
      </c>
      <c r="H15" s="33" t="str">
        <f>VLOOKUP(A15,TableS5!A:J,8,FALSE)</f>
        <v>K08202</v>
      </c>
      <c r="I15" s="33" t="str">
        <f>VLOOKUP(A15,TableS5!A:J,9,FALSE)</f>
        <v>uncharacterized protein LOC106181466</v>
      </c>
      <c r="J15" s="33" t="s">
        <v>10</v>
      </c>
      <c r="K15" s="33"/>
      <c r="L15" s="35"/>
      <c r="M15" s="35"/>
      <c r="O15" s="35"/>
      <c r="P15" s="35"/>
    </row>
    <row r="16" spans="1:16" x14ac:dyDescent="0.2">
      <c r="A16" s="35" t="s">
        <v>1281</v>
      </c>
      <c r="B16" s="35">
        <v>550.35590969460998</v>
      </c>
      <c r="C16" s="35">
        <v>-3.83264749357568</v>
      </c>
      <c r="D16" s="35">
        <v>0.54708434200901002</v>
      </c>
      <c r="E16" s="35">
        <v>-7.0055879857598899</v>
      </c>
      <c r="F16" s="40">
        <v>2.4595071064098802E-12</v>
      </c>
      <c r="G16" s="40">
        <v>4.69334077187828E-9</v>
      </c>
      <c r="H16" s="24" t="s">
        <v>10</v>
      </c>
      <c r="I16" s="29" t="s">
        <v>4157</v>
      </c>
      <c r="J16" s="30" t="s">
        <v>10</v>
      </c>
      <c r="K16" s="33"/>
      <c r="L16" s="35"/>
      <c r="M16" s="35"/>
      <c r="O16" s="35"/>
      <c r="P16" s="35"/>
    </row>
    <row r="17" spans="1:16" x14ac:dyDescent="0.2">
      <c r="A17" s="35" t="s">
        <v>1282</v>
      </c>
      <c r="B17" s="35">
        <v>132.14704419132701</v>
      </c>
      <c r="C17" s="35">
        <v>-2.9623930506938998</v>
      </c>
      <c r="D17" s="35">
        <v>0.42429994298441498</v>
      </c>
      <c r="E17" s="35">
        <v>-6.98183702278439</v>
      </c>
      <c r="F17" s="40">
        <v>2.9134500003679999E-12</v>
      </c>
      <c r="G17" s="40">
        <v>5.4387144561217601E-9</v>
      </c>
      <c r="H17" s="24" t="s">
        <v>10</v>
      </c>
      <c r="I17" s="24" t="s">
        <v>10</v>
      </c>
      <c r="J17" s="33" t="s">
        <v>10</v>
      </c>
      <c r="K17" s="33"/>
      <c r="L17" s="35"/>
      <c r="M17" s="35"/>
      <c r="O17" s="35"/>
      <c r="P17" s="35"/>
    </row>
    <row r="18" spans="1:16" x14ac:dyDescent="0.2">
      <c r="A18" s="35" t="s">
        <v>1284</v>
      </c>
      <c r="B18" s="35">
        <v>190.891115049642</v>
      </c>
      <c r="C18" s="35">
        <v>-2.9526449685408198</v>
      </c>
      <c r="D18" s="35">
        <v>0.426488852125186</v>
      </c>
      <c r="E18" s="35">
        <v>-6.9231468860858802</v>
      </c>
      <c r="F18" s="40">
        <v>4.4171932874615199E-12</v>
      </c>
      <c r="G18" s="40">
        <v>7.4374275448550603E-9</v>
      </c>
      <c r="H18" s="33" t="str">
        <f>VLOOKUP(A18,TableS5!A:J,8,FALSE)</f>
        <v>K06238</v>
      </c>
      <c r="I18" s="24" t="s">
        <v>10</v>
      </c>
      <c r="J18" s="33" t="s">
        <v>10</v>
      </c>
      <c r="K18" s="33"/>
      <c r="L18" s="35"/>
      <c r="M18" s="35"/>
      <c r="O18" s="35"/>
      <c r="P18" s="35"/>
    </row>
    <row r="19" spans="1:16" x14ac:dyDescent="0.2">
      <c r="A19" s="35" t="s">
        <v>1285</v>
      </c>
      <c r="B19" s="35">
        <v>878.28694770652601</v>
      </c>
      <c r="C19" s="35">
        <v>-3.6261099845820501</v>
      </c>
      <c r="D19" s="35">
        <v>0.52518635450358697</v>
      </c>
      <c r="E19" s="35">
        <v>-6.9044253596601797</v>
      </c>
      <c r="F19" s="40">
        <v>5.0407051942643E-12</v>
      </c>
      <c r="G19" s="40">
        <v>8.1669885988050806E-9</v>
      </c>
      <c r="H19" s="24" t="s">
        <v>10</v>
      </c>
      <c r="I19" s="24" t="s">
        <v>10</v>
      </c>
      <c r="J19" s="33" t="s">
        <v>10</v>
      </c>
      <c r="K19" s="33"/>
      <c r="L19" s="35"/>
      <c r="M19" s="35"/>
      <c r="O19" s="35"/>
      <c r="P19" s="35"/>
    </row>
    <row r="20" spans="1:16" x14ac:dyDescent="0.2">
      <c r="A20" s="35" t="s">
        <v>1286</v>
      </c>
      <c r="B20" s="35">
        <v>920.58656581063099</v>
      </c>
      <c r="C20" s="35">
        <v>-5.8554113225820803</v>
      </c>
      <c r="D20" s="35">
        <v>0.85220792485857799</v>
      </c>
      <c r="E20" s="35">
        <v>-6.8708717107433204</v>
      </c>
      <c r="F20" s="40">
        <v>6.3810760834284703E-12</v>
      </c>
      <c r="G20" s="40">
        <v>1.0147210821483101E-8</v>
      </c>
      <c r="H20" s="24" t="s">
        <v>3156</v>
      </c>
      <c r="I20" s="29" t="s">
        <v>4158</v>
      </c>
      <c r="J20" s="30" t="s">
        <v>10</v>
      </c>
      <c r="K20" s="33"/>
      <c r="L20" s="35"/>
      <c r="M20" s="35"/>
      <c r="O20" s="35"/>
      <c r="P20" s="35"/>
    </row>
    <row r="21" spans="1:16" x14ac:dyDescent="0.2">
      <c r="A21" s="35" t="s">
        <v>1287</v>
      </c>
      <c r="B21" s="35">
        <v>161.698661417095</v>
      </c>
      <c r="C21" s="35">
        <v>-3.0583639184305702</v>
      </c>
      <c r="D21" s="35">
        <v>0.44732152537637798</v>
      </c>
      <c r="E21" s="35">
        <v>-6.8370595755642398</v>
      </c>
      <c r="F21" s="40">
        <v>8.0835131513891997E-12</v>
      </c>
      <c r="G21" s="40">
        <v>1.2395345675409699E-8</v>
      </c>
      <c r="H21" s="24" t="s">
        <v>10</v>
      </c>
      <c r="I21" s="24" t="s">
        <v>10</v>
      </c>
      <c r="J21" s="33" t="s">
        <v>10</v>
      </c>
      <c r="K21" s="33"/>
      <c r="L21" s="35"/>
      <c r="M21" s="35"/>
      <c r="O21" s="35"/>
      <c r="P21" s="35"/>
    </row>
    <row r="22" spans="1:16" x14ac:dyDescent="0.2">
      <c r="A22" s="35" t="s">
        <v>1288</v>
      </c>
      <c r="B22" s="35">
        <v>116.925528795668</v>
      </c>
      <c r="C22" s="35">
        <v>-4.4793027156724596</v>
      </c>
      <c r="D22" s="35">
        <v>0.65732640824801802</v>
      </c>
      <c r="E22" s="35">
        <v>-6.8144268349285104</v>
      </c>
      <c r="F22" s="40">
        <v>9.4640324576499798E-12</v>
      </c>
      <c r="G22" s="40">
        <v>1.42576479152783E-8</v>
      </c>
      <c r="H22" s="24" t="s">
        <v>3848</v>
      </c>
      <c r="I22" s="29" t="s">
        <v>4159</v>
      </c>
      <c r="J22" s="30" t="s">
        <v>10</v>
      </c>
      <c r="K22" s="33"/>
      <c r="L22" s="35"/>
      <c r="M22" s="35"/>
      <c r="O22" s="35"/>
      <c r="P22" s="35"/>
    </row>
    <row r="23" spans="1:16" x14ac:dyDescent="0.2">
      <c r="A23" s="35" t="s">
        <v>1289</v>
      </c>
      <c r="B23" s="35">
        <v>319.53678648631097</v>
      </c>
      <c r="C23" s="35">
        <v>-3.4274942532040198</v>
      </c>
      <c r="D23" s="35">
        <v>0.50450491468357805</v>
      </c>
      <c r="E23" s="35">
        <v>-6.7937777283175302</v>
      </c>
      <c r="F23" s="40">
        <v>1.09234642717099E-11</v>
      </c>
      <c r="G23" s="40">
        <v>1.6172565525448199E-8</v>
      </c>
      <c r="H23" s="33" t="str">
        <f>VLOOKUP(A23,TableS5!A:J,8,FALSE)</f>
        <v>K09225</v>
      </c>
      <c r="I23" s="33" t="str">
        <f>VLOOKUP(A23,TableS5!A:J,9,FALSE)</f>
        <v>Predicted protein</v>
      </c>
      <c r="J23" s="33" t="s">
        <v>10</v>
      </c>
      <c r="K23" s="33"/>
      <c r="L23" s="35"/>
      <c r="M23" s="35"/>
      <c r="O23" s="35"/>
      <c r="P23" s="35"/>
    </row>
    <row r="24" spans="1:16" x14ac:dyDescent="0.2">
      <c r="A24" s="35" t="s">
        <v>1291</v>
      </c>
      <c r="B24" s="35">
        <v>979.40061169591695</v>
      </c>
      <c r="C24" s="35">
        <v>-2.8821165874725798</v>
      </c>
      <c r="D24" s="35">
        <v>0.42444720445408202</v>
      </c>
      <c r="E24" s="35">
        <v>-6.7902828837794296</v>
      </c>
      <c r="F24" s="40">
        <v>1.1191388386228999E-11</v>
      </c>
      <c r="G24" s="40">
        <v>1.6288401900235099E-8</v>
      </c>
      <c r="H24" s="24" t="s">
        <v>10</v>
      </c>
      <c r="I24" s="33" t="str">
        <f>VLOOKUP(A24,TableS5!A:J,9,FALSE)</f>
        <v>Vitellogenin (Fragment)</v>
      </c>
      <c r="J24" s="33" t="s">
        <v>10</v>
      </c>
      <c r="K24" s="33"/>
      <c r="L24" s="35"/>
      <c r="M24" s="35"/>
      <c r="O24" s="35"/>
      <c r="P24" s="35"/>
    </row>
    <row r="25" spans="1:16" x14ac:dyDescent="0.2">
      <c r="A25" s="35" t="s">
        <v>1293</v>
      </c>
      <c r="B25" s="35">
        <v>922.79673250625206</v>
      </c>
      <c r="C25" s="35">
        <v>-4.2390865883895898</v>
      </c>
      <c r="D25" s="35">
        <v>0.62683511291691696</v>
      </c>
      <c r="E25" s="35">
        <v>-6.7626820850277696</v>
      </c>
      <c r="F25" s="40">
        <v>1.3546026788314899E-11</v>
      </c>
      <c r="G25" s="40">
        <v>1.93868477723232E-8</v>
      </c>
      <c r="H25" s="24" t="s">
        <v>4115</v>
      </c>
      <c r="I25" s="29" t="s">
        <v>4160</v>
      </c>
      <c r="J25" s="33" t="s">
        <v>3054</v>
      </c>
      <c r="K25" s="33"/>
      <c r="L25" s="35"/>
      <c r="M25" s="35"/>
      <c r="O25" s="35"/>
      <c r="P25" s="35"/>
    </row>
    <row r="26" spans="1:16" x14ac:dyDescent="0.2">
      <c r="A26" s="35" t="s">
        <v>1294</v>
      </c>
      <c r="B26" s="35">
        <v>53.288182225484398</v>
      </c>
      <c r="C26" s="35">
        <v>-4.7363519014303304</v>
      </c>
      <c r="D26" s="35">
        <v>0.701637515999324</v>
      </c>
      <c r="E26" s="35">
        <v>-6.7504256734112298</v>
      </c>
      <c r="F26" s="40">
        <v>1.4741202220730598E-11</v>
      </c>
      <c r="G26" s="40">
        <v>2.0416802837038001E-8</v>
      </c>
      <c r="H26" s="24" t="s">
        <v>10</v>
      </c>
      <c r="I26" s="33" t="str">
        <f>VLOOKUP(A26,TableS5!A:J,9,FALSE)</f>
        <v>Predicted protein (Fragment)</v>
      </c>
      <c r="J26" s="33" t="s">
        <v>10</v>
      </c>
      <c r="K26" s="33"/>
      <c r="L26" s="35"/>
      <c r="M26" s="35"/>
      <c r="O26" s="35"/>
      <c r="P26" s="35"/>
    </row>
    <row r="27" spans="1:16" x14ac:dyDescent="0.2">
      <c r="A27" s="35" t="s">
        <v>1295</v>
      </c>
      <c r="B27" s="35">
        <v>159.10235412282199</v>
      </c>
      <c r="C27" s="35">
        <v>-5.3807868472450604</v>
      </c>
      <c r="D27" s="35">
        <v>0.79857170136623101</v>
      </c>
      <c r="E27" s="35">
        <v>-6.7380134282737201</v>
      </c>
      <c r="F27" s="40">
        <v>1.6056673314543001E-11</v>
      </c>
      <c r="G27" s="40">
        <v>2.1885755463382899E-8</v>
      </c>
      <c r="H27" s="24" t="s">
        <v>10</v>
      </c>
      <c r="I27" s="24" t="s">
        <v>10</v>
      </c>
      <c r="J27" s="33" t="s">
        <v>10</v>
      </c>
      <c r="K27" s="33"/>
      <c r="L27" s="35"/>
      <c r="M27" s="35"/>
      <c r="O27" s="35"/>
      <c r="P27" s="35"/>
    </row>
    <row r="28" spans="1:16" x14ac:dyDescent="0.2">
      <c r="A28" s="35" t="s">
        <v>1296</v>
      </c>
      <c r="B28" s="35">
        <v>97.780289368041807</v>
      </c>
      <c r="C28" s="35">
        <v>-6.0857095064538296</v>
      </c>
      <c r="D28" s="35">
        <v>0.90446435939654801</v>
      </c>
      <c r="E28" s="35">
        <v>-6.72852328920309</v>
      </c>
      <c r="F28" s="40">
        <v>1.7139356865772199E-11</v>
      </c>
      <c r="G28" s="40">
        <v>2.2642672514165001E-8</v>
      </c>
      <c r="H28" s="33" t="str">
        <f>VLOOKUP(A28,TableS5!A:J,8,FALSE)</f>
        <v>K17341</v>
      </c>
      <c r="I28" s="29" t="s">
        <v>4161</v>
      </c>
      <c r="J28" s="30" t="s">
        <v>10</v>
      </c>
      <c r="K28" s="33"/>
      <c r="L28" s="35"/>
      <c r="M28" s="35"/>
      <c r="O28" s="35"/>
      <c r="P28" s="35"/>
    </row>
    <row r="29" spans="1:16" x14ac:dyDescent="0.2">
      <c r="A29" s="35" t="s">
        <v>1297</v>
      </c>
      <c r="B29" s="35">
        <v>463.01921217015899</v>
      </c>
      <c r="C29" s="35">
        <v>-2.4701573915031698</v>
      </c>
      <c r="D29" s="35">
        <v>0.37092350734433299</v>
      </c>
      <c r="E29" s="35">
        <v>-6.6594792257534001</v>
      </c>
      <c r="F29" s="40">
        <v>2.74799541311711E-11</v>
      </c>
      <c r="G29" s="40">
        <v>3.2774043627747099E-8</v>
      </c>
      <c r="H29" s="33" t="str">
        <f>VLOOKUP(A29,TableS5!A:J,8,FALSE)</f>
        <v>K08132</v>
      </c>
      <c r="I29" s="24" t="s">
        <v>3925</v>
      </c>
      <c r="J29" s="30" t="s">
        <v>10</v>
      </c>
      <c r="K29" s="33"/>
      <c r="L29" s="35"/>
      <c r="M29" s="35"/>
      <c r="O29" s="35"/>
      <c r="P29" s="35"/>
    </row>
    <row r="30" spans="1:16" x14ac:dyDescent="0.2">
      <c r="A30" s="35" t="s">
        <v>1299</v>
      </c>
      <c r="B30" s="35">
        <v>1044.00870960823</v>
      </c>
      <c r="C30" s="35">
        <v>-3.3135729632331601</v>
      </c>
      <c r="D30" s="35">
        <v>0.49835081828651101</v>
      </c>
      <c r="E30" s="35">
        <v>-6.6490769988625296</v>
      </c>
      <c r="F30" s="40">
        <v>2.9493668405412098E-11</v>
      </c>
      <c r="G30" s="40">
        <v>3.4693846570426599E-8</v>
      </c>
      <c r="H30" s="24" t="s">
        <v>3856</v>
      </c>
      <c r="I30" s="24" t="s">
        <v>3980</v>
      </c>
      <c r="J30" s="33" t="s">
        <v>4081</v>
      </c>
      <c r="K30" s="33"/>
      <c r="L30" s="35"/>
      <c r="M30" s="35"/>
      <c r="O30" s="35"/>
      <c r="P30" s="35"/>
    </row>
    <row r="31" spans="1:16" x14ac:dyDescent="0.2">
      <c r="A31" s="35" t="s">
        <v>1300</v>
      </c>
      <c r="B31" s="35">
        <v>2222.8781651440599</v>
      </c>
      <c r="C31" s="35">
        <v>-2.9935374337544398</v>
      </c>
      <c r="D31" s="35">
        <v>0.45157400540255399</v>
      </c>
      <c r="E31" s="35">
        <v>-6.6291181466166504</v>
      </c>
      <c r="F31" s="40">
        <v>3.37698217452181E-11</v>
      </c>
      <c r="G31" s="40">
        <v>3.76603683517354E-8</v>
      </c>
      <c r="H31" s="33" t="str">
        <f>VLOOKUP(A31,TableS5!A:J,8,FALSE)</f>
        <v>K03768</v>
      </c>
      <c r="I31" s="33" t="str">
        <f>VLOOKUP(A31,TableS5!A:J,9,FALSE)</f>
        <v xml:space="preserve">peptidyl-prolyl cis-trans isomerase 6-like </v>
      </c>
      <c r="J31" s="33" t="s">
        <v>10</v>
      </c>
      <c r="K31" s="33"/>
      <c r="L31" s="35"/>
      <c r="M31" s="35"/>
      <c r="O31" s="35"/>
      <c r="P31" s="35"/>
    </row>
    <row r="32" spans="1:16" x14ac:dyDescent="0.2">
      <c r="A32" s="35" t="s">
        <v>1303</v>
      </c>
      <c r="B32" s="35">
        <v>212.8688006097</v>
      </c>
      <c r="C32" s="35">
        <v>-2.6283062726484498</v>
      </c>
      <c r="D32" s="35">
        <v>0.39943814468980399</v>
      </c>
      <c r="E32" s="35">
        <v>-6.58000821301016</v>
      </c>
      <c r="F32" s="40">
        <v>4.7042228303344398E-11</v>
      </c>
      <c r="G32" s="40">
        <v>5.0494539832956099E-8</v>
      </c>
      <c r="H32" s="24" t="s">
        <v>10</v>
      </c>
      <c r="I32" s="24" t="s">
        <v>10</v>
      </c>
      <c r="J32" s="33" t="s">
        <v>10</v>
      </c>
      <c r="K32" s="33"/>
      <c r="L32" s="35"/>
      <c r="M32" s="35"/>
      <c r="O32" s="35"/>
      <c r="P32" s="35"/>
    </row>
    <row r="33" spans="1:16" x14ac:dyDescent="0.2">
      <c r="A33" s="35" t="s">
        <v>1304</v>
      </c>
      <c r="B33" s="35">
        <v>54.296889225930698</v>
      </c>
      <c r="C33" s="35">
        <v>-4.1630873244365798</v>
      </c>
      <c r="D33" s="35">
        <v>0.63485620669855303</v>
      </c>
      <c r="E33" s="35">
        <v>-6.5575279575290102</v>
      </c>
      <c r="F33" s="40">
        <v>5.4707056741905902E-11</v>
      </c>
      <c r="G33" s="40">
        <v>5.79969094998049E-8</v>
      </c>
      <c r="H33" s="24" t="s">
        <v>10</v>
      </c>
      <c r="I33" s="33" t="str">
        <f>VLOOKUP(A33,TableS5!A:J,9,FALSE)</f>
        <v>Predicted protein (Fragment)</v>
      </c>
      <c r="J33" s="33" t="s">
        <v>10</v>
      </c>
      <c r="K33" s="33"/>
      <c r="L33" s="35"/>
      <c r="M33" s="35"/>
      <c r="O33" s="35"/>
      <c r="P33" s="35"/>
    </row>
    <row r="34" spans="1:16" x14ac:dyDescent="0.2">
      <c r="A34" s="35" t="s">
        <v>1305</v>
      </c>
      <c r="B34" s="35">
        <v>548.51433784700203</v>
      </c>
      <c r="C34" s="35">
        <v>-3.1673185857882502</v>
      </c>
      <c r="D34" s="35">
        <v>0.48945692832779297</v>
      </c>
      <c r="E34" s="35">
        <v>-6.4710874491229404</v>
      </c>
      <c r="F34" s="40">
        <v>9.7300099048561203E-11</v>
      </c>
      <c r="G34" s="40">
        <v>9.8297138887047003E-8</v>
      </c>
      <c r="H34" s="33" t="str">
        <f>VLOOKUP(A34,TableS5!A:J,8,FALSE)</f>
        <v>K06236</v>
      </c>
      <c r="I34" s="33" t="str">
        <f>VLOOKUP(A34,TableS5!A:J,9,FALSE)</f>
        <v>collagen alpha-2(I) chain-like</v>
      </c>
      <c r="J34" s="33" t="s">
        <v>10</v>
      </c>
      <c r="K34" s="33"/>
      <c r="L34" s="35"/>
      <c r="M34" s="35"/>
      <c r="O34" s="35"/>
      <c r="P34" s="35"/>
    </row>
    <row r="35" spans="1:16" x14ac:dyDescent="0.2">
      <c r="A35" s="35" t="s">
        <v>1308</v>
      </c>
      <c r="B35" s="35">
        <v>79.758737682631505</v>
      </c>
      <c r="C35" s="35">
        <v>-3.8449062889571199</v>
      </c>
      <c r="D35" s="35">
        <v>0.60114710943644001</v>
      </c>
      <c r="E35" s="35">
        <v>-6.3959490590608103</v>
      </c>
      <c r="F35" s="40">
        <v>1.5955319419676099E-10</v>
      </c>
      <c r="G35" s="40">
        <v>1.5569309475988701E-7</v>
      </c>
      <c r="H35" s="24" t="s">
        <v>10</v>
      </c>
      <c r="I35" s="33" t="str">
        <f>VLOOKUP(A35,TableS5!A:J,9,FALSE)</f>
        <v>Predicted protein (Fragment)</v>
      </c>
      <c r="J35" s="33" t="s">
        <v>10</v>
      </c>
      <c r="K35" s="33"/>
      <c r="L35" s="35"/>
      <c r="M35" s="35"/>
      <c r="O35" s="35"/>
      <c r="P35" s="35"/>
    </row>
    <row r="36" spans="1:16" x14ac:dyDescent="0.2">
      <c r="A36" s="35" t="s">
        <v>1309</v>
      </c>
      <c r="B36" s="35">
        <v>136.63497487649701</v>
      </c>
      <c r="C36" s="35">
        <v>-2.8803427006814202</v>
      </c>
      <c r="D36" s="35">
        <v>0.45185766440922498</v>
      </c>
      <c r="E36" s="35">
        <v>-6.3744469277671501</v>
      </c>
      <c r="F36" s="40">
        <v>1.8362438817017301E-10</v>
      </c>
      <c r="G36" s="40">
        <v>1.77168649848999E-7</v>
      </c>
      <c r="H36" s="33" t="str">
        <f>VLOOKUP(A36,TableS5!A:J,8,FALSE)</f>
        <v xml:space="preserve"> K08133 </v>
      </c>
      <c r="I36" s="33" t="str">
        <f>VLOOKUP(A36,TableS5!A:J,9,FALSE)</f>
        <v>collagen alpha-1(XIV) chain-like isoform X2)</v>
      </c>
      <c r="J36" s="30" t="s">
        <v>10</v>
      </c>
      <c r="K36" s="33"/>
      <c r="L36" s="35"/>
      <c r="M36" s="35"/>
      <c r="O36" s="35"/>
      <c r="P36" s="35"/>
    </row>
    <row r="37" spans="1:16" x14ac:dyDescent="0.2">
      <c r="A37" s="35" t="s">
        <v>1312</v>
      </c>
      <c r="B37" s="35">
        <v>868.10832908278701</v>
      </c>
      <c r="C37" s="35">
        <v>-2.8196235644757901</v>
      </c>
      <c r="D37" s="35">
        <v>0.44578710602781502</v>
      </c>
      <c r="E37" s="35">
        <v>-6.3250451310717297</v>
      </c>
      <c r="F37" s="40">
        <v>2.53158580941114E-10</v>
      </c>
      <c r="G37" s="40">
        <v>2.3888989564828999E-7</v>
      </c>
      <c r="H37" s="24" t="s">
        <v>10</v>
      </c>
      <c r="I37" s="33" t="str">
        <f>VLOOKUP(A37,TableS5!A:J,9,FALSE)</f>
        <v>Predicted protein</v>
      </c>
      <c r="J37" s="33" t="s">
        <v>10</v>
      </c>
      <c r="K37" s="33"/>
      <c r="L37" s="35"/>
      <c r="M37" s="35"/>
      <c r="O37" s="35"/>
      <c r="P37" s="35"/>
    </row>
    <row r="38" spans="1:16" x14ac:dyDescent="0.2">
      <c r="A38" s="35" t="s">
        <v>1313</v>
      </c>
      <c r="B38" s="35">
        <v>102.68923532982799</v>
      </c>
      <c r="C38" s="35">
        <v>-3.1773277432914702</v>
      </c>
      <c r="D38" s="35">
        <v>0.50411219353261305</v>
      </c>
      <c r="E38" s="35">
        <v>-6.3028186662695997</v>
      </c>
      <c r="F38" s="40">
        <v>2.9228077874918102E-10</v>
      </c>
      <c r="G38" s="40">
        <v>2.6987572851581601E-7</v>
      </c>
      <c r="H38" s="24" t="s">
        <v>10</v>
      </c>
      <c r="I38" s="33" t="str">
        <f>VLOOKUP(A38,TableS5!A:J,9,FALSE)</f>
        <v>Predicted protein</v>
      </c>
      <c r="J38" s="33" t="s">
        <v>10</v>
      </c>
      <c r="K38" s="33"/>
      <c r="L38" s="35"/>
      <c r="M38" s="35"/>
      <c r="O38" s="35"/>
      <c r="P38" s="35"/>
    </row>
    <row r="39" spans="1:16" x14ac:dyDescent="0.2">
      <c r="A39" s="35" t="s">
        <v>1314</v>
      </c>
      <c r="B39" s="35">
        <v>741.495108615758</v>
      </c>
      <c r="C39" s="35">
        <v>-4.4137317289524702</v>
      </c>
      <c r="D39" s="35">
        <v>0.702607697892765</v>
      </c>
      <c r="E39" s="35">
        <v>-6.2819290796129401</v>
      </c>
      <c r="F39" s="40">
        <v>3.34397397486199E-10</v>
      </c>
      <c r="G39" s="40">
        <v>3.0226356757407799E-7</v>
      </c>
      <c r="H39" s="24" t="s">
        <v>10</v>
      </c>
      <c r="I39" s="33" t="str">
        <f>VLOOKUP(A39,TableS5!A:J,9,FALSE)</f>
        <v>Predicted protein (Fragment)</v>
      </c>
      <c r="J39" s="33" t="s">
        <v>10</v>
      </c>
      <c r="K39" s="33"/>
      <c r="L39" s="35"/>
      <c r="M39" s="35"/>
      <c r="O39" s="35"/>
      <c r="P39" s="35"/>
    </row>
    <row r="40" spans="1:16" x14ac:dyDescent="0.2">
      <c r="A40" s="35" t="s">
        <v>1315</v>
      </c>
      <c r="B40" s="35">
        <v>1135.87610746165</v>
      </c>
      <c r="C40" s="35">
        <v>-2.5517819092576399</v>
      </c>
      <c r="D40" s="35">
        <v>0.407247683549677</v>
      </c>
      <c r="E40" s="35">
        <v>-6.2659212374534299</v>
      </c>
      <c r="F40" s="40">
        <v>3.7062764485000899E-10</v>
      </c>
      <c r="G40" s="40">
        <v>3.3152256761369902E-7</v>
      </c>
      <c r="H40" s="24" t="s">
        <v>10</v>
      </c>
      <c r="I40" s="33" t="str">
        <f>VLOOKUP(A40,TableS5!A:J,9,FALSE)</f>
        <v>Vitellogenin (Fragment)</v>
      </c>
      <c r="J40" s="33" t="s">
        <v>10</v>
      </c>
      <c r="K40" s="33"/>
      <c r="L40" s="35"/>
      <c r="M40" s="35"/>
      <c r="O40" s="35"/>
      <c r="P40" s="35"/>
    </row>
    <row r="41" spans="1:16" x14ac:dyDescent="0.2">
      <c r="A41" s="35" t="s">
        <v>1316</v>
      </c>
      <c r="B41" s="35">
        <v>1399.8225266804</v>
      </c>
      <c r="C41" s="35">
        <v>-2.0189812277356198</v>
      </c>
      <c r="D41" s="35">
        <v>0.32258057323470601</v>
      </c>
      <c r="E41" s="35">
        <v>-6.2588432015297899</v>
      </c>
      <c r="F41" s="40">
        <v>3.8784357600845402E-10</v>
      </c>
      <c r="G41" s="40">
        <v>3.3304515715422002E-7</v>
      </c>
      <c r="H41" s="24" t="s">
        <v>1317</v>
      </c>
      <c r="I41" s="24" t="s">
        <v>3976</v>
      </c>
      <c r="J41" s="33" t="s">
        <v>4079</v>
      </c>
      <c r="K41" s="33"/>
      <c r="L41" s="35"/>
      <c r="M41" s="35"/>
      <c r="O41" s="35"/>
      <c r="P41" s="35"/>
    </row>
    <row r="42" spans="1:16" x14ac:dyDescent="0.2">
      <c r="A42" s="35" t="s">
        <v>1318</v>
      </c>
      <c r="B42" s="35">
        <v>269.14875873496999</v>
      </c>
      <c r="C42" s="35">
        <v>-3.0117715296510701</v>
      </c>
      <c r="D42" s="35">
        <v>0.48141456269023503</v>
      </c>
      <c r="E42" s="35">
        <v>-6.2560872957824998</v>
      </c>
      <c r="F42" s="40">
        <v>3.94755838751942E-10</v>
      </c>
      <c r="G42" s="40">
        <v>3.3562454088582202E-7</v>
      </c>
      <c r="H42" s="24" t="s">
        <v>10</v>
      </c>
      <c r="I42" s="33" t="str">
        <f>VLOOKUP(A42,TableS5!A:J,9,FALSE)</f>
        <v>Predicted protein (Fragment)</v>
      </c>
      <c r="J42" s="33" t="s">
        <v>10</v>
      </c>
      <c r="K42" s="33"/>
      <c r="L42" s="35"/>
      <c r="M42" s="35"/>
      <c r="O42" s="35"/>
      <c r="P42" s="35"/>
    </row>
    <row r="43" spans="1:16" x14ac:dyDescent="0.2">
      <c r="A43" s="35" t="s">
        <v>1319</v>
      </c>
      <c r="B43" s="35">
        <v>124.268902752315</v>
      </c>
      <c r="C43" s="35">
        <v>-6.3100122585365597</v>
      </c>
      <c r="D43" s="35">
        <v>1.0143803097508</v>
      </c>
      <c r="E43" s="35">
        <v>-6.2205586976414402</v>
      </c>
      <c r="F43" s="40">
        <v>4.95387691935695E-10</v>
      </c>
      <c r="G43" s="40">
        <v>4.05137490421048E-7</v>
      </c>
      <c r="H43" s="33" t="str">
        <f>VLOOKUP(A43,TableS5!A:J,8,FALSE)</f>
        <v xml:space="preserve">K01315 </v>
      </c>
      <c r="I43" s="33" t="str">
        <f>VLOOKUP(A43,TableS5!A:J,9,FALSE)</f>
        <v>plasminogen-like</v>
      </c>
      <c r="J43" s="33" t="s">
        <v>10</v>
      </c>
      <c r="K43" s="33"/>
      <c r="L43" s="35"/>
      <c r="M43" s="35"/>
      <c r="O43" s="35"/>
      <c r="P43" s="35"/>
    </row>
    <row r="44" spans="1:16" x14ac:dyDescent="0.2">
      <c r="A44" s="35" t="s">
        <v>1322</v>
      </c>
      <c r="B44" s="35">
        <v>1396.79115382451</v>
      </c>
      <c r="C44" s="35">
        <v>-7.6611399368065998</v>
      </c>
      <c r="D44" s="35">
        <v>1.25638245979416</v>
      </c>
      <c r="E44" s="35">
        <v>-6.0977768967434898</v>
      </c>
      <c r="F44" s="40">
        <v>1.0755371179390799E-9</v>
      </c>
      <c r="G44" s="40">
        <v>8.2462007012987998E-7</v>
      </c>
      <c r="H44" s="24" t="s">
        <v>10</v>
      </c>
      <c r="I44" s="33" t="str">
        <f>VLOOKUP(A44,TableS5!A:J,9,FALSE)</f>
        <v>Predicted protein (Fragment)</v>
      </c>
      <c r="J44" s="33" t="s">
        <v>10</v>
      </c>
      <c r="K44" s="33"/>
      <c r="L44" s="35"/>
      <c r="M44" s="35"/>
      <c r="O44" s="35"/>
      <c r="P44" s="35"/>
    </row>
    <row r="45" spans="1:16" x14ac:dyDescent="0.2">
      <c r="A45" s="35" t="s">
        <v>1323</v>
      </c>
      <c r="B45" s="35">
        <v>62.408686579671802</v>
      </c>
      <c r="C45" s="35">
        <v>-4.97459267170741</v>
      </c>
      <c r="D45" s="35">
        <v>0.821169419952401</v>
      </c>
      <c r="E45" s="35">
        <v>-6.0579370722253199</v>
      </c>
      <c r="F45" s="40">
        <v>1.37878310141304E-9</v>
      </c>
      <c r="G45" s="40">
        <v>9.8664569751199401E-7</v>
      </c>
      <c r="H45" s="24" t="s">
        <v>4116</v>
      </c>
      <c r="I45" s="29" t="s">
        <v>4162</v>
      </c>
      <c r="J45" s="30" t="s">
        <v>10</v>
      </c>
      <c r="K45" s="33"/>
      <c r="L45" s="35"/>
      <c r="M45" s="35"/>
      <c r="O45" s="35"/>
      <c r="P45" s="35"/>
    </row>
    <row r="46" spans="1:16" x14ac:dyDescent="0.2">
      <c r="A46" s="35" t="s">
        <v>1326</v>
      </c>
      <c r="B46" s="35">
        <v>218.22099649658099</v>
      </c>
      <c r="C46" s="35">
        <v>-2.7402227406297799</v>
      </c>
      <c r="D46" s="35">
        <v>0.455088847295743</v>
      </c>
      <c r="E46" s="35">
        <v>-6.0212917915103699</v>
      </c>
      <c r="F46" s="40">
        <v>1.7303050039357099E-9</v>
      </c>
      <c r="G46" s="40">
        <v>1.21789361469642E-6</v>
      </c>
      <c r="H46" s="29" t="s">
        <v>10</v>
      </c>
      <c r="I46" s="29" t="s">
        <v>4163</v>
      </c>
      <c r="J46" s="33" t="s">
        <v>4107</v>
      </c>
      <c r="K46" s="33"/>
      <c r="L46" s="35"/>
      <c r="M46" s="35"/>
      <c r="O46" s="35"/>
      <c r="P46" s="35"/>
    </row>
    <row r="47" spans="1:16" x14ac:dyDescent="0.2">
      <c r="A47" s="35" t="s">
        <v>1327</v>
      </c>
      <c r="B47" s="35">
        <v>71.180547822213697</v>
      </c>
      <c r="C47" s="35">
        <v>-2.7618543707051102</v>
      </c>
      <c r="D47" s="35">
        <v>0.458913735231541</v>
      </c>
      <c r="E47" s="35">
        <v>-6.0182429913797302</v>
      </c>
      <c r="F47" s="40">
        <v>1.7632038150781601E-9</v>
      </c>
      <c r="G47" s="40">
        <v>1.23095995776079E-6</v>
      </c>
      <c r="H47" s="24" t="s">
        <v>10</v>
      </c>
      <c r="I47" s="33" t="str">
        <f>VLOOKUP(A47,TableS5!A:J,9,FALSE)</f>
        <v>Predicted protein (Fragment)</v>
      </c>
      <c r="J47" s="33" t="s">
        <v>10</v>
      </c>
      <c r="K47" s="33"/>
      <c r="L47" s="35"/>
      <c r="M47" s="35"/>
      <c r="O47" s="35"/>
      <c r="P47" s="35"/>
    </row>
    <row r="48" spans="1:16" x14ac:dyDescent="0.2">
      <c r="A48" s="35" t="s">
        <v>1328</v>
      </c>
      <c r="B48" s="35">
        <v>40.871311126314801</v>
      </c>
      <c r="C48" s="35">
        <v>-4.8301066873415204</v>
      </c>
      <c r="D48" s="35">
        <v>0.80369383666180105</v>
      </c>
      <c r="E48" s="35">
        <v>-6.00988394710566</v>
      </c>
      <c r="F48" s="40">
        <v>1.8565617871380901E-9</v>
      </c>
      <c r="G48" s="40">
        <v>1.2753985377866799E-6</v>
      </c>
      <c r="H48" s="24" t="s">
        <v>10</v>
      </c>
      <c r="I48" s="33" t="str">
        <f>VLOOKUP(A48,TableS5!A:J,9,FALSE)</f>
        <v>Predicted protein</v>
      </c>
      <c r="J48" s="33" t="s">
        <v>10</v>
      </c>
      <c r="K48" s="33"/>
      <c r="L48" s="35"/>
      <c r="M48" s="35"/>
      <c r="O48" s="35"/>
      <c r="P48" s="35"/>
    </row>
    <row r="49" spans="1:16" x14ac:dyDescent="0.2">
      <c r="A49" s="45" t="s">
        <v>1329</v>
      </c>
      <c r="B49" s="45">
        <v>65.741587409899793</v>
      </c>
      <c r="C49" s="45">
        <v>-4.2914531464669698</v>
      </c>
      <c r="D49" s="45">
        <v>0.716356247619931</v>
      </c>
      <c r="E49" s="45">
        <v>-5.9906689733288099</v>
      </c>
      <c r="F49" s="46">
        <v>2.0897961893418601E-9</v>
      </c>
      <c r="G49" s="46">
        <v>1.3911076633718901E-6</v>
      </c>
      <c r="H49" s="47" t="s">
        <v>335</v>
      </c>
      <c r="I49" s="50" t="str">
        <f>VLOOKUP(A49,TableS5!A:J,9,FALSE)</f>
        <v>sushi, von Willebrand factor type A, EGF and pentraxin domain-containing protein 1-like</v>
      </c>
      <c r="J49" s="49" t="s">
        <v>10</v>
      </c>
      <c r="K49" s="33"/>
      <c r="L49" s="35"/>
      <c r="M49" s="35"/>
      <c r="O49" s="35"/>
      <c r="P49" s="35"/>
    </row>
    <row r="50" spans="1:16" x14ac:dyDescent="0.2">
      <c r="A50" s="35" t="s">
        <v>1331</v>
      </c>
      <c r="B50" s="35">
        <v>67.404173944300197</v>
      </c>
      <c r="C50" s="35">
        <v>-2.8799121968522101</v>
      </c>
      <c r="D50" s="35">
        <v>0.48102585485174798</v>
      </c>
      <c r="E50" s="35">
        <v>-5.9870216284731699</v>
      </c>
      <c r="F50" s="40">
        <v>2.1371837261451801E-9</v>
      </c>
      <c r="G50" s="40">
        <v>1.41170849036779E-6</v>
      </c>
      <c r="H50" s="24" t="s">
        <v>139</v>
      </c>
      <c r="I50" s="24" t="s">
        <v>140</v>
      </c>
      <c r="J50" s="33" t="s">
        <v>3068</v>
      </c>
      <c r="K50" s="33"/>
      <c r="L50" s="35"/>
      <c r="M50" s="35"/>
      <c r="O50" s="35"/>
      <c r="P50" s="35"/>
    </row>
    <row r="51" spans="1:16" x14ac:dyDescent="0.2">
      <c r="A51" s="35" t="s">
        <v>1332</v>
      </c>
      <c r="B51" s="35">
        <v>83.778562721148504</v>
      </c>
      <c r="C51" s="35">
        <v>-5.3493186996695101</v>
      </c>
      <c r="D51" s="35">
        <v>0.89959589955643304</v>
      </c>
      <c r="E51" s="35">
        <v>-5.9463573614631997</v>
      </c>
      <c r="F51" s="40">
        <v>2.7417523231664002E-9</v>
      </c>
      <c r="G51" s="40">
        <v>1.73159922279021E-6</v>
      </c>
      <c r="H51" s="24" t="s">
        <v>10</v>
      </c>
      <c r="I51" s="33" t="str">
        <f>VLOOKUP(A51,TableS5!A:J,9,FALSE)</f>
        <v>Predicted protein</v>
      </c>
      <c r="J51" s="33" t="s">
        <v>10</v>
      </c>
      <c r="K51" s="33"/>
      <c r="L51" s="35"/>
      <c r="M51" s="35"/>
      <c r="O51" s="35"/>
      <c r="P51" s="35"/>
    </row>
    <row r="52" spans="1:16" x14ac:dyDescent="0.2">
      <c r="A52" s="35" t="s">
        <v>1333</v>
      </c>
      <c r="B52" s="35">
        <v>80.019414419469001</v>
      </c>
      <c r="C52" s="35">
        <v>-3.1976574240739701</v>
      </c>
      <c r="D52" s="35">
        <v>0.53805226566529496</v>
      </c>
      <c r="E52" s="35">
        <v>-5.9430238066558703</v>
      </c>
      <c r="F52" s="40">
        <v>2.7981177831022101E-9</v>
      </c>
      <c r="G52" s="40">
        <v>1.74113892864326E-6</v>
      </c>
      <c r="H52" s="24" t="s">
        <v>10</v>
      </c>
      <c r="I52" s="33" t="str">
        <f>VLOOKUP(A52,TableS5!A:J,9,FALSE)</f>
        <v>Predicted protein (Fragment)</v>
      </c>
      <c r="J52" s="33" t="s">
        <v>10</v>
      </c>
      <c r="K52" s="33"/>
      <c r="L52" s="35"/>
      <c r="M52" s="35"/>
      <c r="O52" s="35"/>
      <c r="P52" s="35"/>
    </row>
    <row r="53" spans="1:16" x14ac:dyDescent="0.2">
      <c r="A53" s="35" t="s">
        <v>1334</v>
      </c>
      <c r="B53" s="35">
        <v>68.011376726689207</v>
      </c>
      <c r="C53" s="35">
        <v>-4.0461806945334597</v>
      </c>
      <c r="D53" s="35">
        <v>0.68228018822250602</v>
      </c>
      <c r="E53" s="35">
        <v>-5.9303798708777897</v>
      </c>
      <c r="F53" s="40">
        <v>3.02234635354748E-9</v>
      </c>
      <c r="G53" s="40">
        <v>1.84065179947146E-6</v>
      </c>
      <c r="H53" s="24" t="s">
        <v>10</v>
      </c>
      <c r="I53" s="24" t="s">
        <v>10</v>
      </c>
      <c r="J53" s="33" t="s">
        <v>10</v>
      </c>
      <c r="K53" s="33"/>
      <c r="L53" s="35"/>
      <c r="M53" s="35"/>
      <c r="O53" s="35"/>
      <c r="P53" s="35"/>
    </row>
    <row r="54" spans="1:16" x14ac:dyDescent="0.2">
      <c r="A54" s="35" t="s">
        <v>1335</v>
      </c>
      <c r="B54" s="35">
        <v>4855.9656685073996</v>
      </c>
      <c r="C54" s="35">
        <v>-2.8482863445417199</v>
      </c>
      <c r="D54" s="35">
        <v>0.481665685252753</v>
      </c>
      <c r="E54" s="35">
        <v>-5.9134093038973399</v>
      </c>
      <c r="F54" s="40">
        <v>3.3509807935878202E-9</v>
      </c>
      <c r="G54" s="40">
        <v>1.9982782758762501E-6</v>
      </c>
      <c r="H54" s="24" t="s">
        <v>4117</v>
      </c>
      <c r="I54" s="29" t="s">
        <v>4164</v>
      </c>
      <c r="J54" s="33" t="s">
        <v>3052</v>
      </c>
      <c r="K54" s="33"/>
      <c r="L54" s="35"/>
      <c r="M54" s="35"/>
      <c r="O54" s="35"/>
      <c r="P54" s="35"/>
    </row>
    <row r="55" spans="1:16" x14ac:dyDescent="0.2">
      <c r="A55" s="35" t="s">
        <v>1337</v>
      </c>
      <c r="B55" s="35">
        <v>97.460679479016406</v>
      </c>
      <c r="C55" s="35">
        <v>-3.40180721927692</v>
      </c>
      <c r="D55" s="35">
        <v>0.57830374450986799</v>
      </c>
      <c r="E55" s="35">
        <v>-5.8823883669646104</v>
      </c>
      <c r="F55" s="40">
        <v>4.04388081563102E-9</v>
      </c>
      <c r="G55" s="40">
        <v>2.3305509363694699E-6</v>
      </c>
      <c r="H55" s="33" t="str">
        <f>VLOOKUP(A55,TableS5!A:J,8,FALSE)</f>
        <v>K07998</v>
      </c>
      <c r="I55" s="33" t="str">
        <f>VLOOKUP(A55,TableS5!A:J,9,FALSE)</f>
        <v>Forkhead box 2b1 protein</v>
      </c>
      <c r="J55" s="33" t="s">
        <v>10</v>
      </c>
      <c r="K55" s="33"/>
      <c r="L55" s="35"/>
      <c r="M55" s="35"/>
      <c r="O55" s="35"/>
      <c r="P55" s="35"/>
    </row>
    <row r="56" spans="1:16" x14ac:dyDescent="0.2">
      <c r="A56" s="35" t="s">
        <v>1338</v>
      </c>
      <c r="B56" s="35">
        <v>414.15179431913799</v>
      </c>
      <c r="C56" s="35">
        <v>-2.5810573875700298</v>
      </c>
      <c r="D56" s="35">
        <v>0.44009242706201102</v>
      </c>
      <c r="E56" s="35">
        <v>-5.8648075469072998</v>
      </c>
      <c r="F56" s="40">
        <v>4.4965392890656302E-9</v>
      </c>
      <c r="G56" s="40">
        <v>2.5741488352757002E-6</v>
      </c>
      <c r="H56" s="24" t="s">
        <v>10</v>
      </c>
      <c r="I56" s="33" t="str">
        <f>VLOOKUP(A56,TableS5!A:J,9,FALSE)</f>
        <v>Predicted protein</v>
      </c>
      <c r="J56" s="33" t="s">
        <v>10</v>
      </c>
      <c r="K56" s="33"/>
      <c r="L56" s="35"/>
      <c r="M56" s="35"/>
      <c r="O56" s="35"/>
      <c r="P56" s="35"/>
    </row>
    <row r="57" spans="1:16" x14ac:dyDescent="0.2">
      <c r="A57" s="35" t="s">
        <v>1339</v>
      </c>
      <c r="B57" s="35">
        <v>97.073037363209906</v>
      </c>
      <c r="C57" s="35">
        <v>-4.5433177908536599</v>
      </c>
      <c r="D57" s="35">
        <v>0.77494929532883505</v>
      </c>
      <c r="E57" s="35">
        <v>-5.86272910787768</v>
      </c>
      <c r="F57" s="40">
        <v>4.5532072019390704E-9</v>
      </c>
      <c r="G57" s="40">
        <v>2.5893275207795399E-6</v>
      </c>
      <c r="H57" s="24" t="s">
        <v>1340</v>
      </c>
      <c r="I57" s="29" t="s">
        <v>4165</v>
      </c>
      <c r="J57" s="30" t="s">
        <v>10</v>
      </c>
      <c r="K57" s="33"/>
      <c r="L57" s="35"/>
      <c r="M57" s="35"/>
      <c r="O57" s="35"/>
      <c r="P57" s="35"/>
    </row>
    <row r="58" spans="1:16" x14ac:dyDescent="0.2">
      <c r="A58" s="35" t="s">
        <v>1341</v>
      </c>
      <c r="B58" s="35">
        <v>334.60253866486102</v>
      </c>
      <c r="C58" s="35">
        <v>-3.35719442477237</v>
      </c>
      <c r="D58" s="35">
        <v>0.57401317744191005</v>
      </c>
      <c r="E58" s="35">
        <v>-5.8486365064539196</v>
      </c>
      <c r="F58" s="40">
        <v>4.9561881573741004E-9</v>
      </c>
      <c r="G58" s="40">
        <v>2.7457602145927201E-6</v>
      </c>
      <c r="H58" s="33" t="str">
        <f>VLOOKUP(A58,TableS5!A:J,8,FALSE)</f>
        <v>K08132</v>
      </c>
      <c r="I58" s="29" t="s">
        <v>4166</v>
      </c>
      <c r="J58" s="30" t="s">
        <v>10</v>
      </c>
      <c r="K58" s="33"/>
      <c r="L58" s="35"/>
      <c r="M58" s="35"/>
      <c r="O58" s="35"/>
      <c r="P58" s="35"/>
    </row>
    <row r="59" spans="1:16" x14ac:dyDescent="0.2">
      <c r="A59" s="35" t="s">
        <v>1342</v>
      </c>
      <c r="B59" s="35">
        <v>65.490821597269999</v>
      </c>
      <c r="C59" s="35">
        <v>-2.4140927027138699</v>
      </c>
      <c r="D59" s="35">
        <v>0.41377374817923301</v>
      </c>
      <c r="E59" s="35">
        <v>-5.8343302670525299</v>
      </c>
      <c r="F59" s="40">
        <v>5.4007052989417103E-9</v>
      </c>
      <c r="G59" s="40">
        <v>2.9728459277270702E-6</v>
      </c>
      <c r="H59" s="33" t="str">
        <f>VLOOKUP(A59,TableS5!A:J,8,FALSE)</f>
        <v>K02599</v>
      </c>
      <c r="I59" s="24" t="s">
        <v>3908</v>
      </c>
      <c r="J59" s="30" t="s">
        <v>10</v>
      </c>
      <c r="K59" s="33"/>
      <c r="L59" s="35"/>
      <c r="M59" s="35"/>
      <c r="O59" s="35"/>
      <c r="P59" s="35"/>
    </row>
    <row r="60" spans="1:16" x14ac:dyDescent="0.2">
      <c r="A60" s="35" t="s">
        <v>1343</v>
      </c>
      <c r="B60" s="35">
        <v>71.447190332904299</v>
      </c>
      <c r="C60" s="35">
        <v>-4.0777613773128598</v>
      </c>
      <c r="D60" s="35">
        <v>0.701802182619639</v>
      </c>
      <c r="E60" s="35">
        <v>-5.8104142140049699</v>
      </c>
      <c r="F60" s="40">
        <v>6.2318459871975599E-9</v>
      </c>
      <c r="G60" s="40">
        <v>3.3238189240164099E-6</v>
      </c>
      <c r="H60" s="24" t="s">
        <v>10</v>
      </c>
      <c r="I60" s="33" t="str">
        <f>VLOOKUP(A60,TableS5!A:J,9,FALSE)</f>
        <v>Predicted protein (Fragment)</v>
      </c>
      <c r="J60" s="30" t="s">
        <v>10</v>
      </c>
      <c r="K60" s="33"/>
      <c r="L60" s="35"/>
      <c r="M60" s="35"/>
      <c r="O60" s="35"/>
      <c r="P60" s="35"/>
    </row>
    <row r="61" spans="1:16" x14ac:dyDescent="0.2">
      <c r="A61" s="35" t="s">
        <v>1344</v>
      </c>
      <c r="B61" s="35">
        <v>537.75896767779795</v>
      </c>
      <c r="C61" s="35">
        <v>-2.6916900595675002</v>
      </c>
      <c r="D61" s="35">
        <v>0.46399798318375701</v>
      </c>
      <c r="E61" s="35">
        <v>-5.80108137776433</v>
      </c>
      <c r="F61" s="40">
        <v>6.5888612047239299E-9</v>
      </c>
      <c r="G61" s="40">
        <v>3.4499518323832301E-6</v>
      </c>
      <c r="H61" s="24" t="s">
        <v>4118</v>
      </c>
      <c r="I61" s="24" t="s">
        <v>223</v>
      </c>
      <c r="J61" s="30" t="s">
        <v>10</v>
      </c>
      <c r="K61" s="33"/>
      <c r="L61" s="35"/>
      <c r="M61" s="35"/>
      <c r="O61" s="35"/>
      <c r="P61" s="35"/>
    </row>
    <row r="62" spans="1:16" x14ac:dyDescent="0.2">
      <c r="A62" s="35" t="s">
        <v>1345</v>
      </c>
      <c r="B62" s="35">
        <v>375.269505918498</v>
      </c>
      <c r="C62" s="35">
        <v>-2.6938022378770099</v>
      </c>
      <c r="D62" s="35">
        <v>0.46613999682160101</v>
      </c>
      <c r="E62" s="35">
        <v>-5.77895537015669</v>
      </c>
      <c r="F62" s="40">
        <v>7.5165860333301897E-9</v>
      </c>
      <c r="G62" s="40">
        <v>3.7526555771400999E-6</v>
      </c>
      <c r="H62" s="24">
        <v>0</v>
      </c>
      <c r="I62" s="29" t="s">
        <v>4167</v>
      </c>
      <c r="J62" s="30" t="s">
        <v>10</v>
      </c>
      <c r="K62" s="33"/>
      <c r="L62" s="35"/>
      <c r="M62" s="35"/>
      <c r="O62" s="35"/>
      <c r="P62" s="35"/>
    </row>
    <row r="63" spans="1:16" x14ac:dyDescent="0.2">
      <c r="A63" s="35" t="s">
        <v>1347</v>
      </c>
      <c r="B63" s="35">
        <v>70.586022635714599</v>
      </c>
      <c r="C63" s="35">
        <v>-2.9050368022329298</v>
      </c>
      <c r="D63" s="35">
        <v>0.50327838783176004</v>
      </c>
      <c r="E63" s="35">
        <v>-5.7722264108111396</v>
      </c>
      <c r="F63" s="40">
        <v>7.8230900821179803E-9</v>
      </c>
      <c r="G63" s="40">
        <v>3.8607848761008801E-6</v>
      </c>
      <c r="H63" s="33" t="str">
        <f>VLOOKUP(A63,TableS5!A:J,8,FALSE)</f>
        <v xml:space="preserve"> K14704</v>
      </c>
      <c r="I63" s="33" t="str">
        <f>VLOOKUP(A63,TableS5!A:J,9,FALSE)</f>
        <v xml:space="preserve">solute carrier family 26 member 6-like </v>
      </c>
      <c r="J63" s="30" t="s">
        <v>10</v>
      </c>
      <c r="K63" s="33"/>
      <c r="L63" s="35"/>
      <c r="M63" s="35"/>
      <c r="O63" s="35"/>
      <c r="P63" s="35"/>
    </row>
    <row r="64" spans="1:16" x14ac:dyDescent="0.2">
      <c r="A64" s="35" t="s">
        <v>1349</v>
      </c>
      <c r="B64" s="35">
        <v>9888.1298873218893</v>
      </c>
      <c r="C64" s="35">
        <v>-2.75512163073688</v>
      </c>
      <c r="D64" s="35">
        <v>0.48141148143189</v>
      </c>
      <c r="E64" s="35">
        <v>-5.7230077324748496</v>
      </c>
      <c r="F64" s="40">
        <v>1.04654499975481E-8</v>
      </c>
      <c r="G64" s="40">
        <v>4.9461576046887404E-6</v>
      </c>
      <c r="H64" s="24" t="s">
        <v>1350</v>
      </c>
      <c r="I64" s="24" t="s">
        <v>3916</v>
      </c>
      <c r="J64" s="33" t="s">
        <v>4043</v>
      </c>
      <c r="K64" s="33"/>
      <c r="L64" s="35"/>
      <c r="M64" s="35"/>
      <c r="O64" s="35"/>
      <c r="P64" s="35"/>
    </row>
    <row r="65" spans="1:16" x14ac:dyDescent="0.2">
      <c r="A65" s="35" t="s">
        <v>1351</v>
      </c>
      <c r="B65" s="35">
        <v>194.84688965392999</v>
      </c>
      <c r="C65" s="35">
        <v>-4.0120205340920601</v>
      </c>
      <c r="D65" s="35">
        <v>0.70269188962811702</v>
      </c>
      <c r="E65" s="35">
        <v>-5.7095016938580603</v>
      </c>
      <c r="F65" s="40">
        <v>1.1330742964356299E-8</v>
      </c>
      <c r="G65" s="40">
        <v>5.2879468972404201E-6</v>
      </c>
      <c r="H65" s="24" t="s">
        <v>4119</v>
      </c>
      <c r="I65" s="24" t="s">
        <v>3943</v>
      </c>
      <c r="J65" s="33" t="s">
        <v>4068</v>
      </c>
      <c r="K65" s="33"/>
      <c r="L65" s="35"/>
      <c r="M65" s="35"/>
      <c r="O65" s="35"/>
      <c r="P65" s="35"/>
    </row>
    <row r="66" spans="1:16" x14ac:dyDescent="0.2">
      <c r="A66" s="35" t="s">
        <v>1352</v>
      </c>
      <c r="B66" s="35">
        <v>64.977933996462497</v>
      </c>
      <c r="C66" s="35">
        <v>-3.6439616972704401</v>
      </c>
      <c r="D66" s="35">
        <v>0.63854908590426596</v>
      </c>
      <c r="E66" s="35">
        <v>-5.7066273802743401</v>
      </c>
      <c r="F66" s="40">
        <v>1.15236674543033E-8</v>
      </c>
      <c r="G66" s="40">
        <v>5.3489126917215197E-6</v>
      </c>
      <c r="H66" s="24" t="s">
        <v>4121</v>
      </c>
      <c r="I66" s="29" t="s">
        <v>4168</v>
      </c>
      <c r="J66" s="30" t="s">
        <v>10</v>
      </c>
      <c r="K66" s="33"/>
      <c r="L66" s="35"/>
      <c r="M66" s="35"/>
      <c r="O66" s="35"/>
      <c r="P66" s="35"/>
    </row>
    <row r="67" spans="1:16" x14ac:dyDescent="0.2">
      <c r="A67" s="35" t="s">
        <v>1353</v>
      </c>
      <c r="B67" s="35">
        <v>107.13870959543399</v>
      </c>
      <c r="C67" s="35">
        <v>-5.0936138129623698</v>
      </c>
      <c r="D67" s="35">
        <v>0.89275045338280701</v>
      </c>
      <c r="E67" s="35">
        <v>-5.7055292368227404</v>
      </c>
      <c r="F67" s="40">
        <v>1.1598214634863399E-8</v>
      </c>
      <c r="G67" s="40">
        <v>5.3545714457546098E-6</v>
      </c>
      <c r="H67" s="24" t="s">
        <v>4120</v>
      </c>
      <c r="I67" s="24" t="s">
        <v>3985</v>
      </c>
      <c r="J67" s="33" t="s">
        <v>4071</v>
      </c>
      <c r="K67" s="33"/>
      <c r="L67" s="35"/>
      <c r="M67" s="35"/>
      <c r="O67" s="35"/>
      <c r="P67" s="35"/>
    </row>
    <row r="68" spans="1:16" x14ac:dyDescent="0.2">
      <c r="A68" s="35" t="s">
        <v>1354</v>
      </c>
      <c r="B68" s="35">
        <v>68.586351574709198</v>
      </c>
      <c r="C68" s="35">
        <v>-8.4840298925923801</v>
      </c>
      <c r="D68" s="35">
        <v>1.49358986781437</v>
      </c>
      <c r="E68" s="35">
        <v>-5.6802942195955204</v>
      </c>
      <c r="F68" s="40">
        <v>1.3446323847641E-8</v>
      </c>
      <c r="G68" s="40">
        <v>5.9518003872205201E-6</v>
      </c>
      <c r="H68" s="24" t="s">
        <v>4122</v>
      </c>
      <c r="I68" s="24" t="s">
        <v>3914</v>
      </c>
      <c r="J68" s="33" t="s">
        <v>4042</v>
      </c>
      <c r="K68" s="33"/>
      <c r="L68" s="35"/>
      <c r="M68" s="35"/>
      <c r="O68" s="35"/>
      <c r="P68" s="35"/>
    </row>
    <row r="69" spans="1:16" x14ac:dyDescent="0.2">
      <c r="A69" s="35" t="s">
        <v>1355</v>
      </c>
      <c r="B69" s="35">
        <v>194.15680421061001</v>
      </c>
      <c r="C69" s="35">
        <v>-2.63419492943772</v>
      </c>
      <c r="D69" s="35">
        <v>0.46449282056108998</v>
      </c>
      <c r="E69" s="35">
        <v>-5.6711208716976804</v>
      </c>
      <c r="F69" s="40">
        <v>1.41866258135234E-8</v>
      </c>
      <c r="G69" s="40">
        <v>6.1526249759245803E-6</v>
      </c>
      <c r="H69" s="24" t="s">
        <v>1356</v>
      </c>
      <c r="I69" s="24" t="s">
        <v>3953</v>
      </c>
      <c r="J69" s="33" t="s">
        <v>3045</v>
      </c>
      <c r="K69" s="33"/>
      <c r="L69" s="35"/>
      <c r="M69" s="35"/>
      <c r="O69" s="35"/>
      <c r="P69" s="35"/>
    </row>
    <row r="70" spans="1:16" x14ac:dyDescent="0.2">
      <c r="A70" s="35" t="s">
        <v>1357</v>
      </c>
      <c r="B70" s="35">
        <v>86.762585880261</v>
      </c>
      <c r="C70" s="35">
        <v>-4.2319633973936703</v>
      </c>
      <c r="D70" s="35">
        <v>0.74992323299060404</v>
      </c>
      <c r="E70" s="35">
        <v>-5.6431954781786198</v>
      </c>
      <c r="F70" s="40">
        <v>1.6692264032980799E-8</v>
      </c>
      <c r="G70" s="40">
        <v>7.0263794351769302E-6</v>
      </c>
      <c r="H70" s="24" t="s">
        <v>10</v>
      </c>
      <c r="I70" s="33" t="str">
        <f>VLOOKUP(A70,TableS5!A:J,9,FALSE)</f>
        <v>Forkhead box 2b1 protein</v>
      </c>
      <c r="J70" s="33" t="s">
        <v>10</v>
      </c>
      <c r="K70" s="33"/>
      <c r="L70" s="35"/>
      <c r="M70" s="35"/>
      <c r="O70" s="35"/>
      <c r="P70" s="35"/>
    </row>
    <row r="71" spans="1:16" x14ac:dyDescent="0.2">
      <c r="A71" s="35" t="s">
        <v>1358</v>
      </c>
      <c r="B71" s="35">
        <v>55.073973728926497</v>
      </c>
      <c r="C71" s="35">
        <v>-3.4604774884370899</v>
      </c>
      <c r="D71" s="35">
        <v>0.61449864622587302</v>
      </c>
      <c r="E71" s="35">
        <v>-5.6313834207620301</v>
      </c>
      <c r="F71" s="40">
        <v>1.7876979683749002E-8</v>
      </c>
      <c r="G71" s="40">
        <v>7.4883615727961298E-6</v>
      </c>
      <c r="H71" s="24" t="s">
        <v>4123</v>
      </c>
      <c r="I71" s="24" t="s">
        <v>3942</v>
      </c>
      <c r="J71" s="30" t="s">
        <v>10</v>
      </c>
      <c r="K71" s="33"/>
      <c r="L71" s="35"/>
      <c r="M71" s="35"/>
      <c r="O71" s="35"/>
      <c r="P71" s="35"/>
    </row>
    <row r="72" spans="1:16" x14ac:dyDescent="0.2">
      <c r="A72" s="35" t="s">
        <v>1360</v>
      </c>
      <c r="B72" s="35">
        <v>91.869320912249407</v>
      </c>
      <c r="C72" s="35">
        <v>-5.4581668092915301</v>
      </c>
      <c r="D72" s="35">
        <v>0.97066462305182399</v>
      </c>
      <c r="E72" s="35">
        <v>-5.6231232494399004</v>
      </c>
      <c r="F72" s="40">
        <v>1.8753550016305599E-8</v>
      </c>
      <c r="G72" s="40">
        <v>7.6322398805343806E-6</v>
      </c>
      <c r="H72" s="24" t="s">
        <v>4124</v>
      </c>
      <c r="I72" s="24" t="s">
        <v>3907</v>
      </c>
      <c r="J72" s="33" t="s">
        <v>4039</v>
      </c>
      <c r="K72" s="33"/>
      <c r="L72" s="35"/>
      <c r="M72" s="35"/>
      <c r="O72" s="35"/>
      <c r="P72" s="35"/>
    </row>
    <row r="73" spans="1:16" x14ac:dyDescent="0.2">
      <c r="A73" s="45" t="s">
        <v>1361</v>
      </c>
      <c r="B73" s="45">
        <v>2081.1565318733301</v>
      </c>
      <c r="C73" s="45">
        <v>-6.9451368171336396</v>
      </c>
      <c r="D73" s="45">
        <v>1.23540055757974</v>
      </c>
      <c r="E73" s="45">
        <v>-5.6217692104168799</v>
      </c>
      <c r="F73" s="46">
        <v>1.89011665633497E-8</v>
      </c>
      <c r="G73" s="46">
        <v>7.6559531790631994E-6</v>
      </c>
      <c r="H73" s="47" t="s">
        <v>3157</v>
      </c>
      <c r="I73" s="48" t="s">
        <v>4169</v>
      </c>
      <c r="J73" s="49" t="s">
        <v>10</v>
      </c>
      <c r="K73" s="33"/>
      <c r="L73" s="35"/>
      <c r="M73" s="35"/>
      <c r="O73" s="35"/>
      <c r="P73" s="35"/>
    </row>
    <row r="74" spans="1:16" x14ac:dyDescent="0.2">
      <c r="A74" s="35" t="s">
        <v>1362</v>
      </c>
      <c r="B74" s="35">
        <v>90.701536808353197</v>
      </c>
      <c r="C74" s="35">
        <v>-3.5052618723423801</v>
      </c>
      <c r="D74" s="35">
        <v>0.62411413797459403</v>
      </c>
      <c r="E74" s="35">
        <v>-5.6163795355090498</v>
      </c>
      <c r="F74" s="40">
        <v>1.95000087812107E-8</v>
      </c>
      <c r="G74" s="40">
        <v>7.8246974488380492E-6</v>
      </c>
      <c r="H74" s="24" t="s">
        <v>114</v>
      </c>
      <c r="I74" s="24" t="s">
        <v>115</v>
      </c>
      <c r="J74" s="33" t="s">
        <v>3054</v>
      </c>
      <c r="K74" s="33"/>
      <c r="L74" s="35"/>
      <c r="M74" s="35"/>
      <c r="O74" s="35"/>
      <c r="P74" s="35"/>
    </row>
    <row r="75" spans="1:16" x14ac:dyDescent="0.2">
      <c r="A75" s="35" t="s">
        <v>1363</v>
      </c>
      <c r="B75" s="35">
        <v>248.031204508641</v>
      </c>
      <c r="C75" s="35">
        <v>-2.8317765909783899</v>
      </c>
      <c r="D75" s="35">
        <v>0.50503865666436798</v>
      </c>
      <c r="E75" s="35">
        <v>-5.6070491904153297</v>
      </c>
      <c r="F75" s="40">
        <v>2.0580518357510001E-8</v>
      </c>
      <c r="G75" s="40">
        <v>8.1818041290636005E-6</v>
      </c>
      <c r="H75" s="24" t="s">
        <v>3844</v>
      </c>
      <c r="I75" s="24" t="s">
        <v>3948</v>
      </c>
      <c r="J75" s="33" t="s">
        <v>4061</v>
      </c>
      <c r="K75" s="33"/>
      <c r="L75" s="35"/>
      <c r="M75" s="35"/>
      <c r="O75" s="35"/>
      <c r="P75" s="35"/>
    </row>
    <row r="76" spans="1:16" x14ac:dyDescent="0.2">
      <c r="A76" s="35" t="s">
        <v>1364</v>
      </c>
      <c r="B76" s="35">
        <v>44.1471694767937</v>
      </c>
      <c r="C76" s="35">
        <v>-4.22893503777233</v>
      </c>
      <c r="D76" s="35">
        <v>0.75514761622271198</v>
      </c>
      <c r="E76" s="35">
        <v>-5.6001435307783796</v>
      </c>
      <c r="F76" s="40">
        <v>2.1417439720762E-8</v>
      </c>
      <c r="G76" s="40">
        <v>8.4364081021172296E-6</v>
      </c>
      <c r="H76" s="24" t="s">
        <v>10</v>
      </c>
      <c r="I76" s="33" t="str">
        <f>VLOOKUP(A76,TableS5!A:J,9,FALSE)</f>
        <v>Predicted protein (Fragment)</v>
      </c>
      <c r="J76" s="33" t="s">
        <v>10</v>
      </c>
      <c r="K76" s="33"/>
      <c r="L76" s="35"/>
      <c r="M76" s="35"/>
      <c r="O76" s="35"/>
      <c r="P76" s="35"/>
    </row>
    <row r="77" spans="1:16" x14ac:dyDescent="0.2">
      <c r="A77" s="35" t="s">
        <v>1365</v>
      </c>
      <c r="B77" s="35">
        <v>249.399945815286</v>
      </c>
      <c r="C77" s="35">
        <v>-2.7760982717607501</v>
      </c>
      <c r="D77" s="35">
        <v>0.496745328807428</v>
      </c>
      <c r="E77" s="35">
        <v>-5.5885744883108099</v>
      </c>
      <c r="F77" s="40">
        <v>2.2894117131687899E-8</v>
      </c>
      <c r="G77" s="40">
        <v>8.9768983206172103E-6</v>
      </c>
      <c r="H77" s="24" t="s">
        <v>10</v>
      </c>
      <c r="I77" s="24" t="s">
        <v>10</v>
      </c>
      <c r="J77" s="33" t="s">
        <v>10</v>
      </c>
      <c r="K77" s="33"/>
      <c r="L77" s="35"/>
      <c r="M77" s="35"/>
      <c r="O77" s="35"/>
      <c r="P77" s="35"/>
    </row>
    <row r="78" spans="1:16" x14ac:dyDescent="0.2">
      <c r="A78" s="35" t="s">
        <v>1366</v>
      </c>
      <c r="B78" s="35">
        <v>108.378897531479</v>
      </c>
      <c r="C78" s="35">
        <v>-5.9986996430619701</v>
      </c>
      <c r="D78" s="35">
        <v>1.0739110400482299</v>
      </c>
      <c r="E78" s="35">
        <v>-5.5858440963532399</v>
      </c>
      <c r="F78" s="40">
        <v>2.3256780558537701E-8</v>
      </c>
      <c r="G78" s="40">
        <v>9.0365746757565204E-6</v>
      </c>
      <c r="H78" s="29" t="s">
        <v>5230</v>
      </c>
      <c r="I78" s="24" t="s">
        <v>3922</v>
      </c>
      <c r="J78" s="33" t="s">
        <v>4046</v>
      </c>
      <c r="K78" s="33"/>
      <c r="L78" s="35"/>
      <c r="M78" s="35"/>
      <c r="O78" s="35"/>
      <c r="P78" s="35"/>
    </row>
    <row r="79" spans="1:16" x14ac:dyDescent="0.2">
      <c r="A79" s="35" t="s">
        <v>1368</v>
      </c>
      <c r="B79" s="35">
        <v>134.375998904076</v>
      </c>
      <c r="C79" s="35">
        <v>-4.7342651418124699</v>
      </c>
      <c r="D79" s="35">
        <v>0.84937338106926497</v>
      </c>
      <c r="E79" s="35">
        <v>-5.5738327187185499</v>
      </c>
      <c r="F79" s="40">
        <v>2.4919503122653201E-8</v>
      </c>
      <c r="G79" s="40">
        <v>9.5957966486338595E-6</v>
      </c>
      <c r="H79" s="33" t="str">
        <f>VLOOKUP(A79,TableS5!A:J,8,FALSE)</f>
        <v>K14611</v>
      </c>
      <c r="I79" s="33" t="str">
        <f>VLOOKUP(A79,TableS5!A:J,9,FALSE)</f>
        <v xml:space="preserve">solute carrier family 23 member 1-like </v>
      </c>
      <c r="J79" s="33" t="s">
        <v>10</v>
      </c>
      <c r="K79" s="33"/>
      <c r="L79" s="35"/>
      <c r="M79" s="35"/>
      <c r="O79" s="35"/>
      <c r="P79" s="35"/>
    </row>
    <row r="80" spans="1:16" x14ac:dyDescent="0.2">
      <c r="A80" s="35" t="s">
        <v>1370</v>
      </c>
      <c r="B80" s="35">
        <v>46.358192947841196</v>
      </c>
      <c r="C80" s="35">
        <v>-3.6109170988052401</v>
      </c>
      <c r="D80" s="35">
        <v>0.64832173507116297</v>
      </c>
      <c r="E80" s="35">
        <v>-5.5696375788001102</v>
      </c>
      <c r="F80" s="40">
        <v>2.5526975633553202E-8</v>
      </c>
      <c r="G80" s="40">
        <v>9.7858344849502199E-6</v>
      </c>
      <c r="H80" s="24" t="s">
        <v>139</v>
      </c>
      <c r="I80" s="24" t="s">
        <v>140</v>
      </c>
      <c r="J80" s="33" t="s">
        <v>3068</v>
      </c>
      <c r="K80" s="33"/>
      <c r="L80" s="35"/>
      <c r="M80" s="35"/>
      <c r="O80" s="35"/>
      <c r="P80" s="35"/>
    </row>
    <row r="81" spans="1:16" x14ac:dyDescent="0.2">
      <c r="A81" s="35" t="s">
        <v>1371</v>
      </c>
      <c r="B81" s="35">
        <v>105.12304414286599</v>
      </c>
      <c r="C81" s="35">
        <v>-3.08629570375345</v>
      </c>
      <c r="D81" s="35">
        <v>0.55609966918153597</v>
      </c>
      <c r="E81" s="35">
        <v>-5.5498966728317498</v>
      </c>
      <c r="F81" s="40">
        <v>2.85838486826713E-8</v>
      </c>
      <c r="G81" s="40">
        <v>1.06718420444768E-5</v>
      </c>
      <c r="H81" s="24" t="s">
        <v>10</v>
      </c>
      <c r="I81" s="24" t="s">
        <v>10</v>
      </c>
      <c r="J81" s="33" t="s">
        <v>10</v>
      </c>
      <c r="K81" s="33"/>
      <c r="L81" s="35"/>
      <c r="M81" s="35"/>
      <c r="O81" s="35"/>
      <c r="P81" s="35"/>
    </row>
    <row r="82" spans="1:16" x14ac:dyDescent="0.2">
      <c r="A82" s="35" t="s">
        <v>1373</v>
      </c>
      <c r="B82" s="35">
        <v>43.869546861532498</v>
      </c>
      <c r="C82" s="35">
        <v>-4.3922496781609297</v>
      </c>
      <c r="D82" s="35">
        <v>0.79690914614684305</v>
      </c>
      <c r="E82" s="35">
        <v>-5.5116065606700797</v>
      </c>
      <c r="F82" s="40">
        <v>3.5557304818969299E-8</v>
      </c>
      <c r="G82" s="40">
        <v>1.2883296717762501E-5</v>
      </c>
      <c r="H82" s="24" t="s">
        <v>10</v>
      </c>
      <c r="I82" s="33" t="str">
        <f>VLOOKUP(A82,TableS5!A:J,9,FALSE)</f>
        <v>Predicted protein (Fragment)</v>
      </c>
      <c r="J82" s="33" t="s">
        <v>10</v>
      </c>
      <c r="K82" s="33"/>
      <c r="L82" s="35"/>
      <c r="M82" s="35"/>
      <c r="O82" s="35"/>
      <c r="P82" s="35"/>
    </row>
    <row r="83" spans="1:16" x14ac:dyDescent="0.2">
      <c r="A83" s="35" t="s">
        <v>1374</v>
      </c>
      <c r="B83" s="35">
        <v>495.34513641457698</v>
      </c>
      <c r="C83" s="35">
        <v>-4.28509182904891</v>
      </c>
      <c r="D83" s="35">
        <v>0.77855955076577799</v>
      </c>
      <c r="E83" s="35">
        <v>-5.5038716368377498</v>
      </c>
      <c r="F83" s="40">
        <v>3.7154011174713903E-8</v>
      </c>
      <c r="G83" s="40">
        <v>1.32383904298085E-5</v>
      </c>
      <c r="H83" s="24" t="s">
        <v>10</v>
      </c>
      <c r="I83" s="33" t="str">
        <f>VLOOKUP(A83,TableS5!A:J,9,FALSE)</f>
        <v>Vitellogenin (Fragment)</v>
      </c>
      <c r="J83" s="33" t="s">
        <v>10</v>
      </c>
      <c r="K83" s="33"/>
      <c r="L83" s="35"/>
      <c r="M83" s="35"/>
      <c r="O83" s="35"/>
      <c r="P83" s="35"/>
    </row>
    <row r="84" spans="1:16" x14ac:dyDescent="0.2">
      <c r="A84" s="35" t="s">
        <v>1378</v>
      </c>
      <c r="B84" s="35">
        <v>108.46997655559601</v>
      </c>
      <c r="C84" s="35">
        <v>-2.4371123117877</v>
      </c>
      <c r="D84" s="35">
        <v>0.443552400601959</v>
      </c>
      <c r="E84" s="35">
        <v>-5.4945307667824901</v>
      </c>
      <c r="F84" s="40">
        <v>3.9175062797768702E-8</v>
      </c>
      <c r="G84" s="40">
        <v>1.37523082118331E-5</v>
      </c>
      <c r="H84" s="24" t="s">
        <v>10</v>
      </c>
      <c r="I84" s="33" t="str">
        <f>VLOOKUP(A84,TableS5!A:J,9,FALSE)</f>
        <v>protein artichoke-like</v>
      </c>
      <c r="J84" s="33" t="s">
        <v>10</v>
      </c>
      <c r="K84" s="33"/>
      <c r="L84" s="35"/>
      <c r="M84" s="35"/>
      <c r="O84" s="35"/>
      <c r="P84" s="35"/>
    </row>
    <row r="85" spans="1:16" x14ac:dyDescent="0.2">
      <c r="A85" s="35" t="s">
        <v>1380</v>
      </c>
      <c r="B85" s="35">
        <v>547.07543969487801</v>
      </c>
      <c r="C85" s="35">
        <v>-3.1608888644494102</v>
      </c>
      <c r="D85" s="35">
        <v>0.57530829446833798</v>
      </c>
      <c r="E85" s="35">
        <v>-5.4942522032825796</v>
      </c>
      <c r="F85" s="40">
        <v>3.9236942761806799E-8</v>
      </c>
      <c r="G85" s="40">
        <v>1.37523082118331E-5</v>
      </c>
      <c r="H85" s="33" t="str">
        <f>VLOOKUP(A85,TableS5!A:J,8,FALSE)</f>
        <v>K19719</v>
      </c>
      <c r="I85" s="24" t="s">
        <v>86</v>
      </c>
      <c r="J85" s="30" t="s">
        <v>10</v>
      </c>
      <c r="K85" s="33"/>
      <c r="L85" s="35"/>
      <c r="M85" s="35"/>
      <c r="O85" s="35"/>
      <c r="P85" s="35"/>
    </row>
    <row r="86" spans="1:16" x14ac:dyDescent="0.2">
      <c r="A86" s="35" t="s">
        <v>1382</v>
      </c>
      <c r="B86" s="35">
        <v>442.771868848292</v>
      </c>
      <c r="C86" s="35">
        <v>-2.721267956688</v>
      </c>
      <c r="D86" s="35">
        <v>0.497423985735364</v>
      </c>
      <c r="E86" s="35">
        <v>-5.4707212252039401</v>
      </c>
      <c r="F86" s="40">
        <v>4.4820784218720999E-8</v>
      </c>
      <c r="G86" s="40">
        <v>1.5519377264700801E-5</v>
      </c>
      <c r="H86" s="24" t="s">
        <v>3819</v>
      </c>
      <c r="I86" s="24" t="s">
        <v>3895</v>
      </c>
      <c r="J86" s="30" t="s">
        <v>10</v>
      </c>
      <c r="K86" s="33"/>
      <c r="L86" s="35"/>
      <c r="M86" s="35"/>
      <c r="O86" s="35"/>
      <c r="P86" s="35"/>
    </row>
    <row r="87" spans="1:16" x14ac:dyDescent="0.2">
      <c r="A87" s="35" t="s">
        <v>1384</v>
      </c>
      <c r="B87" s="35">
        <v>38.254231493618903</v>
      </c>
      <c r="C87" s="35">
        <v>-5.2621826431695196</v>
      </c>
      <c r="D87" s="35">
        <v>0.96283340646833804</v>
      </c>
      <c r="E87" s="35">
        <v>-5.4653095829642497</v>
      </c>
      <c r="F87" s="40">
        <v>4.62099603256282E-8</v>
      </c>
      <c r="G87" s="40">
        <v>1.58723820124881E-5</v>
      </c>
      <c r="H87" s="24" t="s">
        <v>4125</v>
      </c>
      <c r="I87" s="24" t="s">
        <v>3933</v>
      </c>
      <c r="J87" s="30" t="s">
        <v>10</v>
      </c>
      <c r="K87" s="33"/>
      <c r="L87" s="35"/>
      <c r="M87" s="35"/>
      <c r="O87" s="35"/>
      <c r="P87" s="35"/>
    </row>
    <row r="88" spans="1:16" x14ac:dyDescent="0.2">
      <c r="A88" s="35" t="s">
        <v>1386</v>
      </c>
      <c r="B88" s="35">
        <v>102.40588775504099</v>
      </c>
      <c r="C88" s="35">
        <v>-3.82014134773351</v>
      </c>
      <c r="D88" s="35">
        <v>0.69982847602950204</v>
      </c>
      <c r="E88" s="35">
        <v>-5.4586823465761096</v>
      </c>
      <c r="F88" s="40">
        <v>4.7968106411241302E-8</v>
      </c>
      <c r="G88" s="40">
        <v>1.6327298369593899E-5</v>
      </c>
      <c r="H88" s="24" t="s">
        <v>10</v>
      </c>
      <c r="I88" s="33" t="str">
        <f>VLOOKUP(A88,TableS5!A:J,9,FALSE)</f>
        <v>Predicted protein</v>
      </c>
      <c r="J88" s="33" t="s">
        <v>10</v>
      </c>
      <c r="K88" s="33"/>
      <c r="L88" s="35"/>
      <c r="M88" s="35"/>
      <c r="O88" s="35"/>
      <c r="P88" s="35"/>
    </row>
    <row r="89" spans="1:16" x14ac:dyDescent="0.2">
      <c r="A89" s="35" t="s">
        <v>1388</v>
      </c>
      <c r="B89" s="35">
        <v>404.40843659546198</v>
      </c>
      <c r="C89" s="35">
        <v>-3.57200216799834</v>
      </c>
      <c r="D89" s="35">
        <v>0.65629112527361499</v>
      </c>
      <c r="E89" s="35">
        <v>-5.4427098439113202</v>
      </c>
      <c r="F89" s="40">
        <v>5.2476086011574401E-8</v>
      </c>
      <c r="G89" s="40">
        <v>1.7602242116796499E-5</v>
      </c>
      <c r="H89" s="24" t="s">
        <v>10</v>
      </c>
      <c r="I89" s="33" t="str">
        <f>VLOOKUP(A89,TableS5!A:J,9,FALSE)</f>
        <v>uncharacterized protein LOC106181466</v>
      </c>
      <c r="J89" s="33" t="s">
        <v>10</v>
      </c>
      <c r="K89" s="33"/>
      <c r="L89" s="35"/>
      <c r="M89" s="35"/>
      <c r="O89" s="35"/>
      <c r="P89" s="35"/>
    </row>
    <row r="90" spans="1:16" x14ac:dyDescent="0.2">
      <c r="A90" s="35" t="s">
        <v>1391</v>
      </c>
      <c r="B90" s="35">
        <v>465.91286835983198</v>
      </c>
      <c r="C90" s="35">
        <v>-2.7024541039048402</v>
      </c>
      <c r="D90" s="35">
        <v>0.49667875421702901</v>
      </c>
      <c r="E90" s="35">
        <v>-5.4410503387949802</v>
      </c>
      <c r="F90" s="40">
        <v>5.2967343171805698E-8</v>
      </c>
      <c r="G90" s="40">
        <v>1.7629297385682699E-5</v>
      </c>
      <c r="H90" s="29" t="s">
        <v>10</v>
      </c>
      <c r="I90" s="29" t="s">
        <v>4170</v>
      </c>
      <c r="J90" s="30" t="s">
        <v>10</v>
      </c>
      <c r="K90" s="33"/>
      <c r="L90" s="35"/>
      <c r="M90" s="35"/>
      <c r="O90" s="35"/>
      <c r="P90" s="35"/>
    </row>
    <row r="91" spans="1:16" x14ac:dyDescent="0.2">
      <c r="A91" s="35" t="s">
        <v>1393</v>
      </c>
      <c r="B91" s="35">
        <v>192.24058513941901</v>
      </c>
      <c r="C91" s="35">
        <v>-2.1662318430426302</v>
      </c>
      <c r="D91" s="35">
        <v>0.39850707248517703</v>
      </c>
      <c r="E91" s="35">
        <v>-5.4358679998664403</v>
      </c>
      <c r="F91" s="40">
        <v>5.4530314332536797E-8</v>
      </c>
      <c r="G91" s="40">
        <v>1.8079430973163201E-5</v>
      </c>
      <c r="H91" s="24" t="s">
        <v>4126</v>
      </c>
      <c r="I91" s="24" t="s">
        <v>3955</v>
      </c>
      <c r="J91" s="33" t="s">
        <v>4094</v>
      </c>
      <c r="K91" s="33"/>
      <c r="L91" s="35"/>
      <c r="M91" s="35"/>
      <c r="O91" s="35"/>
      <c r="P91" s="35"/>
    </row>
    <row r="92" spans="1:16" x14ac:dyDescent="0.2">
      <c r="A92" s="35" t="s">
        <v>1395</v>
      </c>
      <c r="B92" s="35">
        <v>26.9766545499789</v>
      </c>
      <c r="C92" s="35">
        <v>-3.7356244426040099</v>
      </c>
      <c r="D92" s="35">
        <v>0.68961052039904203</v>
      </c>
      <c r="E92" s="35">
        <v>-5.4170061681228301</v>
      </c>
      <c r="F92" s="40">
        <v>6.0605250748406402E-8</v>
      </c>
      <c r="G92" s="40">
        <v>1.9939591904277399E-5</v>
      </c>
      <c r="H92" s="33" t="str">
        <f>VLOOKUP(A92,TableS5!A:J,8,FALSE)</f>
        <v>K06236</v>
      </c>
      <c r="I92" s="33" t="str">
        <f>VLOOKUP(A92,TableS5!A:J,9,FALSE)</f>
        <v>collagen alpha-2(I) chain-like</v>
      </c>
      <c r="J92" s="33" t="s">
        <v>10</v>
      </c>
      <c r="K92" s="33"/>
      <c r="L92" s="35"/>
      <c r="M92" s="35"/>
      <c r="O92" s="35"/>
      <c r="P92" s="35"/>
    </row>
    <row r="93" spans="1:16" x14ac:dyDescent="0.2">
      <c r="A93" s="35" t="s">
        <v>1398</v>
      </c>
      <c r="B93" s="35">
        <v>76.840622346639407</v>
      </c>
      <c r="C93" s="35">
        <v>-2.9138601770378898</v>
      </c>
      <c r="D93" s="35">
        <v>0.53850872970477903</v>
      </c>
      <c r="E93" s="35">
        <v>-5.4109803914141299</v>
      </c>
      <c r="F93" s="40">
        <v>6.2680636013171396E-8</v>
      </c>
      <c r="G93" s="40">
        <v>2.05436980728513E-5</v>
      </c>
      <c r="H93" s="24" t="s">
        <v>10</v>
      </c>
      <c r="I93" s="33" t="str">
        <f>VLOOKUP(A93,TableS5!A:J,9,FALSE)</f>
        <v>Predicted protein (Fragment)</v>
      </c>
      <c r="J93" s="33" t="s">
        <v>10</v>
      </c>
      <c r="K93" s="33"/>
      <c r="L93" s="35"/>
      <c r="M93" s="35"/>
      <c r="O93" s="35"/>
      <c r="P93" s="35"/>
    </row>
    <row r="94" spans="1:16" x14ac:dyDescent="0.2">
      <c r="A94" s="35" t="s">
        <v>1400</v>
      </c>
      <c r="B94" s="35">
        <v>54.789043482386802</v>
      </c>
      <c r="C94" s="35">
        <v>-4.8011062517323104</v>
      </c>
      <c r="D94" s="35">
        <v>0.88822951595317701</v>
      </c>
      <c r="E94" s="35">
        <v>-5.4052541212618399</v>
      </c>
      <c r="F94" s="40">
        <v>6.47165728091356E-8</v>
      </c>
      <c r="G94" s="40">
        <v>2.1050290998838199E-5</v>
      </c>
      <c r="H94" s="33" t="str">
        <f>VLOOKUP(A94,TableS5!A:J,8,FALSE)</f>
        <v>K05181</v>
      </c>
      <c r="I94" s="24" t="s">
        <v>3891</v>
      </c>
      <c r="J94" s="30" t="s">
        <v>10</v>
      </c>
      <c r="K94" s="33"/>
      <c r="L94" s="35"/>
      <c r="M94" s="35"/>
      <c r="O94" s="35"/>
      <c r="P94" s="35"/>
    </row>
    <row r="95" spans="1:16" x14ac:dyDescent="0.2">
      <c r="A95" s="35" t="s">
        <v>1405</v>
      </c>
      <c r="B95" s="35">
        <v>483.78789341450999</v>
      </c>
      <c r="C95" s="35">
        <v>-3.01856677272872</v>
      </c>
      <c r="D95" s="35">
        <v>0.56010208842369302</v>
      </c>
      <c r="E95" s="35">
        <v>-5.3893153321815603</v>
      </c>
      <c r="F95" s="40">
        <v>7.0726613056965594E-8</v>
      </c>
      <c r="G95" s="40">
        <v>2.27466853551112E-5</v>
      </c>
      <c r="H95" s="33" t="str">
        <f>VLOOKUP(A95,TableS5!A:J,8,FALSE)</f>
        <v>K07998</v>
      </c>
      <c r="I95" s="33" t="str">
        <f>VLOOKUP(A95,TableS5!A:J,9,FALSE)</f>
        <v>Forkhead box 2b1 protein</v>
      </c>
      <c r="J95" s="33" t="s">
        <v>10</v>
      </c>
      <c r="K95" s="33"/>
      <c r="L95" s="35"/>
      <c r="M95" s="35"/>
      <c r="O95" s="35"/>
      <c r="P95" s="35"/>
    </row>
    <row r="96" spans="1:16" x14ac:dyDescent="0.2">
      <c r="A96" s="45" t="s">
        <v>1407</v>
      </c>
      <c r="B96" s="45">
        <v>197.43092188876099</v>
      </c>
      <c r="C96" s="45">
        <v>-2.2184083382825199</v>
      </c>
      <c r="D96" s="45">
        <v>0.41373235471022801</v>
      </c>
      <c r="E96" s="45">
        <v>-5.3619406677446397</v>
      </c>
      <c r="F96" s="46">
        <v>8.23325853305776E-8</v>
      </c>
      <c r="G96" s="46">
        <v>2.5523398682028999E-5</v>
      </c>
      <c r="H96" s="47" t="s">
        <v>4127</v>
      </c>
      <c r="I96" s="47" t="s">
        <v>3923</v>
      </c>
      <c r="J96" s="49" t="s">
        <v>10</v>
      </c>
      <c r="K96" s="33"/>
      <c r="L96" s="35"/>
      <c r="M96" s="35"/>
      <c r="O96" s="35"/>
      <c r="P96" s="35"/>
    </row>
    <row r="97" spans="1:16" x14ac:dyDescent="0.2">
      <c r="A97" s="35" t="s">
        <v>1409</v>
      </c>
      <c r="B97" s="35">
        <v>126.98225796468201</v>
      </c>
      <c r="C97" s="35">
        <v>-2.2489396540211701</v>
      </c>
      <c r="D97" s="35">
        <v>0.41978855419980499</v>
      </c>
      <c r="E97" s="35">
        <v>-5.35731532344436</v>
      </c>
      <c r="F97" s="40">
        <v>8.4467632214114802E-8</v>
      </c>
      <c r="G97" s="40">
        <v>2.59047144494938E-5</v>
      </c>
      <c r="H97" s="24" t="s">
        <v>10</v>
      </c>
      <c r="I97" s="33" t="str">
        <f>VLOOKUP(A97,TableS5!A:J,9,FALSE)</f>
        <v>Predicted protein</v>
      </c>
      <c r="J97" s="33" t="s">
        <v>10</v>
      </c>
      <c r="K97" s="33"/>
      <c r="L97" s="35"/>
      <c r="M97" s="35"/>
      <c r="O97" s="35"/>
      <c r="P97" s="35"/>
    </row>
    <row r="98" spans="1:16" x14ac:dyDescent="0.2">
      <c r="A98" s="35" t="s">
        <v>1411</v>
      </c>
      <c r="B98" s="35">
        <v>131.92633053748</v>
      </c>
      <c r="C98" s="35">
        <v>-5.0345354914523996</v>
      </c>
      <c r="D98" s="35">
        <v>0.94004467751980803</v>
      </c>
      <c r="E98" s="35">
        <v>-5.3556342712725202</v>
      </c>
      <c r="F98" s="40">
        <v>8.5256805960676103E-8</v>
      </c>
      <c r="G98" s="40">
        <v>2.60536910485737E-5</v>
      </c>
      <c r="H98" s="33" t="str">
        <f>VLOOKUP(A98,TableS5!A:J,8,FALSE)</f>
        <v>K05181</v>
      </c>
      <c r="I98" s="24" t="s">
        <v>3891</v>
      </c>
      <c r="J98" s="33" t="s">
        <v>10</v>
      </c>
      <c r="K98" s="33"/>
      <c r="L98" s="35"/>
      <c r="M98" s="35"/>
      <c r="O98" s="35"/>
      <c r="P98" s="35"/>
    </row>
    <row r="99" spans="1:16" x14ac:dyDescent="0.2">
      <c r="A99" s="45" t="s">
        <v>1413</v>
      </c>
      <c r="B99" s="45">
        <v>63.754999521435899</v>
      </c>
      <c r="C99" s="45">
        <v>-4.8753019301232596</v>
      </c>
      <c r="D99" s="45">
        <v>0.91386617948308102</v>
      </c>
      <c r="E99" s="45">
        <v>-5.3348094497609297</v>
      </c>
      <c r="F99" s="46">
        <v>9.5644944187217193E-8</v>
      </c>
      <c r="G99" s="46">
        <v>2.8717227280771101E-5</v>
      </c>
      <c r="H99" s="47" t="s">
        <v>4128</v>
      </c>
      <c r="I99" s="47" t="s">
        <v>3137</v>
      </c>
      <c r="J99" s="50" t="s">
        <v>10</v>
      </c>
      <c r="K99" s="33"/>
      <c r="L99" s="35"/>
      <c r="M99" s="35"/>
      <c r="O99" s="35"/>
      <c r="P99" s="35"/>
    </row>
    <row r="100" spans="1:16" x14ac:dyDescent="0.2">
      <c r="A100" s="35" t="s">
        <v>1416</v>
      </c>
      <c r="B100" s="35">
        <v>277.11456009977502</v>
      </c>
      <c r="C100" s="35">
        <v>-2.51591960810235</v>
      </c>
      <c r="D100" s="35">
        <v>0.47215545099465001</v>
      </c>
      <c r="E100" s="35">
        <v>-5.32858320877643</v>
      </c>
      <c r="F100" s="40">
        <v>9.8981848117207996E-8</v>
      </c>
      <c r="G100" s="40">
        <v>2.9410623805096101E-5</v>
      </c>
      <c r="H100" s="29" t="s">
        <v>10</v>
      </c>
      <c r="I100" s="24" t="s">
        <v>3981</v>
      </c>
      <c r="J100" s="33" t="s">
        <v>10</v>
      </c>
      <c r="K100" s="33"/>
      <c r="L100" s="35"/>
      <c r="M100" s="35"/>
      <c r="O100" s="35"/>
      <c r="P100" s="35"/>
    </row>
    <row r="101" spans="1:16" x14ac:dyDescent="0.2">
      <c r="A101" s="35" t="s">
        <v>1418</v>
      </c>
      <c r="B101" s="35">
        <v>1069.24376287632</v>
      </c>
      <c r="C101" s="35">
        <v>-4.1844586650928601</v>
      </c>
      <c r="D101" s="35">
        <v>0.786695981237306</v>
      </c>
      <c r="E101" s="35">
        <v>-5.3190289068359</v>
      </c>
      <c r="F101" s="40">
        <v>1.04322561571338E-7</v>
      </c>
      <c r="G101" s="40">
        <v>3.0574343633762398E-5</v>
      </c>
      <c r="H101" s="24" t="s">
        <v>1420</v>
      </c>
      <c r="I101" s="24" t="s">
        <v>3945</v>
      </c>
      <c r="J101" s="33" t="s">
        <v>4059</v>
      </c>
      <c r="K101" s="33"/>
      <c r="L101" s="35"/>
      <c r="M101" s="35"/>
      <c r="O101" s="35"/>
      <c r="P101" s="35"/>
    </row>
    <row r="102" spans="1:16" x14ac:dyDescent="0.2">
      <c r="A102" s="35" t="s">
        <v>1423</v>
      </c>
      <c r="B102" s="35">
        <v>144.13022435652999</v>
      </c>
      <c r="C102" s="35">
        <v>-2.7035838258383298</v>
      </c>
      <c r="D102" s="35">
        <v>0.50926098759264704</v>
      </c>
      <c r="E102" s="35">
        <v>-5.3088374953254798</v>
      </c>
      <c r="F102" s="40">
        <v>1.10326642563852E-7</v>
      </c>
      <c r="G102" s="40">
        <v>3.18985155676785E-5</v>
      </c>
      <c r="H102" s="24" t="s">
        <v>10</v>
      </c>
      <c r="I102" s="33" t="str">
        <f>VLOOKUP(A102,TableS5!A:J,9,FALSE)</f>
        <v>Vitellogenin (Fragment)</v>
      </c>
      <c r="J102" s="33" t="s">
        <v>10</v>
      </c>
      <c r="K102" s="33"/>
      <c r="L102" s="35"/>
      <c r="M102" s="35"/>
      <c r="O102" s="35"/>
      <c r="P102" s="35"/>
    </row>
    <row r="103" spans="1:16" x14ac:dyDescent="0.2">
      <c r="A103" s="35" t="s">
        <v>1425</v>
      </c>
      <c r="B103" s="35">
        <v>59.832814997595598</v>
      </c>
      <c r="C103" s="35">
        <v>-2.8679098871987398</v>
      </c>
      <c r="D103" s="35">
        <v>0.54046007212467995</v>
      </c>
      <c r="E103" s="35">
        <v>-5.3064232403409397</v>
      </c>
      <c r="F103" s="40">
        <v>1.11797207280129E-7</v>
      </c>
      <c r="G103" s="40">
        <v>3.21074849041872E-5</v>
      </c>
      <c r="H103" s="33" t="str">
        <f>VLOOKUP(A103,TableS5!A:J,8,FALSE)</f>
        <v>K10351</v>
      </c>
      <c r="I103" s="33" t="str">
        <f>VLOOKUP(A103,TableS5!A:J,9,FALSE)</f>
        <v>Myosin essential light chain</v>
      </c>
      <c r="J103" s="33" t="s">
        <v>10</v>
      </c>
      <c r="K103" s="33"/>
      <c r="L103" s="35"/>
      <c r="M103" s="35"/>
      <c r="O103" s="35"/>
      <c r="P103" s="35"/>
    </row>
    <row r="104" spans="1:16" x14ac:dyDescent="0.2">
      <c r="A104" s="35" t="s">
        <v>1428</v>
      </c>
      <c r="B104" s="35">
        <v>28.4908325519452</v>
      </c>
      <c r="C104" s="35">
        <v>-4.4592732052134698</v>
      </c>
      <c r="D104" s="35">
        <v>0.84209663244886301</v>
      </c>
      <c r="E104" s="35">
        <v>-5.2954412039930201</v>
      </c>
      <c r="F104" s="40">
        <v>1.18729392216113E-7</v>
      </c>
      <c r="G104" s="40">
        <v>3.3648223230989602E-5</v>
      </c>
      <c r="H104" s="24" t="s">
        <v>10</v>
      </c>
      <c r="I104" s="33" t="str">
        <f>VLOOKUP(A104,TableS5!A:J,9,FALSE)</f>
        <v>CARP3</v>
      </c>
      <c r="J104" s="33" t="s">
        <v>10</v>
      </c>
      <c r="K104" s="33"/>
      <c r="L104" s="35"/>
      <c r="M104" s="35"/>
      <c r="O104" s="35"/>
      <c r="P104" s="35"/>
    </row>
    <row r="105" spans="1:16" x14ac:dyDescent="0.2">
      <c r="A105" s="35" t="s">
        <v>1432</v>
      </c>
      <c r="B105" s="35">
        <v>60.487674734627902</v>
      </c>
      <c r="C105" s="35">
        <v>-5.3493544885776201</v>
      </c>
      <c r="D105" s="35">
        <v>1.0107463901575999</v>
      </c>
      <c r="E105" s="35">
        <v>-5.2924794396184103</v>
      </c>
      <c r="F105" s="40">
        <v>1.2066903980661001E-7</v>
      </c>
      <c r="G105" s="40">
        <v>3.3862650709912997E-5</v>
      </c>
      <c r="H105" s="24" t="s">
        <v>10</v>
      </c>
      <c r="I105" s="33" t="str">
        <f>VLOOKUP(A105,TableS5!A:J,9,FALSE)</f>
        <v>B-box type zinc finger protein ncl-1 (Fragment)</v>
      </c>
      <c r="J105" s="33" t="s">
        <v>10</v>
      </c>
      <c r="K105" s="33"/>
      <c r="L105" s="35"/>
      <c r="M105" s="35"/>
      <c r="O105" s="35"/>
      <c r="P105" s="35"/>
    </row>
    <row r="106" spans="1:16" x14ac:dyDescent="0.2">
      <c r="A106" s="35" t="s">
        <v>1435</v>
      </c>
      <c r="B106" s="35">
        <v>71.6592463965858</v>
      </c>
      <c r="C106" s="35">
        <v>-3.98295584203911</v>
      </c>
      <c r="D106" s="35">
        <v>0.752918505710782</v>
      </c>
      <c r="E106" s="35">
        <v>-5.2900225081850696</v>
      </c>
      <c r="F106" s="40">
        <v>1.22301308278415E-7</v>
      </c>
      <c r="G106" s="40">
        <v>3.4097842997323899E-5</v>
      </c>
      <c r="H106" s="24" t="s">
        <v>10</v>
      </c>
      <c r="I106" s="33" t="str">
        <f>VLOOKUP(A106,TableS5!A:J,9,FALSE)</f>
        <v>uncharacterized protein LOC106181466</v>
      </c>
      <c r="J106" s="33" t="s">
        <v>10</v>
      </c>
      <c r="K106" s="33"/>
      <c r="L106" s="35"/>
      <c r="M106" s="35"/>
      <c r="O106" s="35"/>
      <c r="P106" s="35"/>
    </row>
    <row r="107" spans="1:16" x14ac:dyDescent="0.2">
      <c r="A107" s="35" t="s">
        <v>1438</v>
      </c>
      <c r="B107" s="35">
        <v>33.7081814171544</v>
      </c>
      <c r="C107" s="35">
        <v>-2.94607086691133</v>
      </c>
      <c r="D107" s="35">
        <v>0.55729140692937595</v>
      </c>
      <c r="E107" s="35">
        <v>-5.2864100007281802</v>
      </c>
      <c r="F107" s="40">
        <v>1.2474014313759E-7</v>
      </c>
      <c r="G107" s="40">
        <v>3.4665245408958001E-5</v>
      </c>
      <c r="H107" s="24" t="s">
        <v>10</v>
      </c>
      <c r="I107" s="33" t="str">
        <f>VLOOKUP(A107,TableS5!A:J,9,FALSE)</f>
        <v>uncharacterized protein LOC106181466</v>
      </c>
      <c r="J107" s="33" t="s">
        <v>10</v>
      </c>
      <c r="K107" s="33"/>
      <c r="L107" s="35"/>
      <c r="M107" s="35"/>
      <c r="O107" s="35"/>
      <c r="P107" s="35"/>
    </row>
    <row r="108" spans="1:16" x14ac:dyDescent="0.2">
      <c r="A108" s="35" t="s">
        <v>1439</v>
      </c>
      <c r="B108" s="35">
        <v>97.986079698908497</v>
      </c>
      <c r="C108" s="35">
        <v>-2.35228461649834</v>
      </c>
      <c r="D108" s="35">
        <v>0.445209629208621</v>
      </c>
      <c r="E108" s="35">
        <v>-5.2835438907276702</v>
      </c>
      <c r="F108" s="40">
        <v>1.26708488898099E-7</v>
      </c>
      <c r="G108" s="40">
        <v>3.4985802733661197E-5</v>
      </c>
      <c r="H108" s="24" t="s">
        <v>10</v>
      </c>
      <c r="I108" s="33" t="str">
        <f>VLOOKUP(A108,TableS5!A:J,9,FALSE)</f>
        <v>cartilage intermediate layer protein 1-like</v>
      </c>
      <c r="J108" s="33" t="s">
        <v>10</v>
      </c>
      <c r="K108" s="33"/>
      <c r="L108" s="35"/>
      <c r="M108" s="35"/>
      <c r="O108" s="35"/>
      <c r="P108" s="35"/>
    </row>
    <row r="109" spans="1:16" x14ac:dyDescent="0.2">
      <c r="A109" s="35" t="s">
        <v>1442</v>
      </c>
      <c r="B109" s="35">
        <v>84.124011733649496</v>
      </c>
      <c r="C109" s="35">
        <v>-3.6174450007943202</v>
      </c>
      <c r="D109" s="35">
        <v>0.68503791447997398</v>
      </c>
      <c r="E109" s="35">
        <v>-5.2806493251404802</v>
      </c>
      <c r="F109" s="40">
        <v>1.2872686111261E-7</v>
      </c>
      <c r="G109" s="40">
        <v>3.5429180418592903E-5</v>
      </c>
      <c r="H109" s="33" t="str">
        <f>VLOOKUP(A109,TableS5!A:J,8,FALSE)</f>
        <v>K07998</v>
      </c>
      <c r="I109" s="33" t="str">
        <f>VLOOKUP(A109,TableS5!A:J,9,FALSE)</f>
        <v>Forkhead box 2b1 protein</v>
      </c>
      <c r="J109" s="33" t="s">
        <v>10</v>
      </c>
      <c r="K109" s="33"/>
      <c r="L109" s="35"/>
      <c r="M109" s="35"/>
      <c r="O109" s="35"/>
      <c r="P109" s="35"/>
    </row>
    <row r="110" spans="1:16" x14ac:dyDescent="0.2">
      <c r="A110" s="35" t="s">
        <v>1444</v>
      </c>
      <c r="B110" s="35">
        <v>223.131363681854</v>
      </c>
      <c r="C110" s="35">
        <v>-4.5237862311159001</v>
      </c>
      <c r="D110" s="35">
        <v>0.85679152756124799</v>
      </c>
      <c r="E110" s="35">
        <v>-5.2799147582519899</v>
      </c>
      <c r="F110" s="40">
        <v>1.2924400008714401E-7</v>
      </c>
      <c r="G110" s="40">
        <v>3.5457864317837397E-5</v>
      </c>
      <c r="H110" s="24" t="s">
        <v>10</v>
      </c>
      <c r="I110" s="33" t="str">
        <f>VLOOKUP(A110,TableS5!A:J,9,FALSE)</f>
        <v>Predicted protein (Fragment)</v>
      </c>
      <c r="J110" s="33" t="s">
        <v>10</v>
      </c>
      <c r="K110" s="33"/>
      <c r="L110" s="35"/>
      <c r="M110" s="35"/>
      <c r="O110" s="35"/>
      <c r="P110" s="35"/>
    </row>
    <row r="111" spans="1:16" x14ac:dyDescent="0.2">
      <c r="A111" s="35" t="s">
        <v>1446</v>
      </c>
      <c r="B111" s="35">
        <v>484.20919039594497</v>
      </c>
      <c r="C111" s="35">
        <v>-2.0965888831375601</v>
      </c>
      <c r="D111" s="35">
        <v>0.39797717622557899</v>
      </c>
      <c r="E111" s="35">
        <v>-5.2681133702732303</v>
      </c>
      <c r="F111" s="40">
        <v>1.37832978348727E-7</v>
      </c>
      <c r="G111" s="40">
        <v>3.7574145027884297E-5</v>
      </c>
      <c r="H111" s="33" t="str">
        <f>VLOOKUP(A111,TableS5!A:J,8,FALSE)</f>
        <v>K10396</v>
      </c>
      <c r="I111" s="33" t="str">
        <f>VLOOKUP(A111,TableS5!A:J,9,FALSE)</f>
        <v>B-box type zinc finger protein ncl-1 (Fragment)</v>
      </c>
      <c r="J111" s="33" t="s">
        <v>10</v>
      </c>
      <c r="K111" s="33"/>
      <c r="L111" s="35"/>
      <c r="M111" s="35"/>
      <c r="O111" s="35"/>
      <c r="P111" s="35"/>
    </row>
    <row r="112" spans="1:16" x14ac:dyDescent="0.2">
      <c r="A112" s="35" t="s">
        <v>1450</v>
      </c>
      <c r="B112" s="35">
        <v>48.458293438005803</v>
      </c>
      <c r="C112" s="35">
        <v>-4.2216677586427798</v>
      </c>
      <c r="D112" s="35">
        <v>0.80521340063989399</v>
      </c>
      <c r="E112" s="35">
        <v>-5.24291790882749</v>
      </c>
      <c r="F112" s="40">
        <v>1.5805687211015201E-7</v>
      </c>
      <c r="G112" s="40">
        <v>4.1633440690094598E-5</v>
      </c>
      <c r="H112" s="24" t="s">
        <v>10</v>
      </c>
      <c r="I112" s="33" t="str">
        <f>VLOOKUP(A112,TableS5!A:J,9,FALSE)</f>
        <v>Predicted protein (Fragment)</v>
      </c>
      <c r="J112" s="33" t="s">
        <v>10</v>
      </c>
      <c r="K112" s="33"/>
      <c r="L112" s="35"/>
      <c r="M112" s="35"/>
      <c r="O112" s="35"/>
      <c r="P112" s="35"/>
    </row>
    <row r="113" spans="1:16" x14ac:dyDescent="0.2">
      <c r="A113" s="35" t="s">
        <v>1453</v>
      </c>
      <c r="B113" s="35">
        <v>31.319401579091899</v>
      </c>
      <c r="C113" s="35">
        <v>-4.4660077553278503</v>
      </c>
      <c r="D113" s="35">
        <v>0.85281109959968604</v>
      </c>
      <c r="E113" s="35">
        <v>-5.23680772614735</v>
      </c>
      <c r="F113" s="40">
        <v>1.6337773697263601E-7</v>
      </c>
      <c r="G113" s="40">
        <v>4.2513362580537003E-5</v>
      </c>
      <c r="H113" s="24" t="s">
        <v>10</v>
      </c>
      <c r="I113" s="33" t="str">
        <f>VLOOKUP(A113,TableS5!A:J,9,FALSE)</f>
        <v>Predicted protein (Fragment)</v>
      </c>
      <c r="J113" s="33" t="s">
        <v>10</v>
      </c>
      <c r="K113" s="33"/>
      <c r="L113" s="35"/>
      <c r="M113" s="35"/>
      <c r="O113" s="35"/>
      <c r="P113" s="35"/>
    </row>
    <row r="114" spans="1:16" x14ac:dyDescent="0.2">
      <c r="A114" s="35" t="s">
        <v>1456</v>
      </c>
      <c r="B114" s="35">
        <v>204.31793694230399</v>
      </c>
      <c r="C114" s="35">
        <v>-4.5863417125822803</v>
      </c>
      <c r="D114" s="35">
        <v>0.87668607424762601</v>
      </c>
      <c r="E114" s="35">
        <v>-5.2314526799325396</v>
      </c>
      <c r="F114" s="40">
        <v>1.6818309036973899E-7</v>
      </c>
      <c r="G114" s="40">
        <v>4.3239671117185097E-5</v>
      </c>
      <c r="H114" s="29" t="s">
        <v>10</v>
      </c>
      <c r="I114" s="24" t="s">
        <v>3950</v>
      </c>
      <c r="J114" s="30" t="s">
        <v>10</v>
      </c>
      <c r="K114" s="33"/>
      <c r="L114" s="35"/>
      <c r="M114" s="35"/>
      <c r="O114" s="35"/>
      <c r="P114" s="35"/>
    </row>
    <row r="115" spans="1:16" x14ac:dyDescent="0.2">
      <c r="A115" s="35" t="s">
        <v>1460</v>
      </c>
      <c r="B115" s="35">
        <v>43.913383922481401</v>
      </c>
      <c r="C115" s="35">
        <v>-3.5460889366569202</v>
      </c>
      <c r="D115" s="35">
        <v>0.67866070981446103</v>
      </c>
      <c r="E115" s="35">
        <v>-5.2251277926880197</v>
      </c>
      <c r="F115" s="40">
        <v>1.7403487050219799E-7</v>
      </c>
      <c r="G115" s="40">
        <v>4.4345840845383599E-5</v>
      </c>
      <c r="H115" s="24" t="s">
        <v>10</v>
      </c>
      <c r="I115" s="33" t="str">
        <f>VLOOKUP(A115,TableS5!A:J,9,FALSE)</f>
        <v>Predicted protein (Fragment)</v>
      </c>
      <c r="J115" s="33" t="s">
        <v>10</v>
      </c>
      <c r="K115" s="33"/>
      <c r="L115" s="35"/>
      <c r="M115" s="35"/>
      <c r="O115" s="35"/>
      <c r="P115" s="35"/>
    </row>
    <row r="116" spans="1:16" x14ac:dyDescent="0.2">
      <c r="A116" s="35" t="s">
        <v>1463</v>
      </c>
      <c r="B116" s="35">
        <v>144.477156576971</v>
      </c>
      <c r="C116" s="35">
        <v>-2.6457493931020299</v>
      </c>
      <c r="D116" s="35">
        <v>0.50791732201682205</v>
      </c>
      <c r="E116" s="35">
        <v>-5.2090158740725201</v>
      </c>
      <c r="F116" s="40">
        <v>1.8984487279007999E-7</v>
      </c>
      <c r="G116" s="40">
        <v>4.7806947423334199E-5</v>
      </c>
      <c r="H116" s="33" t="str">
        <f>VLOOKUP(A116,TableS5!A:J,8,FALSE)</f>
        <v>K04874</v>
      </c>
      <c r="I116" s="24" t="s">
        <v>3978</v>
      </c>
      <c r="J116" s="33" t="s">
        <v>10</v>
      </c>
      <c r="K116" s="33"/>
      <c r="L116" s="35"/>
      <c r="M116" s="35"/>
      <c r="O116" s="35"/>
      <c r="P116" s="35"/>
    </row>
    <row r="117" spans="1:16" x14ac:dyDescent="0.2">
      <c r="A117" s="35" t="s">
        <v>1467</v>
      </c>
      <c r="B117" s="35">
        <v>162.03045650502901</v>
      </c>
      <c r="C117" s="35">
        <v>-2.2147955428428898</v>
      </c>
      <c r="D117" s="35">
        <v>0.42583928240329399</v>
      </c>
      <c r="E117" s="35">
        <v>-5.2010127631798602</v>
      </c>
      <c r="F117" s="40">
        <v>1.9820548902340399E-7</v>
      </c>
      <c r="G117" s="40">
        <v>4.9074130993086703E-5</v>
      </c>
      <c r="H117" s="33" t="str">
        <f>VLOOKUP(A117,TableS5!A:J,8,FALSE)</f>
        <v>K12021</v>
      </c>
      <c r="I117" s="24" t="s">
        <v>3988</v>
      </c>
      <c r="J117" s="33" t="s">
        <v>10</v>
      </c>
      <c r="K117" s="33"/>
      <c r="L117" s="35"/>
      <c r="M117" s="35"/>
      <c r="O117" s="35"/>
      <c r="P117" s="35"/>
    </row>
    <row r="118" spans="1:16" x14ac:dyDescent="0.2">
      <c r="A118" s="35" t="s">
        <v>1470</v>
      </c>
      <c r="B118" s="35">
        <v>33.217989194624202</v>
      </c>
      <c r="C118" s="35">
        <v>-7.43439918824608</v>
      </c>
      <c r="D118" s="35">
        <v>1.42971489244307</v>
      </c>
      <c r="E118" s="35">
        <v>-5.1999172894830199</v>
      </c>
      <c r="F118" s="40">
        <v>1.9937722821328399E-7</v>
      </c>
      <c r="G118" s="40">
        <v>4.9074130993086703E-5</v>
      </c>
      <c r="H118" s="24" t="s">
        <v>10</v>
      </c>
      <c r="I118" s="24" t="s">
        <v>10</v>
      </c>
      <c r="J118" s="33" t="s">
        <v>10</v>
      </c>
      <c r="K118" s="33"/>
      <c r="L118" s="35"/>
      <c r="M118" s="35"/>
      <c r="O118" s="35"/>
      <c r="P118" s="35"/>
    </row>
    <row r="119" spans="1:16" x14ac:dyDescent="0.2">
      <c r="A119" s="35" t="s">
        <v>1473</v>
      </c>
      <c r="B119" s="35">
        <v>118.709398187028</v>
      </c>
      <c r="C119" s="35">
        <v>-2.92326112121936</v>
      </c>
      <c r="D119" s="35">
        <v>0.562292373250319</v>
      </c>
      <c r="E119" s="35">
        <v>-5.1988276211564299</v>
      </c>
      <c r="F119" s="40">
        <v>2.0054939840002099E-7</v>
      </c>
      <c r="G119" s="40">
        <v>4.9074130993086703E-5</v>
      </c>
      <c r="H119" s="33" t="str">
        <f>VLOOKUP(A119,TableS5!A:J,8,FALSE)</f>
        <v>K07998</v>
      </c>
      <c r="I119" s="29" t="s">
        <v>4171</v>
      </c>
      <c r="J119" s="33" t="s">
        <v>10</v>
      </c>
      <c r="K119" s="33"/>
      <c r="L119" s="35"/>
      <c r="M119" s="35"/>
      <c r="O119" s="35"/>
      <c r="P119" s="35"/>
    </row>
    <row r="120" spans="1:16" x14ac:dyDescent="0.2">
      <c r="A120" s="35" t="s">
        <v>1476</v>
      </c>
      <c r="B120" s="35">
        <v>7415.2774816828596</v>
      </c>
      <c r="C120" s="35">
        <v>-2.37439337727873</v>
      </c>
      <c r="D120" s="35">
        <v>0.45681336042039999</v>
      </c>
      <c r="E120" s="35">
        <v>-5.1977319032298004</v>
      </c>
      <c r="F120" s="40">
        <v>2.0173479103026201E-7</v>
      </c>
      <c r="G120" s="40">
        <v>4.9074130993086703E-5</v>
      </c>
      <c r="H120" s="33" t="str">
        <f>VLOOKUP(A120,TableS5!A:J,8,FALSE)</f>
        <v>K19719</v>
      </c>
      <c r="I120" s="33" t="str">
        <f>VLOOKUP(A120,TableS5!A:J,9,FALSE)</f>
        <v>Collagen alpha-1(II) chain</v>
      </c>
      <c r="J120" s="33" t="s">
        <v>10</v>
      </c>
      <c r="K120" s="33"/>
      <c r="L120" s="35"/>
      <c r="M120" s="35"/>
      <c r="O120" s="35"/>
      <c r="P120" s="35"/>
    </row>
    <row r="121" spans="1:16" x14ac:dyDescent="0.2">
      <c r="A121" s="35" t="s">
        <v>1479</v>
      </c>
      <c r="B121" s="35">
        <v>1240.6715901887301</v>
      </c>
      <c r="C121" s="35">
        <v>-2.4835021091078202</v>
      </c>
      <c r="D121" s="35">
        <v>0.47829020925624499</v>
      </c>
      <c r="E121" s="35">
        <v>-5.1924585974062403</v>
      </c>
      <c r="F121" s="40">
        <v>2.0753503189087801E-7</v>
      </c>
      <c r="G121" s="40">
        <v>4.9897626455260998E-5</v>
      </c>
      <c r="H121" s="24" t="s">
        <v>10</v>
      </c>
      <c r="I121" s="33" t="str">
        <f>VLOOKUP(A121,TableS5!A:J,9,FALSE)</f>
        <v>B-box type zinc finger protein ncl-1 (Fragment)</v>
      </c>
      <c r="J121" s="33" t="s">
        <v>10</v>
      </c>
      <c r="K121" s="33"/>
      <c r="L121" s="35"/>
      <c r="M121" s="35"/>
      <c r="O121" s="35"/>
      <c r="P121" s="35"/>
    </row>
    <row r="122" spans="1:16" x14ac:dyDescent="0.2">
      <c r="A122" s="35" t="s">
        <v>1482</v>
      </c>
      <c r="B122" s="35">
        <v>36.715096141104397</v>
      </c>
      <c r="C122" s="35">
        <v>-3.0684570979913199</v>
      </c>
      <c r="D122" s="35">
        <v>0.59143849180278196</v>
      </c>
      <c r="E122" s="35">
        <v>-5.1881254610910803</v>
      </c>
      <c r="F122" s="40">
        <v>2.1242147875111899E-7</v>
      </c>
      <c r="G122" s="40">
        <v>5.08101526513575E-5</v>
      </c>
      <c r="H122" s="24" t="s">
        <v>4117</v>
      </c>
      <c r="I122" s="29" t="s">
        <v>4172</v>
      </c>
      <c r="J122" s="33" t="s">
        <v>3052</v>
      </c>
      <c r="K122" s="33"/>
      <c r="L122" s="35"/>
      <c r="M122" s="35"/>
      <c r="O122" s="35"/>
      <c r="P122" s="35"/>
    </row>
    <row r="123" spans="1:16" x14ac:dyDescent="0.2">
      <c r="A123" s="35" t="s">
        <v>1485</v>
      </c>
      <c r="B123" s="35">
        <v>52.1058271193168</v>
      </c>
      <c r="C123" s="35">
        <v>-3.4710679020113999</v>
      </c>
      <c r="D123" s="35">
        <v>0.66916916903788604</v>
      </c>
      <c r="E123" s="35">
        <v>-5.18713064291651</v>
      </c>
      <c r="F123" s="40">
        <v>2.1355892153783701E-7</v>
      </c>
      <c r="G123" s="40">
        <v>5.0940328198265599E-5</v>
      </c>
      <c r="H123" s="24" t="s">
        <v>10</v>
      </c>
      <c r="I123" s="33" t="str">
        <f>VLOOKUP(A123,TableS5!A:J,9,FALSE)</f>
        <v>Predicted protein</v>
      </c>
      <c r="J123" s="33" t="s">
        <v>10</v>
      </c>
      <c r="K123" s="33"/>
      <c r="L123" s="35"/>
      <c r="M123" s="35"/>
      <c r="O123" s="35"/>
      <c r="P123" s="35"/>
    </row>
    <row r="124" spans="1:16" x14ac:dyDescent="0.2">
      <c r="A124" s="35" t="s">
        <v>1487</v>
      </c>
      <c r="B124" s="35">
        <v>98.990292660122904</v>
      </c>
      <c r="C124" s="35">
        <v>-9.9790144114790902</v>
      </c>
      <c r="D124" s="35">
        <v>1.9261594230605501</v>
      </c>
      <c r="E124" s="35">
        <v>-5.1807832165953602</v>
      </c>
      <c r="F124" s="40">
        <v>2.20956164379775E-7</v>
      </c>
      <c r="G124" s="40">
        <v>5.2005148261993402E-5</v>
      </c>
      <c r="H124" s="24" t="s">
        <v>10</v>
      </c>
      <c r="I124" s="33" t="str">
        <f>VLOOKUP(A124,TableS5!A:J,9,FALSE)</f>
        <v>CARP3</v>
      </c>
      <c r="J124" s="33" t="s">
        <v>10</v>
      </c>
      <c r="K124" s="33"/>
      <c r="L124" s="35"/>
      <c r="M124" s="35"/>
      <c r="O124" s="35"/>
      <c r="P124" s="35"/>
    </row>
    <row r="125" spans="1:16" x14ac:dyDescent="0.2">
      <c r="A125" s="35" t="s">
        <v>1489</v>
      </c>
      <c r="B125" s="35">
        <v>542.03334336806302</v>
      </c>
      <c r="C125" s="35">
        <v>-2.1080992098776901</v>
      </c>
      <c r="D125" s="35">
        <v>0.40720669123002401</v>
      </c>
      <c r="E125" s="35">
        <v>-5.1769758584022503</v>
      </c>
      <c r="F125" s="40">
        <v>2.2551138393296701E-7</v>
      </c>
      <c r="G125" s="40">
        <v>5.2765362533263799E-5</v>
      </c>
      <c r="H125" s="33" t="str">
        <f>VLOOKUP(A125,TableS5!A:J,8,FALSE)</f>
        <v>K19719</v>
      </c>
      <c r="I125" s="33" t="str">
        <f>VLOOKUP(A125,TableS5!A:J,9,FALSE)</f>
        <v>Collagen alpha chain (Fragment)</v>
      </c>
      <c r="J125" s="33" t="s">
        <v>10</v>
      </c>
      <c r="K125" s="33"/>
      <c r="L125" s="35"/>
      <c r="M125" s="35"/>
      <c r="O125" s="35"/>
      <c r="P125" s="35"/>
    </row>
    <row r="126" spans="1:16" x14ac:dyDescent="0.2">
      <c r="A126" s="35" t="s">
        <v>1493</v>
      </c>
      <c r="B126" s="35">
        <v>27.305817545051099</v>
      </c>
      <c r="C126" s="35">
        <v>-4.1904361381373496</v>
      </c>
      <c r="D126" s="35">
        <v>0.81227450165526405</v>
      </c>
      <c r="E126" s="35">
        <v>-5.1588916426626996</v>
      </c>
      <c r="F126" s="40">
        <v>2.4841602040420699E-7</v>
      </c>
      <c r="G126" s="40">
        <v>5.7343365828305498E-5</v>
      </c>
      <c r="H126" s="29" t="s">
        <v>10</v>
      </c>
      <c r="I126" s="33" t="str">
        <f>VLOOKUP(A126,TableS5!A:J,9,FALSE)</f>
        <v>Uncharacterized protein</v>
      </c>
      <c r="J126" s="30" t="s">
        <v>10</v>
      </c>
      <c r="K126" s="33"/>
      <c r="L126" s="35"/>
      <c r="M126" s="35"/>
      <c r="O126" s="35"/>
      <c r="P126" s="35"/>
    </row>
    <row r="127" spans="1:16" x14ac:dyDescent="0.2">
      <c r="A127" s="35" t="s">
        <v>1497</v>
      </c>
      <c r="B127" s="35">
        <v>2192.5773568487398</v>
      </c>
      <c r="C127" s="35">
        <v>-2.8861363826475102</v>
      </c>
      <c r="D127" s="35">
        <v>0.56005316735384902</v>
      </c>
      <c r="E127" s="35">
        <v>-5.1533257034934499</v>
      </c>
      <c r="F127" s="40">
        <v>2.5590692557670898E-7</v>
      </c>
      <c r="G127" s="40">
        <v>5.8289081183547898E-5</v>
      </c>
      <c r="H127" s="33" t="str">
        <f>VLOOKUP(A127,TableS5!A:J,8,FALSE)</f>
        <v>K19719</v>
      </c>
      <c r="I127" s="24" t="s">
        <v>10</v>
      </c>
      <c r="J127" s="33" t="s">
        <v>10</v>
      </c>
      <c r="K127" s="33"/>
      <c r="L127" s="35"/>
      <c r="M127" s="35"/>
      <c r="O127" s="35"/>
      <c r="P127" s="35"/>
    </row>
    <row r="128" spans="1:16" x14ac:dyDescent="0.2">
      <c r="A128" s="35" t="s">
        <v>1500</v>
      </c>
      <c r="B128" s="35">
        <v>56.420475173108201</v>
      </c>
      <c r="C128" s="35">
        <v>-4.0593234498134496</v>
      </c>
      <c r="D128" s="35">
        <v>0.78822691443981496</v>
      </c>
      <c r="E128" s="35">
        <v>-5.1499427074224799</v>
      </c>
      <c r="F128" s="40">
        <v>2.6056604105672198E-7</v>
      </c>
      <c r="G128" s="40">
        <v>5.9193297649687199E-5</v>
      </c>
      <c r="H128" s="24" t="s">
        <v>10</v>
      </c>
      <c r="I128" s="33" t="str">
        <f>VLOOKUP(A128,TableS5!A:J,9,FALSE)</f>
        <v>B-box type zinc finger protein ncl-1 (Fragment)</v>
      </c>
      <c r="J128" s="33" t="s">
        <v>10</v>
      </c>
      <c r="K128" s="33"/>
      <c r="L128" s="35"/>
      <c r="M128" s="35"/>
      <c r="O128" s="35"/>
      <c r="P128" s="35"/>
    </row>
    <row r="129" spans="1:16" x14ac:dyDescent="0.2">
      <c r="A129" s="35" t="s">
        <v>1502</v>
      </c>
      <c r="B129" s="35">
        <v>52.282864653771298</v>
      </c>
      <c r="C129" s="35">
        <v>-2.5222962537126201</v>
      </c>
      <c r="D129" s="35">
        <v>0.48996724475346698</v>
      </c>
      <c r="E129" s="35">
        <v>-5.1478874980341596</v>
      </c>
      <c r="F129" s="40">
        <v>2.6343640279349401E-7</v>
      </c>
      <c r="G129" s="40">
        <v>5.9687460011293197E-5</v>
      </c>
      <c r="H129" s="24" t="s">
        <v>10</v>
      </c>
      <c r="I129" s="33" t="str">
        <f>VLOOKUP(A129,TableS5!A:J,9,FALSE)</f>
        <v>Predicted protein (Fragment)</v>
      </c>
      <c r="J129" s="33" t="s">
        <v>10</v>
      </c>
      <c r="K129" s="33"/>
      <c r="L129" s="35"/>
      <c r="M129" s="35"/>
      <c r="O129" s="35"/>
      <c r="P129" s="35"/>
    </row>
    <row r="130" spans="1:16" x14ac:dyDescent="0.2">
      <c r="A130" s="35" t="s">
        <v>1506</v>
      </c>
      <c r="B130" s="35">
        <v>37.213757522090901</v>
      </c>
      <c r="C130" s="35">
        <v>-3.74722908721674</v>
      </c>
      <c r="D130" s="35">
        <v>0.73058639480257004</v>
      </c>
      <c r="E130" s="35">
        <v>-5.1290704478959901</v>
      </c>
      <c r="F130" s="40">
        <v>2.91176370989232E-7</v>
      </c>
      <c r="G130" s="40">
        <v>6.5283566979676999E-5</v>
      </c>
      <c r="H130" s="24" t="s">
        <v>10</v>
      </c>
      <c r="I130" s="33" t="str">
        <f>VLOOKUP(A130,TableS5!A:J,9,FALSE)</f>
        <v>CARP3</v>
      </c>
      <c r="J130" s="33" t="s">
        <v>10</v>
      </c>
      <c r="K130" s="33"/>
      <c r="L130" s="35"/>
      <c r="M130" s="35"/>
      <c r="O130" s="35"/>
      <c r="P130" s="35"/>
    </row>
    <row r="131" spans="1:16" x14ac:dyDescent="0.2">
      <c r="A131" s="35" t="s">
        <v>1509</v>
      </c>
      <c r="B131" s="35">
        <v>402.64495964552998</v>
      </c>
      <c r="C131" s="35">
        <v>-3.39144187741912</v>
      </c>
      <c r="D131" s="35">
        <v>0.66129098557400001</v>
      </c>
      <c r="E131" s="35">
        <v>-5.1285167216899996</v>
      </c>
      <c r="F131" s="40">
        <v>2.9203396264667199E-7</v>
      </c>
      <c r="G131" s="40">
        <v>6.5305334391750901E-5</v>
      </c>
      <c r="H131" s="24" t="s">
        <v>10</v>
      </c>
      <c r="I131" s="33" t="str">
        <f>VLOOKUP(A131,TableS5!A:J,9,FALSE)</f>
        <v>Predicted protein (Fragment)</v>
      </c>
      <c r="J131" s="33" t="s">
        <v>10</v>
      </c>
      <c r="K131" s="33"/>
      <c r="L131" s="35"/>
      <c r="M131" s="35"/>
      <c r="O131" s="35"/>
      <c r="P131" s="35"/>
    </row>
    <row r="132" spans="1:16" x14ac:dyDescent="0.2">
      <c r="A132" s="35" t="s">
        <v>1510</v>
      </c>
      <c r="B132" s="35">
        <v>26.551867375103299</v>
      </c>
      <c r="C132" s="35">
        <v>-7.1031324366289503</v>
      </c>
      <c r="D132" s="35">
        <v>1.3860197529791001</v>
      </c>
      <c r="E132" s="35">
        <v>-5.1248421397758204</v>
      </c>
      <c r="F132" s="40">
        <v>2.9778713719689001E-7</v>
      </c>
      <c r="G132" s="40">
        <v>6.6070653737967496E-5</v>
      </c>
      <c r="H132" s="24" t="s">
        <v>10</v>
      </c>
      <c r="I132" s="33" t="str">
        <f>VLOOKUP(A132,TableS5!A:J,9,FALSE)</f>
        <v>Predicted protein (Fragment)</v>
      </c>
      <c r="J132" s="33" t="s">
        <v>10</v>
      </c>
      <c r="K132" s="33"/>
      <c r="L132" s="35"/>
      <c r="M132" s="35"/>
      <c r="O132" s="35"/>
      <c r="P132" s="35"/>
    </row>
    <row r="133" spans="1:16" x14ac:dyDescent="0.2">
      <c r="A133" s="35" t="s">
        <v>1513</v>
      </c>
      <c r="B133" s="35">
        <v>210.858547329403</v>
      </c>
      <c r="C133" s="35">
        <v>-5.3658533600350999</v>
      </c>
      <c r="D133" s="35">
        <v>1.04721551906653</v>
      </c>
      <c r="E133" s="35">
        <v>-5.1239246003708203</v>
      </c>
      <c r="F133" s="40">
        <v>2.9924068579818299E-7</v>
      </c>
      <c r="G133" s="40">
        <v>6.6070653737967496E-5</v>
      </c>
      <c r="H133" s="24" t="s">
        <v>1515</v>
      </c>
      <c r="I133" s="24" t="s">
        <v>3940</v>
      </c>
      <c r="J133" s="33" t="s">
        <v>4056</v>
      </c>
      <c r="K133" s="33"/>
      <c r="L133" s="35"/>
      <c r="M133" s="35"/>
      <c r="O133" s="35"/>
      <c r="P133" s="35"/>
    </row>
    <row r="134" spans="1:16" x14ac:dyDescent="0.2">
      <c r="A134" s="35" t="s">
        <v>1516</v>
      </c>
      <c r="B134" s="35">
        <v>225.97427088275799</v>
      </c>
      <c r="C134" s="35">
        <v>-4.6445686599209699</v>
      </c>
      <c r="D134" s="35">
        <v>0.90916763205851303</v>
      </c>
      <c r="E134" s="35">
        <v>-5.1085943847394404</v>
      </c>
      <c r="F134" s="40">
        <v>3.2456426342443598E-7</v>
      </c>
      <c r="G134" s="40">
        <v>7.1098617001325902E-5</v>
      </c>
      <c r="H134" s="33" t="str">
        <f>VLOOKUP(A134,TableS5!A:J,8,FALSE)</f>
        <v>K06793</v>
      </c>
      <c r="I134" s="29" t="s">
        <v>4173</v>
      </c>
      <c r="J134" s="30" t="s">
        <v>10</v>
      </c>
      <c r="K134" s="33"/>
      <c r="L134" s="35"/>
      <c r="M134" s="35"/>
      <c r="O134" s="35"/>
      <c r="P134" s="35"/>
    </row>
    <row r="135" spans="1:16" x14ac:dyDescent="0.2">
      <c r="A135" s="35" t="s">
        <v>1520</v>
      </c>
      <c r="B135" s="35">
        <v>28.699368976697201</v>
      </c>
      <c r="C135" s="35">
        <v>-3.7359480634302402</v>
      </c>
      <c r="D135" s="35">
        <v>0.73179272197813305</v>
      </c>
      <c r="E135" s="35">
        <v>-5.1051998075786802</v>
      </c>
      <c r="F135" s="40">
        <v>3.3044517322191401E-7</v>
      </c>
      <c r="G135" s="40">
        <v>7.2019435202383194E-5</v>
      </c>
      <c r="H135" s="24" t="s">
        <v>10</v>
      </c>
      <c r="I135" s="33" t="str">
        <f>VLOOKUP(A135,TableS5!A:J,9,FALSE)</f>
        <v>Predicted protein (Fragment)</v>
      </c>
      <c r="J135" s="33" t="s">
        <v>10</v>
      </c>
      <c r="K135" s="33"/>
      <c r="L135" s="35"/>
      <c r="M135" s="35"/>
      <c r="O135" s="35"/>
      <c r="P135" s="35"/>
    </row>
    <row r="136" spans="1:16" x14ac:dyDescent="0.2">
      <c r="A136" s="35" t="s">
        <v>1522</v>
      </c>
      <c r="B136" s="35">
        <v>46.639075006429898</v>
      </c>
      <c r="C136" s="35">
        <v>-2.9743251705013898</v>
      </c>
      <c r="D136" s="35">
        <v>0.58327982743144802</v>
      </c>
      <c r="E136" s="35">
        <v>-5.09931088067838</v>
      </c>
      <c r="F136" s="40">
        <v>3.4089227261402002E-7</v>
      </c>
      <c r="G136" s="40">
        <v>7.4108254029464703E-5</v>
      </c>
      <c r="H136" s="24" t="s">
        <v>10</v>
      </c>
      <c r="I136" s="33" t="str">
        <f>VLOOKUP(A136,TableS5!A:J,9,FALSE)</f>
        <v>-</v>
      </c>
      <c r="J136" s="33" t="s">
        <v>10</v>
      </c>
      <c r="K136" s="33"/>
      <c r="L136" s="35"/>
      <c r="M136" s="35"/>
      <c r="O136" s="35"/>
      <c r="P136" s="35"/>
    </row>
    <row r="137" spans="1:16" x14ac:dyDescent="0.2">
      <c r="A137" s="35" t="s">
        <v>1525</v>
      </c>
      <c r="B137" s="35">
        <v>70.840429891376601</v>
      </c>
      <c r="C137" s="35">
        <v>-2.1696108278270998</v>
      </c>
      <c r="D137" s="35">
        <v>0.425750608550926</v>
      </c>
      <c r="E137" s="35">
        <v>-5.09596647486081</v>
      </c>
      <c r="F137" s="40">
        <v>3.4696653066389998E-7</v>
      </c>
      <c r="G137" s="40">
        <v>7.5238290289494306E-5</v>
      </c>
      <c r="H137" s="24" t="s">
        <v>10</v>
      </c>
      <c r="I137" s="33" t="str">
        <f>VLOOKUP(A137,TableS5!A:J,9,FALSE)</f>
        <v>Euphy</v>
      </c>
      <c r="J137" s="33" t="s">
        <v>10</v>
      </c>
      <c r="K137" s="33"/>
      <c r="L137" s="35"/>
      <c r="M137" s="35"/>
      <c r="O137" s="35"/>
      <c r="P137" s="35"/>
    </row>
    <row r="138" spans="1:16" x14ac:dyDescent="0.2">
      <c r="A138" s="35" t="s">
        <v>1528</v>
      </c>
      <c r="B138" s="35">
        <v>165.163999937342</v>
      </c>
      <c r="C138" s="35">
        <v>-4.0557075091023602</v>
      </c>
      <c r="D138" s="35">
        <v>0.79668449245731798</v>
      </c>
      <c r="E138" s="35">
        <v>-5.0907323382093299</v>
      </c>
      <c r="F138" s="40">
        <v>3.566832252794E-7</v>
      </c>
      <c r="G138" s="40">
        <v>7.6956646326550995E-5</v>
      </c>
      <c r="H138" s="24" t="s">
        <v>10</v>
      </c>
      <c r="I138" s="33" t="str">
        <f>VLOOKUP(A138,TableS5!A:J,9,FALSE)</f>
        <v>B-box type zinc finger protein ncl-1 (Fragment)</v>
      </c>
      <c r="J138" s="33" t="s">
        <v>10</v>
      </c>
      <c r="K138" s="33"/>
      <c r="L138" s="35"/>
      <c r="M138" s="35"/>
      <c r="O138" s="35"/>
      <c r="P138" s="35"/>
    </row>
    <row r="139" spans="1:16" x14ac:dyDescent="0.2">
      <c r="A139" s="35" t="s">
        <v>1529</v>
      </c>
      <c r="B139" s="35">
        <v>24.205006333812499</v>
      </c>
      <c r="C139" s="35">
        <v>-4.5299489964695399</v>
      </c>
      <c r="D139" s="35">
        <v>0.89043525237462695</v>
      </c>
      <c r="E139" s="35">
        <v>-5.0873423804695497</v>
      </c>
      <c r="F139" s="40">
        <v>3.6311594845790099E-7</v>
      </c>
      <c r="G139" s="40">
        <v>7.81481945113493E-5</v>
      </c>
      <c r="H139" s="33" t="str">
        <f>VLOOKUP(A139,TableS5!A:J,8,FALSE)</f>
        <v>K06051</v>
      </c>
      <c r="I139" s="33" t="str">
        <f>VLOOKUP(A139,TableS5!A:J,9,FALSE)</f>
        <v>delta-like protein D</v>
      </c>
      <c r="J139" s="33" t="s">
        <v>10</v>
      </c>
      <c r="K139" s="33"/>
      <c r="L139" s="35"/>
      <c r="M139" s="35"/>
      <c r="O139" s="35"/>
      <c r="P139" s="35"/>
    </row>
    <row r="140" spans="1:16" x14ac:dyDescent="0.2">
      <c r="A140" s="35" t="s">
        <v>1532</v>
      </c>
      <c r="B140" s="35">
        <v>290.23580227867899</v>
      </c>
      <c r="C140" s="35">
        <v>-2.3936698704344201</v>
      </c>
      <c r="D140" s="35">
        <v>0.471405762684458</v>
      </c>
      <c r="E140" s="35">
        <v>-5.0777272148806096</v>
      </c>
      <c r="F140" s="40">
        <v>3.81976574599218E-7</v>
      </c>
      <c r="G140" s="40">
        <v>8.1189877320320394E-5</v>
      </c>
      <c r="H140" s="24" t="s">
        <v>10</v>
      </c>
      <c r="I140" s="33" t="str">
        <f>VLOOKUP(A140,TableS5!A:J,9,FALSE)</f>
        <v>Predicted protein (Fragment)</v>
      </c>
      <c r="J140" s="33" t="s">
        <v>10</v>
      </c>
      <c r="K140" s="33"/>
      <c r="L140" s="35"/>
      <c r="M140" s="35"/>
      <c r="O140" s="35"/>
      <c r="P140" s="35"/>
    </row>
    <row r="141" spans="1:16" x14ac:dyDescent="0.2">
      <c r="A141" s="35" t="s">
        <v>1534</v>
      </c>
      <c r="B141" s="35">
        <v>1395.4652032851</v>
      </c>
      <c r="C141" s="35">
        <v>-2.4751089247674498</v>
      </c>
      <c r="D141" s="35">
        <v>0.48816766259223598</v>
      </c>
      <c r="E141" s="35">
        <v>-5.0702025439872198</v>
      </c>
      <c r="F141" s="40">
        <v>3.9739255806754998E-7</v>
      </c>
      <c r="G141" s="40">
        <v>8.3141949108208498E-5</v>
      </c>
      <c r="H141" s="24" t="s">
        <v>3868</v>
      </c>
      <c r="I141" s="24" t="s">
        <v>4002</v>
      </c>
      <c r="J141" s="33" t="s">
        <v>4099</v>
      </c>
      <c r="K141" s="33"/>
      <c r="L141" s="35"/>
      <c r="M141" s="35"/>
      <c r="O141" s="35"/>
      <c r="P141" s="35"/>
    </row>
    <row r="142" spans="1:16" x14ac:dyDescent="0.2">
      <c r="A142" s="35" t="s">
        <v>1537</v>
      </c>
      <c r="B142" s="35">
        <v>46.588685500709502</v>
      </c>
      <c r="C142" s="35">
        <v>-7.9233004017208204</v>
      </c>
      <c r="D142" s="35">
        <v>1.56301030877417</v>
      </c>
      <c r="E142" s="35">
        <v>-5.0692566499672402</v>
      </c>
      <c r="F142" s="40">
        <v>3.9937239857001402E-7</v>
      </c>
      <c r="G142" s="40">
        <v>8.3141949108208498E-5</v>
      </c>
      <c r="H142" s="24" t="s">
        <v>4129</v>
      </c>
      <c r="I142" s="29" t="s">
        <v>4174</v>
      </c>
      <c r="J142" s="30" t="s">
        <v>10</v>
      </c>
      <c r="K142" s="33"/>
      <c r="L142" s="35"/>
      <c r="M142" s="35"/>
      <c r="O142" s="35"/>
      <c r="P142" s="35"/>
    </row>
    <row r="143" spans="1:16" x14ac:dyDescent="0.2">
      <c r="A143" s="35" t="s">
        <v>1539</v>
      </c>
      <c r="B143" s="35">
        <v>190.184041083821</v>
      </c>
      <c r="C143" s="35">
        <v>-4.4001441755734998</v>
      </c>
      <c r="D143" s="35">
        <v>0.86812216385224406</v>
      </c>
      <c r="E143" s="35">
        <v>-5.0685771643568103</v>
      </c>
      <c r="F143" s="40">
        <v>4.0080049323282202E-7</v>
      </c>
      <c r="G143" s="40">
        <v>8.3141949108208498E-5</v>
      </c>
      <c r="H143" s="24" t="s">
        <v>10</v>
      </c>
      <c r="I143" s="33" t="s">
        <v>369</v>
      </c>
      <c r="J143" s="33" t="s">
        <v>10</v>
      </c>
      <c r="K143" s="33"/>
      <c r="L143" s="35"/>
      <c r="M143" s="35"/>
      <c r="O143" s="35"/>
      <c r="P143" s="35"/>
    </row>
    <row r="144" spans="1:16" x14ac:dyDescent="0.2">
      <c r="A144" s="35" t="s">
        <v>1541</v>
      </c>
      <c r="B144" s="35">
        <v>127.769928166886</v>
      </c>
      <c r="C144" s="35">
        <v>-2.6242559716343199</v>
      </c>
      <c r="D144" s="35">
        <v>0.51776987600862401</v>
      </c>
      <c r="E144" s="35">
        <v>-5.06838287283946</v>
      </c>
      <c r="F144" s="40">
        <v>4.0120974645623498E-7</v>
      </c>
      <c r="G144" s="40">
        <v>8.3141949108208498E-5</v>
      </c>
      <c r="H144" s="24" t="s">
        <v>4130</v>
      </c>
      <c r="I144" s="30" t="s">
        <v>4175</v>
      </c>
      <c r="J144" s="30" t="s">
        <v>10</v>
      </c>
      <c r="K144" s="33"/>
      <c r="L144" s="35"/>
      <c r="M144" s="35"/>
      <c r="O144" s="35"/>
      <c r="P144" s="35"/>
    </row>
    <row r="145" spans="1:16" x14ac:dyDescent="0.2">
      <c r="A145" s="35" t="s">
        <v>1543</v>
      </c>
      <c r="B145" s="35">
        <v>19.927774575182799</v>
      </c>
      <c r="C145" s="35">
        <v>-7.6656303872607996</v>
      </c>
      <c r="D145" s="35">
        <v>1.51323173152992</v>
      </c>
      <c r="E145" s="35">
        <v>-5.0657346310803497</v>
      </c>
      <c r="F145" s="40">
        <v>4.0682833312875E-7</v>
      </c>
      <c r="G145" s="40">
        <v>8.3950426836922301E-5</v>
      </c>
      <c r="H145" s="24" t="s">
        <v>10</v>
      </c>
      <c r="I145" s="33" t="str">
        <f>VLOOKUP(A145,TableS5!A:J,9,FALSE)</f>
        <v>Predicted protein (Fragment)</v>
      </c>
      <c r="J145" s="33" t="s">
        <v>10</v>
      </c>
      <c r="K145" s="33"/>
      <c r="L145" s="35"/>
      <c r="M145" s="35"/>
      <c r="O145" s="35"/>
      <c r="P145" s="35"/>
    </row>
    <row r="146" spans="1:16" x14ac:dyDescent="0.2">
      <c r="A146" s="35" t="s">
        <v>1546</v>
      </c>
      <c r="B146" s="35">
        <v>58.008251077010001</v>
      </c>
      <c r="C146" s="35">
        <v>-2.2382443271780499</v>
      </c>
      <c r="D146" s="35">
        <v>0.44187450706601999</v>
      </c>
      <c r="E146" s="35">
        <v>-5.0653393472270096</v>
      </c>
      <c r="F146" s="40">
        <v>4.0767346357905E-7</v>
      </c>
      <c r="G146" s="40">
        <v>8.3950426836922301E-5</v>
      </c>
      <c r="H146" s="24" t="s">
        <v>10</v>
      </c>
      <c r="I146" s="33" t="str">
        <f>VLOOKUP(A146,TableS5!A:J,9,FALSE)</f>
        <v>Predicted protein (Fragment)</v>
      </c>
      <c r="J146" s="33" t="s">
        <v>10</v>
      </c>
      <c r="K146" s="33"/>
      <c r="L146" s="35"/>
      <c r="M146" s="35"/>
      <c r="O146" s="35"/>
      <c r="P146" s="35"/>
    </row>
    <row r="147" spans="1:16" x14ac:dyDescent="0.2">
      <c r="A147" s="35" t="s">
        <v>1550</v>
      </c>
      <c r="B147" s="35">
        <v>274.20781440534898</v>
      </c>
      <c r="C147" s="35">
        <v>-3.6129772162395501</v>
      </c>
      <c r="D147" s="35">
        <v>0.7144796021816</v>
      </c>
      <c r="E147" s="35">
        <v>-5.0567954707281304</v>
      </c>
      <c r="F147" s="40">
        <v>4.2636007384415898E-7</v>
      </c>
      <c r="G147" s="40">
        <v>8.6632331108437794E-5</v>
      </c>
      <c r="H147" s="24" t="s">
        <v>10</v>
      </c>
      <c r="I147" s="33" t="str">
        <f>VLOOKUP(A147,TableS5!A:J,9,FALSE)</f>
        <v xml:space="preserve"> MAM and LDL-receptor class A domain-containing protein 1-like isoform X2</v>
      </c>
      <c r="J147" s="33" t="s">
        <v>10</v>
      </c>
      <c r="K147" s="33"/>
      <c r="L147" s="35"/>
      <c r="M147" s="35"/>
      <c r="O147" s="35"/>
      <c r="P147" s="35"/>
    </row>
    <row r="148" spans="1:16" x14ac:dyDescent="0.2">
      <c r="A148" s="35" t="s">
        <v>1553</v>
      </c>
      <c r="B148" s="35">
        <v>87.152989620923194</v>
      </c>
      <c r="C148" s="35">
        <v>-2.9044094622946099</v>
      </c>
      <c r="D148" s="35">
        <v>0.57531880559868898</v>
      </c>
      <c r="E148" s="35">
        <v>-5.0483478621426601</v>
      </c>
      <c r="F148" s="40">
        <v>4.4564715128343799E-7</v>
      </c>
      <c r="G148" s="40">
        <v>8.9620998894285997E-5</v>
      </c>
      <c r="H148" s="33" t="str">
        <f>VLOOKUP(A148,TableS5!A:J,8,FALSE)</f>
        <v>K19719</v>
      </c>
      <c r="I148" s="33" t="str">
        <f>VLOOKUP(A148,TableS5!A:J,9,FALSE)</f>
        <v>putative collagen alpha-1(I) chain-like</v>
      </c>
      <c r="J148" s="33" t="s">
        <v>10</v>
      </c>
      <c r="K148" s="33"/>
      <c r="L148" s="35"/>
      <c r="M148" s="35"/>
      <c r="O148" s="35"/>
      <c r="P148" s="35"/>
    </row>
    <row r="149" spans="1:16" x14ac:dyDescent="0.2">
      <c r="A149" s="35" t="s">
        <v>1557</v>
      </c>
      <c r="B149" s="35">
        <v>49.460631913294897</v>
      </c>
      <c r="C149" s="35">
        <v>-6.1626734796316702</v>
      </c>
      <c r="D149" s="35">
        <v>1.2249269387991599</v>
      </c>
      <c r="E149" s="35">
        <v>-5.0310539220185397</v>
      </c>
      <c r="F149" s="40">
        <v>4.8779092039889101E-7</v>
      </c>
      <c r="G149" s="40">
        <v>9.7638914045625094E-5</v>
      </c>
      <c r="H149" s="33" t="str">
        <f>VLOOKUP(A149,TableS5!A:J,8,FALSE)</f>
        <v xml:space="preserve"> K14195</v>
      </c>
      <c r="I149" s="33" t="str">
        <f>VLOOKUP(A149,TableS5!A:J,9,FALSE)</f>
        <v>Accumulation-associated protein (Fragment)</v>
      </c>
      <c r="J149" s="33" t="s">
        <v>10</v>
      </c>
      <c r="K149" s="33"/>
      <c r="L149" s="35"/>
      <c r="M149" s="35"/>
      <c r="O149" s="35"/>
      <c r="P149" s="35"/>
    </row>
    <row r="150" spans="1:16" x14ac:dyDescent="0.2">
      <c r="A150" s="35" t="s">
        <v>1561</v>
      </c>
      <c r="B150" s="35">
        <v>90.037666151418804</v>
      </c>
      <c r="C150" s="35">
        <v>-2.8683230531920598</v>
      </c>
      <c r="D150" s="35">
        <v>0.57223124572971795</v>
      </c>
      <c r="E150" s="35">
        <v>-5.0125243502464398</v>
      </c>
      <c r="F150" s="40">
        <v>5.3720574688162504E-7</v>
      </c>
      <c r="G150" s="35">
        <v>1.05384131009322E-4</v>
      </c>
      <c r="H150" s="24" t="s">
        <v>10</v>
      </c>
      <c r="I150" s="24" t="s">
        <v>10</v>
      </c>
      <c r="J150" s="33" t="s">
        <v>10</v>
      </c>
      <c r="K150" s="33"/>
      <c r="L150" s="35"/>
      <c r="M150" s="35"/>
      <c r="O150" s="35"/>
      <c r="P150" s="35"/>
    </row>
    <row r="151" spans="1:16" x14ac:dyDescent="0.2">
      <c r="A151" s="35" t="s">
        <v>1564</v>
      </c>
      <c r="B151" s="35">
        <v>69.284903430875502</v>
      </c>
      <c r="C151" s="35">
        <v>-2.1936831915254298</v>
      </c>
      <c r="D151" s="35">
        <v>0.43807374914554598</v>
      </c>
      <c r="E151" s="35">
        <v>-5.0075659539156696</v>
      </c>
      <c r="F151" s="40">
        <v>5.5122666055782302E-7</v>
      </c>
      <c r="G151" s="35">
        <v>1.0733420537134E-4</v>
      </c>
      <c r="H151" s="24" t="s">
        <v>1381</v>
      </c>
      <c r="I151" s="24" t="s">
        <v>3909</v>
      </c>
      <c r="J151" s="30" t="s">
        <v>10</v>
      </c>
      <c r="K151" s="33"/>
      <c r="L151" s="35"/>
      <c r="M151" s="35"/>
      <c r="O151" s="35"/>
      <c r="P151" s="35"/>
    </row>
    <row r="152" spans="1:16" x14ac:dyDescent="0.2">
      <c r="A152" s="35" t="s">
        <v>1566</v>
      </c>
      <c r="B152" s="35">
        <v>87.078173643583696</v>
      </c>
      <c r="C152" s="35">
        <v>-3.1332250310758498</v>
      </c>
      <c r="D152" s="35">
        <v>0.627458235271523</v>
      </c>
      <c r="E152" s="35">
        <v>-4.9935196558859296</v>
      </c>
      <c r="F152" s="40">
        <v>5.9288748571046201E-7</v>
      </c>
      <c r="G152" s="35">
        <v>1.14666309201448E-4</v>
      </c>
      <c r="H152" s="24" t="s">
        <v>10</v>
      </c>
      <c r="I152" s="33" t="str">
        <f>VLOOKUP(A152,TableS5!A:J,9,FALSE)</f>
        <v>uncharacterized protein LOC106181466</v>
      </c>
      <c r="J152" s="33" t="s">
        <v>10</v>
      </c>
      <c r="K152" s="33"/>
      <c r="L152" s="35"/>
      <c r="M152" s="35"/>
      <c r="O152" s="35"/>
      <c r="P152" s="35"/>
    </row>
    <row r="153" spans="1:16" x14ac:dyDescent="0.2">
      <c r="A153" s="35" t="s">
        <v>1570</v>
      </c>
      <c r="B153" s="35">
        <v>89.995272630974696</v>
      </c>
      <c r="C153" s="35">
        <v>-2.4763414191996098</v>
      </c>
      <c r="D153" s="35">
        <v>0.49830557252128599</v>
      </c>
      <c r="E153" s="35">
        <v>-4.9695238338797196</v>
      </c>
      <c r="F153" s="40">
        <v>6.7117520762265496E-7</v>
      </c>
      <c r="G153" s="35">
        <v>1.2864840681644E-4</v>
      </c>
      <c r="H153" s="29" t="s">
        <v>10</v>
      </c>
      <c r="I153" s="33" t="str">
        <f>VLOOKUP(A153,TableS5!A:J,9,FALSE)</f>
        <v>Predicted protein</v>
      </c>
      <c r="J153" s="33" t="s">
        <v>10</v>
      </c>
      <c r="K153" s="33"/>
      <c r="L153" s="35"/>
      <c r="M153" s="35"/>
      <c r="O153" s="35"/>
      <c r="P153" s="35"/>
    </row>
    <row r="154" spans="1:16" x14ac:dyDescent="0.2">
      <c r="A154" s="35" t="s">
        <v>1572</v>
      </c>
      <c r="B154" s="35">
        <v>1735.8207578676399</v>
      </c>
      <c r="C154" s="35">
        <v>-4.0008971015160197</v>
      </c>
      <c r="D154" s="35">
        <v>0.80549695799151</v>
      </c>
      <c r="E154" s="35">
        <v>-4.9669921926113503</v>
      </c>
      <c r="F154" s="40">
        <v>6.7999324655491999E-7</v>
      </c>
      <c r="G154" s="35">
        <v>1.3004832978823501E-4</v>
      </c>
      <c r="H154" s="24" t="s">
        <v>10</v>
      </c>
      <c r="I154" s="33" t="str">
        <f>VLOOKUP(A154,TableS5!A:J,9,FALSE)</f>
        <v>Euphy</v>
      </c>
      <c r="J154" s="33" t="s">
        <v>10</v>
      </c>
      <c r="K154" s="33"/>
      <c r="L154" s="35"/>
      <c r="M154" s="35"/>
      <c r="O154" s="35"/>
      <c r="P154" s="35"/>
    </row>
    <row r="155" spans="1:16" x14ac:dyDescent="0.2">
      <c r="A155" s="35" t="s">
        <v>1574</v>
      </c>
      <c r="B155" s="35">
        <v>123.805426384623</v>
      </c>
      <c r="C155" s="35">
        <v>-2.2962058426049898</v>
      </c>
      <c r="D155" s="35">
        <v>0.462415778103692</v>
      </c>
      <c r="E155" s="35">
        <v>-4.9656736455261798</v>
      </c>
      <c r="F155" s="40">
        <v>6.8463002593168102E-7</v>
      </c>
      <c r="G155" s="35">
        <v>1.3035446775339101E-4</v>
      </c>
      <c r="H155" s="33" t="str">
        <f>VLOOKUP(A155,TableS5!A:J,8,FALSE)</f>
        <v>K08076</v>
      </c>
      <c r="I155" s="29" t="s">
        <v>4176</v>
      </c>
      <c r="J155" s="33" t="s">
        <v>10</v>
      </c>
      <c r="K155" s="33"/>
      <c r="L155" s="35"/>
      <c r="M155" s="35"/>
      <c r="O155" s="35"/>
      <c r="P155" s="35"/>
    </row>
    <row r="156" spans="1:16" x14ac:dyDescent="0.2">
      <c r="A156" s="35" t="s">
        <v>1576</v>
      </c>
      <c r="B156" s="35">
        <v>1963.4001688861299</v>
      </c>
      <c r="C156" s="35">
        <v>-2.3745664891057801</v>
      </c>
      <c r="D156" s="35">
        <v>0.47854561799405498</v>
      </c>
      <c r="E156" s="35">
        <v>-4.9620483394234798</v>
      </c>
      <c r="F156" s="40">
        <v>6.97536291565432E-7</v>
      </c>
      <c r="G156" s="35">
        <v>1.31841366237024E-4</v>
      </c>
      <c r="H156" s="33" t="str">
        <f>VLOOKUP(A156,TableS5!A:J,8,FALSE)</f>
        <v xml:space="preserve"> K14195</v>
      </c>
      <c r="I156" s="33" t="str">
        <f>VLOOKUP(A156,TableS5!A:J,9,FALSE)</f>
        <v>Accumulation-associated protein (Fragment)</v>
      </c>
      <c r="J156" s="33" t="s">
        <v>10</v>
      </c>
      <c r="K156" s="33"/>
      <c r="L156" s="35"/>
      <c r="M156" s="35"/>
      <c r="O156" s="35"/>
      <c r="P156" s="35"/>
    </row>
    <row r="157" spans="1:16" x14ac:dyDescent="0.2">
      <c r="A157" s="35" t="s">
        <v>1577</v>
      </c>
      <c r="B157" s="35">
        <v>128.43466682158001</v>
      </c>
      <c r="C157" s="35">
        <v>-6.9692938711598398</v>
      </c>
      <c r="D157" s="35">
        <v>1.40573803602304</v>
      </c>
      <c r="E157" s="35">
        <v>-4.9577472420655297</v>
      </c>
      <c r="F157" s="40">
        <v>7.1315258061214197E-7</v>
      </c>
      <c r="G157" s="35">
        <v>1.33418573528857E-4</v>
      </c>
      <c r="H157" s="24" t="s">
        <v>3831</v>
      </c>
      <c r="I157" s="29" t="s">
        <v>4177</v>
      </c>
      <c r="J157" s="33" t="s">
        <v>4045</v>
      </c>
      <c r="K157" s="33"/>
      <c r="L157" s="35"/>
      <c r="M157" s="35"/>
      <c r="O157" s="35"/>
      <c r="P157" s="35"/>
    </row>
    <row r="158" spans="1:16" x14ac:dyDescent="0.2">
      <c r="A158" s="35" t="s">
        <v>1579</v>
      </c>
      <c r="B158" s="35">
        <v>56.049539021748203</v>
      </c>
      <c r="C158" s="35">
        <v>-2.7424345642911101</v>
      </c>
      <c r="D158" s="35">
        <v>0.55348617593175897</v>
      </c>
      <c r="E158" s="35">
        <v>-4.9548384106872998</v>
      </c>
      <c r="F158" s="40">
        <v>7.2390423495484295E-7</v>
      </c>
      <c r="G158" s="35">
        <v>1.35135609912625E-4</v>
      </c>
      <c r="H158" s="24" t="s">
        <v>10</v>
      </c>
      <c r="I158" s="33" t="str">
        <f>VLOOKUP(A158,TableS5!A:J,9,FALSE)</f>
        <v>Predicted protein (Fragment)</v>
      </c>
      <c r="J158" s="33" t="s">
        <v>10</v>
      </c>
      <c r="K158" s="33"/>
      <c r="L158" s="35"/>
      <c r="M158" s="35"/>
      <c r="O158" s="35"/>
      <c r="P158" s="35"/>
    </row>
    <row r="159" spans="1:16" x14ac:dyDescent="0.2">
      <c r="A159" s="35" t="s">
        <v>1580</v>
      </c>
      <c r="B159" s="35">
        <v>2766.7672030785602</v>
      </c>
      <c r="C159" s="35">
        <v>-2.9368992330274999</v>
      </c>
      <c r="D159" s="35">
        <v>0.59331397791979001</v>
      </c>
      <c r="E159" s="35">
        <v>-4.9499916440946299</v>
      </c>
      <c r="F159" s="40">
        <v>7.4216667933908805E-7</v>
      </c>
      <c r="G159" s="35">
        <v>1.37647073264637E-4</v>
      </c>
      <c r="H159" s="33" t="str">
        <f>VLOOKUP(A159,TableS5!A:J,8,FALSE)</f>
        <v>K13884</v>
      </c>
      <c r="I159" s="33" t="str">
        <f>VLOOKUP(A159,TableS5!A:J,9,FALSE)</f>
        <v>Predicted protein (Fragment)</v>
      </c>
      <c r="J159" s="33" t="s">
        <v>10</v>
      </c>
      <c r="K159" s="33"/>
      <c r="L159" s="35"/>
      <c r="M159" s="35"/>
      <c r="O159" s="35"/>
      <c r="P159" s="35"/>
    </row>
    <row r="160" spans="1:16" x14ac:dyDescent="0.2">
      <c r="A160" s="35" t="s">
        <v>1581</v>
      </c>
      <c r="B160" s="35">
        <v>221.404128474429</v>
      </c>
      <c r="C160" s="35">
        <v>-2.9871735413023299</v>
      </c>
      <c r="D160" s="35">
        <v>0.604292397093385</v>
      </c>
      <c r="E160" s="35">
        <v>-4.9432585213225799</v>
      </c>
      <c r="F160" s="40">
        <v>7.6827496510514204E-7</v>
      </c>
      <c r="G160" s="35">
        <v>1.41734858663546E-4</v>
      </c>
      <c r="H160" s="24" t="s">
        <v>10</v>
      </c>
      <c r="I160" s="33" t="str">
        <f>VLOOKUP(A160,TableS5!A:J,9,FALSE)</f>
        <v>Predicted protein</v>
      </c>
      <c r="J160" s="33" t="s">
        <v>10</v>
      </c>
      <c r="K160" s="33"/>
      <c r="L160" s="35"/>
      <c r="M160" s="35"/>
      <c r="O160" s="35"/>
      <c r="P160" s="35"/>
    </row>
    <row r="161" spans="1:16" x14ac:dyDescent="0.2">
      <c r="A161" s="35" t="s">
        <v>1583</v>
      </c>
      <c r="B161" s="35">
        <v>55.026776263377798</v>
      </c>
      <c r="C161" s="35">
        <v>-3.7084375586177898</v>
      </c>
      <c r="D161" s="35">
        <v>0.75244176937767204</v>
      </c>
      <c r="E161" s="35">
        <v>-4.9285376085447199</v>
      </c>
      <c r="F161" s="40">
        <v>8.2847388531771604E-7</v>
      </c>
      <c r="G161" s="35">
        <v>1.5008835655299101E-4</v>
      </c>
      <c r="H161" s="24" t="s">
        <v>10</v>
      </c>
      <c r="I161" s="33" t="str">
        <f>VLOOKUP(A161,TableS5!A:J,9,FALSE)</f>
        <v>Predicted protein</v>
      </c>
      <c r="J161" s="33" t="s">
        <v>10</v>
      </c>
      <c r="K161" s="33"/>
      <c r="L161" s="35"/>
      <c r="M161" s="35"/>
      <c r="O161" s="35"/>
      <c r="P161" s="35"/>
    </row>
    <row r="162" spans="1:16" x14ac:dyDescent="0.2">
      <c r="A162" s="35" t="s">
        <v>1586</v>
      </c>
      <c r="B162" s="35">
        <v>135.55634779378801</v>
      </c>
      <c r="C162" s="35">
        <v>-2.84339790201442</v>
      </c>
      <c r="D162" s="35">
        <v>0.57777389248186095</v>
      </c>
      <c r="E162" s="35">
        <v>-4.92129869316254</v>
      </c>
      <c r="F162" s="40">
        <v>8.5971802940154695E-7</v>
      </c>
      <c r="G162" s="35">
        <v>1.54769071074927E-4</v>
      </c>
      <c r="H162" s="29" t="s">
        <v>10</v>
      </c>
      <c r="I162" s="33" t="str">
        <f>VLOOKUP(A162,TableS5!A:J,9,FALSE)</f>
        <v>Predicted protein</v>
      </c>
      <c r="J162" s="30" t="s">
        <v>10</v>
      </c>
      <c r="K162" s="33"/>
      <c r="L162" s="35"/>
      <c r="M162" s="35"/>
      <c r="O162" s="35"/>
      <c r="P162" s="35"/>
    </row>
    <row r="163" spans="1:16" x14ac:dyDescent="0.2">
      <c r="A163" s="35" t="s">
        <v>1588</v>
      </c>
      <c r="B163" s="35">
        <v>26.132218929037801</v>
      </c>
      <c r="C163" s="35">
        <v>-3.0805937583551701</v>
      </c>
      <c r="D163" s="35">
        <v>0.62670058662182604</v>
      </c>
      <c r="E163" s="35">
        <v>-4.9155750355378496</v>
      </c>
      <c r="F163" s="40">
        <v>8.8522236121230301E-7</v>
      </c>
      <c r="G163" s="35">
        <v>1.59027048911426E-4</v>
      </c>
      <c r="H163" s="24" t="s">
        <v>10</v>
      </c>
      <c r="I163" s="33" t="str">
        <f>VLOOKUP(A163,TableS5!A:J,9,FALSE)</f>
        <v>Predicted protein (Fragment)</v>
      </c>
      <c r="J163" s="33" t="s">
        <v>10</v>
      </c>
      <c r="K163" s="33"/>
      <c r="L163" s="35"/>
      <c r="M163" s="35"/>
      <c r="O163" s="35"/>
      <c r="P163" s="35"/>
    </row>
    <row r="164" spans="1:16" x14ac:dyDescent="0.2">
      <c r="A164" s="35" t="s">
        <v>1591</v>
      </c>
      <c r="B164" s="35">
        <v>35.379651747120498</v>
      </c>
      <c r="C164" s="35">
        <v>-4.3394757503912098</v>
      </c>
      <c r="D164" s="35">
        <v>0.88293211213439404</v>
      </c>
      <c r="E164" s="35">
        <v>-4.9148464426115304</v>
      </c>
      <c r="F164" s="40">
        <v>8.8852074078657004E-7</v>
      </c>
      <c r="G164" s="35">
        <v>1.5928635601687599E-4</v>
      </c>
      <c r="H164" s="24" t="s">
        <v>10</v>
      </c>
      <c r="I164" s="33" t="str">
        <f>VLOOKUP(A164,TableS5!A:J,9,FALSE)</f>
        <v xml:space="preserve">granulins-like </v>
      </c>
      <c r="J164" s="33" t="s">
        <v>10</v>
      </c>
      <c r="K164" s="33"/>
      <c r="L164" s="35"/>
      <c r="M164" s="35"/>
      <c r="O164" s="35"/>
      <c r="P164" s="35"/>
    </row>
    <row r="165" spans="1:16" x14ac:dyDescent="0.2">
      <c r="A165" s="35" t="s">
        <v>1594</v>
      </c>
      <c r="B165" s="35">
        <v>161.21233331092299</v>
      </c>
      <c r="C165" s="35">
        <v>-3.6623139045971498</v>
      </c>
      <c r="D165" s="35">
        <v>0.74608102907123597</v>
      </c>
      <c r="E165" s="35">
        <v>-4.9087347913888202</v>
      </c>
      <c r="F165" s="40">
        <v>9.1665839395542002E-7</v>
      </c>
      <c r="G165" s="35">
        <v>1.6364734500487699E-4</v>
      </c>
      <c r="H165" s="24" t="s">
        <v>10</v>
      </c>
      <c r="I165" s="33" t="str">
        <f>VLOOKUP(A165,TableS5!A:J,9,FALSE)</f>
        <v>Myosin essential light chain</v>
      </c>
      <c r="J165" s="33" t="s">
        <v>10</v>
      </c>
      <c r="K165" s="33"/>
      <c r="L165" s="35"/>
      <c r="M165" s="35"/>
      <c r="O165" s="35"/>
      <c r="P165" s="35"/>
    </row>
    <row r="166" spans="1:16" x14ac:dyDescent="0.2">
      <c r="A166" s="35" t="s">
        <v>1596</v>
      </c>
      <c r="B166" s="35">
        <v>186.38818915954599</v>
      </c>
      <c r="C166" s="35">
        <v>-2.3033933100814901</v>
      </c>
      <c r="D166" s="35">
        <v>0.469646011570513</v>
      </c>
      <c r="E166" s="35">
        <v>-4.9045307600481101</v>
      </c>
      <c r="F166" s="40">
        <v>9.3650945597729703E-7</v>
      </c>
      <c r="G166" s="35">
        <v>1.6684440558968199E-4</v>
      </c>
      <c r="H166" s="33" t="str">
        <f>VLOOKUP(A166,TableS5!A:J,8,FALSE)</f>
        <v>K06278</v>
      </c>
      <c r="I166" s="33" t="str">
        <f>VLOOKUP(A166,TableS5!A:J,9,FALSE)</f>
        <v>Caveolin</v>
      </c>
      <c r="J166" s="33" t="s">
        <v>10</v>
      </c>
      <c r="K166" s="33"/>
      <c r="L166" s="35"/>
      <c r="M166" s="35"/>
      <c r="O166" s="35"/>
      <c r="P166" s="35"/>
    </row>
    <row r="167" spans="1:16" x14ac:dyDescent="0.2">
      <c r="A167" s="35" t="s">
        <v>1599</v>
      </c>
      <c r="B167" s="35">
        <v>881.08775249971495</v>
      </c>
      <c r="C167" s="35">
        <v>-3.0317006527625101</v>
      </c>
      <c r="D167" s="35">
        <v>0.61855240891933305</v>
      </c>
      <c r="E167" s="35">
        <v>-4.9012833982154698</v>
      </c>
      <c r="F167" s="40">
        <v>9.52125882426423E-7</v>
      </c>
      <c r="G167" s="35">
        <v>1.69275365734657E-4</v>
      </c>
      <c r="H167" s="33" t="str">
        <f>VLOOKUP(A167,TableS5!A:J,8,FALSE)</f>
        <v>K19719</v>
      </c>
      <c r="I167" s="33" t="str">
        <f>VLOOKUP(A167,TableS5!A:J,9,FALSE)</f>
        <v>collagen alpha-1(I) chain-like</v>
      </c>
      <c r="J167" s="33" t="s">
        <v>10</v>
      </c>
      <c r="K167" s="33"/>
      <c r="L167" s="35"/>
      <c r="M167" s="35"/>
      <c r="O167" s="35"/>
      <c r="P167" s="35"/>
    </row>
    <row r="168" spans="1:16" x14ac:dyDescent="0.2">
      <c r="A168" s="35" t="s">
        <v>1602</v>
      </c>
      <c r="B168" s="35">
        <v>27.639016338619498</v>
      </c>
      <c r="C168" s="35">
        <v>-3.8859223649568801</v>
      </c>
      <c r="D168" s="35">
        <v>0.79406512293526099</v>
      </c>
      <c r="E168" s="35">
        <v>-4.8937073959281499</v>
      </c>
      <c r="F168" s="40">
        <v>9.8953929442542509E-7</v>
      </c>
      <c r="G168" s="35">
        <v>1.7520150258062999E-4</v>
      </c>
      <c r="H168" s="24" t="s">
        <v>10</v>
      </c>
      <c r="I168" s="33" t="str">
        <f>VLOOKUP(A168,TableS5!A:J,9,FALSE)</f>
        <v>Predicted protein</v>
      </c>
      <c r="J168" s="33" t="s">
        <v>10</v>
      </c>
      <c r="K168" s="33"/>
      <c r="L168" s="35"/>
      <c r="M168" s="35"/>
      <c r="O168" s="35"/>
      <c r="P168" s="35"/>
    </row>
    <row r="169" spans="1:16" x14ac:dyDescent="0.2">
      <c r="A169" s="35" t="s">
        <v>1603</v>
      </c>
      <c r="B169" s="35">
        <v>375.02184164988398</v>
      </c>
      <c r="C169" s="35">
        <v>-3.14209800981694</v>
      </c>
      <c r="D169" s="35">
        <v>0.64365540225887896</v>
      </c>
      <c r="E169" s="35">
        <v>-4.88164629519133</v>
      </c>
      <c r="F169" s="40">
        <v>1.05203831741173E-6</v>
      </c>
      <c r="G169" s="35">
        <v>1.8474352219726499E-4</v>
      </c>
      <c r="H169" s="24" t="s">
        <v>1604</v>
      </c>
      <c r="I169" s="24" t="s">
        <v>3931</v>
      </c>
      <c r="J169" s="30" t="s">
        <v>10</v>
      </c>
      <c r="K169" s="33"/>
      <c r="L169" s="35"/>
      <c r="M169" s="35"/>
      <c r="O169" s="35"/>
      <c r="P169" s="35"/>
    </row>
    <row r="170" spans="1:16" x14ac:dyDescent="0.2">
      <c r="A170" s="35" t="s">
        <v>1605</v>
      </c>
      <c r="B170" s="35">
        <v>235.55932969497499</v>
      </c>
      <c r="C170" s="35">
        <v>-2.4997729197848702</v>
      </c>
      <c r="D170" s="35">
        <v>0.51241835164143001</v>
      </c>
      <c r="E170" s="35">
        <v>-4.8783828912007996</v>
      </c>
      <c r="F170" s="40">
        <v>1.06959138864498E-6</v>
      </c>
      <c r="G170" s="35">
        <v>1.87060859744059E-4</v>
      </c>
      <c r="H170" s="33" t="str">
        <f>VLOOKUP(A170,TableS5!A:J,8,FALSE)</f>
        <v>K10385</v>
      </c>
      <c r="I170" s="33" t="str">
        <f>VLOOKUP(A170,TableS5!A:J,9,FALSE)</f>
        <v xml:space="preserve">putative loricrin-like </v>
      </c>
      <c r="J170" s="30" t="s">
        <v>10</v>
      </c>
      <c r="K170" s="33"/>
      <c r="L170" s="35"/>
      <c r="M170" s="35"/>
      <c r="O170" s="35"/>
      <c r="P170" s="35"/>
    </row>
    <row r="171" spans="1:16" x14ac:dyDescent="0.2">
      <c r="A171" s="35" t="s">
        <v>1608</v>
      </c>
      <c r="B171" s="35">
        <v>224.93682830248201</v>
      </c>
      <c r="C171" s="35">
        <v>-2.5133101222232601</v>
      </c>
      <c r="D171" s="35">
        <v>0.515756936328019</v>
      </c>
      <c r="E171" s="35">
        <v>-4.8730515194172899</v>
      </c>
      <c r="F171" s="40">
        <v>1.09887551531395E-6</v>
      </c>
      <c r="G171" s="35">
        <v>1.9140271678605301E-4</v>
      </c>
      <c r="H171" s="29" t="s">
        <v>10</v>
      </c>
      <c r="I171" s="29" t="s">
        <v>4178</v>
      </c>
      <c r="J171" s="30" t="s">
        <v>10</v>
      </c>
      <c r="K171" s="33"/>
      <c r="L171" s="35"/>
      <c r="M171" s="35"/>
      <c r="O171" s="35"/>
      <c r="P171" s="35"/>
    </row>
    <row r="172" spans="1:16" x14ac:dyDescent="0.2">
      <c r="A172" s="35" t="s">
        <v>1609</v>
      </c>
      <c r="B172" s="35">
        <v>55.125507349061003</v>
      </c>
      <c r="C172" s="35">
        <v>-2.7086620430274602</v>
      </c>
      <c r="D172" s="35">
        <v>0.55623555917279799</v>
      </c>
      <c r="E172" s="35">
        <v>-4.8696312171333096</v>
      </c>
      <c r="F172" s="40">
        <v>1.11806717620041E-6</v>
      </c>
      <c r="G172" s="35">
        <v>1.9356763404739099E-4</v>
      </c>
      <c r="H172" s="24" t="s">
        <v>10</v>
      </c>
      <c r="I172" s="33" t="str">
        <f>VLOOKUP(A172,TableS5!A:J,9,FALSE)</f>
        <v>Vitellogenin (Fragment)</v>
      </c>
      <c r="J172" s="30" t="s">
        <v>10</v>
      </c>
      <c r="K172" s="33"/>
      <c r="L172" s="35"/>
      <c r="M172" s="35"/>
      <c r="O172" s="35"/>
      <c r="P172" s="35"/>
    </row>
    <row r="173" spans="1:16" x14ac:dyDescent="0.2">
      <c r="A173" s="35" t="s">
        <v>1610</v>
      </c>
      <c r="B173" s="35">
        <v>47.128835749164203</v>
      </c>
      <c r="C173" s="35">
        <v>-3.1714373726943301</v>
      </c>
      <c r="D173" s="35">
        <v>0.651732546362779</v>
      </c>
      <c r="E173" s="35">
        <v>-4.8661638741131599</v>
      </c>
      <c r="F173" s="40">
        <v>1.13785181696714E-6</v>
      </c>
      <c r="G173" s="35">
        <v>1.9557958618519501E-4</v>
      </c>
      <c r="H173" s="24" t="s">
        <v>10</v>
      </c>
      <c r="I173" s="24" t="s">
        <v>10</v>
      </c>
      <c r="J173" s="30" t="s">
        <v>10</v>
      </c>
      <c r="K173" s="33"/>
      <c r="L173" s="35"/>
      <c r="M173" s="35"/>
      <c r="O173" s="35"/>
      <c r="P173" s="35"/>
    </row>
    <row r="174" spans="1:16" x14ac:dyDescent="0.2">
      <c r="A174" s="35" t="s">
        <v>1613</v>
      </c>
      <c r="B174" s="35">
        <v>157.15643438372601</v>
      </c>
      <c r="C174" s="35">
        <v>-4.4093007420869803</v>
      </c>
      <c r="D174" s="35">
        <v>0.90614494772713905</v>
      </c>
      <c r="E174" s="35">
        <v>-4.8659993670402502</v>
      </c>
      <c r="F174" s="40">
        <v>1.1387988155791499E-6</v>
      </c>
      <c r="G174" s="35">
        <v>1.9557958618519501E-4</v>
      </c>
      <c r="H174" s="24" t="s">
        <v>10</v>
      </c>
      <c r="I174" s="33" t="str">
        <f>VLOOKUP(A174,TableS5!A:J,9,FALSE)</f>
        <v>Predicted protein</v>
      </c>
      <c r="J174" s="30" t="s">
        <v>10</v>
      </c>
      <c r="K174" s="33"/>
      <c r="L174" s="35"/>
      <c r="M174" s="35"/>
      <c r="O174" s="35"/>
      <c r="P174" s="35"/>
    </row>
    <row r="175" spans="1:16" x14ac:dyDescent="0.2">
      <c r="A175" s="35" t="s">
        <v>1616</v>
      </c>
      <c r="B175" s="35">
        <v>86.190379779805994</v>
      </c>
      <c r="C175" s="35">
        <v>-3.4172142428019199</v>
      </c>
      <c r="D175" s="35">
        <v>0.70327387655968898</v>
      </c>
      <c r="E175" s="35">
        <v>-4.8590092092122301</v>
      </c>
      <c r="F175" s="40">
        <v>1.17974646737051E-6</v>
      </c>
      <c r="G175" s="35">
        <v>2.0220760259395801E-4</v>
      </c>
      <c r="H175" s="33" t="str">
        <f>VLOOKUP(A175,TableS5!A:J,8,FALSE)</f>
        <v>K07998</v>
      </c>
      <c r="I175" s="33" t="str">
        <f>VLOOKUP(A175,TableS5!A:J,9,FALSE)</f>
        <v>Forkhead box 2b1 protein</v>
      </c>
      <c r="J175" s="30" t="s">
        <v>10</v>
      </c>
      <c r="K175" s="33"/>
      <c r="L175" s="35"/>
      <c r="M175" s="35"/>
      <c r="O175" s="35"/>
      <c r="P175" s="35"/>
    </row>
    <row r="176" spans="1:16" x14ac:dyDescent="0.2">
      <c r="A176" s="35" t="s">
        <v>1619</v>
      </c>
      <c r="B176" s="35">
        <v>28.602492794461501</v>
      </c>
      <c r="C176" s="35">
        <v>-3.3363866984324999</v>
      </c>
      <c r="D176" s="35">
        <v>0.68817142302906298</v>
      </c>
      <c r="E176" s="35">
        <v>-4.8481912889480698</v>
      </c>
      <c r="F176" s="40">
        <v>1.2459223144954599E-6</v>
      </c>
      <c r="G176" s="35">
        <v>2.11022869956685E-4</v>
      </c>
      <c r="H176" s="33" t="str">
        <f>VLOOKUP(A176,TableS5!A:J,8,FALSE)</f>
        <v>K19719</v>
      </c>
      <c r="I176" s="33" t="str">
        <f>VLOOKUP(A176,TableS5!A:J,9,FALSE)</f>
        <v>Collagen alpha-1(II) chain</v>
      </c>
      <c r="J176" s="30" t="s">
        <v>10</v>
      </c>
      <c r="K176" s="33"/>
      <c r="L176" s="35"/>
      <c r="M176" s="35"/>
      <c r="O176" s="35"/>
      <c r="P176" s="35"/>
    </row>
    <row r="177" spans="1:16" x14ac:dyDescent="0.2">
      <c r="A177" s="35" t="s">
        <v>1621</v>
      </c>
      <c r="B177" s="35">
        <v>2367.0770200758798</v>
      </c>
      <c r="C177" s="35">
        <v>-3.9691645284482302</v>
      </c>
      <c r="D177" s="35">
        <v>0.82019385823964497</v>
      </c>
      <c r="E177" s="35">
        <v>-4.8393004758254596</v>
      </c>
      <c r="F177" s="40">
        <v>1.30296926421786E-6</v>
      </c>
      <c r="G177" s="35">
        <v>2.189574827547E-4</v>
      </c>
      <c r="H177" s="24" t="s">
        <v>222</v>
      </c>
      <c r="I177" s="24" t="s">
        <v>223</v>
      </c>
      <c r="J177" s="30" t="s">
        <v>10</v>
      </c>
      <c r="K177" s="33"/>
      <c r="L177" s="35"/>
      <c r="M177" s="35"/>
      <c r="O177" s="35"/>
      <c r="P177" s="35"/>
    </row>
    <row r="178" spans="1:16" x14ac:dyDescent="0.2">
      <c r="A178" s="35" t="s">
        <v>1623</v>
      </c>
      <c r="B178" s="35">
        <v>67.646530887471499</v>
      </c>
      <c r="C178" s="35">
        <v>-2.7094490637751401</v>
      </c>
      <c r="D178" s="35">
        <v>0.56046583697913899</v>
      </c>
      <c r="E178" s="35">
        <v>-4.8342804949162197</v>
      </c>
      <c r="F178" s="40">
        <v>1.33628059992587E-6</v>
      </c>
      <c r="G178" s="35">
        <v>2.21949229006256E-4</v>
      </c>
      <c r="H178" s="33" t="str">
        <f>VLOOKUP(A178,TableS5!A:J,8,FALSE)</f>
        <v>K08467</v>
      </c>
      <c r="I178" s="33" t="str">
        <f>VLOOKUP(A178,TableS5!A:J,9,FALSE)</f>
        <v>Potassium channel (Fragment)</v>
      </c>
      <c r="J178" s="30" t="s">
        <v>10</v>
      </c>
      <c r="K178" s="33"/>
      <c r="L178" s="35"/>
      <c r="M178" s="35"/>
      <c r="O178" s="35"/>
      <c r="P178" s="35"/>
    </row>
    <row r="179" spans="1:16" x14ac:dyDescent="0.2">
      <c r="A179" s="35" t="s">
        <v>1625</v>
      </c>
      <c r="B179" s="35">
        <v>92.861309739453802</v>
      </c>
      <c r="C179" s="35">
        <v>-3.2073381034056498</v>
      </c>
      <c r="D179" s="35">
        <v>0.66449769621367305</v>
      </c>
      <c r="E179" s="35">
        <v>-4.8267106442673198</v>
      </c>
      <c r="F179" s="40">
        <v>1.3880656833349899E-6</v>
      </c>
      <c r="G179" s="35">
        <v>2.2966201983363899E-4</v>
      </c>
      <c r="H179" s="24" t="s">
        <v>10</v>
      </c>
      <c r="I179" s="33" t="str">
        <f>VLOOKUP(A179,TableS5!A:J,9,FALSE)</f>
        <v>granulins-like</v>
      </c>
      <c r="J179" s="30" t="s">
        <v>10</v>
      </c>
      <c r="K179" s="33"/>
      <c r="L179" s="35"/>
      <c r="M179" s="35"/>
      <c r="O179" s="35"/>
      <c r="P179" s="35"/>
    </row>
    <row r="180" spans="1:16" x14ac:dyDescent="0.2">
      <c r="A180" s="35" t="s">
        <v>1627</v>
      </c>
      <c r="B180" s="35">
        <v>44.959688896040802</v>
      </c>
      <c r="C180" s="35">
        <v>-2.9800582926758499</v>
      </c>
      <c r="D180" s="35">
        <v>0.61771197093292995</v>
      </c>
      <c r="E180" s="35">
        <v>-4.8243492645529802</v>
      </c>
      <c r="F180" s="40">
        <v>1.40461096202536E-6</v>
      </c>
      <c r="G180" s="35">
        <v>2.31547829771531E-4</v>
      </c>
      <c r="H180" s="24" t="s">
        <v>10</v>
      </c>
      <c r="I180" s="33" t="str">
        <f>VLOOKUP(A180,TableS5!A:J,9,FALSE)</f>
        <v>B-box type zinc finger protein ncl-1 (Fragment)</v>
      </c>
      <c r="J180" s="30" t="s">
        <v>10</v>
      </c>
      <c r="K180" s="33"/>
      <c r="L180" s="35"/>
      <c r="M180" s="35"/>
      <c r="O180" s="35"/>
      <c r="P180" s="35"/>
    </row>
    <row r="181" spans="1:16" x14ac:dyDescent="0.2">
      <c r="A181" s="35" t="s">
        <v>1632</v>
      </c>
      <c r="B181" s="35">
        <v>339.76934701897699</v>
      </c>
      <c r="C181" s="35">
        <v>-4.8952218194941697</v>
      </c>
      <c r="D181" s="35">
        <v>1.0146979173656001</v>
      </c>
      <c r="E181" s="35">
        <v>-4.8243144444440702</v>
      </c>
      <c r="F181" s="40">
        <v>1.40485634627485E-6</v>
      </c>
      <c r="G181" s="35">
        <v>2.31547829771531E-4</v>
      </c>
      <c r="H181" s="33" t="str">
        <f>VLOOKUP(A181,TableS5!A:J,8,FALSE)</f>
        <v xml:space="preserve">K17527 </v>
      </c>
      <c r="I181" s="33" t="str">
        <f>VLOOKUP(A181,TableS5!A:J,9,FALSE)</f>
        <v>intelectin-2-like</v>
      </c>
      <c r="J181" s="30" t="s">
        <v>10</v>
      </c>
      <c r="K181" s="33"/>
      <c r="L181" s="35"/>
      <c r="M181" s="35"/>
      <c r="O181" s="35"/>
      <c r="P181" s="35"/>
    </row>
    <row r="182" spans="1:16" x14ac:dyDescent="0.2">
      <c r="A182" s="35" t="s">
        <v>1636</v>
      </c>
      <c r="B182" s="35">
        <v>49.904608616587801</v>
      </c>
      <c r="C182" s="35">
        <v>-2.9028924302289401</v>
      </c>
      <c r="D182" s="35">
        <v>0.60220472142528803</v>
      </c>
      <c r="E182" s="35">
        <v>-4.8204411671805198</v>
      </c>
      <c r="F182" s="40">
        <v>1.4324109672703999E-6</v>
      </c>
      <c r="G182" s="35">
        <v>2.35637092280606E-4</v>
      </c>
      <c r="H182" s="24" t="s">
        <v>10</v>
      </c>
      <c r="I182" s="33" t="str">
        <f>VLOOKUP(A182,TableS5!A:J,9,FALSE)</f>
        <v>Predicted protein</v>
      </c>
      <c r="J182" s="30" t="s">
        <v>10</v>
      </c>
      <c r="K182" s="33"/>
      <c r="L182" s="35"/>
      <c r="M182" s="35"/>
      <c r="O182" s="35"/>
      <c r="P182" s="35"/>
    </row>
    <row r="183" spans="1:16" x14ac:dyDescent="0.2">
      <c r="A183" s="35" t="s">
        <v>1638</v>
      </c>
      <c r="B183" s="35">
        <v>42.1961162127498</v>
      </c>
      <c r="C183" s="35">
        <v>-5.1388699594396599</v>
      </c>
      <c r="D183" s="35">
        <v>1.0664641925621099</v>
      </c>
      <c r="E183" s="35">
        <v>-4.8186052520843097</v>
      </c>
      <c r="F183" s="40">
        <v>1.4456525672839801E-6</v>
      </c>
      <c r="G183" s="35">
        <v>2.3647422501022399E-4</v>
      </c>
      <c r="H183" s="33" t="str">
        <f>VLOOKUP(A183,TableS5!A:J,8,FALSE)</f>
        <v>K18542</v>
      </c>
      <c r="I183" s="24" t="s">
        <v>3965</v>
      </c>
      <c r="J183" s="30" t="s">
        <v>10</v>
      </c>
      <c r="K183" s="33"/>
      <c r="L183" s="35"/>
      <c r="M183" s="35"/>
      <c r="O183" s="35"/>
      <c r="P183" s="35"/>
    </row>
    <row r="184" spans="1:16" x14ac:dyDescent="0.2">
      <c r="A184" s="35" t="s">
        <v>1642</v>
      </c>
      <c r="B184" s="35">
        <v>708.50291125928095</v>
      </c>
      <c r="C184" s="35">
        <v>-2.7271639848678499</v>
      </c>
      <c r="D184" s="35">
        <v>0.56706324868640701</v>
      </c>
      <c r="E184" s="35">
        <v>-4.8092765510466204</v>
      </c>
      <c r="F184" s="40">
        <v>1.5147751774313701E-6</v>
      </c>
      <c r="G184" s="35">
        <v>2.4577332074368098E-4</v>
      </c>
      <c r="H184" s="24" t="s">
        <v>10</v>
      </c>
      <c r="I184" s="33" t="str">
        <f>VLOOKUP(A184,TableS5!A:J,9,FALSE)</f>
        <v>Predicted protein</v>
      </c>
      <c r="J184" s="30" t="s">
        <v>10</v>
      </c>
      <c r="K184" s="33"/>
      <c r="L184" s="35"/>
      <c r="M184" s="35"/>
      <c r="O184" s="35"/>
      <c r="P184" s="35"/>
    </row>
    <row r="185" spans="1:16" x14ac:dyDescent="0.2">
      <c r="A185" s="35" t="s">
        <v>1645</v>
      </c>
      <c r="B185" s="35">
        <v>8831.4344091871608</v>
      </c>
      <c r="C185" s="35">
        <v>-2.6526456470175699</v>
      </c>
      <c r="D185" s="35">
        <v>0.55165742934175599</v>
      </c>
      <c r="E185" s="35">
        <v>-4.8085016278720998</v>
      </c>
      <c r="F185" s="40">
        <v>1.5206579091814101E-6</v>
      </c>
      <c r="G185" s="35">
        <v>2.4577332074368098E-4</v>
      </c>
      <c r="H185" s="24" t="s">
        <v>4131</v>
      </c>
      <c r="I185" s="24" t="s">
        <v>3928</v>
      </c>
      <c r="J185" s="30" t="s">
        <v>10</v>
      </c>
      <c r="K185" s="33"/>
      <c r="L185" s="35"/>
      <c r="M185" s="35"/>
      <c r="O185" s="35"/>
      <c r="P185" s="35"/>
    </row>
    <row r="186" spans="1:16" x14ac:dyDescent="0.2">
      <c r="A186" s="35" t="s">
        <v>1648</v>
      </c>
      <c r="B186" s="35">
        <v>100.473689429548</v>
      </c>
      <c r="C186" s="35">
        <v>-2.5100305149330202</v>
      </c>
      <c r="D186" s="35">
        <v>0.523306036619541</v>
      </c>
      <c r="E186" s="35">
        <v>-4.7964868342573403</v>
      </c>
      <c r="F186" s="40">
        <v>1.61472565126351E-6</v>
      </c>
      <c r="G186" s="35">
        <v>2.5820876424515599E-4</v>
      </c>
      <c r="H186" s="24" t="s">
        <v>10</v>
      </c>
      <c r="I186" s="24" t="s">
        <v>10</v>
      </c>
      <c r="J186" s="33" t="s">
        <v>10</v>
      </c>
      <c r="K186" s="33"/>
      <c r="L186" s="35"/>
      <c r="M186" s="35"/>
      <c r="O186" s="35"/>
      <c r="P186" s="35"/>
    </row>
    <row r="187" spans="1:16" x14ac:dyDescent="0.2">
      <c r="A187" s="35" t="s">
        <v>1652</v>
      </c>
      <c r="B187" s="35">
        <v>140.22679255040001</v>
      </c>
      <c r="C187" s="35">
        <v>-4.9258903153240103</v>
      </c>
      <c r="D187" s="35">
        <v>1.0277078777011901</v>
      </c>
      <c r="E187" s="35">
        <v>-4.7930841265344704</v>
      </c>
      <c r="F187" s="40">
        <v>1.6423671277584401E-6</v>
      </c>
      <c r="G187" s="35">
        <v>2.61169828940268E-4</v>
      </c>
      <c r="H187" s="24" t="s">
        <v>10</v>
      </c>
      <c r="I187" s="33" t="str">
        <f>VLOOKUP(A187,TableS5!A:J,9,FALSE)</f>
        <v>Predicted protein</v>
      </c>
      <c r="J187" s="33" t="s">
        <v>10</v>
      </c>
      <c r="K187" s="33"/>
      <c r="L187" s="35"/>
      <c r="M187" s="35"/>
      <c r="O187" s="35"/>
      <c r="P187" s="35"/>
    </row>
    <row r="188" spans="1:16" x14ac:dyDescent="0.2">
      <c r="A188" s="35" t="s">
        <v>1656</v>
      </c>
      <c r="B188" s="35">
        <v>58.071622455954397</v>
      </c>
      <c r="C188" s="35">
        <v>-3.2622093843426501</v>
      </c>
      <c r="D188" s="35">
        <v>0.68186422832095295</v>
      </c>
      <c r="E188" s="35">
        <v>-4.7842506599526802</v>
      </c>
      <c r="F188" s="40">
        <v>1.71626398765323E-6</v>
      </c>
      <c r="G188" s="35">
        <v>2.70417073181231E-4</v>
      </c>
      <c r="H188" s="24" t="s">
        <v>10</v>
      </c>
      <c r="I188" s="24" t="s">
        <v>10</v>
      </c>
      <c r="J188" s="33" t="s">
        <v>10</v>
      </c>
      <c r="K188" s="33"/>
      <c r="L188" s="35"/>
      <c r="M188" s="35"/>
      <c r="O188" s="35"/>
      <c r="P188" s="35"/>
    </row>
    <row r="189" spans="1:16" x14ac:dyDescent="0.2">
      <c r="A189" s="35" t="s">
        <v>1658</v>
      </c>
      <c r="B189" s="35">
        <v>78.386534626860595</v>
      </c>
      <c r="C189" s="35">
        <v>-2.6030091201937</v>
      </c>
      <c r="D189" s="35">
        <v>0.54539538108004104</v>
      </c>
      <c r="E189" s="35">
        <v>-4.7727010724568002</v>
      </c>
      <c r="F189" s="40">
        <v>1.81771484068209E-6</v>
      </c>
      <c r="G189" s="35">
        <v>2.8182422906948801E-4</v>
      </c>
      <c r="H189" s="33" t="str">
        <f>VLOOKUP(A189,TableS5!A:J,8,FALSE)</f>
        <v>K07998</v>
      </c>
      <c r="I189" s="29" t="s">
        <v>4162</v>
      </c>
      <c r="J189" s="33" t="s">
        <v>4033</v>
      </c>
      <c r="K189" s="33"/>
      <c r="L189" s="35"/>
      <c r="M189" s="35"/>
      <c r="O189" s="35"/>
      <c r="P189" s="35"/>
    </row>
    <row r="190" spans="1:16" x14ac:dyDescent="0.2">
      <c r="A190" s="35" t="s">
        <v>1659</v>
      </c>
      <c r="B190" s="35">
        <v>948.57562818448002</v>
      </c>
      <c r="C190" s="35">
        <v>-2.2926519440295601</v>
      </c>
      <c r="D190" s="35">
        <v>0.48037321035397001</v>
      </c>
      <c r="E190" s="35">
        <v>-4.7726473804402696</v>
      </c>
      <c r="F190" s="40">
        <v>1.81819965884287E-6</v>
      </c>
      <c r="G190" s="35">
        <v>2.8182422906948801E-4</v>
      </c>
      <c r="H190" s="24" t="s">
        <v>10</v>
      </c>
      <c r="I190" s="33" t="str">
        <f>VLOOKUP(A190,TableS5!A:J,9,FALSE)</f>
        <v>Predicted protein (Fragment)</v>
      </c>
      <c r="J190" s="33" t="s">
        <v>10</v>
      </c>
      <c r="K190" s="33"/>
      <c r="L190" s="35"/>
      <c r="M190" s="35"/>
      <c r="O190" s="35"/>
      <c r="P190" s="35"/>
    </row>
    <row r="191" spans="1:16" x14ac:dyDescent="0.2">
      <c r="A191" s="35" t="s">
        <v>1662</v>
      </c>
      <c r="B191" s="35">
        <v>53.6484970084312</v>
      </c>
      <c r="C191" s="35">
        <v>-3.0124365533936701</v>
      </c>
      <c r="D191" s="35">
        <v>0.63153640083687401</v>
      </c>
      <c r="E191" s="35">
        <v>-4.7700125430644604</v>
      </c>
      <c r="F191" s="40">
        <v>1.84214448233817E-6</v>
      </c>
      <c r="G191" s="35">
        <v>2.8450861302672801E-4</v>
      </c>
      <c r="H191" s="24" t="s">
        <v>10</v>
      </c>
      <c r="I191" s="33" t="str">
        <f>VLOOKUP(A191,TableS5!A:J,9,FALSE)</f>
        <v>CARP3</v>
      </c>
      <c r="J191" s="33" t="s">
        <v>10</v>
      </c>
      <c r="K191" s="33"/>
      <c r="L191" s="35"/>
      <c r="M191" s="35"/>
      <c r="O191" s="35"/>
      <c r="P191" s="35"/>
    </row>
    <row r="192" spans="1:16" x14ac:dyDescent="0.2">
      <c r="A192" s="35" t="s">
        <v>1664</v>
      </c>
      <c r="B192" s="35">
        <v>285.05192725489098</v>
      </c>
      <c r="C192" s="35">
        <v>-3.4257442839823602</v>
      </c>
      <c r="D192" s="35">
        <v>0.71827253562887095</v>
      </c>
      <c r="E192" s="35">
        <v>-4.7694212350511398</v>
      </c>
      <c r="F192" s="40">
        <v>1.84755963838259E-6</v>
      </c>
      <c r="G192" s="35">
        <v>2.84832663747849E-4</v>
      </c>
      <c r="H192" s="29" t="s">
        <v>10</v>
      </c>
      <c r="I192" s="29" t="s">
        <v>4179</v>
      </c>
      <c r="J192" s="30" t="s">
        <v>10</v>
      </c>
      <c r="K192" s="33"/>
      <c r="L192" s="35"/>
      <c r="M192" s="35"/>
      <c r="O192" s="35"/>
      <c r="P192" s="35"/>
    </row>
    <row r="193" spans="1:16" x14ac:dyDescent="0.2">
      <c r="A193" s="35" t="s">
        <v>1665</v>
      </c>
      <c r="B193" s="35">
        <v>146.42073948697501</v>
      </c>
      <c r="C193" s="35">
        <v>-2.51537823112993</v>
      </c>
      <c r="D193" s="35">
        <v>0.52759057317681002</v>
      </c>
      <c r="E193" s="35">
        <v>-4.7676709156949997</v>
      </c>
      <c r="F193" s="40">
        <v>1.8636787303246201E-6</v>
      </c>
      <c r="G193" s="35">
        <v>2.8628972495832802E-4</v>
      </c>
      <c r="H193" s="33" t="str">
        <f>VLOOKUP(A193,TableS5!A:J,8,FALSE)</f>
        <v>K04230</v>
      </c>
      <c r="I193" s="24" t="s">
        <v>3974</v>
      </c>
      <c r="J193" s="30" t="s">
        <v>10</v>
      </c>
      <c r="K193" s="33"/>
      <c r="L193" s="35"/>
      <c r="M193" s="35"/>
      <c r="O193" s="35"/>
      <c r="P193" s="35"/>
    </row>
    <row r="194" spans="1:16" x14ac:dyDescent="0.2">
      <c r="A194" s="35" t="s">
        <v>1671</v>
      </c>
      <c r="B194" s="35">
        <v>741.90203352107301</v>
      </c>
      <c r="C194" s="35">
        <v>-2.1615023253223402</v>
      </c>
      <c r="D194" s="35">
        <v>0.45396631370587598</v>
      </c>
      <c r="E194" s="35">
        <v>-4.7613716261836396</v>
      </c>
      <c r="F194" s="40">
        <v>1.9228159478760501E-6</v>
      </c>
      <c r="G194" s="35">
        <v>2.9484665760725801E-4</v>
      </c>
      <c r="H194" s="24" t="s">
        <v>10</v>
      </c>
      <c r="I194" s="33" t="str">
        <f>VLOOKUP(A194,TableS5!A:J,9,FALSE)</f>
        <v>Predicted protein</v>
      </c>
      <c r="J194" s="33" t="s">
        <v>10</v>
      </c>
      <c r="K194" s="33"/>
      <c r="L194" s="35"/>
      <c r="M194" s="35"/>
      <c r="O194" s="35"/>
      <c r="P194" s="35"/>
    </row>
    <row r="195" spans="1:16" x14ac:dyDescent="0.2">
      <c r="A195" s="35" t="s">
        <v>1675</v>
      </c>
      <c r="B195" s="35">
        <v>24.908540150404502</v>
      </c>
      <c r="C195" s="35">
        <v>-3.2286192745388802</v>
      </c>
      <c r="D195" s="35">
        <v>0.67914597561596501</v>
      </c>
      <c r="E195" s="35">
        <v>-4.7539400813067001</v>
      </c>
      <c r="F195" s="40">
        <v>1.9949018246293099E-6</v>
      </c>
      <c r="G195" s="35">
        <v>3.0427036337965101E-4</v>
      </c>
      <c r="H195" s="29" t="s">
        <v>10</v>
      </c>
      <c r="I195" s="29" t="s">
        <v>4180</v>
      </c>
      <c r="J195" s="33" t="s">
        <v>4060</v>
      </c>
      <c r="K195" s="33"/>
      <c r="L195" s="35"/>
      <c r="M195" s="35"/>
      <c r="O195" s="35"/>
      <c r="P195" s="35"/>
    </row>
    <row r="196" spans="1:16" x14ac:dyDescent="0.2">
      <c r="A196" s="35" t="s">
        <v>1677</v>
      </c>
      <c r="B196" s="35">
        <v>744.585896333042</v>
      </c>
      <c r="C196" s="35">
        <v>-2.0910026228384599</v>
      </c>
      <c r="D196" s="35">
        <v>0.440941850408195</v>
      </c>
      <c r="E196" s="35">
        <v>-4.7421278359102299</v>
      </c>
      <c r="F196" s="40">
        <v>2.1148509807183698E-6</v>
      </c>
      <c r="G196" s="35">
        <v>3.2199356128593501E-4</v>
      </c>
      <c r="H196" s="24" t="s">
        <v>10</v>
      </c>
      <c r="I196" s="33" t="str">
        <f>VLOOKUP(A196,TableS5!A:J,9,FALSE)</f>
        <v>Vitellogenin (Fragment)</v>
      </c>
      <c r="J196" s="33" t="s">
        <v>10</v>
      </c>
      <c r="K196" s="33"/>
      <c r="L196" s="35"/>
      <c r="M196" s="35"/>
      <c r="O196" s="35"/>
      <c r="P196" s="35"/>
    </row>
    <row r="197" spans="1:16" x14ac:dyDescent="0.2">
      <c r="A197" s="35" t="s">
        <v>1681</v>
      </c>
      <c r="B197" s="35">
        <v>92.7835635945452</v>
      </c>
      <c r="C197" s="35">
        <v>-3.6756231045357199</v>
      </c>
      <c r="D197" s="35">
        <v>0.77717388403980703</v>
      </c>
      <c r="E197" s="35">
        <v>-4.7294732620576001</v>
      </c>
      <c r="F197" s="40">
        <v>2.2510309718390602E-6</v>
      </c>
      <c r="G197" s="35">
        <v>3.4031387426547899E-4</v>
      </c>
      <c r="H197" s="33" t="str">
        <f>VLOOKUP(A197,TableS5!A:J,8,FALSE)</f>
        <v>K04251</v>
      </c>
      <c r="I197" s="29" t="s">
        <v>4181</v>
      </c>
      <c r="J197" s="30" t="s">
        <v>10</v>
      </c>
      <c r="K197" s="33"/>
      <c r="L197" s="35"/>
      <c r="M197" s="35"/>
      <c r="O197" s="35"/>
      <c r="P197" s="35"/>
    </row>
    <row r="198" spans="1:16" x14ac:dyDescent="0.2">
      <c r="A198" s="35" t="s">
        <v>1687</v>
      </c>
      <c r="B198" s="35">
        <v>23.5820851114687</v>
      </c>
      <c r="C198" s="35">
        <v>-4.6876971308235298</v>
      </c>
      <c r="D198" s="35">
        <v>0.99379941120386095</v>
      </c>
      <c r="E198" s="35">
        <v>-4.7169449669375298</v>
      </c>
      <c r="F198" s="40">
        <v>2.3941241600456399E-6</v>
      </c>
      <c r="G198" s="35">
        <v>3.6004524649260901E-4</v>
      </c>
      <c r="H198" s="24" t="s">
        <v>10</v>
      </c>
      <c r="I198" s="33" t="str">
        <f>VLOOKUP(A198,TableS5!A:J,9,FALSE)</f>
        <v>Predicted protein (Fragment)</v>
      </c>
      <c r="J198" s="33" t="s">
        <v>10</v>
      </c>
      <c r="K198" s="33"/>
      <c r="L198" s="35"/>
      <c r="M198" s="35"/>
      <c r="O198" s="35"/>
      <c r="P198" s="35"/>
    </row>
    <row r="199" spans="1:16" x14ac:dyDescent="0.2">
      <c r="A199" s="35" t="s">
        <v>1688</v>
      </c>
      <c r="B199" s="35">
        <v>97.997944469478199</v>
      </c>
      <c r="C199" s="35">
        <v>-4.2015912293671098</v>
      </c>
      <c r="D199" s="35">
        <v>0.89160653259248401</v>
      </c>
      <c r="E199" s="35">
        <v>-4.7123827336149402</v>
      </c>
      <c r="F199" s="40">
        <v>2.4483697811419899E-6</v>
      </c>
      <c r="G199" s="35">
        <v>3.6627867853039002E-4</v>
      </c>
      <c r="H199" s="24" t="s">
        <v>10</v>
      </c>
      <c r="I199" s="24" t="s">
        <v>10</v>
      </c>
      <c r="J199" s="33" t="s">
        <v>10</v>
      </c>
      <c r="K199" s="33"/>
      <c r="L199" s="35"/>
      <c r="M199" s="35"/>
      <c r="O199" s="35"/>
      <c r="P199" s="35"/>
    </row>
    <row r="200" spans="1:16" x14ac:dyDescent="0.2">
      <c r="A200" s="35" t="s">
        <v>1690</v>
      </c>
      <c r="B200" s="35">
        <v>3605.70609729333</v>
      </c>
      <c r="C200" s="35">
        <v>-2.1633366798704601</v>
      </c>
      <c r="D200" s="35">
        <v>0.45949613218931501</v>
      </c>
      <c r="E200" s="35">
        <v>-4.7080628721791902</v>
      </c>
      <c r="F200" s="40">
        <v>2.5008197414875202E-6</v>
      </c>
      <c r="G200" s="35">
        <v>3.72180055496143E-4</v>
      </c>
      <c r="H200" s="24" t="s">
        <v>3857</v>
      </c>
      <c r="I200" s="24" t="s">
        <v>3982</v>
      </c>
      <c r="J200" s="33" t="s">
        <v>10</v>
      </c>
      <c r="K200" s="33"/>
      <c r="L200" s="35"/>
      <c r="M200" s="35"/>
      <c r="O200" s="35"/>
      <c r="P200" s="35"/>
    </row>
    <row r="201" spans="1:16" x14ac:dyDescent="0.2">
      <c r="A201" s="35" t="s">
        <v>1693</v>
      </c>
      <c r="B201" s="35">
        <v>242.26847531892199</v>
      </c>
      <c r="C201" s="35">
        <v>-2.1284333169448399</v>
      </c>
      <c r="D201" s="35">
        <v>0.45241382600862201</v>
      </c>
      <c r="E201" s="35">
        <v>-4.7046159833857102</v>
      </c>
      <c r="F201" s="40">
        <v>2.5434424125258501E-6</v>
      </c>
      <c r="G201" s="35">
        <v>3.7656541966553001E-4</v>
      </c>
      <c r="H201" s="33" t="str">
        <f>VLOOKUP(A201,TableS5!A:J,8,FALSE)</f>
        <v>K10400</v>
      </c>
      <c r="I201" s="33" t="str">
        <f>VLOOKUP(A201,TableS5!A:J,9,FALSE)</f>
        <v>kinesin-like protein KIF15</v>
      </c>
      <c r="J201" s="33" t="s">
        <v>10</v>
      </c>
      <c r="K201" s="33"/>
      <c r="L201" s="35"/>
      <c r="M201" s="35"/>
      <c r="O201" s="35"/>
      <c r="P201" s="35"/>
    </row>
    <row r="202" spans="1:16" x14ac:dyDescent="0.2">
      <c r="A202" s="35" t="s">
        <v>1697</v>
      </c>
      <c r="B202" s="35">
        <v>51.109349254446698</v>
      </c>
      <c r="C202" s="35">
        <v>-3.3295068790065301</v>
      </c>
      <c r="D202" s="35">
        <v>0.70993553748023197</v>
      </c>
      <c r="E202" s="35">
        <v>-4.6898721126483096</v>
      </c>
      <c r="F202" s="40">
        <v>2.7337585584741299E-6</v>
      </c>
      <c r="G202" s="35">
        <v>4.0128304474313102E-4</v>
      </c>
      <c r="H202" s="24" t="s">
        <v>10</v>
      </c>
      <c r="I202" s="33" t="str">
        <f>VLOOKUP(A202,TableS5!A:J,9,FALSE)</f>
        <v>Predicted protein</v>
      </c>
      <c r="J202" s="33" t="s">
        <v>10</v>
      </c>
      <c r="K202" s="33"/>
      <c r="L202" s="35"/>
      <c r="M202" s="35"/>
      <c r="O202" s="35"/>
      <c r="P202" s="35"/>
    </row>
    <row r="203" spans="1:16" x14ac:dyDescent="0.2">
      <c r="A203" s="35" t="s">
        <v>1700</v>
      </c>
      <c r="B203" s="35">
        <v>96.838989177832701</v>
      </c>
      <c r="C203" s="35">
        <v>-3.0277842872961802</v>
      </c>
      <c r="D203" s="35">
        <v>0.647573405900149</v>
      </c>
      <c r="E203" s="35">
        <v>-4.6755846668648502</v>
      </c>
      <c r="F203" s="40">
        <v>2.93117311139707E-6</v>
      </c>
      <c r="G203" s="35">
        <v>4.2517359163645E-4</v>
      </c>
      <c r="H203" s="24" t="s">
        <v>446</v>
      </c>
      <c r="I203" s="24" t="s">
        <v>521</v>
      </c>
      <c r="J203" s="33" t="s">
        <v>3047</v>
      </c>
      <c r="K203" s="33"/>
      <c r="L203" s="35"/>
      <c r="M203" s="35"/>
      <c r="O203" s="35"/>
      <c r="P203" s="35"/>
    </row>
    <row r="204" spans="1:16" x14ac:dyDescent="0.2">
      <c r="A204" s="35" t="s">
        <v>1704</v>
      </c>
      <c r="B204" s="35">
        <v>42.855965571374497</v>
      </c>
      <c r="C204" s="35">
        <v>-3.4643251681733398</v>
      </c>
      <c r="D204" s="35">
        <v>0.741163059892883</v>
      </c>
      <c r="E204" s="35">
        <v>-4.67417408616401</v>
      </c>
      <c r="F204" s="40">
        <v>2.9513890999929498E-6</v>
      </c>
      <c r="G204" s="35">
        <v>4.2738403609695501E-4</v>
      </c>
      <c r="H204" s="33" t="str">
        <f>VLOOKUP(A204,TableS5!A:J,8,FALSE)</f>
        <v>K04874</v>
      </c>
      <c r="I204" s="24" t="s">
        <v>934</v>
      </c>
      <c r="J204" s="30" t="s">
        <v>10</v>
      </c>
      <c r="K204" s="33"/>
      <c r="L204" s="35"/>
      <c r="M204" s="35"/>
      <c r="O204" s="35"/>
      <c r="P204" s="35"/>
    </row>
    <row r="205" spans="1:16" x14ac:dyDescent="0.2">
      <c r="A205" s="35" t="s">
        <v>1706</v>
      </c>
      <c r="B205" s="35">
        <v>1335.3533524704301</v>
      </c>
      <c r="C205" s="35">
        <v>-2.6048000341748301</v>
      </c>
      <c r="D205" s="35">
        <v>0.55762561197254801</v>
      </c>
      <c r="E205" s="35">
        <v>-4.6712345671508704</v>
      </c>
      <c r="F205" s="40">
        <v>2.9939480345614801E-6</v>
      </c>
      <c r="G205" s="35">
        <v>4.3136461690575299E-4</v>
      </c>
      <c r="H205" s="33" t="str">
        <f>VLOOKUP(A205,TableS5!A:J,8,FALSE)</f>
        <v xml:space="preserve"> K14195</v>
      </c>
      <c r="I205" s="33" t="str">
        <f>VLOOKUP(A205,TableS5!A:J,9,FALSE)</f>
        <v>Accumulation-associated protein (Fragment)</v>
      </c>
      <c r="J205" s="30" t="s">
        <v>10</v>
      </c>
      <c r="K205" s="33"/>
      <c r="L205" s="35"/>
      <c r="M205" s="35"/>
      <c r="O205" s="35"/>
      <c r="P205" s="35"/>
    </row>
    <row r="206" spans="1:16" x14ac:dyDescent="0.2">
      <c r="A206" s="35" t="s">
        <v>1709</v>
      </c>
      <c r="B206" s="35">
        <v>17.915294345613798</v>
      </c>
      <c r="C206" s="35">
        <v>-6.5347357956143997</v>
      </c>
      <c r="D206" s="35">
        <v>1.40076284580374</v>
      </c>
      <c r="E206" s="35">
        <v>-4.6651264453440504</v>
      </c>
      <c r="F206" s="40">
        <v>3.0842732115910898E-6</v>
      </c>
      <c r="G206" s="35">
        <v>4.4068157230039702E-4</v>
      </c>
      <c r="H206" s="33" t="str">
        <f>VLOOKUP(A206,TableS5!A:J,8,FALSE)</f>
        <v>K07998</v>
      </c>
      <c r="I206" s="33" t="str">
        <f>VLOOKUP(A206,TableS5!A:J,9,FALSE)</f>
        <v>Forkhead box 2b1 protein</v>
      </c>
      <c r="J206" s="30" t="s">
        <v>10</v>
      </c>
      <c r="K206" s="33"/>
      <c r="L206" s="35"/>
      <c r="M206" s="35"/>
      <c r="O206" s="35"/>
      <c r="P206" s="35"/>
    </row>
    <row r="207" spans="1:16" x14ac:dyDescent="0.2">
      <c r="A207" s="35" t="s">
        <v>1710</v>
      </c>
      <c r="B207" s="35">
        <v>36.282056210170097</v>
      </c>
      <c r="C207" s="35">
        <v>-3.2568405110387402</v>
      </c>
      <c r="D207" s="35">
        <v>0.70001071776722901</v>
      </c>
      <c r="E207" s="35">
        <v>-4.6525580657205303</v>
      </c>
      <c r="F207" s="40">
        <v>3.2784237833984602E-6</v>
      </c>
      <c r="G207" s="35">
        <v>4.64556978059751E-4</v>
      </c>
      <c r="H207" s="24" t="s">
        <v>10</v>
      </c>
      <c r="I207" s="33" t="str">
        <f>VLOOKUP(A207,TableS5!A:J,9,FALSE)</f>
        <v>skin secretory protein xP2-like</v>
      </c>
      <c r="J207" s="30" t="s">
        <v>10</v>
      </c>
      <c r="K207" s="33"/>
      <c r="L207" s="35"/>
      <c r="M207" s="35"/>
      <c r="O207" s="35"/>
      <c r="P207" s="35"/>
    </row>
    <row r="208" spans="1:16" x14ac:dyDescent="0.2">
      <c r="A208" s="35" t="s">
        <v>1714</v>
      </c>
      <c r="B208" s="35">
        <v>315.14548606874303</v>
      </c>
      <c r="C208" s="35">
        <v>-2.7876144331841699</v>
      </c>
      <c r="D208" s="35">
        <v>0.59936244912583503</v>
      </c>
      <c r="E208" s="35">
        <v>-4.6509661011461096</v>
      </c>
      <c r="F208" s="40">
        <v>3.30383637997337E-6</v>
      </c>
      <c r="G208" s="35">
        <v>4.6738671134216299E-4</v>
      </c>
      <c r="H208" s="24" t="s">
        <v>3860</v>
      </c>
      <c r="I208" s="29" t="s">
        <v>4182</v>
      </c>
      <c r="J208" s="30" t="s">
        <v>10</v>
      </c>
      <c r="K208" s="33"/>
      <c r="L208" s="35"/>
      <c r="M208" s="35"/>
      <c r="O208" s="35"/>
      <c r="P208" s="35"/>
    </row>
    <row r="209" spans="1:16" x14ac:dyDescent="0.2">
      <c r="A209" s="35" t="s">
        <v>1718</v>
      </c>
      <c r="B209" s="35">
        <v>44.098951287524201</v>
      </c>
      <c r="C209" s="35">
        <v>-2.1237754793681201</v>
      </c>
      <c r="D209" s="35">
        <v>0.456730633692428</v>
      </c>
      <c r="E209" s="35">
        <v>-4.6499519031568104</v>
      </c>
      <c r="F209" s="40">
        <v>3.3201244634571099E-6</v>
      </c>
      <c r="G209" s="35">
        <v>4.6891843388408803E-4</v>
      </c>
      <c r="H209" s="24" t="s">
        <v>3883</v>
      </c>
      <c r="I209" s="29" t="s">
        <v>4183</v>
      </c>
      <c r="J209" s="30" t="s">
        <v>10</v>
      </c>
      <c r="K209" s="33"/>
      <c r="L209" s="35"/>
      <c r="M209" s="35"/>
      <c r="O209" s="35"/>
      <c r="P209" s="35"/>
    </row>
    <row r="210" spans="1:16" x14ac:dyDescent="0.2">
      <c r="A210" s="35" t="s">
        <v>1721</v>
      </c>
      <c r="B210" s="35">
        <v>67.309998218941104</v>
      </c>
      <c r="C210" s="35">
        <v>-2.5126375085349602</v>
      </c>
      <c r="D210" s="35">
        <v>0.54060208368489704</v>
      </c>
      <c r="E210" s="35">
        <v>-4.6478502106542203</v>
      </c>
      <c r="F210" s="40">
        <v>3.3541232710844899E-6</v>
      </c>
      <c r="G210" s="35">
        <v>4.7216708100212499E-4</v>
      </c>
      <c r="H210" s="33" t="str">
        <f>VLOOKUP(A210,TableS5!A:J,8,FALSE)</f>
        <v>K19719</v>
      </c>
      <c r="I210" s="33" t="str">
        <f>VLOOKUP(A210,TableS5!A:J,9,FALSE)</f>
        <v>Collagen alpha chain (Fragment)</v>
      </c>
      <c r="J210" s="33" t="s">
        <v>10</v>
      </c>
      <c r="K210" s="33"/>
      <c r="L210" s="35"/>
      <c r="M210" s="35"/>
      <c r="O210" s="35"/>
      <c r="P210" s="35"/>
    </row>
    <row r="211" spans="1:16" x14ac:dyDescent="0.2">
      <c r="A211" s="35" t="s">
        <v>1724</v>
      </c>
      <c r="B211" s="35">
        <v>111.938195914153</v>
      </c>
      <c r="C211" s="35">
        <v>-3.9050923617276498</v>
      </c>
      <c r="D211" s="35">
        <v>0.84073685318123503</v>
      </c>
      <c r="E211" s="35">
        <v>-4.6448449915705599</v>
      </c>
      <c r="F211" s="40">
        <v>3.4033188819476798E-6</v>
      </c>
      <c r="G211" s="35">
        <v>4.7830833995372998E-4</v>
      </c>
      <c r="H211" s="24" t="s">
        <v>10</v>
      </c>
      <c r="I211" s="33" t="str">
        <f>VLOOKUP(A211,TableS5!A:J,9,FALSE)</f>
        <v>Predicted protein</v>
      </c>
      <c r="J211" s="33" t="s">
        <v>10</v>
      </c>
      <c r="K211" s="33"/>
      <c r="L211" s="35"/>
      <c r="M211" s="35"/>
      <c r="O211" s="35"/>
      <c r="P211" s="35"/>
    </row>
    <row r="212" spans="1:16" x14ac:dyDescent="0.2">
      <c r="A212" s="35" t="s">
        <v>1728</v>
      </c>
      <c r="B212" s="35">
        <v>22.019400400040102</v>
      </c>
      <c r="C212" s="35">
        <v>-4.3148863424347104</v>
      </c>
      <c r="D212" s="35">
        <v>0.93012799488715603</v>
      </c>
      <c r="E212" s="35">
        <v>-4.6390242699427597</v>
      </c>
      <c r="F212" s="40">
        <v>3.5005794746606801E-6</v>
      </c>
      <c r="G212" s="35">
        <v>4.8798418842303098E-4</v>
      </c>
      <c r="H212" s="24" t="s">
        <v>10</v>
      </c>
      <c r="I212" s="33" t="str">
        <f>VLOOKUP(A212,TableS5!A:J,9,FALSE)</f>
        <v>Predicted protein (Fragment)</v>
      </c>
      <c r="J212" s="33" t="s">
        <v>10</v>
      </c>
      <c r="K212" s="33"/>
      <c r="L212" s="35"/>
      <c r="M212" s="35"/>
      <c r="O212" s="35"/>
      <c r="P212" s="35"/>
    </row>
    <row r="213" spans="1:16" x14ac:dyDescent="0.2">
      <c r="A213" s="35" t="s">
        <v>1730</v>
      </c>
      <c r="B213" s="35">
        <v>6389.47893290722</v>
      </c>
      <c r="C213" s="35">
        <v>-3.0117869813492502</v>
      </c>
      <c r="D213" s="35">
        <v>0.64929838939661699</v>
      </c>
      <c r="E213" s="35">
        <v>-4.6385252613179304</v>
      </c>
      <c r="F213" s="40">
        <v>3.5090405126166698E-6</v>
      </c>
      <c r="G213" s="35">
        <v>4.8837085552496903E-4</v>
      </c>
      <c r="H213" s="24" t="s">
        <v>4132</v>
      </c>
      <c r="I213" s="24" t="s">
        <v>3962</v>
      </c>
      <c r="J213" s="33" t="s">
        <v>4072</v>
      </c>
      <c r="K213" s="33"/>
      <c r="L213" s="35"/>
      <c r="M213" s="35"/>
      <c r="O213" s="35"/>
      <c r="P213" s="35"/>
    </row>
    <row r="214" spans="1:16" x14ac:dyDescent="0.2">
      <c r="A214" s="35" t="s">
        <v>1732</v>
      </c>
      <c r="B214" s="35">
        <v>645.60133278306898</v>
      </c>
      <c r="C214" s="35">
        <v>-2.11491299475782</v>
      </c>
      <c r="D214" s="35">
        <v>0.456225337429775</v>
      </c>
      <c r="E214" s="35">
        <v>-4.6356763231795801</v>
      </c>
      <c r="F214" s="40">
        <v>3.5577230603016501E-6</v>
      </c>
      <c r="G214" s="35">
        <v>4.9354642473531905E-4</v>
      </c>
      <c r="H214" s="24" t="s">
        <v>10</v>
      </c>
      <c r="I214" s="33" t="str">
        <f>VLOOKUP(A214,TableS5!A:J,9,FALSE)</f>
        <v>Predicted protein</v>
      </c>
      <c r="J214" s="33" t="s">
        <v>10</v>
      </c>
      <c r="K214" s="33"/>
      <c r="L214" s="35"/>
      <c r="M214" s="35"/>
      <c r="O214" s="35"/>
      <c r="P214" s="35"/>
    </row>
    <row r="215" spans="1:16" x14ac:dyDescent="0.2">
      <c r="A215" s="35" t="s">
        <v>1734</v>
      </c>
      <c r="B215" s="35">
        <v>148.55192586794601</v>
      </c>
      <c r="C215" s="35">
        <v>-2.30227574062814</v>
      </c>
      <c r="D215" s="35">
        <v>0.49731554933016398</v>
      </c>
      <c r="E215" s="35">
        <v>-4.6294063069796998</v>
      </c>
      <c r="F215" s="40">
        <v>3.66715602207908E-6</v>
      </c>
      <c r="G215" s="35">
        <v>5.0790702382572995E-4</v>
      </c>
      <c r="H215" s="24" t="s">
        <v>10</v>
      </c>
      <c r="I215" s="33" t="str">
        <f>VLOOKUP(A215,TableS5!A:J,9,FALSE)</f>
        <v>Predicted protein</v>
      </c>
      <c r="J215" s="33" t="s">
        <v>10</v>
      </c>
      <c r="K215" s="33"/>
      <c r="L215" s="35"/>
      <c r="M215" s="35"/>
      <c r="O215" s="35"/>
      <c r="P215" s="35"/>
    </row>
    <row r="216" spans="1:16" x14ac:dyDescent="0.2">
      <c r="A216" s="35" t="s">
        <v>1737</v>
      </c>
      <c r="B216" s="35">
        <v>79.221604946257202</v>
      </c>
      <c r="C216" s="35">
        <v>-2.9151625708676399</v>
      </c>
      <c r="D216" s="35">
        <v>0.63010395519707696</v>
      </c>
      <c r="E216" s="35">
        <v>-4.6264787688181901</v>
      </c>
      <c r="F216" s="40">
        <v>3.7193497473159999E-6</v>
      </c>
      <c r="G216" s="35">
        <v>5.1430641248272502E-4</v>
      </c>
      <c r="H216" s="24" t="s">
        <v>10</v>
      </c>
      <c r="I216" s="33" t="str">
        <f>VLOOKUP(A216,TableS5!A:J,9,FALSE)</f>
        <v>Uncharacterized protein</v>
      </c>
      <c r="J216" s="33" t="s">
        <v>10</v>
      </c>
      <c r="K216" s="33"/>
      <c r="L216" s="35"/>
      <c r="M216" s="35"/>
      <c r="O216" s="35"/>
      <c r="P216" s="35"/>
    </row>
    <row r="217" spans="1:16" x14ac:dyDescent="0.2">
      <c r="A217" s="35" t="s">
        <v>1739</v>
      </c>
      <c r="B217" s="35">
        <v>50.7399203849522</v>
      </c>
      <c r="C217" s="35">
        <v>-2.4519130505028301</v>
      </c>
      <c r="D217" s="35">
        <v>0.53109871360165495</v>
      </c>
      <c r="E217" s="35">
        <v>-4.61668045451502</v>
      </c>
      <c r="F217" s="40">
        <v>3.8992696835082802E-6</v>
      </c>
      <c r="G217" s="35">
        <v>5.3487889295932803E-4</v>
      </c>
      <c r="H217" s="24" t="s">
        <v>10</v>
      </c>
      <c r="I217" s="24" t="s">
        <v>10</v>
      </c>
      <c r="J217" s="33" t="s">
        <v>10</v>
      </c>
      <c r="K217" s="33"/>
      <c r="L217" s="35"/>
      <c r="M217" s="35"/>
      <c r="O217" s="35"/>
      <c r="P217" s="35"/>
    </row>
    <row r="218" spans="1:16" x14ac:dyDescent="0.2">
      <c r="A218" s="35" t="s">
        <v>1740</v>
      </c>
      <c r="B218" s="35">
        <v>42.530216403691298</v>
      </c>
      <c r="C218" s="35">
        <v>-3.47110741109947</v>
      </c>
      <c r="D218" s="35">
        <v>0.75198105401679705</v>
      </c>
      <c r="E218" s="35">
        <v>-4.6159506181148302</v>
      </c>
      <c r="F218" s="40">
        <v>3.9129999168052596E-6</v>
      </c>
      <c r="G218" s="35">
        <v>5.3510613438971901E-4</v>
      </c>
      <c r="H218" s="24" t="s">
        <v>10</v>
      </c>
      <c r="I218" s="24" t="s">
        <v>10</v>
      </c>
      <c r="J218" s="33" t="s">
        <v>10</v>
      </c>
      <c r="K218" s="33"/>
      <c r="L218" s="35"/>
      <c r="M218" s="35"/>
      <c r="O218" s="35"/>
      <c r="P218" s="35"/>
    </row>
    <row r="219" spans="1:16" x14ac:dyDescent="0.2">
      <c r="A219" s="35" t="s">
        <v>1744</v>
      </c>
      <c r="B219" s="35">
        <v>72.765825480709793</v>
      </c>
      <c r="C219" s="35">
        <v>-4.6142033150714301</v>
      </c>
      <c r="D219" s="35">
        <v>1.0003149302793799</v>
      </c>
      <c r="E219" s="35">
        <v>-4.6127506202298703</v>
      </c>
      <c r="F219" s="40">
        <v>3.9737496198364097E-6</v>
      </c>
      <c r="G219" s="35">
        <v>5.4112221934323596E-4</v>
      </c>
      <c r="H219" s="33" t="str">
        <f>VLOOKUP(A219,TableS5!A:J,8,FALSE)</f>
        <v>K07998</v>
      </c>
      <c r="I219" s="29" t="s">
        <v>4184</v>
      </c>
      <c r="J219" s="33" t="s">
        <v>10</v>
      </c>
      <c r="K219" s="33"/>
      <c r="L219" s="35"/>
      <c r="M219" s="35"/>
      <c r="O219" s="35"/>
      <c r="P219" s="35"/>
    </row>
    <row r="220" spans="1:16" x14ac:dyDescent="0.2">
      <c r="A220" s="35" t="s">
        <v>1747</v>
      </c>
      <c r="B220" s="35">
        <v>110.486697129934</v>
      </c>
      <c r="C220" s="35">
        <v>-2.0020743795818401</v>
      </c>
      <c r="D220" s="35">
        <v>0.43433417587246598</v>
      </c>
      <c r="E220" s="35">
        <v>-4.60952531667622</v>
      </c>
      <c r="F220" s="40">
        <v>4.0358938748880499E-6</v>
      </c>
      <c r="G220" s="35">
        <v>5.4644949475669803E-4</v>
      </c>
      <c r="H220" s="24" t="s">
        <v>10</v>
      </c>
      <c r="I220" s="24" t="s">
        <v>10</v>
      </c>
      <c r="J220" s="33" t="s">
        <v>10</v>
      </c>
      <c r="K220" s="33"/>
      <c r="L220" s="35"/>
      <c r="M220" s="35"/>
      <c r="O220" s="35"/>
      <c r="P220" s="35"/>
    </row>
    <row r="221" spans="1:16" x14ac:dyDescent="0.2">
      <c r="A221" s="35" t="s">
        <v>1748</v>
      </c>
      <c r="B221" s="35">
        <v>16.889446231816802</v>
      </c>
      <c r="C221" s="35">
        <v>-4.60229943601004</v>
      </c>
      <c r="D221" s="35">
        <v>1.00193782004864</v>
      </c>
      <c r="E221" s="35">
        <v>-4.5933982567766902</v>
      </c>
      <c r="F221" s="40">
        <v>4.3608568068812398E-6</v>
      </c>
      <c r="G221" s="35">
        <v>5.8511114822452903E-4</v>
      </c>
      <c r="H221" s="24" t="s">
        <v>10</v>
      </c>
      <c r="I221" s="33" t="str">
        <f>VLOOKUP(A221,TableS5!A:J,9,FALSE)</f>
        <v>B-box type zinc finger protein ncl-1 (Fragment)</v>
      </c>
      <c r="J221" s="33" t="s">
        <v>10</v>
      </c>
      <c r="K221" s="33"/>
      <c r="L221" s="35"/>
      <c r="M221" s="35"/>
      <c r="O221" s="35"/>
      <c r="P221" s="35"/>
    </row>
    <row r="222" spans="1:16" x14ac:dyDescent="0.2">
      <c r="A222" s="35" t="s">
        <v>1752</v>
      </c>
      <c r="B222" s="35">
        <v>103.764729394743</v>
      </c>
      <c r="C222" s="35">
        <v>-3.8982337017439899</v>
      </c>
      <c r="D222" s="35">
        <v>0.84939208459095095</v>
      </c>
      <c r="E222" s="35">
        <v>-4.5894396386108198</v>
      </c>
      <c r="F222" s="40">
        <v>4.4443749053804602E-6</v>
      </c>
      <c r="G222" s="35">
        <v>5.9538676677055498E-4</v>
      </c>
      <c r="H222" s="24" t="s">
        <v>10</v>
      </c>
      <c r="I222" s="33" t="str">
        <f>VLOOKUP(A222,TableS5!A:J,9,FALSE)</f>
        <v>Predicted protein</v>
      </c>
      <c r="J222" s="33" t="s">
        <v>10</v>
      </c>
      <c r="K222" s="33"/>
      <c r="L222" s="35"/>
      <c r="M222" s="35"/>
      <c r="O222" s="35"/>
      <c r="P222" s="35"/>
    </row>
    <row r="223" spans="1:16" x14ac:dyDescent="0.2">
      <c r="A223" s="35" t="s">
        <v>1753</v>
      </c>
      <c r="B223" s="35">
        <v>68.720402235495996</v>
      </c>
      <c r="C223" s="35">
        <v>-2.1945656010149301</v>
      </c>
      <c r="D223" s="35">
        <v>0.47895261137300699</v>
      </c>
      <c r="E223" s="35">
        <v>-4.5820098876250004</v>
      </c>
      <c r="F223" s="40">
        <v>4.6052811420029097E-6</v>
      </c>
      <c r="G223" s="35">
        <v>6.1502347891902404E-4</v>
      </c>
      <c r="H223" s="24" t="s">
        <v>10</v>
      </c>
      <c r="I223" s="33" t="str">
        <f>VLOOKUP(A223,TableS5!A:J,9,FALSE)</f>
        <v>Predicted protein</v>
      </c>
      <c r="J223" s="33" t="s">
        <v>10</v>
      </c>
      <c r="K223" s="33"/>
      <c r="L223" s="35"/>
      <c r="M223" s="35"/>
      <c r="O223" s="35"/>
      <c r="P223" s="35"/>
    </row>
    <row r="224" spans="1:16" x14ac:dyDescent="0.2">
      <c r="A224" s="35" t="s">
        <v>1756</v>
      </c>
      <c r="B224" s="35">
        <v>209.149000194796</v>
      </c>
      <c r="C224" s="35">
        <v>-2.4063108451393398</v>
      </c>
      <c r="D224" s="35">
        <v>0.52676977403451997</v>
      </c>
      <c r="E224" s="35">
        <v>-4.5680503395429302</v>
      </c>
      <c r="F224" s="40">
        <v>4.9228181850669299E-6</v>
      </c>
      <c r="G224" s="35">
        <v>6.5135180334342498E-4</v>
      </c>
      <c r="H224" s="29" t="s">
        <v>5229</v>
      </c>
      <c r="I224" s="24" t="s">
        <v>525</v>
      </c>
      <c r="J224" s="33" t="s">
        <v>10</v>
      </c>
      <c r="K224" s="33"/>
      <c r="L224" s="35"/>
      <c r="M224" s="35"/>
      <c r="O224" s="35"/>
      <c r="P224" s="35"/>
    </row>
    <row r="225" spans="1:16" x14ac:dyDescent="0.2">
      <c r="A225" s="35" t="s">
        <v>1757</v>
      </c>
      <c r="B225" s="35">
        <v>38.6393287322745</v>
      </c>
      <c r="C225" s="35">
        <v>-5.0827494834592004</v>
      </c>
      <c r="D225" s="35">
        <v>1.11363490616913</v>
      </c>
      <c r="E225" s="35">
        <v>-4.5641075502416797</v>
      </c>
      <c r="F225" s="40">
        <v>5.0162359952269402E-6</v>
      </c>
      <c r="G225" s="35">
        <v>6.6269107868635699E-4</v>
      </c>
      <c r="H225" s="24" t="s">
        <v>10</v>
      </c>
      <c r="I225" s="33" t="str">
        <f>VLOOKUP(A225,TableS5!A:J,9,FALSE)</f>
        <v>Predicted protein (Fragment)</v>
      </c>
      <c r="J225" s="33" t="s">
        <v>10</v>
      </c>
      <c r="K225" s="33"/>
      <c r="L225" s="35"/>
      <c r="M225" s="35"/>
      <c r="O225" s="35"/>
      <c r="P225" s="35"/>
    </row>
    <row r="226" spans="1:16" x14ac:dyDescent="0.2">
      <c r="A226" s="35" t="s">
        <v>1758</v>
      </c>
      <c r="B226" s="35">
        <v>35.071919184901297</v>
      </c>
      <c r="C226" s="35">
        <v>-4.8973751527996301</v>
      </c>
      <c r="D226" s="35">
        <v>1.0735483190336601</v>
      </c>
      <c r="E226" s="35">
        <v>-4.5618581539095899</v>
      </c>
      <c r="F226" s="40">
        <v>5.0702897501644801E-6</v>
      </c>
      <c r="G226" s="35">
        <v>6.6777737904351905E-4</v>
      </c>
      <c r="H226" s="24" t="s">
        <v>3822</v>
      </c>
      <c r="I226" s="29" t="s">
        <v>4185</v>
      </c>
      <c r="J226" s="33" t="s">
        <v>10</v>
      </c>
      <c r="K226" s="33"/>
      <c r="L226" s="35"/>
      <c r="M226" s="35"/>
      <c r="O226" s="35"/>
      <c r="P226" s="35"/>
    </row>
    <row r="227" spans="1:16" x14ac:dyDescent="0.2">
      <c r="A227" s="45" t="s">
        <v>1761</v>
      </c>
      <c r="B227" s="45">
        <v>58.190847065492598</v>
      </c>
      <c r="C227" s="45">
        <v>-2.5490799746077899</v>
      </c>
      <c r="D227" s="45">
        <v>0.55882619519486099</v>
      </c>
      <c r="E227" s="45">
        <v>-4.5614897736118696</v>
      </c>
      <c r="F227" s="46">
        <v>5.07919503751601E-6</v>
      </c>
      <c r="G227" s="45">
        <v>6.6792581480327302E-4</v>
      </c>
      <c r="H227" s="47" t="s">
        <v>4133</v>
      </c>
      <c r="I227" s="48" t="s">
        <v>4186</v>
      </c>
      <c r="J227" s="50" t="s">
        <v>4036</v>
      </c>
      <c r="K227" s="33"/>
      <c r="L227" s="35"/>
      <c r="M227" s="35"/>
      <c r="O227" s="35"/>
      <c r="P227" s="35"/>
    </row>
    <row r="228" spans="1:16" x14ac:dyDescent="0.2">
      <c r="A228" s="35" t="s">
        <v>1763</v>
      </c>
      <c r="B228" s="35">
        <v>938.48067786645504</v>
      </c>
      <c r="C228" s="35">
        <v>-3.4239757109946001</v>
      </c>
      <c r="D228" s="35">
        <v>0.75155596399150104</v>
      </c>
      <c r="E228" s="35">
        <v>-4.5558492980481802</v>
      </c>
      <c r="F228" s="40">
        <v>5.2174334527652198E-6</v>
      </c>
      <c r="G228" s="35">
        <v>6.8505539452966605E-4</v>
      </c>
      <c r="H228" s="24" t="s">
        <v>4134</v>
      </c>
      <c r="I228" s="24" t="s">
        <v>3895</v>
      </c>
      <c r="J228" s="33" t="s">
        <v>4032</v>
      </c>
      <c r="K228" s="33"/>
      <c r="L228" s="35"/>
      <c r="M228" s="35"/>
      <c r="O228" s="35"/>
      <c r="P228" s="35"/>
    </row>
    <row r="229" spans="1:16" x14ac:dyDescent="0.2">
      <c r="A229" s="35" t="s">
        <v>1764</v>
      </c>
      <c r="B229" s="35">
        <v>26.271874525665801</v>
      </c>
      <c r="C229" s="35">
        <v>-4.7424876895845598</v>
      </c>
      <c r="D229" s="35">
        <v>1.0430366807157201</v>
      </c>
      <c r="E229" s="35">
        <v>-4.5468081585878002</v>
      </c>
      <c r="F229" s="40">
        <v>5.44656011639306E-6</v>
      </c>
      <c r="G229" s="35">
        <v>7.08806681376823E-4</v>
      </c>
      <c r="H229" s="24" t="s">
        <v>10</v>
      </c>
      <c r="I229" s="33" t="str">
        <f>VLOOKUP(A229,TableS5!A:J,9,FALSE)</f>
        <v>Predicted protein (Fragment)</v>
      </c>
      <c r="J229" s="33" t="s">
        <v>10</v>
      </c>
      <c r="K229" s="33"/>
      <c r="L229" s="35"/>
      <c r="M229" s="35"/>
      <c r="O229" s="35"/>
      <c r="P229" s="35"/>
    </row>
    <row r="230" spans="1:16" x14ac:dyDescent="0.2">
      <c r="A230" s="35" t="s">
        <v>1766</v>
      </c>
      <c r="B230" s="35">
        <v>88.677682257197105</v>
      </c>
      <c r="C230" s="35">
        <v>-2.4457447462121999</v>
      </c>
      <c r="D230" s="35">
        <v>0.537954840565529</v>
      </c>
      <c r="E230" s="35">
        <v>-4.5463755724199704</v>
      </c>
      <c r="F230" s="40">
        <v>5.4577610465266004E-6</v>
      </c>
      <c r="G230" s="35">
        <v>7.0902178339831399E-4</v>
      </c>
      <c r="H230" s="24" t="s">
        <v>10</v>
      </c>
      <c r="I230" s="33" t="str">
        <f>VLOOKUP(A230,TableS5!A:J,9,FALSE)</f>
        <v>Predicted protein</v>
      </c>
      <c r="J230" s="33" t="s">
        <v>10</v>
      </c>
      <c r="K230" s="33"/>
      <c r="L230" s="35"/>
      <c r="M230" s="35"/>
      <c r="O230" s="35"/>
      <c r="P230" s="35"/>
    </row>
    <row r="231" spans="1:16" x14ac:dyDescent="0.2">
      <c r="A231" s="35" t="s">
        <v>1769</v>
      </c>
      <c r="B231" s="35">
        <v>26.119213596523299</v>
      </c>
      <c r="C231" s="35">
        <v>-3.6805876797568402</v>
      </c>
      <c r="D231" s="35">
        <v>0.80973182837024704</v>
      </c>
      <c r="E231" s="35">
        <v>-4.5454402936893104</v>
      </c>
      <c r="F231" s="40">
        <v>5.4820535977105197E-6</v>
      </c>
      <c r="G231" s="35">
        <v>7.1017542914822895E-4</v>
      </c>
      <c r="H231" s="24" t="s">
        <v>3825</v>
      </c>
      <c r="I231" s="29" t="s">
        <v>4187</v>
      </c>
      <c r="J231" s="33" t="s">
        <v>10</v>
      </c>
      <c r="K231" s="33"/>
      <c r="L231" s="35"/>
      <c r="M231" s="35"/>
      <c r="O231" s="35"/>
      <c r="P231" s="35"/>
    </row>
    <row r="232" spans="1:16" x14ac:dyDescent="0.2">
      <c r="A232" s="35" t="s">
        <v>1772</v>
      </c>
      <c r="B232" s="35">
        <v>209.163042029422</v>
      </c>
      <c r="C232" s="35">
        <v>-2.6110440765821599</v>
      </c>
      <c r="D232" s="35">
        <v>0.57447709585324203</v>
      </c>
      <c r="E232" s="35">
        <v>-4.54507950870366</v>
      </c>
      <c r="F232" s="40">
        <v>5.4914521195097702E-6</v>
      </c>
      <c r="G232" s="35">
        <v>7.1017542914822895E-4</v>
      </c>
      <c r="H232" s="24" t="s">
        <v>10</v>
      </c>
      <c r="I232" s="33" t="str">
        <f>VLOOKUP(A232,TableS5!A:J,9,FALSE)</f>
        <v>Predicted protein</v>
      </c>
      <c r="J232" s="33" t="s">
        <v>10</v>
      </c>
      <c r="K232" s="33"/>
      <c r="L232" s="35"/>
      <c r="M232" s="35"/>
      <c r="O232" s="35"/>
      <c r="P232" s="35"/>
    </row>
    <row r="233" spans="1:16" x14ac:dyDescent="0.2">
      <c r="A233" s="35" t="s">
        <v>1775</v>
      </c>
      <c r="B233" s="35">
        <v>46.128152329810597</v>
      </c>
      <c r="C233" s="35">
        <v>-3.8337529879918901</v>
      </c>
      <c r="D233" s="35">
        <v>0.84368799307236797</v>
      </c>
      <c r="E233" s="35">
        <v>-4.5440411852146001</v>
      </c>
      <c r="F233" s="40">
        <v>5.5185868126081002E-6</v>
      </c>
      <c r="G233" s="35">
        <v>7.1261138073003001E-4</v>
      </c>
      <c r="H233" s="33" t="str">
        <f>VLOOKUP(A233,TableS5!A:J,8,FALSE)</f>
        <v>K08211</v>
      </c>
      <c r="I233" s="29" t="s">
        <v>4188</v>
      </c>
      <c r="J233" s="33" t="s">
        <v>10</v>
      </c>
      <c r="K233" s="33"/>
      <c r="L233" s="35"/>
      <c r="M233" s="35"/>
      <c r="O233" s="35"/>
      <c r="P233" s="35"/>
    </row>
    <row r="234" spans="1:16" x14ac:dyDescent="0.2">
      <c r="A234" s="35" t="s">
        <v>1777</v>
      </c>
      <c r="B234" s="35">
        <v>79.7697968811636</v>
      </c>
      <c r="C234" s="35">
        <v>-2.3470296379582498</v>
      </c>
      <c r="D234" s="35">
        <v>0.51720864766105201</v>
      </c>
      <c r="E234" s="35">
        <v>-4.5378777956867298</v>
      </c>
      <c r="F234" s="40">
        <v>5.6823171167981096E-6</v>
      </c>
      <c r="G234" s="35">
        <v>7.2611049573894401E-4</v>
      </c>
      <c r="H234" s="24" t="s">
        <v>10</v>
      </c>
      <c r="I234" s="24" t="s">
        <v>10</v>
      </c>
      <c r="J234" s="33" t="s">
        <v>10</v>
      </c>
      <c r="K234" s="33"/>
      <c r="L234" s="35"/>
      <c r="M234" s="35"/>
      <c r="O234" s="35"/>
      <c r="P234" s="35"/>
    </row>
    <row r="235" spans="1:16" x14ac:dyDescent="0.2">
      <c r="A235" s="35" t="s">
        <v>1779</v>
      </c>
      <c r="B235" s="35">
        <v>79.390826315546093</v>
      </c>
      <c r="C235" s="35">
        <v>-2.28923651884659</v>
      </c>
      <c r="D235" s="35">
        <v>0.50496914351215405</v>
      </c>
      <c r="E235" s="35">
        <v>-4.5334186222241701</v>
      </c>
      <c r="F235" s="40">
        <v>5.80366318240536E-6</v>
      </c>
      <c r="G235" s="35">
        <v>7.3722834487622896E-4</v>
      </c>
      <c r="H235" s="24" t="s">
        <v>10</v>
      </c>
      <c r="I235" s="24" t="s">
        <v>10</v>
      </c>
      <c r="J235" s="33" t="s">
        <v>10</v>
      </c>
      <c r="K235" s="33"/>
      <c r="L235" s="35"/>
      <c r="M235" s="35"/>
      <c r="O235" s="35"/>
      <c r="P235" s="35"/>
    </row>
    <row r="236" spans="1:16" x14ac:dyDescent="0.2">
      <c r="A236" s="35" t="s">
        <v>1781</v>
      </c>
      <c r="B236" s="35">
        <v>18.182080082917199</v>
      </c>
      <c r="C236" s="35">
        <v>-4.2539120025683204</v>
      </c>
      <c r="D236" s="35">
        <v>0.93888710078711402</v>
      </c>
      <c r="E236" s="35">
        <v>-4.5308024777442002</v>
      </c>
      <c r="F236" s="40">
        <v>5.8760058007195596E-6</v>
      </c>
      <c r="G236" s="35">
        <v>7.4202719722586696E-4</v>
      </c>
      <c r="H236" s="24" t="s">
        <v>10</v>
      </c>
      <c r="I236" s="33" t="str">
        <f>VLOOKUP(A236,TableS5!A:J,9,FALSE)</f>
        <v>putative myophilin-like</v>
      </c>
      <c r="J236" s="33" t="s">
        <v>10</v>
      </c>
      <c r="K236" s="33"/>
      <c r="L236" s="35"/>
      <c r="M236" s="35"/>
      <c r="O236" s="35"/>
      <c r="P236" s="35"/>
    </row>
    <row r="237" spans="1:16" x14ac:dyDescent="0.2">
      <c r="A237" s="35" t="s">
        <v>1785</v>
      </c>
      <c r="B237" s="35">
        <v>31.091051620720901</v>
      </c>
      <c r="C237" s="35">
        <v>-4.7557839738162304</v>
      </c>
      <c r="D237" s="35">
        <v>1.0502652176359799</v>
      </c>
      <c r="E237" s="35">
        <v>-4.5281743067916702</v>
      </c>
      <c r="F237" s="40">
        <v>5.94954954748501E-6</v>
      </c>
      <c r="G237" s="35">
        <v>7.4905149249168798E-4</v>
      </c>
      <c r="H237" s="33" t="str">
        <f>VLOOKUP(A237,TableS5!A:J,8,FALSE)</f>
        <v>K09401</v>
      </c>
      <c r="I237" s="29" t="s">
        <v>4189</v>
      </c>
      <c r="J237" s="33" t="s">
        <v>10</v>
      </c>
      <c r="K237" s="33"/>
      <c r="L237" s="35"/>
      <c r="M237" s="35"/>
      <c r="O237" s="35"/>
      <c r="P237" s="35"/>
    </row>
    <row r="238" spans="1:16" x14ac:dyDescent="0.2">
      <c r="A238" s="35" t="s">
        <v>1786</v>
      </c>
      <c r="B238" s="35">
        <v>325.33899987057299</v>
      </c>
      <c r="C238" s="35">
        <v>-2.5630175823533299</v>
      </c>
      <c r="D238" s="35">
        <v>0.56646365921891295</v>
      </c>
      <c r="E238" s="35">
        <v>-4.5245931325717104</v>
      </c>
      <c r="F238" s="40">
        <v>6.0511802389885504E-6</v>
      </c>
      <c r="G238" s="35">
        <v>7.5526293357875795E-4</v>
      </c>
      <c r="H238" s="24" t="s">
        <v>3839</v>
      </c>
      <c r="I238" s="24" t="s">
        <v>898</v>
      </c>
      <c r="J238" s="33" t="s">
        <v>10</v>
      </c>
      <c r="K238" s="33"/>
      <c r="L238" s="35"/>
      <c r="M238" s="35"/>
      <c r="O238" s="35"/>
      <c r="P238" s="35"/>
    </row>
    <row r="239" spans="1:16" x14ac:dyDescent="0.2">
      <c r="A239" s="35" t="s">
        <v>1788</v>
      </c>
      <c r="B239" s="35">
        <v>76.002165206627495</v>
      </c>
      <c r="C239" s="35">
        <v>-3.5874995424190801</v>
      </c>
      <c r="D239" s="35">
        <v>0.79567309392150198</v>
      </c>
      <c r="E239" s="35">
        <v>-4.5087606578952801</v>
      </c>
      <c r="F239" s="40">
        <v>6.5207420407070702E-6</v>
      </c>
      <c r="G239" s="35">
        <v>8.0720450004962904E-4</v>
      </c>
      <c r="H239" s="24" t="s">
        <v>10</v>
      </c>
      <c r="I239" s="33" t="str">
        <f>VLOOKUP(A239,TableS5!A:J,9,FALSE)</f>
        <v>Predicted protein (Fragment)</v>
      </c>
      <c r="J239" s="33" t="s">
        <v>10</v>
      </c>
      <c r="K239" s="33"/>
      <c r="L239" s="35"/>
      <c r="M239" s="35"/>
      <c r="O239" s="35"/>
      <c r="P239" s="35"/>
    </row>
    <row r="240" spans="1:16" x14ac:dyDescent="0.2">
      <c r="A240" s="35" t="s">
        <v>1789</v>
      </c>
      <c r="B240" s="35">
        <v>1229.6865664120101</v>
      </c>
      <c r="C240" s="35">
        <v>-2.5557089560233299</v>
      </c>
      <c r="D240" s="35">
        <v>0.56688395963529103</v>
      </c>
      <c r="E240" s="35">
        <v>-4.5083458661761497</v>
      </c>
      <c r="F240" s="40">
        <v>6.5335007525390496E-6</v>
      </c>
      <c r="G240" s="35">
        <v>8.0724927067810104E-4</v>
      </c>
      <c r="H240" s="33" t="str">
        <f>VLOOKUP(A240,TableS5!A:J,8,FALSE)</f>
        <v>K04986</v>
      </c>
      <c r="I240" s="29" t="s">
        <v>4190</v>
      </c>
      <c r="J240" s="33" t="s">
        <v>10</v>
      </c>
      <c r="K240" s="33"/>
      <c r="L240" s="35"/>
      <c r="M240" s="35"/>
      <c r="O240" s="35"/>
      <c r="P240" s="35"/>
    </row>
    <row r="241" spans="1:16" x14ac:dyDescent="0.2">
      <c r="A241" s="35" t="s">
        <v>1793</v>
      </c>
      <c r="B241" s="35">
        <v>46.764801176659397</v>
      </c>
      <c r="C241" s="35">
        <v>-2.6708733543665799</v>
      </c>
      <c r="D241" s="35">
        <v>0.59285930274174403</v>
      </c>
      <c r="E241" s="35">
        <v>-4.5050711728985702</v>
      </c>
      <c r="F241" s="40">
        <v>6.6350700401849699E-6</v>
      </c>
      <c r="G241" s="35">
        <v>8.1862083250104005E-4</v>
      </c>
      <c r="H241" s="33" t="str">
        <f>VLOOKUP(A241,TableS5!A:J,8,FALSE)</f>
        <v>K04988</v>
      </c>
      <c r="I241" s="24" t="s">
        <v>4028</v>
      </c>
      <c r="J241" s="33" t="s">
        <v>10</v>
      </c>
      <c r="K241" s="33"/>
      <c r="L241" s="35"/>
      <c r="M241" s="35"/>
      <c r="O241" s="35"/>
      <c r="P241" s="35"/>
    </row>
    <row r="242" spans="1:16" x14ac:dyDescent="0.2">
      <c r="A242" s="35" t="s">
        <v>1795</v>
      </c>
      <c r="B242" s="35">
        <v>554.98599759128604</v>
      </c>
      <c r="C242" s="35">
        <v>-3.7205135890899501</v>
      </c>
      <c r="D242" s="35">
        <v>0.82628690755166301</v>
      </c>
      <c r="E242" s="35">
        <v>-4.50268974987641</v>
      </c>
      <c r="F242" s="40">
        <v>6.7098801006826096E-6</v>
      </c>
      <c r="G242" s="35">
        <v>8.2312016303673699E-4</v>
      </c>
      <c r="H242" s="24" t="s">
        <v>3889</v>
      </c>
      <c r="I242" s="29" t="s">
        <v>4191</v>
      </c>
      <c r="J242" s="33" t="s">
        <v>4114</v>
      </c>
      <c r="K242" s="33"/>
      <c r="L242" s="35"/>
      <c r="M242" s="35"/>
      <c r="O242" s="35"/>
      <c r="P242" s="35"/>
    </row>
    <row r="243" spans="1:16" x14ac:dyDescent="0.2">
      <c r="A243" s="45" t="s">
        <v>1797</v>
      </c>
      <c r="B243" s="45">
        <v>152.12613424064699</v>
      </c>
      <c r="C243" s="45">
        <v>-2.8499570679574702</v>
      </c>
      <c r="D243" s="45">
        <v>0.63298847578540296</v>
      </c>
      <c r="E243" s="45">
        <v>-4.5023838142097103</v>
      </c>
      <c r="F243" s="46">
        <v>6.7195490544020197E-6</v>
      </c>
      <c r="G243" s="45">
        <v>8.2313038067126398E-4</v>
      </c>
      <c r="H243" s="47" t="s">
        <v>3836</v>
      </c>
      <c r="I243" s="47" t="s">
        <v>227</v>
      </c>
      <c r="J243" s="50" t="s">
        <v>4051</v>
      </c>
      <c r="K243" s="33"/>
      <c r="L243" s="35"/>
      <c r="M243" s="35"/>
      <c r="O243" s="35"/>
      <c r="P243" s="35"/>
    </row>
    <row r="244" spans="1:16" x14ac:dyDescent="0.2">
      <c r="A244" s="35" t="s">
        <v>1798</v>
      </c>
      <c r="B244" s="35">
        <v>104.172624288419</v>
      </c>
      <c r="C244" s="35">
        <v>-4.8041775808814604</v>
      </c>
      <c r="D244" s="35">
        <v>1.0681952898545899</v>
      </c>
      <c r="E244" s="35">
        <v>-4.49747122694711</v>
      </c>
      <c r="F244" s="40">
        <v>6.8766463698339602E-6</v>
      </c>
      <c r="G244" s="35">
        <v>8.3997795223899295E-4</v>
      </c>
      <c r="H244" s="24" t="s">
        <v>10</v>
      </c>
      <c r="I244" s="33" t="str">
        <f>VLOOKUP(A244,TableS5!A:J,9,FALSE)</f>
        <v>granulins-like</v>
      </c>
      <c r="J244" s="33" t="s">
        <v>10</v>
      </c>
      <c r="K244" s="33"/>
      <c r="L244" s="35"/>
      <c r="M244" s="35"/>
      <c r="O244" s="35"/>
      <c r="P244" s="35"/>
    </row>
    <row r="245" spans="1:16" x14ac:dyDescent="0.2">
      <c r="A245" s="35" t="s">
        <v>1800</v>
      </c>
      <c r="B245" s="35">
        <v>48.469103301522203</v>
      </c>
      <c r="C245" s="35">
        <v>-2.5539714207517501</v>
      </c>
      <c r="D245" s="35">
        <v>0.568327074142849</v>
      </c>
      <c r="E245" s="35">
        <v>-4.4938408479019802</v>
      </c>
      <c r="F245" s="40">
        <v>6.9949915032172404E-6</v>
      </c>
      <c r="G245" s="35">
        <v>8.4910829272638296E-4</v>
      </c>
      <c r="H245" s="24" t="s">
        <v>10</v>
      </c>
      <c r="I245" s="33" t="str">
        <f>VLOOKUP(A245,TableS5!A:J,9,FALSE)</f>
        <v>Predicted protein</v>
      </c>
      <c r="J245" s="33" t="s">
        <v>10</v>
      </c>
      <c r="K245" s="33"/>
      <c r="L245" s="35"/>
      <c r="M245" s="35"/>
      <c r="O245" s="35"/>
      <c r="P245" s="35"/>
    </row>
    <row r="246" spans="1:16" x14ac:dyDescent="0.2">
      <c r="A246" s="35" t="s">
        <v>1802</v>
      </c>
      <c r="B246" s="35">
        <v>35.659966646214798</v>
      </c>
      <c r="C246" s="35">
        <v>-4.0221490224788301</v>
      </c>
      <c r="D246" s="35">
        <v>0.89515572252053499</v>
      </c>
      <c r="E246" s="35">
        <v>-4.4932394680485999</v>
      </c>
      <c r="F246" s="40">
        <v>7.0147827431136802E-6</v>
      </c>
      <c r="G246" s="35">
        <v>8.4910829272638296E-4</v>
      </c>
      <c r="H246" s="24" t="s">
        <v>4135</v>
      </c>
      <c r="I246" s="24" t="s">
        <v>3152</v>
      </c>
      <c r="J246" s="33" t="s">
        <v>3085</v>
      </c>
      <c r="K246" s="33"/>
      <c r="L246" s="35"/>
      <c r="M246" s="35"/>
      <c r="O246" s="35"/>
      <c r="P246" s="35"/>
    </row>
    <row r="247" spans="1:16" x14ac:dyDescent="0.2">
      <c r="A247" s="45" t="s">
        <v>1804</v>
      </c>
      <c r="B247" s="45">
        <v>232.03975429069399</v>
      </c>
      <c r="C247" s="45">
        <v>-2.5633440770254401</v>
      </c>
      <c r="D247" s="45">
        <v>0.57051153306795199</v>
      </c>
      <c r="E247" s="45">
        <v>-4.4930626787524197</v>
      </c>
      <c r="F247" s="46">
        <v>7.0206110076246004E-6</v>
      </c>
      <c r="G247" s="45">
        <v>8.4910829272638296E-4</v>
      </c>
      <c r="H247" s="47" t="s">
        <v>4136</v>
      </c>
      <c r="I247" s="47" t="s">
        <v>3918</v>
      </c>
      <c r="J247" s="49" t="s">
        <v>10</v>
      </c>
      <c r="K247" s="33"/>
      <c r="L247" s="35"/>
      <c r="M247" s="35"/>
      <c r="O247" s="35"/>
      <c r="P247" s="35"/>
    </row>
    <row r="248" spans="1:16" x14ac:dyDescent="0.2">
      <c r="A248" s="35" t="s">
        <v>1807</v>
      </c>
      <c r="B248" s="35">
        <v>239.04635556971701</v>
      </c>
      <c r="C248" s="35">
        <v>-2.0471690150859798</v>
      </c>
      <c r="D248" s="35">
        <v>0.45571140912494101</v>
      </c>
      <c r="E248" s="35">
        <v>-4.4922487655443204</v>
      </c>
      <c r="F248" s="40">
        <v>7.0475033203464602E-6</v>
      </c>
      <c r="G248" s="35">
        <v>8.5116196571233596E-4</v>
      </c>
      <c r="H248" s="29" t="s">
        <v>10</v>
      </c>
      <c r="I248" s="24" t="s">
        <v>3912</v>
      </c>
      <c r="J248" s="30" t="s">
        <v>10</v>
      </c>
      <c r="K248" s="33"/>
      <c r="L248" s="35"/>
      <c r="M248" s="35"/>
      <c r="O248" s="35"/>
      <c r="P248" s="35"/>
    </row>
    <row r="249" spans="1:16" x14ac:dyDescent="0.2">
      <c r="A249" s="35" t="s">
        <v>1810</v>
      </c>
      <c r="B249" s="35">
        <v>84.756757103082094</v>
      </c>
      <c r="C249" s="35">
        <v>-5.7035331860756804</v>
      </c>
      <c r="D249" s="35">
        <v>1.2702039598014301</v>
      </c>
      <c r="E249" s="35">
        <v>-4.4902498862996003</v>
      </c>
      <c r="F249" s="40">
        <v>7.1139665454680603E-6</v>
      </c>
      <c r="G249" s="35">
        <v>8.5788917733825305E-4</v>
      </c>
      <c r="H249" s="24" t="s">
        <v>10</v>
      </c>
      <c r="I249" s="24" t="s">
        <v>10</v>
      </c>
      <c r="J249" s="30" t="s">
        <v>10</v>
      </c>
      <c r="K249" s="33"/>
      <c r="L249" s="35"/>
      <c r="M249" s="35"/>
      <c r="O249" s="35"/>
      <c r="P249" s="35"/>
    </row>
    <row r="250" spans="1:16" x14ac:dyDescent="0.2">
      <c r="A250" s="35" t="s">
        <v>1812</v>
      </c>
      <c r="B250" s="35">
        <v>100.32320844181</v>
      </c>
      <c r="C250" s="35">
        <v>-2.1167444465915399</v>
      </c>
      <c r="D250" s="35">
        <v>0.471638089923967</v>
      </c>
      <c r="E250" s="35">
        <v>-4.4880693307293598</v>
      </c>
      <c r="F250" s="40">
        <v>7.1871541227631401E-6</v>
      </c>
      <c r="G250" s="35">
        <v>8.6317218416194898E-4</v>
      </c>
      <c r="H250" s="33" t="str">
        <f>VLOOKUP(A250,TableS5!A:J,8,FALSE)</f>
        <v>K00059</v>
      </c>
      <c r="I250" s="33" t="str">
        <f>VLOOKUP(A250,TableS5!A:J,9,FALSE)</f>
        <v xml:space="preserve">putative 3-oxoacyl-[acyl-carrier-protein] reductase FabG </v>
      </c>
      <c r="J250" s="30" t="s">
        <v>10</v>
      </c>
      <c r="K250" s="33"/>
      <c r="L250" s="35"/>
      <c r="M250" s="35"/>
      <c r="O250" s="35"/>
      <c r="P250" s="35"/>
    </row>
    <row r="251" spans="1:16" x14ac:dyDescent="0.2">
      <c r="A251" s="35" t="s">
        <v>1816</v>
      </c>
      <c r="B251" s="35">
        <v>26.818481965144802</v>
      </c>
      <c r="C251" s="35">
        <v>-4.8993874264303203</v>
      </c>
      <c r="D251" s="35">
        <v>1.09225449059563</v>
      </c>
      <c r="E251" s="35">
        <v>-4.4855731595651998</v>
      </c>
      <c r="F251" s="40">
        <v>7.2718189076899901E-6</v>
      </c>
      <c r="G251" s="35">
        <v>8.7090426976603604E-4</v>
      </c>
      <c r="H251" s="24" t="s">
        <v>10</v>
      </c>
      <c r="I251" s="33" t="str">
        <f>VLOOKUP(A251,TableS5!A:J,9,FALSE)</f>
        <v>Predicted protein</v>
      </c>
      <c r="J251" s="30" t="s">
        <v>10</v>
      </c>
      <c r="K251" s="33"/>
      <c r="L251" s="35"/>
      <c r="M251" s="35"/>
      <c r="O251" s="35"/>
      <c r="P251" s="35"/>
    </row>
    <row r="252" spans="1:16" x14ac:dyDescent="0.2">
      <c r="A252" s="45" t="s">
        <v>1817</v>
      </c>
      <c r="B252" s="45">
        <v>170.495614810066</v>
      </c>
      <c r="C252" s="45">
        <v>-2.0318271841709898</v>
      </c>
      <c r="D252" s="45">
        <v>0.45378078080824003</v>
      </c>
      <c r="E252" s="45">
        <v>-4.4775523118278704</v>
      </c>
      <c r="F252" s="46">
        <v>7.5503729822673602E-6</v>
      </c>
      <c r="G252" s="45">
        <v>8.9924837497958499E-4</v>
      </c>
      <c r="H252" s="47" t="s">
        <v>3846</v>
      </c>
      <c r="I252" s="47" t="s">
        <v>3955</v>
      </c>
      <c r="J252" s="49" t="s">
        <v>10</v>
      </c>
      <c r="K252" s="33"/>
      <c r="L252" s="35"/>
      <c r="M252" s="35"/>
      <c r="O252" s="35"/>
      <c r="P252" s="35"/>
    </row>
    <row r="253" spans="1:16" x14ac:dyDescent="0.2">
      <c r="A253" s="35" t="s">
        <v>1820</v>
      </c>
      <c r="B253" s="35">
        <v>26.319789642052001</v>
      </c>
      <c r="C253" s="35">
        <v>-4.7151919298219704</v>
      </c>
      <c r="D253" s="35">
        <v>1.05421846137848</v>
      </c>
      <c r="E253" s="35">
        <v>-4.4726895824385799</v>
      </c>
      <c r="F253" s="40">
        <v>7.7241866914287594E-6</v>
      </c>
      <c r="G253" s="35">
        <v>9.1487397983404004E-4</v>
      </c>
      <c r="H253" s="24" t="s">
        <v>10</v>
      </c>
      <c r="I253" s="33" t="str">
        <f>VLOOKUP(A253,TableS5!A:J,9,FALSE)</f>
        <v>Uncharacterized protein</v>
      </c>
      <c r="J253" s="30" t="s">
        <v>10</v>
      </c>
      <c r="K253" s="33"/>
      <c r="L253" s="35"/>
      <c r="M253" s="35"/>
      <c r="O253" s="35"/>
      <c r="P253" s="35"/>
    </row>
    <row r="254" spans="1:16" x14ac:dyDescent="0.2">
      <c r="A254" s="35" t="s">
        <v>1823</v>
      </c>
      <c r="B254" s="35">
        <v>21.294041327529001</v>
      </c>
      <c r="C254" s="35">
        <v>-4.2440946475838501</v>
      </c>
      <c r="D254" s="35">
        <v>0.95233027337181497</v>
      </c>
      <c r="E254" s="35">
        <v>-4.4565365254611002</v>
      </c>
      <c r="F254" s="40">
        <v>8.3294414653918995E-6</v>
      </c>
      <c r="G254" s="35">
        <v>9.7579463584538599E-4</v>
      </c>
      <c r="H254" s="33" t="str">
        <f>VLOOKUP(A254,TableS5!A:J,8,FALSE)</f>
        <v>K06568</v>
      </c>
      <c r="I254" s="33" t="str">
        <f>VLOOKUP(A254,TableS5!A:J,9,FALSE)</f>
        <v>mucin-like protein</v>
      </c>
      <c r="J254" s="30" t="s">
        <v>10</v>
      </c>
      <c r="K254" s="33"/>
      <c r="L254" s="35"/>
      <c r="M254" s="35"/>
      <c r="O254" s="35"/>
      <c r="P254" s="35"/>
    </row>
    <row r="255" spans="1:16" x14ac:dyDescent="0.2">
      <c r="A255" s="35" t="s">
        <v>1825</v>
      </c>
      <c r="B255" s="35">
        <v>76.694829000474499</v>
      </c>
      <c r="C255" s="35">
        <v>-2.2477942990652702</v>
      </c>
      <c r="D255" s="35">
        <v>0.50451444144497903</v>
      </c>
      <c r="E255" s="35">
        <v>-4.4553616594747396</v>
      </c>
      <c r="F255" s="40">
        <v>8.3751887857845805E-6</v>
      </c>
      <c r="G255" s="35">
        <v>9.7981721556417893E-4</v>
      </c>
      <c r="H255" s="33" t="str">
        <f>VLOOKUP(A255,TableS5!A:J,8,FALSE)</f>
        <v>K04451</v>
      </c>
      <c r="I255" s="33" t="str">
        <f>VLOOKUP(A255,TableS5!A:J,9,FALSE)</f>
        <v>cellular tumor antigen p53-like</v>
      </c>
      <c r="J255" s="30" t="s">
        <v>10</v>
      </c>
      <c r="K255" s="33"/>
      <c r="L255" s="35"/>
      <c r="M255" s="35"/>
      <c r="O255" s="35"/>
      <c r="P255" s="35"/>
    </row>
    <row r="256" spans="1:16" x14ac:dyDescent="0.2">
      <c r="A256" s="35" t="s">
        <v>1829</v>
      </c>
      <c r="B256" s="35">
        <v>298.90864308664197</v>
      </c>
      <c r="C256" s="35">
        <v>-2.0896997444011398</v>
      </c>
      <c r="D256" s="35">
        <v>0.46967497612895698</v>
      </c>
      <c r="E256" s="35">
        <v>-4.4492465015368001</v>
      </c>
      <c r="F256" s="40">
        <v>8.6172070796863697E-6</v>
      </c>
      <c r="G256" s="35">
        <v>9.9995701235101094E-4</v>
      </c>
      <c r="H256" s="33" t="str">
        <f>VLOOKUP(A256,TableS5!A:J,8,FALSE)</f>
        <v>K04255</v>
      </c>
      <c r="I256" s="29" t="s">
        <v>4192</v>
      </c>
      <c r="J256" s="30" t="s">
        <v>10</v>
      </c>
      <c r="K256" s="33"/>
      <c r="L256" s="35"/>
      <c r="M256" s="35"/>
      <c r="O256" s="35"/>
      <c r="P256" s="35"/>
    </row>
    <row r="257" spans="1:16" x14ac:dyDescent="0.2">
      <c r="A257" s="35" t="s">
        <v>3367</v>
      </c>
      <c r="B257" s="35">
        <v>2657.7536321327998</v>
      </c>
      <c r="C257" s="35">
        <v>-2.7368447404388601</v>
      </c>
      <c r="D257" s="35">
        <v>0.61602390630037196</v>
      </c>
      <c r="E257" s="35">
        <v>-4.4427573547841899</v>
      </c>
      <c r="F257" s="40">
        <v>8.88133053056025E-6</v>
      </c>
      <c r="G257" s="35">
        <v>1.0250655026743799E-3</v>
      </c>
      <c r="H257" s="24" t="s">
        <v>10</v>
      </c>
      <c r="I257" s="24" t="s">
        <v>10</v>
      </c>
      <c r="J257" s="30" t="s">
        <v>10</v>
      </c>
      <c r="K257" s="33"/>
      <c r="L257" s="35"/>
      <c r="M257" s="35"/>
      <c r="O257" s="35"/>
      <c r="P257" s="35"/>
    </row>
    <row r="258" spans="1:16" x14ac:dyDescent="0.2">
      <c r="A258" s="45" t="s">
        <v>3368</v>
      </c>
      <c r="B258" s="45">
        <v>70.613106422927501</v>
      </c>
      <c r="C258" s="45">
        <v>-2.4490410926564099</v>
      </c>
      <c r="D258" s="45">
        <v>0.55136598993977703</v>
      </c>
      <c r="E258" s="45">
        <v>-4.44177032559426</v>
      </c>
      <c r="F258" s="46">
        <v>8.9221765873345397E-6</v>
      </c>
      <c r="G258" s="45">
        <v>1.02630649375194E-3</v>
      </c>
      <c r="H258" s="47" t="s">
        <v>3837</v>
      </c>
      <c r="I258" s="47" t="s">
        <v>3934</v>
      </c>
      <c r="J258" s="50" t="s">
        <v>4052</v>
      </c>
      <c r="K258" s="33"/>
      <c r="L258" s="35"/>
      <c r="M258" s="35"/>
      <c r="O258" s="35"/>
      <c r="P258" s="35"/>
    </row>
    <row r="259" spans="1:16" x14ac:dyDescent="0.2">
      <c r="A259" s="35" t="s">
        <v>3369</v>
      </c>
      <c r="B259" s="35">
        <v>18.867221469752199</v>
      </c>
      <c r="C259" s="35">
        <v>-6.6076800034688503</v>
      </c>
      <c r="D259" s="35">
        <v>1.4876536449576401</v>
      </c>
      <c r="E259" s="35">
        <v>-4.4416790331979499</v>
      </c>
      <c r="F259" s="40">
        <v>8.9259635806005796E-6</v>
      </c>
      <c r="G259" s="35">
        <v>1.02630649375194E-3</v>
      </c>
      <c r="H259" s="24" t="s">
        <v>10</v>
      </c>
      <c r="I259" s="24" t="s">
        <v>10</v>
      </c>
      <c r="J259" s="33" t="s">
        <v>10</v>
      </c>
      <c r="K259" s="33"/>
      <c r="L259" s="35"/>
      <c r="M259" s="35"/>
      <c r="O259" s="35"/>
      <c r="P259" s="35"/>
    </row>
    <row r="260" spans="1:16" x14ac:dyDescent="0.2">
      <c r="A260" s="35" t="s">
        <v>3370</v>
      </c>
      <c r="B260" s="35">
        <v>77.743410742155206</v>
      </c>
      <c r="C260" s="35">
        <v>-3.8315283930662001</v>
      </c>
      <c r="D260" s="35">
        <v>0.86329993615614897</v>
      </c>
      <c r="E260" s="35">
        <v>-4.4382354644043103</v>
      </c>
      <c r="F260" s="40">
        <v>9.0699367040372105E-6</v>
      </c>
      <c r="G260" s="35">
        <v>1.03984584073749E-3</v>
      </c>
      <c r="H260" s="24" t="s">
        <v>3850</v>
      </c>
      <c r="I260" s="24" t="s">
        <v>3959</v>
      </c>
      <c r="J260" s="33" t="s">
        <v>4067</v>
      </c>
      <c r="K260" s="33"/>
      <c r="L260" s="35"/>
      <c r="M260" s="35"/>
      <c r="O260" s="35"/>
      <c r="P260" s="35"/>
    </row>
    <row r="261" spans="1:16" x14ac:dyDescent="0.2">
      <c r="A261" s="35" t="s">
        <v>3371</v>
      </c>
      <c r="B261" s="35">
        <v>131.21703211226301</v>
      </c>
      <c r="C261" s="35">
        <v>-2.4015515897332</v>
      </c>
      <c r="D261" s="35">
        <v>0.54188544931863503</v>
      </c>
      <c r="E261" s="35">
        <v>-4.4318436539547301</v>
      </c>
      <c r="F261" s="40">
        <v>9.3430756415274199E-6</v>
      </c>
      <c r="G261" s="35">
        <v>1.06405735863873E-3</v>
      </c>
      <c r="H261" s="24" t="s">
        <v>10</v>
      </c>
      <c r="I261" s="24" t="s">
        <v>10</v>
      </c>
      <c r="J261" s="33" t="s">
        <v>10</v>
      </c>
      <c r="K261" s="33"/>
      <c r="L261" s="35"/>
      <c r="M261" s="35"/>
      <c r="O261" s="35"/>
      <c r="P261" s="35"/>
    </row>
    <row r="262" spans="1:16" x14ac:dyDescent="0.2">
      <c r="A262" s="35" t="s">
        <v>3372</v>
      </c>
      <c r="B262" s="35">
        <v>920.01986864903199</v>
      </c>
      <c r="C262" s="35">
        <v>-2.0121820409020001</v>
      </c>
      <c r="D262" s="35">
        <v>0.45409699952180199</v>
      </c>
      <c r="E262" s="35">
        <v>-4.4311722892267102</v>
      </c>
      <c r="F262" s="40">
        <v>9.3722166198514808E-6</v>
      </c>
      <c r="G262" s="35">
        <v>1.0648521364756099E-3</v>
      </c>
      <c r="H262" s="24" t="s">
        <v>3872</v>
      </c>
      <c r="I262" s="24" t="s">
        <v>4006</v>
      </c>
      <c r="J262" s="30" t="s">
        <v>10</v>
      </c>
      <c r="K262" s="33"/>
      <c r="L262" s="35"/>
      <c r="M262" s="35"/>
      <c r="O262" s="35"/>
      <c r="P262" s="35"/>
    </row>
    <row r="263" spans="1:16" x14ac:dyDescent="0.2">
      <c r="A263" s="35" t="s">
        <v>3373</v>
      </c>
      <c r="B263" s="35">
        <v>1697.89227647558</v>
      </c>
      <c r="C263" s="35">
        <v>-2.4291756645280498</v>
      </c>
      <c r="D263" s="35">
        <v>0.54840711382400797</v>
      </c>
      <c r="E263" s="35">
        <v>-4.4295115859996104</v>
      </c>
      <c r="F263" s="40">
        <v>9.4446739361145492E-6</v>
      </c>
      <c r="G263" s="35">
        <v>1.0685422866509801E-3</v>
      </c>
      <c r="H263" s="24" t="s">
        <v>10</v>
      </c>
      <c r="I263" s="24" t="s">
        <v>10</v>
      </c>
      <c r="J263" s="33" t="s">
        <v>10</v>
      </c>
      <c r="K263" s="33"/>
      <c r="L263" s="35"/>
      <c r="M263" s="35"/>
      <c r="O263" s="35"/>
      <c r="P263" s="35"/>
    </row>
    <row r="264" spans="1:16" x14ac:dyDescent="0.2">
      <c r="A264" s="35" t="s">
        <v>3374</v>
      </c>
      <c r="B264" s="35">
        <v>42.987022246987699</v>
      </c>
      <c r="C264" s="35">
        <v>-3.0767412080827499</v>
      </c>
      <c r="D264" s="35">
        <v>0.69807902898291196</v>
      </c>
      <c r="E264" s="35">
        <v>-4.4074396742235704</v>
      </c>
      <c r="F264" s="40">
        <v>1.04599720455427E-5</v>
      </c>
      <c r="G264" s="35">
        <v>1.16357838843289E-3</v>
      </c>
      <c r="H264" s="24" t="s">
        <v>10</v>
      </c>
      <c r="I264" s="24" t="s">
        <v>10</v>
      </c>
      <c r="J264" s="33" t="s">
        <v>10</v>
      </c>
      <c r="K264" s="33"/>
      <c r="L264" s="35"/>
      <c r="M264" s="35"/>
      <c r="O264" s="35"/>
      <c r="P264" s="35"/>
    </row>
    <row r="265" spans="1:16" x14ac:dyDescent="0.2">
      <c r="A265" s="35" t="s">
        <v>3375</v>
      </c>
      <c r="B265" s="35">
        <v>94.952479455250398</v>
      </c>
      <c r="C265" s="35">
        <v>-4.7388996116983702</v>
      </c>
      <c r="D265" s="35">
        <v>1.07520901485828</v>
      </c>
      <c r="E265" s="35">
        <v>-4.40742176284951</v>
      </c>
      <c r="F265" s="40">
        <v>1.0460836788557099E-5</v>
      </c>
      <c r="G265" s="35">
        <v>1.16357838843289E-3</v>
      </c>
      <c r="H265" s="24" t="s">
        <v>10</v>
      </c>
      <c r="I265" s="24" t="s">
        <v>10</v>
      </c>
      <c r="J265" s="33" t="s">
        <v>10</v>
      </c>
      <c r="K265" s="33"/>
      <c r="L265" s="35"/>
      <c r="M265" s="35"/>
      <c r="O265" s="35"/>
      <c r="P265" s="35"/>
    </row>
    <row r="266" spans="1:16" x14ac:dyDescent="0.2">
      <c r="A266" s="35" t="s">
        <v>3376</v>
      </c>
      <c r="B266" s="35">
        <v>80.040847195106494</v>
      </c>
      <c r="C266" s="35">
        <v>-2.2236774929652201</v>
      </c>
      <c r="D266" s="35">
        <v>0.50507439228916495</v>
      </c>
      <c r="E266" s="35">
        <v>-4.4026732040141203</v>
      </c>
      <c r="F266" s="40">
        <v>1.06925165316074E-5</v>
      </c>
      <c r="G266" s="35">
        <v>1.18627530631222E-3</v>
      </c>
      <c r="H266" s="24" t="s">
        <v>10</v>
      </c>
      <c r="I266" s="24" t="s">
        <v>10</v>
      </c>
      <c r="J266" s="33" t="s">
        <v>10</v>
      </c>
      <c r="K266" s="33"/>
      <c r="L266" s="35"/>
      <c r="M266" s="35"/>
      <c r="O266" s="35"/>
      <c r="P266" s="35"/>
    </row>
    <row r="267" spans="1:16" x14ac:dyDescent="0.2">
      <c r="A267" s="35" t="s">
        <v>3377</v>
      </c>
      <c r="B267" s="35">
        <v>79.268386521402604</v>
      </c>
      <c r="C267" s="35">
        <v>-2.2229733398960398</v>
      </c>
      <c r="D267" s="35">
        <v>0.50561024567389601</v>
      </c>
      <c r="E267" s="35">
        <v>-4.3966145047816001</v>
      </c>
      <c r="F267" s="40">
        <v>1.0995236865241301E-5</v>
      </c>
      <c r="G267" s="35">
        <v>1.21327430854704E-3</v>
      </c>
      <c r="H267" s="24" t="s">
        <v>10</v>
      </c>
      <c r="I267" s="24" t="s">
        <v>10</v>
      </c>
      <c r="J267" s="33" t="s">
        <v>10</v>
      </c>
      <c r="K267" s="33"/>
      <c r="L267" s="35"/>
      <c r="M267" s="35"/>
      <c r="O267" s="35"/>
      <c r="P267" s="35"/>
    </row>
    <row r="268" spans="1:16" x14ac:dyDescent="0.2">
      <c r="A268" s="35" t="s">
        <v>3378</v>
      </c>
      <c r="B268" s="35">
        <v>81.509375893914594</v>
      </c>
      <c r="C268" s="35">
        <v>-2.7359729178282</v>
      </c>
      <c r="D268" s="35">
        <v>0.62244635113793501</v>
      </c>
      <c r="E268" s="35">
        <v>-4.39551603576178</v>
      </c>
      <c r="F268" s="40">
        <v>1.1050990500051E-5</v>
      </c>
      <c r="G268" s="35">
        <v>1.2150571129703901E-3</v>
      </c>
      <c r="H268" s="29" t="s">
        <v>10</v>
      </c>
      <c r="I268" s="24" t="s">
        <v>227</v>
      </c>
      <c r="J268" s="30" t="s">
        <v>10</v>
      </c>
      <c r="K268" s="33"/>
      <c r="L268" s="35"/>
      <c r="M268" s="35"/>
      <c r="O268" s="35"/>
      <c r="P268" s="35"/>
    </row>
    <row r="269" spans="1:16" x14ac:dyDescent="0.2">
      <c r="A269" s="35" t="s">
        <v>3379</v>
      </c>
      <c r="B269" s="35">
        <v>293.11844349295399</v>
      </c>
      <c r="C269" s="35">
        <v>-2.1741088912990798</v>
      </c>
      <c r="D269" s="35">
        <v>0.495035017163521</v>
      </c>
      <c r="E269" s="35">
        <v>-4.3918284887328003</v>
      </c>
      <c r="F269" s="40">
        <v>1.12401353413091E-5</v>
      </c>
      <c r="G269" s="35">
        <v>1.23427322492782E-3</v>
      </c>
      <c r="H269" s="24" t="s">
        <v>10</v>
      </c>
      <c r="I269" s="24" t="s">
        <v>10</v>
      </c>
      <c r="J269" s="33" t="s">
        <v>10</v>
      </c>
      <c r="K269" s="33"/>
      <c r="L269" s="35"/>
      <c r="M269" s="35"/>
      <c r="O269" s="35"/>
      <c r="P269" s="35"/>
    </row>
    <row r="270" spans="1:16" x14ac:dyDescent="0.2">
      <c r="A270" s="35" t="s">
        <v>3380</v>
      </c>
      <c r="B270" s="35">
        <v>150.63768375925901</v>
      </c>
      <c r="C270" s="35">
        <v>-2.1045964048166801</v>
      </c>
      <c r="D270" s="35">
        <v>0.48022130205538699</v>
      </c>
      <c r="E270" s="35">
        <v>-4.3825552840093396</v>
      </c>
      <c r="F270" s="40">
        <v>1.1729538835179E-5</v>
      </c>
      <c r="G270" s="35">
        <v>1.27335932909691E-3</v>
      </c>
      <c r="H270" s="24" t="s">
        <v>10</v>
      </c>
      <c r="I270" s="24" t="s">
        <v>10</v>
      </c>
      <c r="J270" s="33" t="s">
        <v>10</v>
      </c>
      <c r="K270" s="33"/>
      <c r="L270" s="35"/>
      <c r="M270" s="35"/>
      <c r="O270" s="35"/>
      <c r="P270" s="35"/>
    </row>
    <row r="271" spans="1:16" x14ac:dyDescent="0.2">
      <c r="A271" s="35" t="s">
        <v>3381</v>
      </c>
      <c r="B271" s="35">
        <v>64.1149290958801</v>
      </c>
      <c r="C271" s="35">
        <v>-2.3313966333811802</v>
      </c>
      <c r="D271" s="35">
        <v>0.53231638482973498</v>
      </c>
      <c r="E271" s="35">
        <v>-4.3797198429781403</v>
      </c>
      <c r="F271" s="40">
        <v>1.1883198412197901E-5</v>
      </c>
      <c r="G271" s="35">
        <v>1.28620990726364E-3</v>
      </c>
      <c r="H271" s="24" t="s">
        <v>10</v>
      </c>
      <c r="I271" s="24" t="s">
        <v>10</v>
      </c>
      <c r="J271" s="33" t="s">
        <v>10</v>
      </c>
      <c r="K271" s="33"/>
      <c r="L271" s="35"/>
      <c r="M271" s="35"/>
      <c r="O271" s="35"/>
      <c r="P271" s="35"/>
    </row>
    <row r="272" spans="1:16" x14ac:dyDescent="0.2">
      <c r="A272" s="35" t="s">
        <v>3382</v>
      </c>
      <c r="B272" s="35">
        <v>35.501965993103397</v>
      </c>
      <c r="C272" s="35">
        <v>-2.9582229895346499</v>
      </c>
      <c r="D272" s="35">
        <v>0.67547510129245103</v>
      </c>
      <c r="E272" s="35">
        <v>-4.3794700705835101</v>
      </c>
      <c r="F272" s="40">
        <v>1.18968258883851E-5</v>
      </c>
      <c r="G272" s="35">
        <v>1.28620990726364E-3</v>
      </c>
      <c r="H272" s="24" t="s">
        <v>10</v>
      </c>
      <c r="I272" s="24" t="s">
        <v>10</v>
      </c>
      <c r="J272" s="33" t="s">
        <v>10</v>
      </c>
      <c r="K272" s="33"/>
      <c r="L272" s="35"/>
      <c r="M272" s="35"/>
      <c r="O272" s="35"/>
      <c r="P272" s="35"/>
    </row>
    <row r="273" spans="1:16" x14ac:dyDescent="0.2">
      <c r="A273" s="35" t="s">
        <v>3383</v>
      </c>
      <c r="B273" s="35">
        <v>39.162093477567701</v>
      </c>
      <c r="C273" s="35">
        <v>-5.1639203893100403</v>
      </c>
      <c r="D273" s="35">
        <v>1.17999607706361</v>
      </c>
      <c r="E273" s="35">
        <v>-4.3762182685897697</v>
      </c>
      <c r="F273" s="40">
        <v>1.2075609593628101E-5</v>
      </c>
      <c r="G273" s="35">
        <v>1.2961808392680399E-3</v>
      </c>
      <c r="H273" s="24" t="s">
        <v>3888</v>
      </c>
      <c r="I273" s="24" t="s">
        <v>3892</v>
      </c>
      <c r="J273" s="33" t="s">
        <v>4113</v>
      </c>
      <c r="K273" s="33"/>
      <c r="L273" s="35"/>
      <c r="M273" s="35"/>
      <c r="O273" s="35"/>
      <c r="P273" s="35"/>
    </row>
    <row r="274" spans="1:16" x14ac:dyDescent="0.2">
      <c r="A274" s="35" t="s">
        <v>3384</v>
      </c>
      <c r="B274" s="35">
        <v>111.50547358495901</v>
      </c>
      <c r="C274" s="35">
        <v>-2.1209002845958702</v>
      </c>
      <c r="D274" s="35">
        <v>0.48470881307830499</v>
      </c>
      <c r="E274" s="35">
        <v>-4.3756173343050797</v>
      </c>
      <c r="F274" s="40">
        <v>1.2108928382963801E-5</v>
      </c>
      <c r="G274" s="35">
        <v>1.29813456825653E-3</v>
      </c>
      <c r="H274" s="24" t="s">
        <v>10</v>
      </c>
      <c r="I274" s="24" t="s">
        <v>10</v>
      </c>
      <c r="J274" s="33" t="s">
        <v>10</v>
      </c>
      <c r="K274" s="33"/>
      <c r="L274" s="35"/>
      <c r="M274" s="35"/>
      <c r="O274" s="35"/>
      <c r="P274" s="35"/>
    </row>
    <row r="275" spans="1:16" x14ac:dyDescent="0.2">
      <c r="A275" s="35" t="s">
        <v>3385</v>
      </c>
      <c r="B275" s="35">
        <v>20.1090268397136</v>
      </c>
      <c r="C275" s="35">
        <v>-2.7788111362331498</v>
      </c>
      <c r="D275" s="35">
        <v>0.63530226586349703</v>
      </c>
      <c r="E275" s="35">
        <v>-4.37399846584242</v>
      </c>
      <c r="F275" s="40">
        <v>1.21991236117858E-5</v>
      </c>
      <c r="G275" s="35">
        <v>1.3061732464684E-3</v>
      </c>
      <c r="H275" s="24" t="s">
        <v>10</v>
      </c>
      <c r="I275" s="24" t="s">
        <v>10</v>
      </c>
      <c r="J275" s="33" t="s">
        <v>10</v>
      </c>
      <c r="K275" s="33"/>
      <c r="L275" s="35"/>
      <c r="M275" s="35"/>
      <c r="O275" s="35"/>
      <c r="P275" s="35"/>
    </row>
    <row r="276" spans="1:16" x14ac:dyDescent="0.2">
      <c r="A276" s="35" t="s">
        <v>3386</v>
      </c>
      <c r="B276" s="35">
        <v>1246.6996982276501</v>
      </c>
      <c r="C276" s="35">
        <v>-2.0029286663166399</v>
      </c>
      <c r="D276" s="35">
        <v>0.45818607663690802</v>
      </c>
      <c r="E276" s="35">
        <v>-4.3714306663750397</v>
      </c>
      <c r="F276" s="40">
        <v>1.2343504828389001E-5</v>
      </c>
      <c r="G276" s="35">
        <v>1.3183446556201399E-3</v>
      </c>
      <c r="H276" s="24" t="s">
        <v>3838</v>
      </c>
      <c r="I276" s="24" t="s">
        <v>3937</v>
      </c>
      <c r="J276" s="33" t="s">
        <v>4054</v>
      </c>
      <c r="K276" s="33"/>
      <c r="L276" s="35"/>
      <c r="M276" s="35"/>
      <c r="O276" s="35"/>
      <c r="P276" s="35"/>
    </row>
    <row r="277" spans="1:16" x14ac:dyDescent="0.2">
      <c r="A277" s="35" t="s">
        <v>3387</v>
      </c>
      <c r="B277" s="35">
        <v>32.241339826026497</v>
      </c>
      <c r="C277" s="35">
        <v>-7.3904055970183098</v>
      </c>
      <c r="D277" s="35">
        <v>1.6908105007032299</v>
      </c>
      <c r="E277" s="35">
        <v>-4.3709248280304402</v>
      </c>
      <c r="F277" s="40">
        <v>1.23721385130955E-5</v>
      </c>
      <c r="G277" s="35">
        <v>1.3197613742335799E-3</v>
      </c>
      <c r="H277" s="24" t="s">
        <v>10</v>
      </c>
      <c r="I277" s="24" t="s">
        <v>10</v>
      </c>
      <c r="J277" s="33" t="s">
        <v>10</v>
      </c>
      <c r="K277" s="33"/>
      <c r="L277" s="35"/>
      <c r="M277" s="35"/>
      <c r="O277" s="35"/>
      <c r="P277" s="35"/>
    </row>
    <row r="278" spans="1:16" x14ac:dyDescent="0.2">
      <c r="A278" s="35" t="s">
        <v>3388</v>
      </c>
      <c r="B278" s="35">
        <v>1024.94083993956</v>
      </c>
      <c r="C278" s="35">
        <v>-2.0940148555828002</v>
      </c>
      <c r="D278" s="35">
        <v>0.48000095318056102</v>
      </c>
      <c r="E278" s="35">
        <v>-4.3625222860653299</v>
      </c>
      <c r="F278" s="40">
        <v>1.28571484215686E-5</v>
      </c>
      <c r="G278" s="35">
        <v>1.3661339068375901E-3</v>
      </c>
      <c r="H278" s="24" t="s">
        <v>10</v>
      </c>
      <c r="I278" s="24" t="s">
        <v>10</v>
      </c>
      <c r="J278" s="33" t="s">
        <v>10</v>
      </c>
      <c r="K278" s="33"/>
      <c r="L278" s="35"/>
      <c r="M278" s="35"/>
      <c r="O278" s="35"/>
      <c r="P278" s="35"/>
    </row>
    <row r="279" spans="1:16" x14ac:dyDescent="0.2">
      <c r="A279" s="35" t="s">
        <v>3389</v>
      </c>
      <c r="B279" s="35">
        <v>27.443094964517801</v>
      </c>
      <c r="C279" s="35">
        <v>-4.0354889275826604</v>
      </c>
      <c r="D279" s="35">
        <v>0.92512390031911096</v>
      </c>
      <c r="E279" s="35">
        <v>-4.3621064445429001</v>
      </c>
      <c r="F279" s="40">
        <v>1.28816166377687E-5</v>
      </c>
      <c r="G279" s="35">
        <v>1.3661339068375901E-3</v>
      </c>
      <c r="H279" s="24" t="s">
        <v>10</v>
      </c>
      <c r="I279" s="24" t="s">
        <v>10</v>
      </c>
      <c r="J279" s="33" t="s">
        <v>10</v>
      </c>
      <c r="K279" s="33"/>
      <c r="L279" s="35"/>
      <c r="M279" s="35"/>
      <c r="O279" s="35"/>
      <c r="P279" s="35"/>
    </row>
    <row r="280" spans="1:16" x14ac:dyDescent="0.2">
      <c r="A280" s="35" t="s">
        <v>3390</v>
      </c>
      <c r="B280" s="35">
        <v>3460.1917763680499</v>
      </c>
      <c r="C280" s="35">
        <v>-2.8711325939906098</v>
      </c>
      <c r="D280" s="35">
        <v>0.65877083068629005</v>
      </c>
      <c r="E280" s="35">
        <v>-4.35831773395239</v>
      </c>
      <c r="F280" s="40">
        <v>1.31066010214406E-5</v>
      </c>
      <c r="G280" s="35">
        <v>1.3826497989092401E-3</v>
      </c>
      <c r="H280" s="24" t="s">
        <v>3859</v>
      </c>
      <c r="I280" s="24" t="s">
        <v>3989</v>
      </c>
      <c r="J280" s="33" t="s">
        <v>4085</v>
      </c>
      <c r="K280" s="33"/>
      <c r="L280" s="35"/>
      <c r="M280" s="35"/>
      <c r="O280" s="35"/>
      <c r="P280" s="35"/>
    </row>
    <row r="281" spans="1:16" x14ac:dyDescent="0.2">
      <c r="A281" s="35" t="s">
        <v>3391</v>
      </c>
      <c r="B281" s="35">
        <v>176.62822733360301</v>
      </c>
      <c r="C281" s="35">
        <v>-2.28792104637466</v>
      </c>
      <c r="D281" s="35">
        <v>0.52524561632500799</v>
      </c>
      <c r="E281" s="35">
        <v>-4.3559069800193404</v>
      </c>
      <c r="F281" s="40">
        <v>1.3251704777928901E-5</v>
      </c>
      <c r="G281" s="35">
        <v>1.39551187783214E-3</v>
      </c>
      <c r="H281" s="29" t="s">
        <v>10</v>
      </c>
      <c r="I281" s="24" t="s">
        <v>86</v>
      </c>
      <c r="J281" s="30" t="s">
        <v>10</v>
      </c>
      <c r="K281" s="33"/>
      <c r="L281" s="35"/>
      <c r="M281" s="35"/>
      <c r="O281" s="35"/>
      <c r="P281" s="35"/>
    </row>
    <row r="282" spans="1:16" x14ac:dyDescent="0.2">
      <c r="A282" s="35" t="s">
        <v>3392</v>
      </c>
      <c r="B282" s="35">
        <v>28.3191898265802</v>
      </c>
      <c r="C282" s="35">
        <v>-3.5681709423719998</v>
      </c>
      <c r="D282" s="35">
        <v>0.81918579395864499</v>
      </c>
      <c r="E282" s="35">
        <v>-4.3557529545637301</v>
      </c>
      <c r="F282" s="40">
        <v>1.32610274983525E-5</v>
      </c>
      <c r="G282" s="35">
        <v>1.39551187783214E-3</v>
      </c>
      <c r="H282" s="24" t="s">
        <v>10</v>
      </c>
      <c r="I282" s="24" t="s">
        <v>10</v>
      </c>
      <c r="J282" s="33" t="s">
        <v>10</v>
      </c>
      <c r="K282" s="33"/>
      <c r="L282" s="35"/>
      <c r="M282" s="35"/>
      <c r="O282" s="35"/>
      <c r="P282" s="35"/>
    </row>
    <row r="283" spans="1:16" x14ac:dyDescent="0.2">
      <c r="A283" s="35" t="s">
        <v>3393</v>
      </c>
      <c r="B283" s="35">
        <v>59.662797086295598</v>
      </c>
      <c r="C283" s="35">
        <v>-3.6382582260073599</v>
      </c>
      <c r="D283" s="35">
        <v>0.83599885839130705</v>
      </c>
      <c r="E283" s="35">
        <v>-4.3519894668377601</v>
      </c>
      <c r="F283" s="40">
        <v>1.34907744876246E-5</v>
      </c>
      <c r="G283" s="35">
        <v>1.41355662336205E-3</v>
      </c>
      <c r="H283" s="24" t="s">
        <v>3820</v>
      </c>
      <c r="I283" s="24" t="s">
        <v>3896</v>
      </c>
      <c r="J283" s="33" t="s">
        <v>4034</v>
      </c>
      <c r="K283" s="33"/>
      <c r="L283" s="35"/>
      <c r="M283" s="35"/>
      <c r="O283" s="35"/>
      <c r="P283" s="35"/>
    </row>
    <row r="284" spans="1:16" x14ac:dyDescent="0.2">
      <c r="A284" s="35" t="s">
        <v>3394</v>
      </c>
      <c r="B284" s="35">
        <v>36.056187185337301</v>
      </c>
      <c r="C284" s="35">
        <v>-7.5528011925930496</v>
      </c>
      <c r="D284" s="35">
        <v>1.73751049925269</v>
      </c>
      <c r="E284" s="35">
        <v>-4.3469096709582802</v>
      </c>
      <c r="F284" s="40">
        <v>1.38069045672836E-5</v>
      </c>
      <c r="G284" s="35">
        <v>1.4405684243043199E-3</v>
      </c>
      <c r="H284" s="24" t="s">
        <v>10</v>
      </c>
      <c r="I284" s="24" t="s">
        <v>10</v>
      </c>
      <c r="J284" s="33" t="s">
        <v>10</v>
      </c>
      <c r="K284" s="33"/>
      <c r="L284" s="35"/>
      <c r="M284" s="35"/>
      <c r="O284" s="35"/>
      <c r="P284" s="35"/>
    </row>
    <row r="285" spans="1:16" x14ac:dyDescent="0.2">
      <c r="A285" s="35" t="s">
        <v>3395</v>
      </c>
      <c r="B285" s="35">
        <v>137.89237846089401</v>
      </c>
      <c r="C285" s="35">
        <v>-3.0251431868484699</v>
      </c>
      <c r="D285" s="35">
        <v>0.69736904812022804</v>
      </c>
      <c r="E285" s="35">
        <v>-4.33793727295871</v>
      </c>
      <c r="F285" s="40">
        <v>1.43826187185636E-5</v>
      </c>
      <c r="G285" s="35">
        <v>1.4844349182473199E-3</v>
      </c>
      <c r="H285" s="24" t="s">
        <v>10</v>
      </c>
      <c r="I285" s="24" t="s">
        <v>10</v>
      </c>
      <c r="J285" s="33" t="s">
        <v>10</v>
      </c>
      <c r="K285" s="33"/>
      <c r="L285" s="35"/>
      <c r="M285" s="35"/>
      <c r="O285" s="35"/>
      <c r="P285" s="35"/>
    </row>
    <row r="286" spans="1:16" x14ac:dyDescent="0.2">
      <c r="A286" s="35" t="s">
        <v>3396</v>
      </c>
      <c r="B286" s="35">
        <v>147.68554273339299</v>
      </c>
      <c r="C286" s="35">
        <v>-3.2078419103512101</v>
      </c>
      <c r="D286" s="35">
        <v>0.74046962062251698</v>
      </c>
      <c r="E286" s="35">
        <v>-4.3321722066792701</v>
      </c>
      <c r="F286" s="40">
        <v>1.47645385407379E-5</v>
      </c>
      <c r="G286" s="35">
        <v>1.5165618289852999E-3</v>
      </c>
      <c r="H286" s="29" t="s">
        <v>10</v>
      </c>
      <c r="I286" s="29" t="s">
        <v>10</v>
      </c>
      <c r="J286" s="33" t="s">
        <v>10</v>
      </c>
      <c r="K286" s="33"/>
      <c r="L286" s="35"/>
      <c r="M286" s="35"/>
      <c r="O286" s="35"/>
      <c r="P286" s="35"/>
    </row>
    <row r="287" spans="1:16" x14ac:dyDescent="0.2">
      <c r="A287" s="35" t="s">
        <v>3397</v>
      </c>
      <c r="B287" s="35">
        <v>48.575764128363801</v>
      </c>
      <c r="C287" s="35">
        <v>-3.4483128118675301</v>
      </c>
      <c r="D287" s="35">
        <v>0.79766396679966201</v>
      </c>
      <c r="E287" s="35">
        <v>-4.3230143962784702</v>
      </c>
      <c r="F287" s="40">
        <v>1.5391168614517299E-5</v>
      </c>
      <c r="G287" s="35">
        <v>1.5771539857962001E-3</v>
      </c>
      <c r="H287" s="24" t="s">
        <v>10</v>
      </c>
      <c r="I287" s="24" t="s">
        <v>10</v>
      </c>
      <c r="J287" s="33" t="s">
        <v>10</v>
      </c>
      <c r="K287" s="33"/>
      <c r="L287" s="35"/>
      <c r="M287" s="35"/>
      <c r="O287" s="35"/>
      <c r="P287" s="35"/>
    </row>
    <row r="288" spans="1:16" x14ac:dyDescent="0.2">
      <c r="A288" s="35" t="s">
        <v>3398</v>
      </c>
      <c r="B288" s="35">
        <v>524.90193744071098</v>
      </c>
      <c r="C288" s="35">
        <v>-2.03645589428683</v>
      </c>
      <c r="D288" s="35">
        <v>0.47125865288947699</v>
      </c>
      <c r="E288" s="35">
        <v>-4.3213124720373699</v>
      </c>
      <c r="F288" s="40">
        <v>1.5510384078894301E-5</v>
      </c>
      <c r="G288" s="35">
        <v>1.58558594195087E-3</v>
      </c>
      <c r="H288" s="24" t="s">
        <v>222</v>
      </c>
      <c r="I288" s="24" t="s">
        <v>223</v>
      </c>
      <c r="J288" s="33" t="s">
        <v>10</v>
      </c>
      <c r="K288" s="33"/>
      <c r="L288" s="35"/>
      <c r="M288" s="35"/>
      <c r="O288" s="35"/>
      <c r="P288" s="35"/>
    </row>
    <row r="289" spans="1:16" x14ac:dyDescent="0.2">
      <c r="A289" s="35" t="s">
        <v>3399</v>
      </c>
      <c r="B289" s="35">
        <v>162.22657461636001</v>
      </c>
      <c r="C289" s="35">
        <v>-3.5317331752828101</v>
      </c>
      <c r="D289" s="35">
        <v>0.818002506136979</v>
      </c>
      <c r="E289" s="35">
        <v>-4.3175089914595004</v>
      </c>
      <c r="F289" s="40">
        <v>1.5779998239689202E-5</v>
      </c>
      <c r="G289" s="35">
        <v>1.6112297608089801E-3</v>
      </c>
      <c r="H289" s="29" t="s">
        <v>10</v>
      </c>
      <c r="I289" s="24" t="s">
        <v>3961</v>
      </c>
      <c r="J289" s="33" t="s">
        <v>10</v>
      </c>
      <c r="K289" s="33"/>
      <c r="L289" s="35"/>
      <c r="M289" s="35"/>
      <c r="O289" s="35"/>
      <c r="P289" s="35"/>
    </row>
    <row r="290" spans="1:16" x14ac:dyDescent="0.2">
      <c r="A290" s="35" t="s">
        <v>3400</v>
      </c>
      <c r="B290" s="35">
        <v>18.845438082291501</v>
      </c>
      <c r="C290" s="35">
        <v>-3.5560761941886101</v>
      </c>
      <c r="D290" s="35">
        <v>0.82381420752131795</v>
      </c>
      <c r="E290" s="35">
        <v>-4.3165997402352199</v>
      </c>
      <c r="F290" s="40">
        <v>1.5845110103042001E-5</v>
      </c>
      <c r="G290" s="35">
        <v>1.61595659104314E-3</v>
      </c>
      <c r="H290" s="24" t="s">
        <v>10</v>
      </c>
      <c r="I290" s="24" t="s">
        <v>10</v>
      </c>
      <c r="J290" s="33" t="s">
        <v>10</v>
      </c>
      <c r="K290" s="33"/>
      <c r="L290" s="35"/>
      <c r="M290" s="35"/>
      <c r="O290" s="35"/>
      <c r="P290" s="35"/>
    </row>
    <row r="291" spans="1:16" x14ac:dyDescent="0.2">
      <c r="A291" s="35" t="s">
        <v>3401</v>
      </c>
      <c r="B291" s="35">
        <v>37.141549276665103</v>
      </c>
      <c r="C291" s="35">
        <v>-3.0360092879209102</v>
      </c>
      <c r="D291" s="35">
        <v>0.70372408244437701</v>
      </c>
      <c r="E291" s="35">
        <v>-4.3142040519281002</v>
      </c>
      <c r="F291" s="40">
        <v>1.6017894963626099E-5</v>
      </c>
      <c r="G291" s="35">
        <v>1.6316401642011099E-3</v>
      </c>
      <c r="H291" s="24" t="s">
        <v>10</v>
      </c>
      <c r="I291" s="24" t="s">
        <v>10</v>
      </c>
      <c r="J291" s="33" t="s">
        <v>10</v>
      </c>
      <c r="K291" s="33"/>
      <c r="L291" s="35"/>
      <c r="M291" s="35"/>
      <c r="O291" s="35"/>
      <c r="P291" s="35"/>
    </row>
    <row r="292" spans="1:16" x14ac:dyDescent="0.2">
      <c r="A292" s="35" t="s">
        <v>3402</v>
      </c>
      <c r="B292" s="35">
        <v>39.509873609583799</v>
      </c>
      <c r="C292" s="35">
        <v>-2.34304804472275</v>
      </c>
      <c r="D292" s="35">
        <v>0.54334913726785194</v>
      </c>
      <c r="E292" s="35">
        <v>-4.3122329346180797</v>
      </c>
      <c r="F292" s="40">
        <v>1.61614036713305E-5</v>
      </c>
      <c r="G292" s="35">
        <v>1.64236200551576E-3</v>
      </c>
      <c r="H292" s="24" t="s">
        <v>10</v>
      </c>
      <c r="I292" s="24" t="s">
        <v>10</v>
      </c>
      <c r="J292" s="33" t="s">
        <v>10</v>
      </c>
      <c r="K292" s="33"/>
      <c r="L292" s="35"/>
      <c r="M292" s="35"/>
      <c r="O292" s="35"/>
      <c r="P292" s="35"/>
    </row>
    <row r="293" spans="1:16" x14ac:dyDescent="0.2">
      <c r="A293" s="35" t="s">
        <v>3403</v>
      </c>
      <c r="B293" s="35">
        <v>25.363972294806398</v>
      </c>
      <c r="C293" s="35">
        <v>-6.1550010986450996</v>
      </c>
      <c r="D293" s="35">
        <v>1.4276272336532501</v>
      </c>
      <c r="E293" s="35">
        <v>-4.3113502975805797</v>
      </c>
      <c r="F293" s="40">
        <v>1.6226061234649601E-5</v>
      </c>
      <c r="G293" s="35">
        <v>1.6468442065151901E-3</v>
      </c>
      <c r="H293" s="24" t="s">
        <v>420</v>
      </c>
      <c r="I293" s="24" t="s">
        <v>3929</v>
      </c>
      <c r="J293" s="33" t="s">
        <v>4049</v>
      </c>
      <c r="K293" s="33"/>
      <c r="L293" s="35"/>
      <c r="M293" s="35"/>
      <c r="O293" s="35"/>
      <c r="P293" s="35"/>
    </row>
    <row r="294" spans="1:16" x14ac:dyDescent="0.2">
      <c r="A294" s="35" t="s">
        <v>3404</v>
      </c>
      <c r="B294" s="35">
        <v>263.35377357000198</v>
      </c>
      <c r="C294" s="35">
        <v>-2.2983153545983699</v>
      </c>
      <c r="D294" s="35">
        <v>0.53311989399363502</v>
      </c>
      <c r="E294" s="35">
        <v>-4.3110665733772304</v>
      </c>
      <c r="F294" s="40">
        <v>1.62468977615931E-5</v>
      </c>
      <c r="G294" s="35">
        <v>1.6468442065151901E-3</v>
      </c>
      <c r="H294" s="24" t="s">
        <v>3834</v>
      </c>
      <c r="I294" s="24" t="s">
        <v>3926</v>
      </c>
      <c r="J294" s="33" t="s">
        <v>4047</v>
      </c>
      <c r="K294" s="33"/>
      <c r="L294" s="35"/>
      <c r="M294" s="35"/>
      <c r="O294" s="35"/>
      <c r="P294" s="35"/>
    </row>
    <row r="295" spans="1:16" x14ac:dyDescent="0.2">
      <c r="A295" s="35" t="s">
        <v>3405</v>
      </c>
      <c r="B295" s="35">
        <v>737.16036123983997</v>
      </c>
      <c r="C295" s="35">
        <v>-2.5730602310067998</v>
      </c>
      <c r="D295" s="35">
        <v>0.59688044182920397</v>
      </c>
      <c r="E295" s="35">
        <v>-4.3108469480443796</v>
      </c>
      <c r="F295" s="40">
        <v>1.6263044416914699E-5</v>
      </c>
      <c r="G295" s="35">
        <v>1.6468442065151901E-3</v>
      </c>
      <c r="H295" s="29" t="s">
        <v>10</v>
      </c>
      <c r="I295" s="24" t="s">
        <v>3992</v>
      </c>
      <c r="J295" s="30" t="s">
        <v>10</v>
      </c>
      <c r="K295" s="33"/>
      <c r="L295" s="35"/>
      <c r="M295" s="35"/>
      <c r="O295" s="35"/>
      <c r="P295" s="35"/>
    </row>
    <row r="296" spans="1:16" x14ac:dyDescent="0.2">
      <c r="A296" s="35" t="s">
        <v>3406</v>
      </c>
      <c r="B296" s="35">
        <v>43.1344896269907</v>
      </c>
      <c r="C296" s="35">
        <v>-2.44479805769154</v>
      </c>
      <c r="D296" s="35">
        <v>0.56805368176320203</v>
      </c>
      <c r="E296" s="35">
        <v>-4.3038151783526004</v>
      </c>
      <c r="F296" s="40">
        <v>1.6788173094635799E-5</v>
      </c>
      <c r="G296" s="35">
        <v>1.69203898099703E-3</v>
      </c>
      <c r="H296" s="24" t="s">
        <v>10</v>
      </c>
      <c r="I296" s="24" t="s">
        <v>10</v>
      </c>
      <c r="J296" s="30" t="s">
        <v>10</v>
      </c>
      <c r="K296" s="33"/>
      <c r="L296" s="35"/>
      <c r="M296" s="35"/>
      <c r="O296" s="35"/>
      <c r="P296" s="35"/>
    </row>
    <row r="297" spans="1:16" x14ac:dyDescent="0.2">
      <c r="A297" s="35" t="s">
        <v>3407</v>
      </c>
      <c r="B297" s="35">
        <v>45.769608951141997</v>
      </c>
      <c r="C297" s="35">
        <v>-2.1693535697815798</v>
      </c>
      <c r="D297" s="35">
        <v>0.50461775979087398</v>
      </c>
      <c r="E297" s="35">
        <v>-4.2990036075635096</v>
      </c>
      <c r="F297" s="40">
        <v>1.71567680295237E-5</v>
      </c>
      <c r="G297" s="35">
        <v>1.7210431670537901E-3</v>
      </c>
      <c r="H297" s="24" t="s">
        <v>10</v>
      </c>
      <c r="I297" s="24" t="s">
        <v>10</v>
      </c>
      <c r="J297" s="30" t="s">
        <v>10</v>
      </c>
      <c r="K297" s="33"/>
      <c r="L297" s="35"/>
      <c r="M297" s="35"/>
      <c r="O297" s="35"/>
      <c r="P297" s="35"/>
    </row>
    <row r="298" spans="1:16" x14ac:dyDescent="0.2">
      <c r="A298" s="35" t="s">
        <v>3408</v>
      </c>
      <c r="B298" s="35">
        <v>56.8754356415755</v>
      </c>
      <c r="C298" s="35">
        <v>-2.1101191060688098</v>
      </c>
      <c r="D298" s="35">
        <v>0.490897222477575</v>
      </c>
      <c r="E298" s="35">
        <v>-4.2984946938973696</v>
      </c>
      <c r="F298" s="40">
        <v>1.7196201713409101E-5</v>
      </c>
      <c r="G298" s="35">
        <v>1.7210431670537901E-3</v>
      </c>
      <c r="H298" s="24" t="s">
        <v>10</v>
      </c>
      <c r="I298" s="24" t="s">
        <v>10</v>
      </c>
      <c r="J298" s="30" t="s">
        <v>10</v>
      </c>
      <c r="K298" s="33"/>
      <c r="L298" s="35"/>
      <c r="M298" s="35"/>
      <c r="O298" s="35"/>
      <c r="P298" s="35"/>
    </row>
    <row r="299" spans="1:16" x14ac:dyDescent="0.2">
      <c r="A299" s="45" t="s">
        <v>3409</v>
      </c>
      <c r="B299" s="45">
        <v>146.70303280821199</v>
      </c>
      <c r="C299" s="45">
        <v>-2.7502575416608899</v>
      </c>
      <c r="D299" s="45">
        <v>0.64001405249947696</v>
      </c>
      <c r="E299" s="45">
        <v>-4.29718305546601</v>
      </c>
      <c r="F299" s="46">
        <v>1.72982338703826E-5</v>
      </c>
      <c r="G299" s="45">
        <v>1.72923939544077E-3</v>
      </c>
      <c r="H299" s="47" t="s">
        <v>3093</v>
      </c>
      <c r="I299" s="47" t="s">
        <v>3131</v>
      </c>
      <c r="J299" s="49" t="s">
        <v>10</v>
      </c>
      <c r="K299" s="33"/>
      <c r="L299" s="35"/>
      <c r="M299" s="35"/>
      <c r="O299" s="35"/>
      <c r="P299" s="35"/>
    </row>
    <row r="300" spans="1:16" x14ac:dyDescent="0.2">
      <c r="A300" s="35" t="s">
        <v>3410</v>
      </c>
      <c r="B300" s="35">
        <v>50.495559106914001</v>
      </c>
      <c r="C300" s="35">
        <v>-3.79374440601485</v>
      </c>
      <c r="D300" s="35">
        <v>0.88311634103501102</v>
      </c>
      <c r="E300" s="35">
        <v>-4.2958602731420203</v>
      </c>
      <c r="F300" s="40">
        <v>1.7401717001165602E-5</v>
      </c>
      <c r="G300" s="35">
        <v>1.73585911764409E-3</v>
      </c>
      <c r="H300" s="24" t="s">
        <v>3843</v>
      </c>
      <c r="I300" s="24" t="s">
        <v>3943</v>
      </c>
      <c r="J300" s="33" t="s">
        <v>4058</v>
      </c>
      <c r="K300" s="33"/>
      <c r="L300" s="35"/>
      <c r="M300" s="35"/>
      <c r="O300" s="35"/>
      <c r="P300" s="35"/>
    </row>
    <row r="301" spans="1:16" x14ac:dyDescent="0.2">
      <c r="A301" s="35" t="s">
        <v>3411</v>
      </c>
      <c r="B301" s="35">
        <v>55.349204422984002</v>
      </c>
      <c r="C301" s="35">
        <v>-3.0327720532282498</v>
      </c>
      <c r="D301" s="35">
        <v>0.70695432951627402</v>
      </c>
      <c r="E301" s="35">
        <v>-4.2899122709997304</v>
      </c>
      <c r="F301" s="40">
        <v>1.7874371187308201E-5</v>
      </c>
      <c r="G301" s="35">
        <v>1.7744394545957799E-3</v>
      </c>
      <c r="H301" s="29" t="s">
        <v>10</v>
      </c>
      <c r="I301" s="24" t="s">
        <v>3947</v>
      </c>
      <c r="J301" s="33" t="s">
        <v>4060</v>
      </c>
      <c r="K301" s="33"/>
      <c r="L301" s="35"/>
      <c r="M301" s="35"/>
      <c r="O301" s="35"/>
      <c r="P301" s="35"/>
    </row>
    <row r="302" spans="1:16" x14ac:dyDescent="0.2">
      <c r="A302" s="35" t="s">
        <v>3412</v>
      </c>
      <c r="B302" s="35">
        <v>3037.6548345193901</v>
      </c>
      <c r="C302" s="35">
        <v>-3.8451223664544001</v>
      </c>
      <c r="D302" s="35">
        <v>0.89764130434578504</v>
      </c>
      <c r="E302" s="35">
        <v>-4.2835844872989499</v>
      </c>
      <c r="F302" s="40">
        <v>1.83906218410161E-5</v>
      </c>
      <c r="G302" s="35">
        <v>1.82147761027669E-3</v>
      </c>
      <c r="H302" s="24" t="s">
        <v>1515</v>
      </c>
      <c r="I302" s="24" t="s">
        <v>3940</v>
      </c>
      <c r="J302" s="33" t="s">
        <v>4056</v>
      </c>
      <c r="K302" s="33"/>
      <c r="L302" s="35"/>
      <c r="M302" s="35"/>
      <c r="O302" s="35"/>
      <c r="P302" s="35"/>
    </row>
    <row r="303" spans="1:16" x14ac:dyDescent="0.2">
      <c r="A303" s="35" t="s">
        <v>3413</v>
      </c>
      <c r="B303" s="35">
        <v>59.132981228589202</v>
      </c>
      <c r="C303" s="35">
        <v>-2.39920884009867</v>
      </c>
      <c r="D303" s="35">
        <v>0.56013730973747899</v>
      </c>
      <c r="E303" s="35">
        <v>-4.28325126427145</v>
      </c>
      <c r="F303" s="40">
        <v>1.8418197726469399E-5</v>
      </c>
      <c r="G303" s="35">
        <v>1.82210720849038E-3</v>
      </c>
      <c r="H303" s="24" t="s">
        <v>3833</v>
      </c>
      <c r="I303" s="24" t="s">
        <v>3924</v>
      </c>
      <c r="J303" s="30" t="s">
        <v>10</v>
      </c>
      <c r="K303" s="33"/>
      <c r="L303" s="35"/>
      <c r="M303" s="35"/>
      <c r="O303" s="35"/>
      <c r="P303" s="35"/>
    </row>
    <row r="304" spans="1:16" x14ac:dyDescent="0.2">
      <c r="A304" s="35" t="s">
        <v>3414</v>
      </c>
      <c r="B304" s="35">
        <v>4345.6876238415598</v>
      </c>
      <c r="C304" s="35">
        <v>-2.8176554650163701</v>
      </c>
      <c r="D304" s="35">
        <v>0.65787288611612504</v>
      </c>
      <c r="E304" s="35">
        <v>-4.2829785578349702</v>
      </c>
      <c r="F304" s="40">
        <v>1.8440794863129699E-5</v>
      </c>
      <c r="G304" s="35">
        <v>1.82224337824144E-3</v>
      </c>
      <c r="H304" s="24" t="s">
        <v>10</v>
      </c>
      <c r="I304" s="24" t="s">
        <v>10</v>
      </c>
      <c r="J304" s="30" t="s">
        <v>10</v>
      </c>
      <c r="K304" s="33"/>
      <c r="L304" s="35"/>
      <c r="M304" s="35"/>
      <c r="O304" s="35"/>
      <c r="P304" s="35"/>
    </row>
    <row r="305" spans="1:16" x14ac:dyDescent="0.2">
      <c r="A305" s="35" t="s">
        <v>3415</v>
      </c>
      <c r="B305" s="35">
        <v>257.13095563986099</v>
      </c>
      <c r="C305" s="35">
        <v>-2.2463076554648702</v>
      </c>
      <c r="D305" s="35">
        <v>0.52459375854134305</v>
      </c>
      <c r="E305" s="35">
        <v>-4.28199462706311</v>
      </c>
      <c r="F305" s="40">
        <v>1.85225455702322E-5</v>
      </c>
      <c r="G305" s="35">
        <v>1.8261188411726899E-3</v>
      </c>
      <c r="H305" s="24" t="s">
        <v>10</v>
      </c>
      <c r="I305" s="24" t="s">
        <v>10</v>
      </c>
      <c r="J305" s="30" t="s">
        <v>10</v>
      </c>
      <c r="K305" s="33"/>
      <c r="L305" s="35"/>
      <c r="M305" s="35"/>
      <c r="O305" s="35"/>
      <c r="P305" s="35"/>
    </row>
    <row r="306" spans="1:16" x14ac:dyDescent="0.2">
      <c r="A306" s="35" t="s">
        <v>3416</v>
      </c>
      <c r="B306" s="35">
        <v>571.07214869295206</v>
      </c>
      <c r="C306" s="35">
        <v>-2.7749243227163198</v>
      </c>
      <c r="D306" s="35">
        <v>0.64965035269561699</v>
      </c>
      <c r="E306" s="35">
        <v>-4.2714120160209603</v>
      </c>
      <c r="F306" s="40">
        <v>1.94239161048098E-5</v>
      </c>
      <c r="G306" s="35">
        <v>1.8966178148611299E-3</v>
      </c>
      <c r="H306" s="24" t="s">
        <v>10</v>
      </c>
      <c r="I306" s="24" t="s">
        <v>10</v>
      </c>
      <c r="J306" s="30" t="s">
        <v>10</v>
      </c>
      <c r="K306" s="33"/>
      <c r="L306" s="35"/>
      <c r="M306" s="35"/>
      <c r="O306" s="35"/>
      <c r="P306" s="35"/>
    </row>
    <row r="307" spans="1:16" x14ac:dyDescent="0.2">
      <c r="A307" s="35" t="s">
        <v>3417</v>
      </c>
      <c r="B307" s="35">
        <v>22.773246747341101</v>
      </c>
      <c r="C307" s="35">
        <v>-4.6830348251429701</v>
      </c>
      <c r="D307" s="35">
        <v>1.0963998175424401</v>
      </c>
      <c r="E307" s="35">
        <v>-4.2712838420932204</v>
      </c>
      <c r="F307" s="40">
        <v>1.9435085143243299E-5</v>
      </c>
      <c r="G307" s="35">
        <v>1.8966178148611299E-3</v>
      </c>
      <c r="H307" s="24" t="s">
        <v>10</v>
      </c>
      <c r="I307" s="24" t="s">
        <v>10</v>
      </c>
      <c r="J307" s="30" t="s">
        <v>10</v>
      </c>
      <c r="K307" s="33"/>
      <c r="L307" s="35"/>
      <c r="M307" s="35"/>
      <c r="O307" s="35"/>
      <c r="P307" s="35"/>
    </row>
    <row r="308" spans="1:16" x14ac:dyDescent="0.2">
      <c r="A308" s="35" t="s">
        <v>3418</v>
      </c>
      <c r="B308" s="35">
        <v>1921.97233303082</v>
      </c>
      <c r="C308" s="35">
        <v>-2.2996555989103702</v>
      </c>
      <c r="D308" s="35">
        <v>0.53841581107693204</v>
      </c>
      <c r="E308" s="35">
        <v>-4.2711516853686504</v>
      </c>
      <c r="F308" s="40">
        <v>1.9446607645851001E-5</v>
      </c>
      <c r="G308" s="35">
        <v>1.8966178148611299E-3</v>
      </c>
      <c r="H308" s="29" t="s">
        <v>10</v>
      </c>
      <c r="I308" s="24" t="s">
        <v>3973</v>
      </c>
      <c r="J308" s="30" t="s">
        <v>10</v>
      </c>
      <c r="K308" s="33"/>
      <c r="L308" s="35"/>
      <c r="M308" s="35"/>
      <c r="O308" s="35"/>
      <c r="P308" s="35"/>
    </row>
    <row r="309" spans="1:16" x14ac:dyDescent="0.2">
      <c r="A309" s="35" t="s">
        <v>3419</v>
      </c>
      <c r="B309" s="35">
        <v>17.915434040051402</v>
      </c>
      <c r="C309" s="35">
        <v>-7.5094379102026902</v>
      </c>
      <c r="D309" s="35">
        <v>1.7582324430304099</v>
      </c>
      <c r="E309" s="35">
        <v>-4.2710154393805597</v>
      </c>
      <c r="F309" s="40">
        <v>1.94584934948079E-5</v>
      </c>
      <c r="G309" s="35">
        <v>1.8966178148611299E-3</v>
      </c>
      <c r="H309" s="24" t="s">
        <v>10</v>
      </c>
      <c r="I309" s="24" t="s">
        <v>10</v>
      </c>
      <c r="J309" s="30" t="s">
        <v>10</v>
      </c>
      <c r="K309" s="33"/>
      <c r="L309" s="35"/>
      <c r="M309" s="35"/>
      <c r="O309" s="35"/>
      <c r="P309" s="35"/>
    </row>
    <row r="310" spans="1:16" x14ac:dyDescent="0.2">
      <c r="A310" s="35" t="s">
        <v>3420</v>
      </c>
      <c r="B310" s="35">
        <v>322.23070293195798</v>
      </c>
      <c r="C310" s="35">
        <v>-3.3786478140419698</v>
      </c>
      <c r="D310" s="35">
        <v>0.79159402569405801</v>
      </c>
      <c r="E310" s="35">
        <v>-4.2681572932282004</v>
      </c>
      <c r="F310" s="40">
        <v>1.97094336327099E-5</v>
      </c>
      <c r="G310" s="35">
        <v>1.9145574383194999E-3</v>
      </c>
      <c r="H310" s="24" t="s">
        <v>10</v>
      </c>
      <c r="I310" s="24" t="s">
        <v>10</v>
      </c>
      <c r="J310" s="30" t="s">
        <v>10</v>
      </c>
      <c r="K310" s="33"/>
      <c r="L310" s="35"/>
      <c r="M310" s="35"/>
      <c r="O310" s="35"/>
      <c r="P310" s="35"/>
    </row>
    <row r="311" spans="1:16" x14ac:dyDescent="0.2">
      <c r="A311" s="45" t="s">
        <v>3421</v>
      </c>
      <c r="B311" s="45">
        <v>634.37407389537998</v>
      </c>
      <c r="C311" s="45">
        <v>-3.3473804742095599</v>
      </c>
      <c r="D311" s="45">
        <v>0.78437956702985001</v>
      </c>
      <c r="E311" s="45">
        <v>-4.2675518523319296</v>
      </c>
      <c r="F311" s="46">
        <v>1.9762984383055001E-5</v>
      </c>
      <c r="G311" s="45">
        <v>1.91542576970352E-3</v>
      </c>
      <c r="H311" s="47" t="s">
        <v>504</v>
      </c>
      <c r="I311" s="47" t="s">
        <v>3928</v>
      </c>
      <c r="J311" s="49" t="s">
        <v>10</v>
      </c>
      <c r="K311" s="33"/>
      <c r="L311" s="35"/>
      <c r="M311" s="35"/>
      <c r="O311" s="35"/>
      <c r="P311" s="35"/>
    </row>
    <row r="312" spans="1:16" x14ac:dyDescent="0.2">
      <c r="A312" s="35" t="s">
        <v>3422</v>
      </c>
      <c r="B312" s="35">
        <v>63.8884314690388</v>
      </c>
      <c r="C312" s="35">
        <v>-2.3326055005666499</v>
      </c>
      <c r="D312" s="35">
        <v>0.54691171881436995</v>
      </c>
      <c r="E312" s="35">
        <v>-4.2650494043598401</v>
      </c>
      <c r="F312" s="40">
        <v>1.9985797328434999E-5</v>
      </c>
      <c r="G312" s="35">
        <v>1.9326581107996E-3</v>
      </c>
      <c r="H312" s="24" t="s">
        <v>10</v>
      </c>
      <c r="I312" s="24" t="s">
        <v>10</v>
      </c>
      <c r="J312" s="30" t="s">
        <v>10</v>
      </c>
      <c r="K312" s="33"/>
      <c r="L312" s="35"/>
      <c r="M312" s="35"/>
      <c r="O312" s="35"/>
      <c r="P312" s="35"/>
    </row>
    <row r="313" spans="1:16" x14ac:dyDescent="0.2">
      <c r="A313" s="35" t="s">
        <v>3423</v>
      </c>
      <c r="B313" s="35">
        <v>49.576711158690998</v>
      </c>
      <c r="C313" s="35">
        <v>-2.3205748095636798</v>
      </c>
      <c r="D313" s="35">
        <v>0.54422173749796998</v>
      </c>
      <c r="E313" s="35">
        <v>-4.2640244769207403</v>
      </c>
      <c r="F313" s="40">
        <v>2.0077743573865002E-5</v>
      </c>
      <c r="G313" s="35">
        <v>1.9393654875493401E-3</v>
      </c>
      <c r="H313" s="24" t="s">
        <v>10</v>
      </c>
      <c r="I313" s="24" t="s">
        <v>10</v>
      </c>
      <c r="J313" s="30" t="s">
        <v>10</v>
      </c>
      <c r="K313" s="33"/>
      <c r="L313" s="35"/>
      <c r="M313" s="35"/>
      <c r="O313" s="35"/>
      <c r="P313" s="35"/>
    </row>
    <row r="314" spans="1:16" x14ac:dyDescent="0.2">
      <c r="A314" s="35" t="s">
        <v>3424</v>
      </c>
      <c r="B314" s="35">
        <v>117.549374975497</v>
      </c>
      <c r="C314" s="35">
        <v>-2.39413159726851</v>
      </c>
      <c r="D314" s="35">
        <v>0.56204306914152802</v>
      </c>
      <c r="E314" s="35">
        <v>-4.2596941919866396</v>
      </c>
      <c r="F314" s="40">
        <v>2.0470678284099001E-5</v>
      </c>
      <c r="G314" s="35">
        <v>1.96406437422778E-3</v>
      </c>
      <c r="H314" s="24" t="s">
        <v>10</v>
      </c>
      <c r="I314" s="24" t="s">
        <v>10</v>
      </c>
      <c r="J314" s="30" t="s">
        <v>10</v>
      </c>
      <c r="K314" s="33"/>
      <c r="L314" s="35"/>
      <c r="M314" s="35"/>
      <c r="O314" s="35"/>
      <c r="P314" s="35"/>
    </row>
    <row r="315" spans="1:16" x14ac:dyDescent="0.2">
      <c r="A315" s="35" t="s">
        <v>3425</v>
      </c>
      <c r="B315" s="35">
        <v>145.52030904244901</v>
      </c>
      <c r="C315" s="35">
        <v>-2.4190777046465</v>
      </c>
      <c r="D315" s="35">
        <v>0.56807750568871895</v>
      </c>
      <c r="E315" s="35">
        <v>-4.2583585521727203</v>
      </c>
      <c r="F315" s="40">
        <v>2.0593345864533201E-5</v>
      </c>
      <c r="G315" s="35">
        <v>1.9714283196581102E-3</v>
      </c>
      <c r="H315" s="24" t="s">
        <v>10</v>
      </c>
      <c r="I315" s="24" t="s">
        <v>10</v>
      </c>
      <c r="J315" s="30" t="s">
        <v>10</v>
      </c>
      <c r="K315" s="33"/>
      <c r="L315" s="35"/>
      <c r="M315" s="35"/>
      <c r="O315" s="35"/>
      <c r="P315" s="35"/>
    </row>
    <row r="316" spans="1:16" x14ac:dyDescent="0.2">
      <c r="A316" s="35" t="s">
        <v>3426</v>
      </c>
      <c r="B316" s="35">
        <v>1513.19671909983</v>
      </c>
      <c r="C316" s="35">
        <v>-2.13714472201415</v>
      </c>
      <c r="D316" s="35">
        <v>0.50205309549500499</v>
      </c>
      <c r="E316" s="35">
        <v>-4.2568101684683599</v>
      </c>
      <c r="F316" s="40">
        <v>2.0736428200290299E-5</v>
      </c>
      <c r="G316" s="35">
        <v>1.9785086955412499E-3</v>
      </c>
      <c r="H316" s="24" t="s">
        <v>10</v>
      </c>
      <c r="I316" s="24" t="s">
        <v>10</v>
      </c>
      <c r="J316" s="33" t="s">
        <v>10</v>
      </c>
      <c r="K316" s="33"/>
      <c r="L316" s="35"/>
      <c r="M316" s="35"/>
      <c r="O316" s="35"/>
      <c r="P316" s="35"/>
    </row>
    <row r="317" spans="1:16" x14ac:dyDescent="0.2">
      <c r="A317" s="35" t="s">
        <v>3427</v>
      </c>
      <c r="B317" s="35">
        <v>98.287616996815501</v>
      </c>
      <c r="C317" s="35">
        <v>-3.6586053291309399</v>
      </c>
      <c r="D317" s="35">
        <v>0.86065234887161401</v>
      </c>
      <c r="E317" s="35">
        <v>-4.2509676920392696</v>
      </c>
      <c r="F317" s="40">
        <v>2.1284887326257601E-5</v>
      </c>
      <c r="G317" s="35">
        <v>2.02633543192136E-3</v>
      </c>
      <c r="H317" s="24" t="s">
        <v>10</v>
      </c>
      <c r="I317" s="24" t="s">
        <v>10</v>
      </c>
      <c r="J317" s="33" t="s">
        <v>10</v>
      </c>
      <c r="K317" s="33"/>
      <c r="L317" s="35"/>
      <c r="M317" s="35"/>
      <c r="O317" s="35"/>
      <c r="P317" s="35"/>
    </row>
    <row r="318" spans="1:16" x14ac:dyDescent="0.2">
      <c r="A318" s="35" t="s">
        <v>3428</v>
      </c>
      <c r="B318" s="35">
        <v>131.329650561172</v>
      </c>
      <c r="C318" s="35">
        <v>-2.6283142360609202</v>
      </c>
      <c r="D318" s="35">
        <v>0.61839547860030097</v>
      </c>
      <c r="E318" s="35">
        <v>-4.2502158036632798</v>
      </c>
      <c r="F318" s="40">
        <v>2.1356465278836801E-5</v>
      </c>
      <c r="G318" s="35">
        <v>2.0308981505636702E-3</v>
      </c>
      <c r="H318" s="24" t="s">
        <v>10</v>
      </c>
      <c r="I318" s="24" t="s">
        <v>10</v>
      </c>
      <c r="J318" s="33" t="s">
        <v>10</v>
      </c>
      <c r="K318" s="33"/>
      <c r="L318" s="35"/>
      <c r="M318" s="35"/>
      <c r="O318" s="35"/>
      <c r="P318" s="35"/>
    </row>
    <row r="319" spans="1:16" x14ac:dyDescent="0.2">
      <c r="A319" s="35" t="s">
        <v>3429</v>
      </c>
      <c r="B319" s="35">
        <v>177.68586930267099</v>
      </c>
      <c r="C319" s="35">
        <v>-2.05369671258451</v>
      </c>
      <c r="D319" s="35">
        <v>0.48323387744347501</v>
      </c>
      <c r="E319" s="35">
        <v>-4.2499021870103402</v>
      </c>
      <c r="F319" s="40">
        <v>2.1386388495433501E-5</v>
      </c>
      <c r="G319" s="35">
        <v>2.0313032418209998E-3</v>
      </c>
      <c r="H319" s="24" t="s">
        <v>10</v>
      </c>
      <c r="I319" s="24" t="s">
        <v>10</v>
      </c>
      <c r="J319" s="33" t="s">
        <v>10</v>
      </c>
      <c r="K319" s="33"/>
      <c r="L319" s="35"/>
      <c r="M319" s="35"/>
      <c r="O319" s="35"/>
      <c r="P319" s="35"/>
    </row>
    <row r="320" spans="1:16" x14ac:dyDescent="0.2">
      <c r="A320" s="45" t="s">
        <v>3430</v>
      </c>
      <c r="B320" s="45">
        <v>21.250421729217098</v>
      </c>
      <c r="C320" s="45">
        <v>-2.6200720902776702</v>
      </c>
      <c r="D320" s="45">
        <v>0.61656346719348099</v>
      </c>
      <c r="E320" s="45">
        <v>-4.2494767038402603</v>
      </c>
      <c r="F320" s="46">
        <v>2.14270490829542E-5</v>
      </c>
      <c r="G320" s="45">
        <v>2.0313032418209998E-3</v>
      </c>
      <c r="H320" s="47" t="s">
        <v>3837</v>
      </c>
      <c r="I320" s="47" t="s">
        <v>3934</v>
      </c>
      <c r="J320" s="50" t="s">
        <v>4052</v>
      </c>
      <c r="K320" s="33"/>
      <c r="L320" s="35"/>
      <c r="M320" s="35"/>
      <c r="O320" s="35"/>
      <c r="P320" s="35"/>
    </row>
    <row r="321" spans="1:16" x14ac:dyDescent="0.2">
      <c r="A321" s="35" t="s">
        <v>3431</v>
      </c>
      <c r="B321" s="35">
        <v>67.089818686579704</v>
      </c>
      <c r="C321" s="35">
        <v>-2.2570318683387001</v>
      </c>
      <c r="D321" s="35">
        <v>0.53137969081763903</v>
      </c>
      <c r="E321" s="35">
        <v>-4.2474936610125003</v>
      </c>
      <c r="F321" s="40">
        <v>2.1617527953578201E-5</v>
      </c>
      <c r="G321" s="35">
        <v>2.0390012725332802E-3</v>
      </c>
      <c r="H321" s="24" t="s">
        <v>10</v>
      </c>
      <c r="I321" s="24" t="s">
        <v>10</v>
      </c>
      <c r="J321" s="33" t="s">
        <v>10</v>
      </c>
      <c r="K321" s="33"/>
      <c r="L321" s="35"/>
      <c r="M321" s="35"/>
      <c r="O321" s="35"/>
      <c r="P321" s="35"/>
    </row>
    <row r="322" spans="1:16" x14ac:dyDescent="0.2">
      <c r="A322" s="35" t="s">
        <v>3432</v>
      </c>
      <c r="B322" s="35">
        <v>2768.9776374712801</v>
      </c>
      <c r="C322" s="35">
        <v>-2.9355454523915698</v>
      </c>
      <c r="D322" s="35">
        <v>0.69114201877210701</v>
      </c>
      <c r="E322" s="35">
        <v>-4.2473838555018002</v>
      </c>
      <c r="F322" s="40">
        <v>2.1628122153229101E-5</v>
      </c>
      <c r="G322" s="35">
        <v>2.0390012725332802E-3</v>
      </c>
      <c r="H322" s="24" t="s">
        <v>1350</v>
      </c>
      <c r="I322" s="24" t="s">
        <v>3916</v>
      </c>
      <c r="J322" s="33" t="s">
        <v>4043</v>
      </c>
      <c r="K322" s="33"/>
      <c r="L322" s="35"/>
      <c r="M322" s="35"/>
      <c r="O322" s="35"/>
      <c r="P322" s="35"/>
    </row>
    <row r="323" spans="1:16" x14ac:dyDescent="0.2">
      <c r="A323" s="35" t="s">
        <v>3433</v>
      </c>
      <c r="B323" s="35">
        <v>65.520723090876999</v>
      </c>
      <c r="C323" s="35">
        <v>-2.5020619122404599</v>
      </c>
      <c r="D323" s="35">
        <v>0.58921015754790695</v>
      </c>
      <c r="E323" s="35">
        <v>-4.2464677164650304</v>
      </c>
      <c r="F323" s="40">
        <v>2.1716705452703401E-5</v>
      </c>
      <c r="G323" s="35">
        <v>2.0447754538696198E-3</v>
      </c>
      <c r="H323" s="24" t="s">
        <v>3849</v>
      </c>
      <c r="I323" s="24" t="s">
        <v>3958</v>
      </c>
      <c r="J323" s="33" t="s">
        <v>4066</v>
      </c>
      <c r="K323" s="33"/>
      <c r="L323" s="35"/>
      <c r="M323" s="35"/>
      <c r="O323" s="35"/>
      <c r="P323" s="35"/>
    </row>
    <row r="324" spans="1:16" x14ac:dyDescent="0.2">
      <c r="A324" s="35" t="s">
        <v>3434</v>
      </c>
      <c r="B324" s="35">
        <v>146.855811428252</v>
      </c>
      <c r="C324" s="35">
        <v>-2.9113785870925302</v>
      </c>
      <c r="D324" s="35">
        <v>0.68652505945220399</v>
      </c>
      <c r="E324" s="35">
        <v>-4.2407462728535998</v>
      </c>
      <c r="F324" s="40">
        <v>2.2277785394545901E-5</v>
      </c>
      <c r="G324" s="35">
        <v>2.0821026081015801E-3</v>
      </c>
      <c r="H324" s="29" t="s">
        <v>10</v>
      </c>
      <c r="I324" s="24" t="s">
        <v>3925</v>
      </c>
      <c r="J324" s="30" t="s">
        <v>10</v>
      </c>
      <c r="K324" s="33"/>
      <c r="L324" s="35"/>
      <c r="M324" s="35"/>
      <c r="O324" s="35"/>
      <c r="P324" s="35"/>
    </row>
    <row r="325" spans="1:16" x14ac:dyDescent="0.2">
      <c r="A325" s="35" t="s">
        <v>3435</v>
      </c>
      <c r="B325" s="35">
        <v>35.465324957354099</v>
      </c>
      <c r="C325" s="35">
        <v>-3.46052750885146</v>
      </c>
      <c r="D325" s="35">
        <v>0.81826321930857004</v>
      </c>
      <c r="E325" s="35">
        <v>-4.2291128663654201</v>
      </c>
      <c r="F325" s="40">
        <v>2.3461462775995901E-5</v>
      </c>
      <c r="G325" s="35">
        <v>2.1733109709142899E-3</v>
      </c>
      <c r="H325" s="24" t="s">
        <v>10</v>
      </c>
      <c r="I325" s="24" t="s">
        <v>10</v>
      </c>
      <c r="J325" s="33" t="s">
        <v>10</v>
      </c>
      <c r="K325" s="33"/>
      <c r="L325" s="35"/>
      <c r="M325" s="35"/>
      <c r="O325" s="35"/>
      <c r="P325" s="35"/>
    </row>
    <row r="326" spans="1:16" x14ac:dyDescent="0.2">
      <c r="A326" s="35" t="s">
        <v>3436</v>
      </c>
      <c r="B326" s="35">
        <v>100.04452731644</v>
      </c>
      <c r="C326" s="35">
        <v>-3.7184425235507002</v>
      </c>
      <c r="D326" s="35">
        <v>0.88173057329426197</v>
      </c>
      <c r="E326" s="35">
        <v>-4.2172094698475799</v>
      </c>
      <c r="F326" s="40">
        <v>2.4734419049170198E-5</v>
      </c>
      <c r="G326" s="35">
        <v>2.27162491783026E-3</v>
      </c>
      <c r="H326" s="24" t="s">
        <v>10</v>
      </c>
      <c r="I326" s="24" t="s">
        <v>10</v>
      </c>
      <c r="J326" s="33" t="s">
        <v>10</v>
      </c>
      <c r="K326" s="33"/>
      <c r="L326" s="35"/>
      <c r="M326" s="35"/>
      <c r="O326" s="35"/>
      <c r="P326" s="35"/>
    </row>
    <row r="327" spans="1:16" x14ac:dyDescent="0.2">
      <c r="A327" s="35" t="s">
        <v>3437</v>
      </c>
      <c r="B327" s="35">
        <v>59.066108569486197</v>
      </c>
      <c r="C327" s="35">
        <v>-2.9458324768317001</v>
      </c>
      <c r="D327" s="35">
        <v>0.69900301162295797</v>
      </c>
      <c r="E327" s="35">
        <v>-4.2143344561449201</v>
      </c>
      <c r="F327" s="40">
        <v>2.50515820374323E-5</v>
      </c>
      <c r="G327" s="35">
        <v>2.2958424771999399E-3</v>
      </c>
      <c r="H327" s="24" t="s">
        <v>10</v>
      </c>
      <c r="I327" s="24" t="s">
        <v>10</v>
      </c>
      <c r="J327" s="33" t="s">
        <v>10</v>
      </c>
      <c r="K327" s="33"/>
      <c r="L327" s="35"/>
      <c r="M327" s="35"/>
      <c r="O327" s="35"/>
      <c r="P327" s="35"/>
    </row>
    <row r="328" spans="1:16" x14ac:dyDescent="0.2">
      <c r="A328" s="35" t="s">
        <v>3438</v>
      </c>
      <c r="B328" s="35">
        <v>55.995724849025599</v>
      </c>
      <c r="C328" s="35">
        <v>-2.19373244277579</v>
      </c>
      <c r="D328" s="35">
        <v>0.52111123066208798</v>
      </c>
      <c r="E328" s="35">
        <v>-4.2097201397647703</v>
      </c>
      <c r="F328" s="40">
        <v>2.5568720576085E-5</v>
      </c>
      <c r="G328" s="35">
        <v>2.3357570261585102E-3</v>
      </c>
      <c r="H328" s="24" t="s">
        <v>3842</v>
      </c>
      <c r="I328" s="24" t="s">
        <v>3941</v>
      </c>
      <c r="J328" s="33" t="s">
        <v>4057</v>
      </c>
      <c r="K328" s="33"/>
      <c r="L328" s="35"/>
      <c r="M328" s="35"/>
      <c r="O328" s="35"/>
      <c r="P328" s="35"/>
    </row>
    <row r="329" spans="1:16" x14ac:dyDescent="0.2">
      <c r="A329" s="35" t="s">
        <v>3439</v>
      </c>
      <c r="B329" s="35">
        <v>165.707661587823</v>
      </c>
      <c r="C329" s="35">
        <v>-4.9411878682414301</v>
      </c>
      <c r="D329" s="35">
        <v>1.17476924881073</v>
      </c>
      <c r="E329" s="35">
        <v>-4.2060922800316796</v>
      </c>
      <c r="F329" s="40">
        <v>2.5982417608637402E-5</v>
      </c>
      <c r="G329" s="35">
        <v>2.3685097478463998E-3</v>
      </c>
      <c r="H329" s="24" t="s">
        <v>10</v>
      </c>
      <c r="I329" s="24" t="s">
        <v>10</v>
      </c>
      <c r="J329" s="33" t="s">
        <v>10</v>
      </c>
      <c r="K329" s="33"/>
      <c r="L329" s="35"/>
      <c r="M329" s="35"/>
      <c r="O329" s="35"/>
      <c r="P329" s="35"/>
    </row>
    <row r="330" spans="1:16" x14ac:dyDescent="0.2">
      <c r="A330" s="35" t="s">
        <v>3440</v>
      </c>
      <c r="B330" s="35">
        <v>43.050683731199598</v>
      </c>
      <c r="C330" s="35">
        <v>-3.4516364543586899</v>
      </c>
      <c r="D330" s="35">
        <v>0.82171569437155301</v>
      </c>
      <c r="E330" s="35">
        <v>-4.2005239500731397</v>
      </c>
      <c r="F330" s="40">
        <v>2.66297994968103E-5</v>
      </c>
      <c r="G330" s="35">
        <v>2.41981747364084E-3</v>
      </c>
      <c r="H330" s="24" t="s">
        <v>3824</v>
      </c>
      <c r="I330" s="24" t="s">
        <v>3910</v>
      </c>
      <c r="J330" s="30" t="s">
        <v>10</v>
      </c>
      <c r="K330" s="33"/>
      <c r="L330" s="35"/>
      <c r="M330" s="35"/>
      <c r="O330" s="35"/>
      <c r="P330" s="35"/>
    </row>
    <row r="331" spans="1:16" x14ac:dyDescent="0.2">
      <c r="A331" s="35" t="s">
        <v>3441</v>
      </c>
      <c r="B331" s="35">
        <v>323.15944331235602</v>
      </c>
      <c r="C331" s="35">
        <v>-2.6574793289129501</v>
      </c>
      <c r="D331" s="35">
        <v>0.63315489321153995</v>
      </c>
      <c r="E331" s="35">
        <v>-4.1972025445992598</v>
      </c>
      <c r="F331" s="40">
        <v>2.70232237654476E-5</v>
      </c>
      <c r="G331" s="35">
        <v>2.44838488521819E-3</v>
      </c>
      <c r="H331" s="29" t="s">
        <v>10</v>
      </c>
      <c r="I331" s="24" t="s">
        <v>3920</v>
      </c>
      <c r="J331" s="30" t="s">
        <v>10</v>
      </c>
      <c r="K331" s="33"/>
      <c r="L331" s="35"/>
      <c r="M331" s="35"/>
      <c r="O331" s="35"/>
      <c r="P331" s="35"/>
    </row>
    <row r="332" spans="1:16" x14ac:dyDescent="0.2">
      <c r="A332" s="35" t="s">
        <v>3442</v>
      </c>
      <c r="B332" s="35">
        <v>26.432857956827601</v>
      </c>
      <c r="C332" s="35">
        <v>-2.9203520278556598</v>
      </c>
      <c r="D332" s="35">
        <v>0.69579437080635498</v>
      </c>
      <c r="E332" s="35">
        <v>-4.1971481092485199</v>
      </c>
      <c r="F332" s="40">
        <v>2.7029717497022799E-5</v>
      </c>
      <c r="G332" s="35">
        <v>2.44838488521819E-3</v>
      </c>
      <c r="H332" s="24" t="s">
        <v>10</v>
      </c>
      <c r="I332" s="24" t="s">
        <v>10</v>
      </c>
      <c r="J332" s="33" t="s">
        <v>10</v>
      </c>
      <c r="K332" s="33"/>
      <c r="L332" s="35"/>
      <c r="M332" s="35"/>
      <c r="O332" s="35"/>
      <c r="P332" s="35"/>
    </row>
    <row r="333" spans="1:16" x14ac:dyDescent="0.2">
      <c r="A333" s="35" t="s">
        <v>3443</v>
      </c>
      <c r="B333" s="35">
        <v>79.899621287090497</v>
      </c>
      <c r="C333" s="35">
        <v>-3.2730387356381101</v>
      </c>
      <c r="D333" s="35">
        <v>0.780071043841988</v>
      </c>
      <c r="E333" s="35">
        <v>-4.1958213440634999</v>
      </c>
      <c r="F333" s="40">
        <v>2.71884502804505E-5</v>
      </c>
      <c r="G333" s="35">
        <v>2.4601679810669799E-3</v>
      </c>
      <c r="H333" s="24" t="s">
        <v>325</v>
      </c>
      <c r="I333" s="24" t="s">
        <v>326</v>
      </c>
      <c r="J333" s="33" t="s">
        <v>10</v>
      </c>
      <c r="K333" s="33"/>
      <c r="L333" s="35"/>
      <c r="M333" s="35"/>
      <c r="O333" s="35"/>
      <c r="P333" s="35"/>
    </row>
    <row r="334" spans="1:16" x14ac:dyDescent="0.2">
      <c r="A334" s="35" t="s">
        <v>3444</v>
      </c>
      <c r="B334" s="35">
        <v>424.77785282711602</v>
      </c>
      <c r="C334" s="35">
        <v>-2.2991334961046102</v>
      </c>
      <c r="D334" s="35">
        <v>0.54835295746703905</v>
      </c>
      <c r="E334" s="35">
        <v>-4.1927985703310604</v>
      </c>
      <c r="F334" s="40">
        <v>2.7553408316781301E-5</v>
      </c>
      <c r="G334" s="35">
        <v>2.4879481867195901E-3</v>
      </c>
      <c r="H334" s="24" t="s">
        <v>10</v>
      </c>
      <c r="I334" s="24" t="s">
        <v>10</v>
      </c>
      <c r="J334" s="33" t="s">
        <v>10</v>
      </c>
      <c r="K334" s="33"/>
      <c r="L334" s="35"/>
      <c r="M334" s="35"/>
      <c r="O334" s="35"/>
      <c r="P334" s="35"/>
    </row>
    <row r="335" spans="1:16" x14ac:dyDescent="0.2">
      <c r="A335" s="35" t="s">
        <v>3445</v>
      </c>
      <c r="B335" s="35">
        <v>272.63223490861202</v>
      </c>
      <c r="C335" s="35">
        <v>-2.0715367984700999</v>
      </c>
      <c r="D335" s="35">
        <v>0.49512523326338898</v>
      </c>
      <c r="E335" s="35">
        <v>-4.1838643221968796</v>
      </c>
      <c r="F335" s="40">
        <v>2.8659519900211601E-5</v>
      </c>
      <c r="G335" s="35">
        <v>2.5769860035089799E-3</v>
      </c>
      <c r="H335" s="29" t="s">
        <v>10</v>
      </c>
      <c r="I335" s="24" t="s">
        <v>4004</v>
      </c>
      <c r="J335" s="33" t="s">
        <v>10</v>
      </c>
      <c r="K335" s="33"/>
      <c r="L335" s="35"/>
      <c r="M335" s="35"/>
      <c r="O335" s="35"/>
      <c r="P335" s="35"/>
    </row>
    <row r="336" spans="1:16" x14ac:dyDescent="0.2">
      <c r="A336" s="35" t="s">
        <v>3446</v>
      </c>
      <c r="B336" s="35">
        <v>145.07276550890199</v>
      </c>
      <c r="C336" s="35">
        <v>-4.1424115507665604</v>
      </c>
      <c r="D336" s="35">
        <v>0.99223204238567297</v>
      </c>
      <c r="E336" s="35">
        <v>-4.1748415429184798</v>
      </c>
      <c r="F336" s="40">
        <v>2.9819353708833799E-5</v>
      </c>
      <c r="G336" s="35">
        <v>2.6673101274283999E-3</v>
      </c>
      <c r="H336" s="24" t="s">
        <v>10</v>
      </c>
      <c r="I336" s="24" t="s">
        <v>10</v>
      </c>
      <c r="J336" s="33" t="s">
        <v>10</v>
      </c>
      <c r="K336" s="33"/>
      <c r="L336" s="35"/>
      <c r="M336" s="35"/>
      <c r="O336" s="35"/>
      <c r="P336" s="35"/>
    </row>
    <row r="337" spans="1:16" x14ac:dyDescent="0.2">
      <c r="A337" s="35" t="s">
        <v>3447</v>
      </c>
      <c r="B337" s="35">
        <v>32.807821477093597</v>
      </c>
      <c r="C337" s="35">
        <v>-2.3911191437537198</v>
      </c>
      <c r="D337" s="35">
        <v>0.57416734287640303</v>
      </c>
      <c r="E337" s="35">
        <v>-4.1644986839114502</v>
      </c>
      <c r="F337" s="40">
        <v>3.1203742679323997E-5</v>
      </c>
      <c r="G337" s="35">
        <v>2.77780942460897E-3</v>
      </c>
      <c r="H337" s="24" t="s">
        <v>10</v>
      </c>
      <c r="I337" s="24" t="s">
        <v>10</v>
      </c>
      <c r="J337" s="33" t="s">
        <v>10</v>
      </c>
      <c r="K337" s="33"/>
      <c r="L337" s="35"/>
      <c r="M337" s="35"/>
      <c r="O337" s="35"/>
      <c r="P337" s="35"/>
    </row>
    <row r="338" spans="1:16" x14ac:dyDescent="0.2">
      <c r="A338" s="35" t="s">
        <v>3448</v>
      </c>
      <c r="B338" s="35">
        <v>71.608949433880397</v>
      </c>
      <c r="C338" s="35">
        <v>-2.4503166732617698</v>
      </c>
      <c r="D338" s="35">
        <v>0.59002950323529302</v>
      </c>
      <c r="E338" s="35">
        <v>-4.1528714408788296</v>
      </c>
      <c r="F338" s="40">
        <v>3.2832921130671298E-5</v>
      </c>
      <c r="G338" s="35">
        <v>2.9065935777442E-3</v>
      </c>
      <c r="H338" s="24" t="s">
        <v>10</v>
      </c>
      <c r="I338" s="24" t="s">
        <v>10</v>
      </c>
      <c r="J338" s="33" t="s">
        <v>10</v>
      </c>
      <c r="K338" s="33"/>
      <c r="L338" s="35"/>
      <c r="M338" s="35"/>
      <c r="O338" s="35"/>
      <c r="P338" s="35"/>
    </row>
    <row r="339" spans="1:16" x14ac:dyDescent="0.2">
      <c r="A339" s="35" t="s">
        <v>3449</v>
      </c>
      <c r="B339" s="35">
        <v>4781.29921898063</v>
      </c>
      <c r="C339" s="35">
        <v>-2.3814640952156401</v>
      </c>
      <c r="D339" s="35">
        <v>0.57372919289789404</v>
      </c>
      <c r="E339" s="35">
        <v>-4.15085047910308</v>
      </c>
      <c r="F339" s="40">
        <v>3.3124211551098E-5</v>
      </c>
      <c r="G339" s="35">
        <v>2.92936062832579E-3</v>
      </c>
      <c r="H339" s="24" t="s">
        <v>10</v>
      </c>
      <c r="I339" s="24" t="s">
        <v>10</v>
      </c>
      <c r="J339" s="33" t="s">
        <v>10</v>
      </c>
      <c r="K339" s="33"/>
      <c r="L339" s="35"/>
      <c r="M339" s="35"/>
      <c r="O339" s="35"/>
      <c r="P339" s="35"/>
    </row>
    <row r="340" spans="1:16" x14ac:dyDescent="0.2">
      <c r="A340" s="35" t="s">
        <v>3450</v>
      </c>
      <c r="B340" s="35">
        <v>179.59483003521001</v>
      </c>
      <c r="C340" s="35">
        <v>-4.7588078794614299</v>
      </c>
      <c r="D340" s="35">
        <v>1.14657834864645</v>
      </c>
      <c r="E340" s="35">
        <v>-4.1504428241465297</v>
      </c>
      <c r="F340" s="40">
        <v>3.3183265496040799E-5</v>
      </c>
      <c r="G340" s="35">
        <v>2.9315639829326301E-3</v>
      </c>
      <c r="H340" s="24" t="s">
        <v>10</v>
      </c>
      <c r="I340" s="24" t="s">
        <v>10</v>
      </c>
      <c r="J340" s="33" t="s">
        <v>10</v>
      </c>
      <c r="K340" s="33"/>
      <c r="L340" s="35"/>
      <c r="M340" s="35"/>
      <c r="O340" s="35"/>
      <c r="P340" s="35"/>
    </row>
    <row r="341" spans="1:16" x14ac:dyDescent="0.2">
      <c r="A341" s="35" t="s">
        <v>3451</v>
      </c>
      <c r="B341" s="35">
        <v>199.064244284285</v>
      </c>
      <c r="C341" s="35">
        <v>-3.8767191519885298</v>
      </c>
      <c r="D341" s="35">
        <v>0.93472426976556899</v>
      </c>
      <c r="E341" s="35">
        <v>-4.1474467684045697</v>
      </c>
      <c r="F341" s="40">
        <v>3.3620360459493498E-5</v>
      </c>
      <c r="G341" s="35">
        <v>2.9610399723253001E-3</v>
      </c>
      <c r="H341" s="24" t="s">
        <v>10</v>
      </c>
      <c r="I341" s="24" t="s">
        <v>10</v>
      </c>
      <c r="J341" s="33" t="s">
        <v>10</v>
      </c>
      <c r="K341" s="33"/>
      <c r="L341" s="35"/>
      <c r="M341" s="35"/>
      <c r="O341" s="35"/>
      <c r="P341" s="35"/>
    </row>
    <row r="342" spans="1:16" x14ac:dyDescent="0.2">
      <c r="A342" s="35" t="s">
        <v>3452</v>
      </c>
      <c r="B342" s="35">
        <v>236.40759757815101</v>
      </c>
      <c r="C342" s="35">
        <v>-2.4131520899173</v>
      </c>
      <c r="D342" s="35">
        <v>0.58203155157379904</v>
      </c>
      <c r="E342" s="35">
        <v>-4.1460846639536797</v>
      </c>
      <c r="F342" s="40">
        <v>3.3820881343111703E-5</v>
      </c>
      <c r="G342" s="35">
        <v>2.9726027654189799E-3</v>
      </c>
      <c r="H342" s="24" t="s">
        <v>10</v>
      </c>
      <c r="I342" s="24" t="s">
        <v>10</v>
      </c>
      <c r="J342" s="33" t="s">
        <v>10</v>
      </c>
      <c r="K342" s="33"/>
      <c r="L342" s="35"/>
      <c r="M342" s="35"/>
      <c r="O342" s="35"/>
      <c r="P342" s="35"/>
    </row>
    <row r="343" spans="1:16" x14ac:dyDescent="0.2">
      <c r="A343" s="35" t="s">
        <v>3453</v>
      </c>
      <c r="B343" s="35">
        <v>22.159155451884399</v>
      </c>
      <c r="C343" s="35">
        <v>-3.7856173435524898</v>
      </c>
      <c r="D343" s="35">
        <v>0.91334467235160299</v>
      </c>
      <c r="E343" s="35">
        <v>-4.1447850501011896</v>
      </c>
      <c r="F343" s="40">
        <v>3.4013261317805998E-5</v>
      </c>
      <c r="G343" s="35">
        <v>2.98485312369703E-3</v>
      </c>
      <c r="H343" s="24" t="s">
        <v>3818</v>
      </c>
      <c r="I343" s="24" t="s">
        <v>3890</v>
      </c>
      <c r="J343" s="33" t="s">
        <v>4030</v>
      </c>
      <c r="K343" s="33"/>
      <c r="L343" s="35"/>
      <c r="M343" s="35"/>
      <c r="O343" s="35"/>
      <c r="P343" s="35"/>
    </row>
    <row r="344" spans="1:16" x14ac:dyDescent="0.2">
      <c r="A344" s="35" t="s">
        <v>3454</v>
      </c>
      <c r="B344" s="35">
        <v>311.375738547823</v>
      </c>
      <c r="C344" s="35">
        <v>-2.2106107951305001</v>
      </c>
      <c r="D344" s="35">
        <v>0.53336182984168201</v>
      </c>
      <c r="E344" s="35">
        <v>-4.14467378699874</v>
      </c>
      <c r="F344" s="40">
        <v>3.4029779647370998E-5</v>
      </c>
      <c r="G344" s="35">
        <v>2.98485312369703E-3</v>
      </c>
      <c r="H344" s="24" t="s">
        <v>10</v>
      </c>
      <c r="I344" s="24" t="s">
        <v>10</v>
      </c>
      <c r="J344" s="33" t="s">
        <v>10</v>
      </c>
      <c r="K344" s="33"/>
      <c r="L344" s="35"/>
      <c r="M344" s="35"/>
      <c r="O344" s="35"/>
      <c r="P344" s="35"/>
    </row>
    <row r="345" spans="1:16" x14ac:dyDescent="0.2">
      <c r="A345" s="35" t="s">
        <v>3455</v>
      </c>
      <c r="B345" s="35">
        <v>34.826412783595202</v>
      </c>
      <c r="C345" s="35">
        <v>-4.2214688506048699</v>
      </c>
      <c r="D345" s="35">
        <v>1.01908247898715</v>
      </c>
      <c r="E345" s="35">
        <v>-4.1424211853789403</v>
      </c>
      <c r="F345" s="40">
        <v>3.4365848333614802E-5</v>
      </c>
      <c r="G345" s="35">
        <v>3.00206486496016E-3</v>
      </c>
      <c r="H345" s="24" t="s">
        <v>10</v>
      </c>
      <c r="I345" s="24" t="s">
        <v>10</v>
      </c>
      <c r="J345" s="33" t="s">
        <v>10</v>
      </c>
      <c r="K345" s="33"/>
    </row>
    <row r="346" spans="1:16" x14ac:dyDescent="0.2">
      <c r="A346" s="35" t="s">
        <v>3456</v>
      </c>
      <c r="B346" s="35">
        <v>53.255788958216698</v>
      </c>
      <c r="C346" s="35">
        <v>-2.5094290460513999</v>
      </c>
      <c r="D346" s="35">
        <v>0.60655264247780505</v>
      </c>
      <c r="E346" s="35">
        <v>-4.1371990991585204</v>
      </c>
      <c r="F346" s="40">
        <v>3.5157103510659099E-5</v>
      </c>
      <c r="G346" s="35">
        <v>3.05255372655592E-3</v>
      </c>
      <c r="H346" s="24" t="s">
        <v>3823</v>
      </c>
      <c r="I346" s="24" t="s">
        <v>3905</v>
      </c>
      <c r="J346" s="30" t="s">
        <v>10</v>
      </c>
      <c r="K346" s="33"/>
    </row>
    <row r="347" spans="1:16" x14ac:dyDescent="0.2">
      <c r="A347" s="35" t="s">
        <v>3457</v>
      </c>
      <c r="B347" s="35">
        <v>17.358268830608498</v>
      </c>
      <c r="C347" s="35">
        <v>-4.5665804743676297</v>
      </c>
      <c r="D347" s="35">
        <v>1.1088846297494499</v>
      </c>
      <c r="E347" s="35">
        <v>-4.1181745619464802</v>
      </c>
      <c r="F347" s="40">
        <v>3.8188538379390698E-5</v>
      </c>
      <c r="G347" s="35">
        <v>3.2727424941882801E-3</v>
      </c>
      <c r="H347" s="24" t="s">
        <v>10</v>
      </c>
      <c r="I347" s="24" t="s">
        <v>10</v>
      </c>
      <c r="J347" s="33" t="s">
        <v>10</v>
      </c>
      <c r="K347" s="33"/>
    </row>
    <row r="348" spans="1:16" x14ac:dyDescent="0.2">
      <c r="A348" s="35" t="s">
        <v>3458</v>
      </c>
      <c r="B348" s="35">
        <v>141.37199948867899</v>
      </c>
      <c r="C348" s="35">
        <v>-2.0435937789284999</v>
      </c>
      <c r="D348" s="35">
        <v>0.49659224925464002</v>
      </c>
      <c r="E348" s="35">
        <v>-4.1152349477782302</v>
      </c>
      <c r="F348" s="40">
        <v>3.8678523127985E-5</v>
      </c>
      <c r="G348" s="35">
        <v>3.3093656159453601E-3</v>
      </c>
      <c r="H348" s="24" t="s">
        <v>1381</v>
      </c>
      <c r="I348" s="24" t="s">
        <v>3909</v>
      </c>
      <c r="J348" s="33" t="s">
        <v>10</v>
      </c>
      <c r="K348" s="33"/>
    </row>
    <row r="349" spans="1:16" x14ac:dyDescent="0.2">
      <c r="A349" s="35" t="s">
        <v>3459</v>
      </c>
      <c r="B349" s="35">
        <v>2058.8982803438998</v>
      </c>
      <c r="C349" s="35">
        <v>-2.4224705143933001</v>
      </c>
      <c r="D349" s="35">
        <v>0.59024231891058598</v>
      </c>
      <c r="E349" s="35">
        <v>-4.10419659312885</v>
      </c>
      <c r="F349" s="40">
        <v>4.0572234765130401E-5</v>
      </c>
      <c r="G349" s="35">
        <v>3.4426663750163101E-3</v>
      </c>
      <c r="H349" s="24" t="s">
        <v>10</v>
      </c>
      <c r="I349" s="24" t="s">
        <v>10</v>
      </c>
      <c r="J349" s="33" t="s">
        <v>10</v>
      </c>
      <c r="K349" s="33"/>
    </row>
    <row r="350" spans="1:16" x14ac:dyDescent="0.2">
      <c r="A350" s="35" t="s">
        <v>3460</v>
      </c>
      <c r="B350" s="35">
        <v>472.38808059319399</v>
      </c>
      <c r="C350" s="35">
        <v>-2.2131875449443599</v>
      </c>
      <c r="D350" s="35">
        <v>0.53946177561153896</v>
      </c>
      <c r="E350" s="35">
        <v>-4.10258454815538</v>
      </c>
      <c r="F350" s="40">
        <v>4.0856048277380598E-5</v>
      </c>
      <c r="G350" s="35">
        <v>3.4599109680739201E-3</v>
      </c>
      <c r="H350" s="29" t="s">
        <v>10</v>
      </c>
      <c r="I350" s="29" t="s">
        <v>10</v>
      </c>
      <c r="J350" s="33" t="s">
        <v>10</v>
      </c>
      <c r="K350" s="33"/>
    </row>
    <row r="351" spans="1:16" x14ac:dyDescent="0.2">
      <c r="A351" s="35" t="s">
        <v>3461</v>
      </c>
      <c r="B351" s="35">
        <v>255.00561113349099</v>
      </c>
      <c r="C351" s="35">
        <v>-2.14348067491937</v>
      </c>
      <c r="D351" s="35">
        <v>0.52272941404587903</v>
      </c>
      <c r="E351" s="35">
        <v>-4.1005549282735396</v>
      </c>
      <c r="F351" s="40">
        <v>4.1216058809760101E-5</v>
      </c>
      <c r="G351" s="35">
        <v>3.48352774217806E-3</v>
      </c>
      <c r="H351" s="29" t="s">
        <v>5229</v>
      </c>
      <c r="I351" s="24" t="s">
        <v>525</v>
      </c>
      <c r="J351" s="33" t="s">
        <v>10</v>
      </c>
      <c r="K351" s="33"/>
    </row>
    <row r="352" spans="1:16" x14ac:dyDescent="0.2">
      <c r="A352" s="35" t="s">
        <v>3462</v>
      </c>
      <c r="B352" s="35">
        <v>31.365053426013802</v>
      </c>
      <c r="C352" s="35">
        <v>-2.2327207794851498</v>
      </c>
      <c r="D352" s="35">
        <v>0.54528872015183905</v>
      </c>
      <c r="E352" s="35">
        <v>-4.0945662306446202</v>
      </c>
      <c r="F352" s="40">
        <v>4.2295949836777401E-5</v>
      </c>
      <c r="G352" s="35">
        <v>3.5642742967948102E-3</v>
      </c>
      <c r="H352" s="24" t="s">
        <v>10</v>
      </c>
      <c r="I352" s="24" t="s">
        <v>10</v>
      </c>
      <c r="J352" s="33" t="s">
        <v>10</v>
      </c>
      <c r="K352" s="33"/>
    </row>
    <row r="353" spans="1:11" x14ac:dyDescent="0.2">
      <c r="A353" s="35" t="s">
        <v>3463</v>
      </c>
      <c r="B353" s="35">
        <v>154.21873498504499</v>
      </c>
      <c r="C353" s="35">
        <v>-3.8679296625909201</v>
      </c>
      <c r="D353" s="35">
        <v>0.94533044386390597</v>
      </c>
      <c r="E353" s="35">
        <v>-4.0916165217120302</v>
      </c>
      <c r="F353" s="40">
        <v>4.2837660977201801E-5</v>
      </c>
      <c r="G353" s="35">
        <v>3.5958091747539502E-3</v>
      </c>
      <c r="H353" s="29" t="s">
        <v>10</v>
      </c>
      <c r="I353" s="24" t="s">
        <v>862</v>
      </c>
      <c r="J353" s="33" t="s">
        <v>10</v>
      </c>
      <c r="K353" s="33"/>
    </row>
    <row r="354" spans="1:11" x14ac:dyDescent="0.2">
      <c r="A354" s="35" t="s">
        <v>3464</v>
      </c>
      <c r="B354" s="35">
        <v>161.64226494120399</v>
      </c>
      <c r="C354" s="35">
        <v>-2.4935627854229101</v>
      </c>
      <c r="D354" s="35">
        <v>0.61009791599424201</v>
      </c>
      <c r="E354" s="35">
        <v>-4.0871517834301798</v>
      </c>
      <c r="F354" s="40">
        <v>4.3670142883952297E-5</v>
      </c>
      <c r="G354" s="35">
        <v>3.6478587933734099E-3</v>
      </c>
      <c r="H354" s="24" t="s">
        <v>10</v>
      </c>
      <c r="I354" s="24" t="s">
        <v>10</v>
      </c>
      <c r="J354" s="33" t="s">
        <v>10</v>
      </c>
      <c r="K354" s="33"/>
    </row>
    <row r="355" spans="1:11" x14ac:dyDescent="0.2">
      <c r="A355" s="35" t="s">
        <v>3465</v>
      </c>
      <c r="B355" s="35">
        <v>121.612632513382</v>
      </c>
      <c r="C355" s="35">
        <v>-2.32561064430661</v>
      </c>
      <c r="D355" s="35">
        <v>0.56967841738227598</v>
      </c>
      <c r="E355" s="35">
        <v>-4.0823218386840097</v>
      </c>
      <c r="F355" s="40">
        <v>4.4587991133514499E-5</v>
      </c>
      <c r="G355" s="35">
        <v>3.7029162346479899E-3</v>
      </c>
      <c r="H355" s="24" t="s">
        <v>10</v>
      </c>
      <c r="I355" s="24" t="s">
        <v>10</v>
      </c>
      <c r="J355" s="33" t="s">
        <v>10</v>
      </c>
      <c r="K355" s="33"/>
    </row>
    <row r="356" spans="1:11" x14ac:dyDescent="0.2">
      <c r="A356" s="35" t="s">
        <v>3466</v>
      </c>
      <c r="B356" s="35">
        <v>131.00167965484499</v>
      </c>
      <c r="C356" s="35">
        <v>-2.1832910617641201</v>
      </c>
      <c r="D356" s="35">
        <v>0.53489575618598095</v>
      </c>
      <c r="E356" s="35">
        <v>-4.0817131871298704</v>
      </c>
      <c r="F356" s="40">
        <v>4.4704944657330601E-5</v>
      </c>
      <c r="G356" s="35">
        <v>3.7090418383281501E-3</v>
      </c>
      <c r="H356" s="24" t="s">
        <v>10</v>
      </c>
      <c r="I356" s="24" t="s">
        <v>10</v>
      </c>
      <c r="J356" s="33" t="s">
        <v>10</v>
      </c>
      <c r="K356" s="33"/>
    </row>
    <row r="357" spans="1:11" x14ac:dyDescent="0.2">
      <c r="A357" s="35" t="s">
        <v>3467</v>
      </c>
      <c r="B357" s="35">
        <v>44.509283637121101</v>
      </c>
      <c r="C357" s="35">
        <v>-2.2521391329403899</v>
      </c>
      <c r="D357" s="35">
        <v>0.55187278332804901</v>
      </c>
      <c r="E357" s="35">
        <v>-4.0809027025376201</v>
      </c>
      <c r="F357" s="40">
        <v>4.4861132502007999E-5</v>
      </c>
      <c r="G357" s="35">
        <v>3.7184076342470398E-3</v>
      </c>
      <c r="H357" s="24" t="s">
        <v>10</v>
      </c>
      <c r="I357" s="24" t="s">
        <v>10</v>
      </c>
      <c r="J357" s="33" t="s">
        <v>10</v>
      </c>
      <c r="K357" s="33"/>
    </row>
    <row r="358" spans="1:11" x14ac:dyDescent="0.2">
      <c r="A358" s="35" t="s">
        <v>3468</v>
      </c>
      <c r="B358" s="35">
        <v>1006.37201249763</v>
      </c>
      <c r="C358" s="35">
        <v>-2.1197221300679101</v>
      </c>
      <c r="D358" s="35">
        <v>0.51951071144065797</v>
      </c>
      <c r="E358" s="35">
        <v>-4.0802279594769102</v>
      </c>
      <c r="F358" s="40">
        <v>4.4991556345353897E-5</v>
      </c>
      <c r="G358" s="35">
        <v>3.72562192375302E-3</v>
      </c>
      <c r="H358" s="24" t="s">
        <v>10</v>
      </c>
      <c r="I358" s="24" t="s">
        <v>10</v>
      </c>
      <c r="J358" s="33" t="s">
        <v>10</v>
      </c>
      <c r="K358" s="33"/>
    </row>
    <row r="359" spans="1:11" x14ac:dyDescent="0.2">
      <c r="A359" s="35" t="s">
        <v>3469</v>
      </c>
      <c r="B359" s="35">
        <v>30.564314033475501</v>
      </c>
      <c r="C359" s="35">
        <v>-4.0319050223919204</v>
      </c>
      <c r="D359" s="35">
        <v>0.98902531058185195</v>
      </c>
      <c r="E359" s="35">
        <v>-4.0766449344151896</v>
      </c>
      <c r="F359" s="40">
        <v>4.5690180617024502E-5</v>
      </c>
      <c r="G359" s="35">
        <v>3.77255913438896E-3</v>
      </c>
      <c r="H359" s="24" t="s">
        <v>10</v>
      </c>
      <c r="I359" s="24" t="s">
        <v>10</v>
      </c>
      <c r="J359" s="33" t="s">
        <v>10</v>
      </c>
      <c r="K359" s="33"/>
    </row>
    <row r="360" spans="1:11" x14ac:dyDescent="0.2">
      <c r="A360" s="35" t="s">
        <v>3470</v>
      </c>
      <c r="B360" s="35">
        <v>26.296522447199699</v>
      </c>
      <c r="C360" s="35">
        <v>-3.0917792459227802</v>
      </c>
      <c r="D360" s="35">
        <v>0.759238674617988</v>
      </c>
      <c r="E360" s="35">
        <v>-4.07220989826211</v>
      </c>
      <c r="F360" s="40">
        <v>4.6569183672053099E-5</v>
      </c>
      <c r="G360" s="35">
        <v>3.8377565941486299E-3</v>
      </c>
      <c r="H360" s="24" t="s">
        <v>10</v>
      </c>
      <c r="I360" s="24" t="s">
        <v>10</v>
      </c>
      <c r="J360" s="33" t="s">
        <v>10</v>
      </c>
      <c r="K360" s="33"/>
    </row>
    <row r="361" spans="1:11" x14ac:dyDescent="0.2">
      <c r="A361" s="35" t="s">
        <v>3471</v>
      </c>
      <c r="B361" s="35">
        <v>296.97665011391302</v>
      </c>
      <c r="C361" s="35">
        <v>-2.0285662299142402</v>
      </c>
      <c r="D361" s="35">
        <v>0.49880742568271602</v>
      </c>
      <c r="E361" s="35">
        <v>-4.0668324597168004</v>
      </c>
      <c r="F361" s="40">
        <v>4.7656479276150003E-5</v>
      </c>
      <c r="G361" s="35">
        <v>3.9198367164006501E-3</v>
      </c>
      <c r="H361" s="24" t="s">
        <v>1604</v>
      </c>
      <c r="I361" s="24" t="s">
        <v>3931</v>
      </c>
      <c r="J361" s="30" t="s">
        <v>10</v>
      </c>
      <c r="K361" s="33"/>
    </row>
    <row r="362" spans="1:11" x14ac:dyDescent="0.2">
      <c r="A362" s="35" t="s">
        <v>3472</v>
      </c>
      <c r="B362" s="35">
        <v>31.619562141928299</v>
      </c>
      <c r="C362" s="35">
        <v>-4.5239652903365704</v>
      </c>
      <c r="D362" s="35">
        <v>1.1141988329208199</v>
      </c>
      <c r="E362" s="35">
        <v>-4.0602854326073903</v>
      </c>
      <c r="F362" s="40">
        <v>4.9012761160064202E-5</v>
      </c>
      <c r="G362" s="35">
        <v>4.0121780872982597E-3</v>
      </c>
      <c r="H362" s="24" t="s">
        <v>10</v>
      </c>
      <c r="I362" s="24" t="s">
        <v>10</v>
      </c>
      <c r="J362" s="33" t="s">
        <v>10</v>
      </c>
      <c r="K362" s="33"/>
    </row>
    <row r="363" spans="1:11" x14ac:dyDescent="0.2">
      <c r="A363" s="35" t="s">
        <v>3473</v>
      </c>
      <c r="B363" s="35">
        <v>26.946255562711599</v>
      </c>
      <c r="C363" s="35">
        <v>-3.0860896422609501</v>
      </c>
      <c r="D363" s="35">
        <v>0.76067048746149002</v>
      </c>
      <c r="E363" s="35">
        <v>-4.05706504081662</v>
      </c>
      <c r="F363" s="40">
        <v>4.9693246704441598E-5</v>
      </c>
      <c r="G363" s="35">
        <v>4.0562821176398298E-3</v>
      </c>
      <c r="H363" s="24" t="s">
        <v>10</v>
      </c>
      <c r="I363" s="24" t="s">
        <v>10</v>
      </c>
      <c r="J363" s="33" t="s">
        <v>10</v>
      </c>
      <c r="K363" s="33"/>
    </row>
    <row r="364" spans="1:11" x14ac:dyDescent="0.2">
      <c r="A364" s="35" t="s">
        <v>3474</v>
      </c>
      <c r="B364" s="35">
        <v>39.6839191678988</v>
      </c>
      <c r="C364" s="35">
        <v>-2.1075496525321502</v>
      </c>
      <c r="D364" s="35">
        <v>0.51988212038543102</v>
      </c>
      <c r="E364" s="35">
        <v>-4.0538990857574699</v>
      </c>
      <c r="F364" s="40">
        <v>5.0370952348396697E-5</v>
      </c>
      <c r="G364" s="35">
        <v>4.1037989080732204E-3</v>
      </c>
      <c r="H364" s="24" t="s">
        <v>1381</v>
      </c>
      <c r="I364" s="24" t="s">
        <v>3909</v>
      </c>
      <c r="J364" s="33" t="s">
        <v>10</v>
      </c>
      <c r="K364" s="33"/>
    </row>
    <row r="365" spans="1:11" x14ac:dyDescent="0.2">
      <c r="A365" s="35" t="s">
        <v>3475</v>
      </c>
      <c r="B365" s="35">
        <v>66.774564569820896</v>
      </c>
      <c r="C365" s="35">
        <v>-2.5667971636368399</v>
      </c>
      <c r="D365" s="35">
        <v>0.63365063154386103</v>
      </c>
      <c r="E365" s="35">
        <v>-4.0508081833406502</v>
      </c>
      <c r="F365" s="40">
        <v>5.1041036595885401E-5</v>
      </c>
      <c r="G365" s="35">
        <v>4.1426699938802202E-3</v>
      </c>
      <c r="H365" s="24" t="s">
        <v>10</v>
      </c>
      <c r="I365" s="24" t="s">
        <v>10</v>
      </c>
      <c r="J365" s="33" t="s">
        <v>10</v>
      </c>
      <c r="K365" s="33"/>
    </row>
    <row r="366" spans="1:11" x14ac:dyDescent="0.2">
      <c r="A366" s="35" t="s">
        <v>3476</v>
      </c>
      <c r="B366" s="35">
        <v>185.223193892832</v>
      </c>
      <c r="C366" s="35">
        <v>-4.3400006296675002</v>
      </c>
      <c r="D366" s="35">
        <v>1.07218781370898</v>
      </c>
      <c r="E366" s="35">
        <v>-4.0477988783087397</v>
      </c>
      <c r="F366" s="40">
        <v>5.1701541559140101E-5</v>
      </c>
      <c r="G366" s="35">
        <v>4.1804737054848603E-3</v>
      </c>
      <c r="H366" s="24" t="s">
        <v>3830</v>
      </c>
      <c r="I366" s="24" t="s">
        <v>1005</v>
      </c>
      <c r="J366" s="33" t="s">
        <v>10</v>
      </c>
      <c r="K366" s="33"/>
    </row>
    <row r="367" spans="1:11" x14ac:dyDescent="0.2">
      <c r="A367" s="35" t="s">
        <v>3477</v>
      </c>
      <c r="B367" s="35">
        <v>85.362226427009404</v>
      </c>
      <c r="C367" s="35">
        <v>-2.14525732216446</v>
      </c>
      <c r="D367" s="35">
        <v>0.53027959456840101</v>
      </c>
      <c r="E367" s="35">
        <v>-4.0455211630583303</v>
      </c>
      <c r="F367" s="40">
        <v>5.2206848841860897E-5</v>
      </c>
      <c r="G367" s="35">
        <v>4.2094406731450103E-3</v>
      </c>
      <c r="H367" s="24" t="s">
        <v>1340</v>
      </c>
      <c r="I367" s="24" t="s">
        <v>401</v>
      </c>
      <c r="J367" s="33" t="s">
        <v>4053</v>
      </c>
      <c r="K367" s="33"/>
    </row>
    <row r="368" spans="1:11" x14ac:dyDescent="0.2">
      <c r="A368" s="35" t="s">
        <v>3478</v>
      </c>
      <c r="B368" s="35">
        <v>255.87199929519701</v>
      </c>
      <c r="C368" s="35">
        <v>-3.2785319672232598</v>
      </c>
      <c r="D368" s="35">
        <v>0.81068740391146699</v>
      </c>
      <c r="E368" s="35">
        <v>-4.0441382848737302</v>
      </c>
      <c r="F368" s="40">
        <v>5.2515917562663803E-5</v>
      </c>
      <c r="G368" s="35">
        <v>4.2224666264265003E-3</v>
      </c>
      <c r="H368" s="24" t="s">
        <v>10</v>
      </c>
      <c r="I368" s="24" t="s">
        <v>10</v>
      </c>
      <c r="J368" s="33" t="s">
        <v>10</v>
      </c>
      <c r="K368" s="33"/>
    </row>
    <row r="369" spans="1:11" x14ac:dyDescent="0.2">
      <c r="A369" s="35" t="s">
        <v>3479</v>
      </c>
      <c r="B369" s="35">
        <v>40.527590974349302</v>
      </c>
      <c r="C369" s="35">
        <v>-2.8512396180785098</v>
      </c>
      <c r="D369" s="35">
        <v>0.70524396590070104</v>
      </c>
      <c r="E369" s="35">
        <v>-4.0429124614161802</v>
      </c>
      <c r="F369" s="40">
        <v>5.2791334000918797E-5</v>
      </c>
      <c r="G369" s="35">
        <v>4.23667723550739E-3</v>
      </c>
      <c r="H369" s="24" t="s">
        <v>3826</v>
      </c>
      <c r="I369" s="24" t="s">
        <v>3911</v>
      </c>
      <c r="J369" s="33" t="s">
        <v>10</v>
      </c>
      <c r="K369" s="33"/>
    </row>
    <row r="370" spans="1:11" x14ac:dyDescent="0.2">
      <c r="A370" s="35" t="s">
        <v>3480</v>
      </c>
      <c r="B370" s="35">
        <v>473.32723519204302</v>
      </c>
      <c r="C370" s="35">
        <v>-2.33070383851318</v>
      </c>
      <c r="D370" s="35">
        <v>0.57666920450901604</v>
      </c>
      <c r="E370" s="35">
        <v>-4.0416651700650004</v>
      </c>
      <c r="F370" s="40">
        <v>5.3072978334323401E-5</v>
      </c>
      <c r="G370" s="35">
        <v>4.2513336964054901E-3</v>
      </c>
      <c r="H370" s="24" t="s">
        <v>10</v>
      </c>
      <c r="I370" s="24" t="s">
        <v>10</v>
      </c>
      <c r="J370" s="33" t="s">
        <v>10</v>
      </c>
      <c r="K370" s="33"/>
    </row>
    <row r="371" spans="1:11" x14ac:dyDescent="0.2">
      <c r="A371" s="35" t="s">
        <v>3481</v>
      </c>
      <c r="B371" s="35">
        <v>125.90118108964</v>
      </c>
      <c r="C371" s="35">
        <v>-3.1838745569192701</v>
      </c>
      <c r="D371" s="35">
        <v>0.78826694098332994</v>
      </c>
      <c r="E371" s="35">
        <v>-4.0390816757423798</v>
      </c>
      <c r="F371" s="40">
        <v>5.3660878789737998E-5</v>
      </c>
      <c r="G371" s="35">
        <v>4.2904220880387303E-3</v>
      </c>
      <c r="H371" s="24" t="s">
        <v>2619</v>
      </c>
      <c r="I371" s="24" t="s">
        <v>4007</v>
      </c>
      <c r="J371" s="33" t="s">
        <v>10</v>
      </c>
      <c r="K371" s="33"/>
    </row>
    <row r="372" spans="1:11" x14ac:dyDescent="0.2">
      <c r="A372" s="35" t="s">
        <v>3482</v>
      </c>
      <c r="B372" s="35">
        <v>127.993632886444</v>
      </c>
      <c r="C372" s="35">
        <v>-2.84284534527555</v>
      </c>
      <c r="D372" s="35">
        <v>0.70421517746510498</v>
      </c>
      <c r="E372" s="35">
        <v>-4.0368987154021001</v>
      </c>
      <c r="F372" s="40">
        <v>5.4162438038929803E-5</v>
      </c>
      <c r="G372" s="35">
        <v>4.3224746439042196E-3</v>
      </c>
      <c r="H372" s="24" t="s">
        <v>3156</v>
      </c>
      <c r="I372" s="24" t="s">
        <v>3954</v>
      </c>
      <c r="J372" s="33" t="s">
        <v>4063</v>
      </c>
      <c r="K372" s="33"/>
    </row>
    <row r="373" spans="1:11" x14ac:dyDescent="0.2">
      <c r="A373" s="45" t="s">
        <v>3483</v>
      </c>
      <c r="B373" s="45">
        <v>37.063234387675301</v>
      </c>
      <c r="C373" s="45">
        <v>-2.51619579478945</v>
      </c>
      <c r="D373" s="45">
        <v>0.62348145515249098</v>
      </c>
      <c r="E373" s="45">
        <v>-4.0357187435094497</v>
      </c>
      <c r="F373" s="46">
        <v>5.4435395682426999E-5</v>
      </c>
      <c r="G373" s="45">
        <v>4.3402245707016597E-3</v>
      </c>
      <c r="H373" s="47" t="s">
        <v>3093</v>
      </c>
      <c r="I373" s="47" t="s">
        <v>3131</v>
      </c>
      <c r="J373" s="49" t="s">
        <v>10</v>
      </c>
      <c r="K373" s="33"/>
    </row>
    <row r="374" spans="1:11" x14ac:dyDescent="0.2">
      <c r="A374" s="35" t="s">
        <v>3484</v>
      </c>
      <c r="B374" s="35">
        <v>42.134551260796997</v>
      </c>
      <c r="C374" s="35">
        <v>-2.2495144037350201</v>
      </c>
      <c r="D374" s="35">
        <v>0.55786826515619803</v>
      </c>
      <c r="E374" s="35">
        <v>-4.0323397910171099</v>
      </c>
      <c r="F374" s="40">
        <v>5.52242614326602E-5</v>
      </c>
      <c r="G374" s="35">
        <v>4.3868293741757304E-3</v>
      </c>
      <c r="H374" s="24" t="s">
        <v>10</v>
      </c>
      <c r="I374" s="24" t="s">
        <v>10</v>
      </c>
      <c r="J374" s="30" t="s">
        <v>10</v>
      </c>
      <c r="K374" s="33"/>
    </row>
    <row r="375" spans="1:11" x14ac:dyDescent="0.2">
      <c r="A375" s="45" t="s">
        <v>3485</v>
      </c>
      <c r="B375" s="45">
        <v>18.261883240617198</v>
      </c>
      <c r="C375" s="45">
        <v>-4.1259657011843096</v>
      </c>
      <c r="D375" s="45">
        <v>1.0239376217736</v>
      </c>
      <c r="E375" s="45">
        <v>-4.0295088425773198</v>
      </c>
      <c r="F375" s="46">
        <v>5.5893513429794002E-5</v>
      </c>
      <c r="G375" s="45">
        <v>4.4317930671558996E-3</v>
      </c>
      <c r="H375" s="47" t="s">
        <v>84</v>
      </c>
      <c r="I375" s="47" t="s">
        <v>86</v>
      </c>
      <c r="J375" s="49" t="s">
        <v>10</v>
      </c>
      <c r="K375" s="33"/>
    </row>
    <row r="376" spans="1:11" x14ac:dyDescent="0.2">
      <c r="A376" s="35" t="s">
        <v>3486</v>
      </c>
      <c r="B376" s="35">
        <v>47.322663335862302</v>
      </c>
      <c r="C376" s="35">
        <v>-2.0209281449645702</v>
      </c>
      <c r="D376" s="35">
        <v>0.50321649723079898</v>
      </c>
      <c r="E376" s="35">
        <v>-4.0160212474863997</v>
      </c>
      <c r="F376" s="40">
        <v>5.9188921748837098E-5</v>
      </c>
      <c r="G376" s="35">
        <v>4.6501481239655902E-3</v>
      </c>
      <c r="H376" s="24" t="s">
        <v>10</v>
      </c>
      <c r="I376" s="24" t="s">
        <v>10</v>
      </c>
      <c r="J376" s="30" t="s">
        <v>10</v>
      </c>
      <c r="K376" s="33"/>
    </row>
    <row r="377" spans="1:11" x14ac:dyDescent="0.2">
      <c r="A377" s="45" t="s">
        <v>3487</v>
      </c>
      <c r="B377" s="45">
        <v>34.104693662627199</v>
      </c>
      <c r="C377" s="45">
        <v>-2.3118071880653002</v>
      </c>
      <c r="D377" s="45">
        <v>0.57669698017191295</v>
      </c>
      <c r="E377" s="45">
        <v>-4.0087034743552001</v>
      </c>
      <c r="F377" s="46">
        <v>6.1053020741725598E-5</v>
      </c>
      <c r="G377" s="45">
        <v>4.77911024987486E-3</v>
      </c>
      <c r="H377" s="47" t="s">
        <v>3093</v>
      </c>
      <c r="I377" s="47" t="s">
        <v>3131</v>
      </c>
      <c r="J377" s="49" t="s">
        <v>10</v>
      </c>
      <c r="K377" s="33"/>
    </row>
    <row r="378" spans="1:11" x14ac:dyDescent="0.2">
      <c r="A378" s="35" t="s">
        <v>3488</v>
      </c>
      <c r="B378" s="35">
        <v>17.507803617859501</v>
      </c>
      <c r="C378" s="35">
        <v>-3.86804110492871</v>
      </c>
      <c r="D378" s="35">
        <v>0.96498843124547595</v>
      </c>
      <c r="E378" s="35">
        <v>-4.0083808050800904</v>
      </c>
      <c r="F378" s="40">
        <v>6.1136482357210007E-5</v>
      </c>
      <c r="G378" s="35">
        <v>4.78128495127139E-3</v>
      </c>
      <c r="H378" s="24" t="s">
        <v>10</v>
      </c>
      <c r="I378" s="24" t="s">
        <v>10</v>
      </c>
      <c r="J378" s="30" t="s">
        <v>10</v>
      </c>
      <c r="K378" s="33"/>
    </row>
    <row r="379" spans="1:11" x14ac:dyDescent="0.2">
      <c r="A379" s="35" t="s">
        <v>3489</v>
      </c>
      <c r="B379" s="35">
        <v>18.043610641579502</v>
      </c>
      <c r="C379" s="35">
        <v>-5.7100917693598099</v>
      </c>
      <c r="D379" s="35">
        <v>1.42490812442962</v>
      </c>
      <c r="E379" s="35">
        <v>-4.0073403130082701</v>
      </c>
      <c r="F379" s="40">
        <v>6.1406352395018305E-5</v>
      </c>
      <c r="G379" s="35">
        <v>4.7980208248522499E-3</v>
      </c>
      <c r="H379" s="24" t="s">
        <v>10</v>
      </c>
      <c r="I379" s="24" t="s">
        <v>10</v>
      </c>
      <c r="J379" s="30" t="s">
        <v>10</v>
      </c>
      <c r="K379" s="33"/>
    </row>
    <row r="380" spans="1:11" x14ac:dyDescent="0.2">
      <c r="A380" s="35" t="s">
        <v>3490</v>
      </c>
      <c r="B380" s="35">
        <v>2831.7264929541502</v>
      </c>
      <c r="C380" s="35">
        <v>-2.3860233040144401</v>
      </c>
      <c r="D380" s="35">
        <v>0.59574310530313201</v>
      </c>
      <c r="E380" s="35">
        <v>-4.0051211382469196</v>
      </c>
      <c r="F380" s="40">
        <v>6.1985707372954506E-5</v>
      </c>
      <c r="G380" s="35">
        <v>4.8291521134353997E-3</v>
      </c>
      <c r="H380" s="24" t="s">
        <v>3855</v>
      </c>
      <c r="I380" s="24" t="s">
        <v>3975</v>
      </c>
      <c r="J380" s="30" t="s">
        <v>10</v>
      </c>
      <c r="K380" s="33"/>
    </row>
    <row r="381" spans="1:11" x14ac:dyDescent="0.2">
      <c r="A381" s="45" t="s">
        <v>3491</v>
      </c>
      <c r="B381" s="45">
        <v>598.51319037415499</v>
      </c>
      <c r="C381" s="45">
        <v>-3.4577273116898399</v>
      </c>
      <c r="D381" s="45">
        <v>0.86391055016073104</v>
      </c>
      <c r="E381" s="45">
        <v>-4.0024135728479404</v>
      </c>
      <c r="F381" s="46">
        <v>6.2699574702432796E-5</v>
      </c>
      <c r="G381" s="45">
        <v>4.8680607407528102E-3</v>
      </c>
      <c r="H381" s="47" t="s">
        <v>84</v>
      </c>
      <c r="I381" s="47" t="s">
        <v>86</v>
      </c>
      <c r="J381" s="49" t="s">
        <v>10</v>
      </c>
      <c r="K381" s="33"/>
    </row>
    <row r="382" spans="1:11" x14ac:dyDescent="0.2">
      <c r="A382" s="35" t="s">
        <v>3492</v>
      </c>
      <c r="B382" s="35">
        <v>94.4045623339548</v>
      </c>
      <c r="C382" s="35">
        <v>-2.3161953114168901</v>
      </c>
      <c r="D382" s="35">
        <v>0.57929576285802498</v>
      </c>
      <c r="E382" s="35">
        <v>-3.9982949296740302</v>
      </c>
      <c r="F382" s="40">
        <v>6.3800423201154898E-5</v>
      </c>
      <c r="G382" s="35">
        <v>4.9433309812385896E-3</v>
      </c>
      <c r="H382" s="24" t="s">
        <v>3841</v>
      </c>
      <c r="I382" s="24" t="s">
        <v>3939</v>
      </c>
      <c r="J382" s="33" t="s">
        <v>4055</v>
      </c>
      <c r="K382" s="33"/>
    </row>
    <row r="383" spans="1:11" x14ac:dyDescent="0.2">
      <c r="A383" s="35" t="s">
        <v>3493</v>
      </c>
      <c r="B383" s="35">
        <v>163.26831461671901</v>
      </c>
      <c r="C383" s="35">
        <v>-2.8653712035579701</v>
      </c>
      <c r="D383" s="35">
        <v>0.71697028366452198</v>
      </c>
      <c r="E383" s="35">
        <v>-3.9964992536548598</v>
      </c>
      <c r="F383" s="40">
        <v>6.4286084287275497E-5</v>
      </c>
      <c r="G383" s="35">
        <v>4.96877618706808E-3</v>
      </c>
      <c r="H383" s="29" t="s">
        <v>10</v>
      </c>
      <c r="I383" s="24" t="s">
        <v>4029</v>
      </c>
      <c r="J383" s="30" t="s">
        <v>10</v>
      </c>
      <c r="K383" s="33"/>
    </row>
    <row r="384" spans="1:11" x14ac:dyDescent="0.2">
      <c r="A384" s="35" t="s">
        <v>3494</v>
      </c>
      <c r="B384" s="35">
        <v>200.09771136925801</v>
      </c>
      <c r="C384" s="35">
        <v>-2.6177669184725598</v>
      </c>
      <c r="D384" s="35">
        <v>0.65507386502913301</v>
      </c>
      <c r="E384" s="35">
        <v>-3.9961400663666198</v>
      </c>
      <c r="F384" s="40">
        <v>6.43836496500694E-5</v>
      </c>
      <c r="G384" s="35">
        <v>4.9718420675369697E-3</v>
      </c>
      <c r="H384" s="24" t="s">
        <v>10</v>
      </c>
      <c r="I384" s="24" t="s">
        <v>10</v>
      </c>
      <c r="J384" s="33" t="s">
        <v>10</v>
      </c>
      <c r="K384" s="33"/>
    </row>
    <row r="385" spans="1:11" x14ac:dyDescent="0.2">
      <c r="A385" s="35" t="s">
        <v>3495</v>
      </c>
      <c r="B385" s="35">
        <v>51.829243728494603</v>
      </c>
      <c r="C385" s="35">
        <v>-2.7971605425919099</v>
      </c>
      <c r="D385" s="35">
        <v>0.700171506419488</v>
      </c>
      <c r="E385" s="35">
        <v>-3.9949648292543798</v>
      </c>
      <c r="F385" s="40">
        <v>6.4703857498022398E-5</v>
      </c>
      <c r="G385" s="35">
        <v>4.9786603469647696E-3</v>
      </c>
      <c r="H385" s="24" t="s">
        <v>10</v>
      </c>
      <c r="I385" s="24" t="s">
        <v>10</v>
      </c>
      <c r="J385" s="33" t="s">
        <v>10</v>
      </c>
      <c r="K385" s="33"/>
    </row>
    <row r="386" spans="1:11" x14ac:dyDescent="0.2">
      <c r="A386" s="35" t="s">
        <v>3496</v>
      </c>
      <c r="B386" s="35">
        <v>99.873060410644598</v>
      </c>
      <c r="C386" s="35">
        <v>-2.4691539352274399</v>
      </c>
      <c r="D386" s="35">
        <v>0.61866252106918196</v>
      </c>
      <c r="E386" s="35">
        <v>-3.99111607886026</v>
      </c>
      <c r="F386" s="40">
        <v>6.5763080517462598E-5</v>
      </c>
      <c r="G386" s="35">
        <v>5.0514337187102304E-3</v>
      </c>
      <c r="H386" s="24" t="s">
        <v>10</v>
      </c>
      <c r="I386" s="24" t="s">
        <v>10</v>
      </c>
      <c r="J386" s="33" t="s">
        <v>10</v>
      </c>
      <c r="K386" s="33"/>
    </row>
    <row r="387" spans="1:11" x14ac:dyDescent="0.2">
      <c r="A387" s="35" t="s">
        <v>3497</v>
      </c>
      <c r="B387" s="35">
        <v>139.68236527634801</v>
      </c>
      <c r="C387" s="35">
        <v>-2.3464100512966599</v>
      </c>
      <c r="D387" s="35">
        <v>0.58791048085979802</v>
      </c>
      <c r="E387" s="35">
        <v>-3.9911009034319598</v>
      </c>
      <c r="F387" s="40">
        <v>6.5767289277148794E-5</v>
      </c>
      <c r="G387" s="35">
        <v>5.0514337187102304E-3</v>
      </c>
      <c r="H387" s="24" t="s">
        <v>10</v>
      </c>
      <c r="I387" s="24" t="s">
        <v>10</v>
      </c>
      <c r="J387" s="33" t="s">
        <v>10</v>
      </c>
      <c r="K387" s="33"/>
    </row>
    <row r="388" spans="1:11" x14ac:dyDescent="0.2">
      <c r="A388" s="35" t="s">
        <v>3498</v>
      </c>
      <c r="B388" s="35">
        <v>52.518639414965499</v>
      </c>
      <c r="C388" s="35">
        <v>-4.7891722160794004</v>
      </c>
      <c r="D388" s="35">
        <v>1.2006660860309699</v>
      </c>
      <c r="E388" s="35">
        <v>-3.9887627974159998</v>
      </c>
      <c r="F388" s="40">
        <v>6.6418794703103996E-5</v>
      </c>
      <c r="G388" s="35">
        <v>5.0878218732829999E-3</v>
      </c>
      <c r="H388" s="24" t="s">
        <v>10</v>
      </c>
      <c r="I388" s="24" t="s">
        <v>10</v>
      </c>
      <c r="J388" s="33" t="s">
        <v>10</v>
      </c>
      <c r="K388" s="33"/>
    </row>
    <row r="389" spans="1:11" x14ac:dyDescent="0.2">
      <c r="A389" s="35" t="s">
        <v>3499</v>
      </c>
      <c r="B389" s="35">
        <v>32.337105602780099</v>
      </c>
      <c r="C389" s="35">
        <v>-2.1561763906995299</v>
      </c>
      <c r="D389" s="35">
        <v>0.54100372558473997</v>
      </c>
      <c r="E389" s="35">
        <v>-3.9855111688353899</v>
      </c>
      <c r="F389" s="40">
        <v>6.7335009727285402E-5</v>
      </c>
      <c r="G389" s="35">
        <v>5.1396663291482002E-3</v>
      </c>
      <c r="H389" s="24" t="s">
        <v>10</v>
      </c>
      <c r="I389" s="24" t="s">
        <v>10</v>
      </c>
      <c r="J389" s="33" t="s">
        <v>10</v>
      </c>
      <c r="K389" s="33"/>
    </row>
    <row r="390" spans="1:11" x14ac:dyDescent="0.2">
      <c r="A390" s="35" t="s">
        <v>3500</v>
      </c>
      <c r="B390" s="35">
        <v>60.683277835870797</v>
      </c>
      <c r="C390" s="35">
        <v>-4.72327149093441</v>
      </c>
      <c r="D390" s="35">
        <v>1.18842124185352</v>
      </c>
      <c r="E390" s="35">
        <v>-3.9744085048225699</v>
      </c>
      <c r="F390" s="40">
        <v>7.0554377755670104E-5</v>
      </c>
      <c r="G390" s="35">
        <v>5.3379515174071801E-3</v>
      </c>
      <c r="H390" s="24" t="s">
        <v>10</v>
      </c>
      <c r="I390" s="24" t="s">
        <v>10</v>
      </c>
      <c r="J390" s="33" t="s">
        <v>10</v>
      </c>
      <c r="K390" s="33"/>
    </row>
    <row r="391" spans="1:11" x14ac:dyDescent="0.2">
      <c r="A391" s="35" t="s">
        <v>3501</v>
      </c>
      <c r="B391" s="35">
        <v>641.53787375862805</v>
      </c>
      <c r="C391" s="35">
        <v>-3.2854908522510899</v>
      </c>
      <c r="D391" s="35">
        <v>0.82860170649349896</v>
      </c>
      <c r="E391" s="35">
        <v>-3.9651026862528802</v>
      </c>
      <c r="F391" s="40">
        <v>7.3364357550112806E-5</v>
      </c>
      <c r="G391" s="35">
        <v>5.5213591123450803E-3</v>
      </c>
      <c r="H391" s="24" t="s">
        <v>10</v>
      </c>
      <c r="I391" s="24" t="s">
        <v>10</v>
      </c>
      <c r="J391" s="33" t="s">
        <v>10</v>
      </c>
      <c r="K391" s="33"/>
    </row>
    <row r="392" spans="1:11" x14ac:dyDescent="0.2">
      <c r="A392" s="35" t="s">
        <v>3502</v>
      </c>
      <c r="B392" s="35">
        <v>44.003425856334502</v>
      </c>
      <c r="C392" s="35">
        <v>-3.6194292103896499</v>
      </c>
      <c r="D392" s="35">
        <v>0.914321239904201</v>
      </c>
      <c r="E392" s="35">
        <v>-3.9585968830483198</v>
      </c>
      <c r="F392" s="40">
        <v>7.5391358964247795E-5</v>
      </c>
      <c r="G392" s="35">
        <v>5.6344050353515501E-3</v>
      </c>
      <c r="H392" s="29" t="s">
        <v>10</v>
      </c>
      <c r="I392" s="24" t="s">
        <v>3925</v>
      </c>
      <c r="J392" s="33" t="s">
        <v>10</v>
      </c>
      <c r="K392" s="33"/>
    </row>
    <row r="393" spans="1:11" x14ac:dyDescent="0.2">
      <c r="A393" s="35" t="s">
        <v>3503</v>
      </c>
      <c r="B393" s="35">
        <v>58.548389966619297</v>
      </c>
      <c r="C393" s="35">
        <v>-2.98033098923363</v>
      </c>
      <c r="D393" s="35">
        <v>0.75318038694754197</v>
      </c>
      <c r="E393" s="35">
        <v>-3.9569949521816201</v>
      </c>
      <c r="F393" s="40">
        <v>7.5898534011001296E-5</v>
      </c>
      <c r="G393" s="35">
        <v>5.6624526620840101E-3</v>
      </c>
      <c r="H393" s="24" t="s">
        <v>10</v>
      </c>
      <c r="I393" s="24" t="s">
        <v>10</v>
      </c>
      <c r="J393" s="33" t="s">
        <v>10</v>
      </c>
      <c r="K393" s="33"/>
    </row>
    <row r="394" spans="1:11" x14ac:dyDescent="0.2">
      <c r="A394" s="45" t="s">
        <v>3504</v>
      </c>
      <c r="B394" s="45">
        <v>214.01823761</v>
      </c>
      <c r="C394" s="45">
        <v>-2.7699618676833602</v>
      </c>
      <c r="D394" s="45">
        <v>0.70099261062379203</v>
      </c>
      <c r="E394" s="45">
        <v>-3.9514851165384601</v>
      </c>
      <c r="F394" s="46">
        <v>7.7667703301435997E-5</v>
      </c>
      <c r="G394" s="45">
        <v>5.75941567374578E-3</v>
      </c>
      <c r="H394" s="47" t="s">
        <v>3093</v>
      </c>
      <c r="I394" s="47" t="s">
        <v>3131</v>
      </c>
      <c r="J394" s="50" t="s">
        <v>10</v>
      </c>
      <c r="K394" s="33"/>
    </row>
    <row r="395" spans="1:11" x14ac:dyDescent="0.2">
      <c r="A395" s="35" t="s">
        <v>3505</v>
      </c>
      <c r="B395" s="35">
        <v>57.201237807437401</v>
      </c>
      <c r="C395" s="35">
        <v>-7.42157938791724</v>
      </c>
      <c r="D395" s="35">
        <v>1.8805317656110501</v>
      </c>
      <c r="E395" s="35">
        <v>-3.9465323179508802</v>
      </c>
      <c r="F395" s="40">
        <v>7.9291223423906299E-5</v>
      </c>
      <c r="G395" s="35">
        <v>5.8378837503025201E-3</v>
      </c>
      <c r="H395" s="24" t="s">
        <v>10</v>
      </c>
      <c r="I395" s="24" t="s">
        <v>10</v>
      </c>
      <c r="J395" s="33" t="s">
        <v>10</v>
      </c>
      <c r="K395" s="33"/>
    </row>
    <row r="396" spans="1:11" x14ac:dyDescent="0.2">
      <c r="A396" s="35" t="s">
        <v>3506</v>
      </c>
      <c r="B396" s="35">
        <v>515.715007477374</v>
      </c>
      <c r="C396" s="35">
        <v>-2.19790008702594</v>
      </c>
      <c r="D396" s="35">
        <v>0.55716765663728496</v>
      </c>
      <c r="E396" s="35">
        <v>-3.9447732847435599</v>
      </c>
      <c r="F396" s="40">
        <v>7.9875513411230403E-5</v>
      </c>
      <c r="G396" s="35">
        <v>5.8724231268285701E-3</v>
      </c>
      <c r="H396" s="24" t="s">
        <v>3866</v>
      </c>
      <c r="I396" s="24" t="s">
        <v>3998</v>
      </c>
      <c r="J396" s="33" t="s">
        <v>4096</v>
      </c>
      <c r="K396" s="33"/>
    </row>
    <row r="397" spans="1:11" x14ac:dyDescent="0.2">
      <c r="A397" s="35" t="s">
        <v>3507</v>
      </c>
      <c r="B397" s="35">
        <v>514.32497256764702</v>
      </c>
      <c r="C397" s="35">
        <v>-2.5066997206216199</v>
      </c>
      <c r="D397" s="35">
        <v>0.63568186041279595</v>
      </c>
      <c r="E397" s="35">
        <v>-3.9433242895964198</v>
      </c>
      <c r="F397" s="40">
        <v>8.0359874352451898E-5</v>
      </c>
      <c r="G397" s="35">
        <v>5.8979339918969198E-3</v>
      </c>
      <c r="H397" s="29" t="s">
        <v>10</v>
      </c>
      <c r="I397" s="29" t="s">
        <v>4216</v>
      </c>
      <c r="J397" s="30" t="s">
        <v>10</v>
      </c>
      <c r="K397" s="33"/>
    </row>
    <row r="398" spans="1:11" x14ac:dyDescent="0.2">
      <c r="A398" s="35" t="s">
        <v>3508</v>
      </c>
      <c r="B398" s="35">
        <v>51.046635885742297</v>
      </c>
      <c r="C398" s="35">
        <v>-9.0233431658627001</v>
      </c>
      <c r="D398" s="35">
        <v>2.2892122736701599</v>
      </c>
      <c r="E398" s="35">
        <v>-3.9416804066824702</v>
      </c>
      <c r="F398" s="40">
        <v>8.0912742495744901E-5</v>
      </c>
      <c r="G398" s="35">
        <v>5.9306742248561696E-3</v>
      </c>
      <c r="H398" s="24" t="s">
        <v>10</v>
      </c>
      <c r="I398" s="24" t="s">
        <v>10</v>
      </c>
      <c r="J398" s="33" t="s">
        <v>10</v>
      </c>
      <c r="K398" s="33"/>
    </row>
    <row r="399" spans="1:11" x14ac:dyDescent="0.2">
      <c r="A399" s="35" t="s">
        <v>3509</v>
      </c>
      <c r="B399" s="35">
        <v>18.849628746579199</v>
      </c>
      <c r="C399" s="35">
        <v>-2.4385199742759101</v>
      </c>
      <c r="D399" s="35">
        <v>0.61869653113384804</v>
      </c>
      <c r="E399" s="35">
        <v>-3.9413829746337501</v>
      </c>
      <c r="F399" s="40">
        <v>8.1013157710476099E-5</v>
      </c>
      <c r="G399" s="35">
        <v>5.9306742248561696E-3</v>
      </c>
      <c r="H399" s="24" t="s">
        <v>10</v>
      </c>
      <c r="I399" s="24" t="s">
        <v>10</v>
      </c>
      <c r="J399" s="33" t="s">
        <v>10</v>
      </c>
      <c r="K399" s="33"/>
    </row>
    <row r="400" spans="1:11" x14ac:dyDescent="0.2">
      <c r="A400" s="35" t="s">
        <v>3510</v>
      </c>
      <c r="B400" s="35">
        <v>130.55310133759301</v>
      </c>
      <c r="C400" s="35">
        <v>-2.7988435985048201</v>
      </c>
      <c r="D400" s="35">
        <v>0.711037111710076</v>
      </c>
      <c r="E400" s="35">
        <v>-3.9362834265759701</v>
      </c>
      <c r="F400" s="40">
        <v>8.2753232477846E-5</v>
      </c>
      <c r="G400" s="35">
        <v>6.0119488233806402E-3</v>
      </c>
      <c r="H400" s="24" t="s">
        <v>3865</v>
      </c>
      <c r="I400" s="24" t="s">
        <v>3140</v>
      </c>
      <c r="J400" s="33" t="s">
        <v>4093</v>
      </c>
      <c r="K400" s="33"/>
    </row>
    <row r="401" spans="1:11" x14ac:dyDescent="0.2">
      <c r="A401" s="35" t="s">
        <v>3511</v>
      </c>
      <c r="B401" s="35">
        <v>18.916591520485799</v>
      </c>
      <c r="C401" s="35">
        <v>-3.11067003406882</v>
      </c>
      <c r="D401" s="35">
        <v>0.79025574361123296</v>
      </c>
      <c r="E401" s="35">
        <v>-3.93628272773315</v>
      </c>
      <c r="F401" s="40">
        <v>8.2753473340661194E-5</v>
      </c>
      <c r="G401" s="35">
        <v>6.0119488233806402E-3</v>
      </c>
      <c r="H401" s="29" t="s">
        <v>10</v>
      </c>
      <c r="I401" s="24" t="s">
        <v>3946</v>
      </c>
      <c r="J401" s="30" t="s">
        <v>10</v>
      </c>
      <c r="K401" s="33"/>
    </row>
    <row r="402" spans="1:11" x14ac:dyDescent="0.2">
      <c r="A402" s="35" t="s">
        <v>3512</v>
      </c>
      <c r="B402" s="35">
        <v>99.572560289242304</v>
      </c>
      <c r="C402" s="35">
        <v>-2.6944270550098701</v>
      </c>
      <c r="D402" s="35">
        <v>0.684822107512152</v>
      </c>
      <c r="E402" s="35">
        <v>-3.9344919292957501</v>
      </c>
      <c r="F402" s="40">
        <v>8.3372870079972996E-5</v>
      </c>
      <c r="G402" s="35">
        <v>6.0314336365942401E-3</v>
      </c>
      <c r="H402" s="29" t="s">
        <v>10</v>
      </c>
      <c r="I402" s="24" t="s">
        <v>3140</v>
      </c>
      <c r="J402" s="30" t="s">
        <v>10</v>
      </c>
      <c r="K402" s="33"/>
    </row>
    <row r="403" spans="1:11" x14ac:dyDescent="0.2">
      <c r="A403" s="35" t="s">
        <v>3513</v>
      </c>
      <c r="B403" s="35">
        <v>205.61018356856599</v>
      </c>
      <c r="C403" s="35">
        <v>-2.0339978521541302</v>
      </c>
      <c r="D403" s="35">
        <v>0.51718486533897701</v>
      </c>
      <c r="E403" s="35">
        <v>-3.9328255493729398</v>
      </c>
      <c r="F403" s="40">
        <v>8.39531664198099E-5</v>
      </c>
      <c r="G403" s="35">
        <v>6.0683016444743202E-3</v>
      </c>
      <c r="H403" s="24" t="s">
        <v>1350</v>
      </c>
      <c r="I403" s="24" t="s">
        <v>3916</v>
      </c>
      <c r="J403" s="30" t="s">
        <v>10</v>
      </c>
      <c r="K403" s="33"/>
    </row>
    <row r="404" spans="1:11" x14ac:dyDescent="0.2">
      <c r="A404" s="35" t="s">
        <v>3514</v>
      </c>
      <c r="B404" s="35">
        <v>1170.2157184519499</v>
      </c>
      <c r="C404" s="35">
        <v>-2.1403365953614801</v>
      </c>
      <c r="D404" s="35">
        <v>0.54450060767899</v>
      </c>
      <c r="E404" s="35">
        <v>-3.93082498931446</v>
      </c>
      <c r="F404" s="40">
        <v>8.4654878945660103E-5</v>
      </c>
      <c r="G404" s="35">
        <v>6.10873874785107E-3</v>
      </c>
      <c r="H404" s="24" t="s">
        <v>10</v>
      </c>
      <c r="I404" s="24" t="s">
        <v>10</v>
      </c>
      <c r="J404" s="33" t="s">
        <v>10</v>
      </c>
      <c r="K404" s="33"/>
    </row>
    <row r="405" spans="1:11" x14ac:dyDescent="0.2">
      <c r="A405" s="45" t="s">
        <v>3515</v>
      </c>
      <c r="B405" s="45">
        <v>60.943795542346699</v>
      </c>
      <c r="C405" s="45">
        <v>-2.0157183683250399</v>
      </c>
      <c r="D405" s="45">
        <v>0.51294420371477101</v>
      </c>
      <c r="E405" s="45">
        <v>-3.9297029847049401</v>
      </c>
      <c r="F405" s="46">
        <v>8.5050853271225195E-5</v>
      </c>
      <c r="G405" s="45">
        <v>6.1218791460631904E-3</v>
      </c>
      <c r="H405" s="47" t="s">
        <v>3837</v>
      </c>
      <c r="I405" s="47" t="s">
        <v>3934</v>
      </c>
      <c r="J405" s="50" t="s">
        <v>4052</v>
      </c>
      <c r="K405" s="33"/>
    </row>
    <row r="406" spans="1:11" x14ac:dyDescent="0.2">
      <c r="A406" s="35" t="s">
        <v>3516</v>
      </c>
      <c r="B406" s="35">
        <v>162.31817470972001</v>
      </c>
      <c r="C406" s="35">
        <v>-2.2632273136126799</v>
      </c>
      <c r="D406" s="35">
        <v>0.57740112011231204</v>
      </c>
      <c r="E406" s="35">
        <v>-3.9196794650700602</v>
      </c>
      <c r="F406" s="40">
        <v>8.8666815188895304E-5</v>
      </c>
      <c r="G406" s="35">
        <v>6.33964037226114E-3</v>
      </c>
      <c r="H406" s="24" t="s">
        <v>10</v>
      </c>
      <c r="I406" s="24" t="s">
        <v>10</v>
      </c>
      <c r="J406" s="33" t="s">
        <v>10</v>
      </c>
      <c r="K406" s="33"/>
    </row>
    <row r="407" spans="1:11" x14ac:dyDescent="0.2">
      <c r="A407" s="35" t="s">
        <v>3517</v>
      </c>
      <c r="B407" s="35">
        <v>2752.2147042227198</v>
      </c>
      <c r="C407" s="35">
        <v>-2.12489155460166</v>
      </c>
      <c r="D407" s="35">
        <v>0.54215777432033496</v>
      </c>
      <c r="E407" s="35">
        <v>-3.9193232214837899</v>
      </c>
      <c r="F407" s="40">
        <v>8.8797964091695295E-5</v>
      </c>
      <c r="G407" s="35">
        <v>6.3437354197320899E-3</v>
      </c>
      <c r="H407" s="24" t="s">
        <v>3851</v>
      </c>
      <c r="I407" s="24" t="s">
        <v>3960</v>
      </c>
      <c r="J407" s="33" t="s">
        <v>4069</v>
      </c>
      <c r="K407" s="33"/>
    </row>
    <row r="408" spans="1:11" x14ac:dyDescent="0.2">
      <c r="A408" s="45" t="s">
        <v>3518</v>
      </c>
      <c r="B408" s="45">
        <v>561.69372745511805</v>
      </c>
      <c r="C408" s="45">
        <v>-3.2388992785115498</v>
      </c>
      <c r="D408" s="45">
        <v>0.82711652959901105</v>
      </c>
      <c r="E408" s="45">
        <v>-3.9158923351245098</v>
      </c>
      <c r="F408" s="46">
        <v>9.0070439638371196E-5</v>
      </c>
      <c r="G408" s="45">
        <v>6.4186213462129301E-3</v>
      </c>
      <c r="H408" s="47" t="s">
        <v>504</v>
      </c>
      <c r="I408" s="47" t="s">
        <v>3928</v>
      </c>
      <c r="J408" s="49" t="s">
        <v>10</v>
      </c>
      <c r="K408" s="33"/>
    </row>
    <row r="409" spans="1:11" x14ac:dyDescent="0.2">
      <c r="A409" s="35" t="s">
        <v>3519</v>
      </c>
      <c r="B409" s="35">
        <v>59.4238319654986</v>
      </c>
      <c r="C409" s="35">
        <v>-2.27834000692686</v>
      </c>
      <c r="D409" s="35">
        <v>0.58204636448825597</v>
      </c>
      <c r="E409" s="35">
        <v>-3.91436171743812</v>
      </c>
      <c r="F409" s="40">
        <v>9.0643666844579494E-5</v>
      </c>
      <c r="G409" s="35">
        <v>6.4434290692143101E-3</v>
      </c>
      <c r="H409" s="29" t="s">
        <v>10</v>
      </c>
      <c r="I409" s="24" t="s">
        <v>3140</v>
      </c>
      <c r="J409" s="30" t="s">
        <v>10</v>
      </c>
      <c r="K409" s="33"/>
    </row>
    <row r="410" spans="1:11" x14ac:dyDescent="0.2">
      <c r="A410" s="35" t="s">
        <v>3520</v>
      </c>
      <c r="B410" s="35">
        <v>639096.82376134105</v>
      </c>
      <c r="C410" s="35">
        <v>-2.1356432839603099</v>
      </c>
      <c r="D410" s="35">
        <v>0.54689688930174796</v>
      </c>
      <c r="E410" s="35">
        <v>-3.9050199877475902</v>
      </c>
      <c r="F410" s="40">
        <v>9.4217597507057404E-5</v>
      </c>
      <c r="G410" s="35">
        <v>6.6643816437632003E-3</v>
      </c>
      <c r="H410" s="24" t="s">
        <v>10</v>
      </c>
      <c r="I410" s="24" t="s">
        <v>10</v>
      </c>
      <c r="J410" s="30" t="s">
        <v>10</v>
      </c>
      <c r="K410" s="33"/>
    </row>
    <row r="411" spans="1:11" x14ac:dyDescent="0.2">
      <c r="A411" s="35" t="s">
        <v>3521</v>
      </c>
      <c r="B411" s="35">
        <v>24.003194084280199</v>
      </c>
      <c r="C411" s="35">
        <v>-2.44837952840287</v>
      </c>
      <c r="D411" s="35">
        <v>0.62749878310499596</v>
      </c>
      <c r="E411" s="35">
        <v>-3.9018076119411198</v>
      </c>
      <c r="F411" s="40">
        <v>9.54770299675392E-5</v>
      </c>
      <c r="G411" s="35">
        <v>6.7479078521337898E-3</v>
      </c>
      <c r="H411" s="24" t="s">
        <v>10</v>
      </c>
      <c r="I411" s="24" t="s">
        <v>10</v>
      </c>
      <c r="J411" s="30" t="s">
        <v>10</v>
      </c>
      <c r="K411" s="33"/>
    </row>
    <row r="412" spans="1:11" x14ac:dyDescent="0.2">
      <c r="A412" s="35" t="s">
        <v>3522</v>
      </c>
      <c r="B412" s="35">
        <v>26.724303810384701</v>
      </c>
      <c r="C412" s="35">
        <v>-3.1441251520079398</v>
      </c>
      <c r="D412" s="35">
        <v>0.80591705411302705</v>
      </c>
      <c r="E412" s="35">
        <v>-3.9013011772883801</v>
      </c>
      <c r="F412" s="40">
        <v>9.5677025700141097E-5</v>
      </c>
      <c r="G412" s="35">
        <v>6.7564818041914599E-3</v>
      </c>
      <c r="H412" s="24" t="s">
        <v>10</v>
      </c>
      <c r="I412" s="24" t="s">
        <v>10</v>
      </c>
      <c r="J412" s="30" t="s">
        <v>10</v>
      </c>
      <c r="K412" s="33"/>
    </row>
    <row r="413" spans="1:11" x14ac:dyDescent="0.2">
      <c r="A413" s="35" t="s">
        <v>3523</v>
      </c>
      <c r="B413" s="35">
        <v>83.083343745621505</v>
      </c>
      <c r="C413" s="35">
        <v>-3.4622585163608401</v>
      </c>
      <c r="D413" s="35">
        <v>0.88753858453579304</v>
      </c>
      <c r="E413" s="35">
        <v>-3.9009667598526998</v>
      </c>
      <c r="F413" s="40">
        <v>9.5809307023498995E-5</v>
      </c>
      <c r="G413" s="35">
        <v>6.7582715003743103E-3</v>
      </c>
      <c r="H413" s="29" t="s">
        <v>10</v>
      </c>
      <c r="I413" s="24" t="s">
        <v>3919</v>
      </c>
      <c r="J413" s="30" t="s">
        <v>10</v>
      </c>
      <c r="K413" s="33"/>
    </row>
    <row r="414" spans="1:11" x14ac:dyDescent="0.2">
      <c r="A414" s="35" t="s">
        <v>3524</v>
      </c>
      <c r="B414" s="35">
        <v>17.041875629742599</v>
      </c>
      <c r="C414" s="35">
        <v>-3.5967368850130099</v>
      </c>
      <c r="D414" s="35">
        <v>0.92211132759694203</v>
      </c>
      <c r="E414" s="35">
        <v>-3.9005451699484501</v>
      </c>
      <c r="F414" s="40">
        <v>9.5976316162155406E-5</v>
      </c>
      <c r="G414" s="35">
        <v>6.7609370345860899E-3</v>
      </c>
      <c r="H414" s="24" t="s">
        <v>10</v>
      </c>
      <c r="I414" s="24" t="s">
        <v>10</v>
      </c>
      <c r="J414" s="30" t="s">
        <v>10</v>
      </c>
      <c r="K414" s="33"/>
    </row>
    <row r="415" spans="1:11" x14ac:dyDescent="0.2">
      <c r="A415" s="35" t="s">
        <v>3525</v>
      </c>
      <c r="B415" s="35">
        <v>230.62872973795899</v>
      </c>
      <c r="C415" s="35">
        <v>-4.3147017551018596</v>
      </c>
      <c r="D415" s="35">
        <v>1.1075268286142199</v>
      </c>
      <c r="E415" s="35">
        <v>-3.8957988588868599</v>
      </c>
      <c r="F415" s="40">
        <v>9.7875591517995197E-5</v>
      </c>
      <c r="G415" s="35">
        <v>6.8553629031335803E-3</v>
      </c>
      <c r="H415" s="24" t="s">
        <v>10</v>
      </c>
      <c r="I415" s="24" t="s">
        <v>10</v>
      </c>
      <c r="J415" s="30" t="s">
        <v>10</v>
      </c>
      <c r="K415" s="33"/>
    </row>
    <row r="416" spans="1:11" x14ac:dyDescent="0.2">
      <c r="A416" s="35" t="s">
        <v>3526</v>
      </c>
      <c r="B416" s="35">
        <v>137.597942072085</v>
      </c>
      <c r="C416" s="35">
        <v>-2.2483036783129098</v>
      </c>
      <c r="D416" s="35">
        <v>0.57807642179254404</v>
      </c>
      <c r="E416" s="35">
        <v>-3.88928451940868</v>
      </c>
      <c r="F416" s="35">
        <v>1.00540192628187E-4</v>
      </c>
      <c r="G416" s="35">
        <v>7.0133930797522904E-3</v>
      </c>
      <c r="H416" s="24" t="s">
        <v>10</v>
      </c>
      <c r="I416" s="24" t="s">
        <v>10</v>
      </c>
      <c r="J416" s="30" t="s">
        <v>10</v>
      </c>
      <c r="K416" s="33"/>
    </row>
    <row r="417" spans="1:11" x14ac:dyDescent="0.2">
      <c r="A417" s="35" t="s">
        <v>3527</v>
      </c>
      <c r="B417" s="35">
        <v>90.411760794467696</v>
      </c>
      <c r="C417" s="35">
        <v>-5.2693325402055802</v>
      </c>
      <c r="D417" s="35">
        <v>1.35527717937059</v>
      </c>
      <c r="E417" s="35">
        <v>-3.8880109695735601</v>
      </c>
      <c r="F417" s="35">
        <v>1.01069059989876E-4</v>
      </c>
      <c r="G417" s="35">
        <v>7.0388493514927904E-3</v>
      </c>
      <c r="H417" s="24" t="s">
        <v>10</v>
      </c>
      <c r="I417" s="24" t="s">
        <v>10</v>
      </c>
      <c r="J417" s="33" t="s">
        <v>10</v>
      </c>
      <c r="K417" s="33"/>
    </row>
    <row r="418" spans="1:11" x14ac:dyDescent="0.2">
      <c r="A418" s="35" t="s">
        <v>3528</v>
      </c>
      <c r="B418" s="35">
        <v>193.50803885910699</v>
      </c>
      <c r="C418" s="35">
        <v>-2.6819083885510602</v>
      </c>
      <c r="D418" s="35">
        <v>0.69103428608672601</v>
      </c>
      <c r="E418" s="35">
        <v>-3.8810062576467801</v>
      </c>
      <c r="F418" s="35">
        <v>1.04025164037052E-4</v>
      </c>
      <c r="G418" s="35">
        <v>7.2212973815890596E-3</v>
      </c>
      <c r="H418" s="24" t="s">
        <v>3821</v>
      </c>
      <c r="I418" s="24" t="s">
        <v>3897</v>
      </c>
      <c r="J418" s="33" t="s">
        <v>4035</v>
      </c>
      <c r="K418" s="33"/>
    </row>
    <row r="419" spans="1:11" x14ac:dyDescent="0.2">
      <c r="A419" s="35" t="s">
        <v>3529</v>
      </c>
      <c r="B419" s="35">
        <v>20.959097327398599</v>
      </c>
      <c r="C419" s="35">
        <v>-2.6784076968414099</v>
      </c>
      <c r="D419" s="35">
        <v>0.69033597412414405</v>
      </c>
      <c r="E419" s="35">
        <v>-3.8798611071074598</v>
      </c>
      <c r="F419" s="35">
        <v>1.04516129259643E-4</v>
      </c>
      <c r="G419" s="35">
        <v>7.2378262384312697E-3</v>
      </c>
      <c r="H419" s="24" t="s">
        <v>10</v>
      </c>
      <c r="I419" s="24" t="s">
        <v>10</v>
      </c>
      <c r="J419" s="33" t="s">
        <v>10</v>
      </c>
      <c r="K419" s="33"/>
    </row>
    <row r="420" spans="1:11" x14ac:dyDescent="0.2">
      <c r="A420" s="35" t="s">
        <v>3530</v>
      </c>
      <c r="B420" s="35">
        <v>88.372884896659102</v>
      </c>
      <c r="C420" s="35">
        <v>-3.0295611685144501</v>
      </c>
      <c r="D420" s="35">
        <v>0.781005932855389</v>
      </c>
      <c r="E420" s="35">
        <v>-3.8790501340217101</v>
      </c>
      <c r="F420" s="35">
        <v>1.0486514297570301E-4</v>
      </c>
      <c r="G420" s="35">
        <v>7.2503016847556903E-3</v>
      </c>
      <c r="H420" s="24" t="s">
        <v>10</v>
      </c>
      <c r="I420" s="24" t="s">
        <v>10</v>
      </c>
      <c r="J420" s="33" t="s">
        <v>10</v>
      </c>
      <c r="K420" s="33"/>
    </row>
    <row r="421" spans="1:11" x14ac:dyDescent="0.2">
      <c r="A421" s="35" t="s">
        <v>3531</v>
      </c>
      <c r="B421" s="35">
        <v>447.93018179437098</v>
      </c>
      <c r="C421" s="35">
        <v>-2.25158591420815</v>
      </c>
      <c r="D421" s="35">
        <v>0.58089054384290295</v>
      </c>
      <c r="E421" s="35">
        <v>-3.8760932469527001</v>
      </c>
      <c r="F421" s="35">
        <v>1.06147019425849E-4</v>
      </c>
      <c r="G421" s="35">
        <v>7.3095848443218998E-3</v>
      </c>
      <c r="H421" s="24" t="s">
        <v>10</v>
      </c>
      <c r="I421" s="24" t="s">
        <v>10</v>
      </c>
      <c r="J421" s="33" t="s">
        <v>10</v>
      </c>
      <c r="K421" s="33"/>
    </row>
    <row r="422" spans="1:11" x14ac:dyDescent="0.2">
      <c r="A422" s="35" t="s">
        <v>3532</v>
      </c>
      <c r="B422" s="35">
        <v>395.82727682709901</v>
      </c>
      <c r="C422" s="35">
        <v>-2.1912523560833601</v>
      </c>
      <c r="D422" s="35">
        <v>0.56557047745610001</v>
      </c>
      <c r="E422" s="35">
        <v>-3.8744107824359602</v>
      </c>
      <c r="F422" s="35">
        <v>1.0688299097551801E-4</v>
      </c>
      <c r="G422" s="35">
        <v>7.3496907326879102E-3</v>
      </c>
      <c r="H422" s="24" t="s">
        <v>10</v>
      </c>
      <c r="I422" s="24" t="s">
        <v>10</v>
      </c>
      <c r="J422" s="33" t="s">
        <v>10</v>
      </c>
      <c r="K422" s="33"/>
    </row>
    <row r="423" spans="1:11" x14ac:dyDescent="0.2">
      <c r="A423" s="35" t="s">
        <v>3533</v>
      </c>
      <c r="B423" s="35">
        <v>63.331162306830997</v>
      </c>
      <c r="C423" s="35">
        <v>-2.3938575933324699</v>
      </c>
      <c r="D423" s="35">
        <v>0.61803369176183698</v>
      </c>
      <c r="E423" s="35">
        <v>-3.87334481152357</v>
      </c>
      <c r="F423" s="35">
        <v>1.07351774603401E-4</v>
      </c>
      <c r="G423" s="35">
        <v>7.3688283269133696E-3</v>
      </c>
      <c r="H423" s="24" t="s">
        <v>10</v>
      </c>
      <c r="I423" s="24" t="s">
        <v>10</v>
      </c>
      <c r="J423" s="33" t="s">
        <v>10</v>
      </c>
      <c r="K423" s="33"/>
    </row>
    <row r="424" spans="1:11" x14ac:dyDescent="0.2">
      <c r="A424" s="35" t="s">
        <v>3534</v>
      </c>
      <c r="B424" s="35">
        <v>146.021052297491</v>
      </c>
      <c r="C424" s="35">
        <v>-2.9875039698334702</v>
      </c>
      <c r="D424" s="35">
        <v>0.77162308203986796</v>
      </c>
      <c r="E424" s="35">
        <v>-3.87171410416558</v>
      </c>
      <c r="F424" s="35">
        <v>1.08072668840859E-4</v>
      </c>
      <c r="G424" s="35">
        <v>7.3957925915417999E-3</v>
      </c>
      <c r="H424" s="24" t="s">
        <v>10</v>
      </c>
      <c r="I424" s="24" t="s">
        <v>10</v>
      </c>
      <c r="J424" s="33" t="s">
        <v>10</v>
      </c>
      <c r="K424" s="33"/>
    </row>
    <row r="425" spans="1:11" x14ac:dyDescent="0.2">
      <c r="A425" s="35" t="s">
        <v>3535</v>
      </c>
      <c r="B425" s="35">
        <v>31.2060534788613</v>
      </c>
      <c r="C425" s="35">
        <v>-2.5132274685103999</v>
      </c>
      <c r="D425" s="35">
        <v>0.64992496039835401</v>
      </c>
      <c r="E425" s="35">
        <v>-3.8669502198684298</v>
      </c>
      <c r="F425" s="35">
        <v>1.10204912555266E-4</v>
      </c>
      <c r="G425" s="35">
        <v>7.4828950308829497E-3</v>
      </c>
      <c r="H425" s="24" t="s">
        <v>10</v>
      </c>
      <c r="I425" s="24" t="s">
        <v>10</v>
      </c>
      <c r="J425" s="33" t="s">
        <v>10</v>
      </c>
      <c r="K425" s="33"/>
    </row>
    <row r="426" spans="1:11" x14ac:dyDescent="0.2">
      <c r="A426" s="35" t="s">
        <v>3536</v>
      </c>
      <c r="B426" s="35">
        <v>414.95878088037199</v>
      </c>
      <c r="C426" s="35">
        <v>-2.3763066698660702</v>
      </c>
      <c r="D426" s="35">
        <v>0.61452706701108795</v>
      </c>
      <c r="E426" s="35">
        <v>-3.8668869077221402</v>
      </c>
      <c r="F426" s="35">
        <v>1.10233515553178E-4</v>
      </c>
      <c r="G426" s="35">
        <v>7.4828950308829497E-3</v>
      </c>
      <c r="H426" s="24" t="s">
        <v>10</v>
      </c>
      <c r="I426" s="24" t="s">
        <v>10</v>
      </c>
      <c r="J426" s="33" t="s">
        <v>10</v>
      </c>
      <c r="K426" s="33"/>
    </row>
    <row r="427" spans="1:11" x14ac:dyDescent="0.2">
      <c r="A427" s="35" t="s">
        <v>3537</v>
      </c>
      <c r="B427" s="35">
        <v>751.59663304358401</v>
      </c>
      <c r="C427" s="35">
        <v>-2.7543871771522999</v>
      </c>
      <c r="D427" s="35">
        <v>0.71239419934399695</v>
      </c>
      <c r="E427" s="35">
        <v>-3.8663806916011598</v>
      </c>
      <c r="F427" s="35">
        <v>1.10462464559655E-4</v>
      </c>
      <c r="G427" s="35">
        <v>7.4925136605072003E-3</v>
      </c>
      <c r="H427" s="29" t="s">
        <v>10</v>
      </c>
      <c r="I427" s="24" t="s">
        <v>92</v>
      </c>
      <c r="J427" s="30" t="s">
        <v>10</v>
      </c>
      <c r="K427" s="33"/>
    </row>
    <row r="428" spans="1:11" x14ac:dyDescent="0.2">
      <c r="A428" s="35" t="s">
        <v>3538</v>
      </c>
      <c r="B428" s="35">
        <v>46.465109895781097</v>
      </c>
      <c r="C428" s="35">
        <v>-2.6342414075398701</v>
      </c>
      <c r="D428" s="35">
        <v>0.68175980331019703</v>
      </c>
      <c r="E428" s="35">
        <v>-3.8638848972169502</v>
      </c>
      <c r="F428" s="35">
        <v>1.11597823506801E-4</v>
      </c>
      <c r="G428" s="35">
        <v>7.5635490942008903E-3</v>
      </c>
      <c r="H428" s="24" t="s">
        <v>10</v>
      </c>
      <c r="I428" s="24" t="s">
        <v>10</v>
      </c>
      <c r="J428" s="33" t="s">
        <v>10</v>
      </c>
      <c r="K428" s="33"/>
    </row>
    <row r="429" spans="1:11" x14ac:dyDescent="0.2">
      <c r="A429" s="35" t="s">
        <v>3539</v>
      </c>
      <c r="B429" s="35">
        <v>33.741710899148501</v>
      </c>
      <c r="C429" s="35">
        <v>-2.1598495609202701</v>
      </c>
      <c r="D429" s="35">
        <v>0.55956513872848801</v>
      </c>
      <c r="E429" s="35">
        <v>-3.8598715528064198</v>
      </c>
      <c r="F429" s="35">
        <v>1.1344664140936599E-4</v>
      </c>
      <c r="G429" s="35">
        <v>7.6346211163508598E-3</v>
      </c>
      <c r="H429" s="29" t="s">
        <v>10</v>
      </c>
      <c r="I429" s="29" t="s">
        <v>10</v>
      </c>
      <c r="J429" s="33" t="s">
        <v>10</v>
      </c>
      <c r="K429" s="33"/>
    </row>
    <row r="430" spans="1:11" x14ac:dyDescent="0.2">
      <c r="A430" s="35" t="s">
        <v>3540</v>
      </c>
      <c r="B430" s="35">
        <v>168.19341818717999</v>
      </c>
      <c r="C430" s="35">
        <v>-2.8586004813589398</v>
      </c>
      <c r="D430" s="35">
        <v>0.74205683988859805</v>
      </c>
      <c r="E430" s="35">
        <v>-3.8522661980827402</v>
      </c>
      <c r="F430" s="35">
        <v>1.1702969836327E-4</v>
      </c>
      <c r="G430" s="35">
        <v>7.8231361553858392E-3</v>
      </c>
      <c r="H430" s="24" t="s">
        <v>10</v>
      </c>
      <c r="I430" s="24" t="s">
        <v>10</v>
      </c>
      <c r="J430" s="33" t="s">
        <v>10</v>
      </c>
      <c r="K430" s="33"/>
    </row>
    <row r="431" spans="1:11" x14ac:dyDescent="0.2">
      <c r="A431" s="45" t="s">
        <v>3541</v>
      </c>
      <c r="B431" s="45">
        <v>63.666075609986997</v>
      </c>
      <c r="C431" s="45">
        <v>-2.9353492827301699</v>
      </c>
      <c r="D431" s="45">
        <v>0.762432973151279</v>
      </c>
      <c r="E431" s="45">
        <v>-3.8499768321900101</v>
      </c>
      <c r="F431" s="45">
        <v>1.18128998085732E-4</v>
      </c>
      <c r="G431" s="45">
        <v>7.8634536392402001E-3</v>
      </c>
      <c r="H431" s="47" t="s">
        <v>335</v>
      </c>
      <c r="I431" s="47" t="s">
        <v>4021</v>
      </c>
      <c r="J431" s="50" t="s">
        <v>10</v>
      </c>
      <c r="K431" s="33"/>
    </row>
    <row r="432" spans="1:11" x14ac:dyDescent="0.2">
      <c r="A432" s="35" t="s">
        <v>3542</v>
      </c>
      <c r="B432" s="35">
        <v>29.259641942418298</v>
      </c>
      <c r="C432" s="35">
        <v>-3.1060309147613401</v>
      </c>
      <c r="D432" s="35">
        <v>0.80847973520078598</v>
      </c>
      <c r="E432" s="35">
        <v>-3.8418166585090101</v>
      </c>
      <c r="F432" s="35">
        <v>1.22127048133956E-4</v>
      </c>
      <c r="G432" s="35">
        <v>8.0857145337786401E-3</v>
      </c>
      <c r="H432" s="24">
        <v>0</v>
      </c>
      <c r="I432" s="24" t="s">
        <v>260</v>
      </c>
      <c r="J432" s="33" t="s">
        <v>10</v>
      </c>
      <c r="K432" s="33"/>
    </row>
    <row r="433" spans="1:11" x14ac:dyDescent="0.2">
      <c r="A433" s="35" t="s">
        <v>3543</v>
      </c>
      <c r="B433" s="35">
        <v>43.8836647035589</v>
      </c>
      <c r="C433" s="35">
        <v>-2.04558864767084</v>
      </c>
      <c r="D433" s="35">
        <v>0.53255118662577206</v>
      </c>
      <c r="E433" s="35">
        <v>-3.8411118011615599</v>
      </c>
      <c r="F433" s="35">
        <v>1.22478311381326E-4</v>
      </c>
      <c r="G433" s="35">
        <v>8.1027234796809105E-3</v>
      </c>
      <c r="H433" s="24" t="s">
        <v>10</v>
      </c>
      <c r="I433" s="24" t="s">
        <v>10</v>
      </c>
      <c r="J433" s="33" t="s">
        <v>10</v>
      </c>
      <c r="K433" s="33"/>
    </row>
    <row r="434" spans="1:11" x14ac:dyDescent="0.2">
      <c r="A434" s="35" t="s">
        <v>3544</v>
      </c>
      <c r="B434" s="35">
        <v>55.527882944988598</v>
      </c>
      <c r="C434" s="35">
        <v>-2.3365119364054201</v>
      </c>
      <c r="D434" s="35">
        <v>0.60875471478824295</v>
      </c>
      <c r="E434" s="35">
        <v>-3.83818289968921</v>
      </c>
      <c r="F434" s="35">
        <v>1.2394814671900701E-4</v>
      </c>
      <c r="G434" s="35">
        <v>8.1622325973219508E-3</v>
      </c>
      <c r="H434" s="24" t="s">
        <v>10</v>
      </c>
      <c r="I434" s="24" t="s">
        <v>10</v>
      </c>
      <c r="J434" s="33" t="s">
        <v>10</v>
      </c>
      <c r="K434" s="33"/>
    </row>
    <row r="435" spans="1:11" x14ac:dyDescent="0.2">
      <c r="A435" s="35" t="s">
        <v>3545</v>
      </c>
      <c r="B435" s="35">
        <v>37.078494167251201</v>
      </c>
      <c r="C435" s="35">
        <v>-2.6159955900865302</v>
      </c>
      <c r="D435" s="35">
        <v>0.68173611579026405</v>
      </c>
      <c r="E435" s="35">
        <v>-3.8372553976461701</v>
      </c>
      <c r="F435" s="35">
        <v>1.2441705879685601E-4</v>
      </c>
      <c r="G435" s="35">
        <v>8.1805645145059704E-3</v>
      </c>
      <c r="H435" s="24" t="s">
        <v>10</v>
      </c>
      <c r="I435" s="24" t="s">
        <v>10</v>
      </c>
      <c r="J435" s="33" t="s">
        <v>10</v>
      </c>
      <c r="K435" s="33"/>
    </row>
    <row r="436" spans="1:11" x14ac:dyDescent="0.2">
      <c r="A436" s="35" t="s">
        <v>3546</v>
      </c>
      <c r="B436" s="35">
        <v>24.094533982975101</v>
      </c>
      <c r="C436" s="35">
        <v>-4.0040080677687397</v>
      </c>
      <c r="D436" s="35">
        <v>1.0438967556327401</v>
      </c>
      <c r="E436" s="35">
        <v>-3.8356360877295499</v>
      </c>
      <c r="F436" s="35">
        <v>1.25239735105712E-4</v>
      </c>
      <c r="G436" s="35">
        <v>8.2157840284664396E-3</v>
      </c>
      <c r="H436" s="24" t="s">
        <v>10</v>
      </c>
      <c r="I436" s="24" t="s">
        <v>10</v>
      </c>
      <c r="J436" s="33" t="s">
        <v>10</v>
      </c>
      <c r="K436" s="33"/>
    </row>
    <row r="437" spans="1:11" x14ac:dyDescent="0.2">
      <c r="A437" s="35" t="s">
        <v>3547</v>
      </c>
      <c r="B437" s="35">
        <v>33.204926699269699</v>
      </c>
      <c r="C437" s="35">
        <v>-2.2125807592579401</v>
      </c>
      <c r="D437" s="35">
        <v>0.57750577509146395</v>
      </c>
      <c r="E437" s="35">
        <v>-3.8312703607293299</v>
      </c>
      <c r="F437" s="35">
        <v>1.27483326131833E-4</v>
      </c>
      <c r="G437" s="35">
        <v>8.3184807737588205E-3</v>
      </c>
      <c r="H437" s="24" t="s">
        <v>10</v>
      </c>
      <c r="I437" s="24" t="s">
        <v>10</v>
      </c>
      <c r="J437" s="33" t="s">
        <v>10</v>
      </c>
      <c r="K437" s="33"/>
    </row>
    <row r="438" spans="1:11" x14ac:dyDescent="0.2">
      <c r="A438" s="35" t="s">
        <v>3548</v>
      </c>
      <c r="B438" s="35">
        <v>58.743489716144502</v>
      </c>
      <c r="C438" s="35">
        <v>-5.0634464685591798</v>
      </c>
      <c r="D438" s="35">
        <v>1.3220056620957501</v>
      </c>
      <c r="E438" s="35">
        <v>-3.8301246460111198</v>
      </c>
      <c r="F438" s="35">
        <v>1.2807836511562001E-4</v>
      </c>
      <c r="G438" s="35">
        <v>8.3460055433174692E-3</v>
      </c>
      <c r="H438" s="24" t="s">
        <v>10</v>
      </c>
      <c r="I438" s="24" t="s">
        <v>10</v>
      </c>
      <c r="J438" s="33" t="s">
        <v>10</v>
      </c>
      <c r="K438" s="33"/>
    </row>
    <row r="439" spans="1:11" x14ac:dyDescent="0.2">
      <c r="A439" s="35" t="s">
        <v>3549</v>
      </c>
      <c r="B439" s="35">
        <v>43.7220586946693</v>
      </c>
      <c r="C439" s="35">
        <v>-2.9023894318427499</v>
      </c>
      <c r="D439" s="35">
        <v>0.75778741446465003</v>
      </c>
      <c r="E439" s="35">
        <v>-3.8300839740036801</v>
      </c>
      <c r="F439" s="35">
        <v>1.28099536585022E-4</v>
      </c>
      <c r="G439" s="35">
        <v>8.3460055433174692E-3</v>
      </c>
      <c r="H439" s="29" t="s">
        <v>10</v>
      </c>
      <c r="I439" s="24" t="s">
        <v>3899</v>
      </c>
      <c r="J439" s="33" t="s">
        <v>10</v>
      </c>
      <c r="K439" s="33"/>
    </row>
    <row r="440" spans="1:11" x14ac:dyDescent="0.2">
      <c r="A440" s="35" t="s">
        <v>3550</v>
      </c>
      <c r="B440" s="35">
        <v>558.91362383592002</v>
      </c>
      <c r="C440" s="35">
        <v>-2.2792656899136001</v>
      </c>
      <c r="D440" s="35">
        <v>0.59525030880799701</v>
      </c>
      <c r="E440" s="35">
        <v>-3.8290877907781198</v>
      </c>
      <c r="F440" s="35">
        <v>1.2861912224082199E-4</v>
      </c>
      <c r="G440" s="35">
        <v>8.3714292356311601E-3</v>
      </c>
      <c r="H440" s="24" t="s">
        <v>10</v>
      </c>
      <c r="I440" s="24" t="s">
        <v>10</v>
      </c>
      <c r="J440" s="33" t="s">
        <v>10</v>
      </c>
      <c r="K440" s="33"/>
    </row>
    <row r="441" spans="1:11" x14ac:dyDescent="0.2">
      <c r="A441" s="35" t="s">
        <v>3551</v>
      </c>
      <c r="B441" s="35">
        <v>485.18571711329201</v>
      </c>
      <c r="C441" s="35">
        <v>-3.1568308252897301</v>
      </c>
      <c r="D441" s="35">
        <v>0.82554643530862803</v>
      </c>
      <c r="E441" s="35">
        <v>-3.8239288430935598</v>
      </c>
      <c r="F441" s="35">
        <v>1.31341835014408E-4</v>
      </c>
      <c r="G441" s="35">
        <v>8.5056219566532493E-3</v>
      </c>
      <c r="H441" s="24" t="s">
        <v>10</v>
      </c>
      <c r="I441" s="24" t="s">
        <v>10</v>
      </c>
      <c r="J441" s="33" t="s">
        <v>10</v>
      </c>
      <c r="K441" s="33"/>
    </row>
    <row r="442" spans="1:11" x14ac:dyDescent="0.2">
      <c r="A442" s="35" t="s">
        <v>3552</v>
      </c>
      <c r="B442" s="35">
        <v>41.738881700005201</v>
      </c>
      <c r="C442" s="35">
        <v>-2.7331564230343499</v>
      </c>
      <c r="D442" s="35">
        <v>0.71487709493903895</v>
      </c>
      <c r="E442" s="35">
        <v>-3.8232535947559101</v>
      </c>
      <c r="F442" s="35">
        <v>1.31702200880909E-4</v>
      </c>
      <c r="G442" s="35">
        <v>8.5161142257865492E-3</v>
      </c>
      <c r="H442" s="24" t="s">
        <v>10</v>
      </c>
      <c r="I442" s="24" t="s">
        <v>10</v>
      </c>
      <c r="J442" s="33" t="s">
        <v>10</v>
      </c>
      <c r="K442" s="33"/>
    </row>
    <row r="443" spans="1:11" x14ac:dyDescent="0.2">
      <c r="A443" s="35" t="s">
        <v>3553</v>
      </c>
      <c r="B443" s="35">
        <v>547.42712064517104</v>
      </c>
      <c r="C443" s="35">
        <v>-2.1604508039495398</v>
      </c>
      <c r="D443" s="35">
        <v>0.56530009077714705</v>
      </c>
      <c r="E443" s="35">
        <v>-3.8217768565709198</v>
      </c>
      <c r="F443" s="35">
        <v>1.3249355443853899E-4</v>
      </c>
      <c r="G443" s="35">
        <v>8.5558619238907899E-3</v>
      </c>
      <c r="H443" s="24" t="s">
        <v>10</v>
      </c>
      <c r="I443" s="24" t="s">
        <v>10</v>
      </c>
      <c r="J443" s="33" t="s">
        <v>10</v>
      </c>
      <c r="K443" s="33"/>
    </row>
    <row r="444" spans="1:11" x14ac:dyDescent="0.2">
      <c r="A444" s="35" t="s">
        <v>3554</v>
      </c>
      <c r="B444" s="35">
        <v>68.094774337879201</v>
      </c>
      <c r="C444" s="35">
        <v>-2.9492507950918401</v>
      </c>
      <c r="D444" s="35">
        <v>0.77235231817379502</v>
      </c>
      <c r="E444" s="35">
        <v>-3.8185303852848702</v>
      </c>
      <c r="F444" s="35">
        <v>1.3424905089928299E-4</v>
      </c>
      <c r="G444" s="35">
        <v>8.6352810859717504E-3</v>
      </c>
      <c r="H444" s="24" t="s">
        <v>10</v>
      </c>
      <c r="I444" s="24" t="s">
        <v>10</v>
      </c>
      <c r="J444" s="33" t="s">
        <v>10</v>
      </c>
      <c r="K444" s="33"/>
    </row>
    <row r="445" spans="1:11" x14ac:dyDescent="0.2">
      <c r="A445" s="35" t="s">
        <v>3555</v>
      </c>
      <c r="B445" s="35">
        <v>19.154103537883199</v>
      </c>
      <c r="C445" s="35">
        <v>-4.22069513440871</v>
      </c>
      <c r="D445" s="35">
        <v>1.10583922020009</v>
      </c>
      <c r="E445" s="35">
        <v>-3.8167348899463001</v>
      </c>
      <c r="F445" s="35">
        <v>1.3522933505975401E-4</v>
      </c>
      <c r="G445" s="35">
        <v>8.6877256909099598E-3</v>
      </c>
      <c r="H445" s="24" t="s">
        <v>3853</v>
      </c>
      <c r="I445" s="24" t="s">
        <v>3969</v>
      </c>
      <c r="J445" s="33" t="s">
        <v>10</v>
      </c>
      <c r="K445" s="33"/>
    </row>
    <row r="446" spans="1:11" x14ac:dyDescent="0.2">
      <c r="A446" s="35" t="s">
        <v>3556</v>
      </c>
      <c r="B446" s="35">
        <v>126.973680925501</v>
      </c>
      <c r="C446" s="35">
        <v>-3.07294495958701</v>
      </c>
      <c r="D446" s="35">
        <v>0.80513842239231204</v>
      </c>
      <c r="E446" s="35">
        <v>-3.8166666428070202</v>
      </c>
      <c r="F446" s="35">
        <v>1.35266728566648E-4</v>
      </c>
      <c r="G446" s="35">
        <v>8.6877256909099598E-3</v>
      </c>
      <c r="H446" s="24" t="s">
        <v>10</v>
      </c>
      <c r="I446" s="24" t="s">
        <v>10</v>
      </c>
      <c r="J446" s="33" t="s">
        <v>10</v>
      </c>
      <c r="K446" s="33"/>
    </row>
    <row r="447" spans="1:11" x14ac:dyDescent="0.2">
      <c r="A447" s="35" t="s">
        <v>3557</v>
      </c>
      <c r="B447" s="35">
        <v>29.668694713936201</v>
      </c>
      <c r="C447" s="35">
        <v>-2.4924841620618898</v>
      </c>
      <c r="D447" s="35">
        <v>0.65512359011469401</v>
      </c>
      <c r="E447" s="35">
        <v>-3.80460145180473</v>
      </c>
      <c r="F447" s="35">
        <v>1.4203269116604199E-4</v>
      </c>
      <c r="G447" s="35">
        <v>9.0411335975679706E-3</v>
      </c>
      <c r="H447" s="24" t="s">
        <v>10</v>
      </c>
      <c r="I447" s="24" t="s">
        <v>10</v>
      </c>
      <c r="J447" s="33" t="s">
        <v>10</v>
      </c>
      <c r="K447" s="33"/>
    </row>
    <row r="448" spans="1:11" x14ac:dyDescent="0.2">
      <c r="A448" s="35" t="s">
        <v>3558</v>
      </c>
      <c r="B448" s="35">
        <v>37.7596065882232</v>
      </c>
      <c r="C448" s="35">
        <v>-2.4760407871492198</v>
      </c>
      <c r="D448" s="35">
        <v>0.65141777720601901</v>
      </c>
      <c r="E448" s="35">
        <v>-3.8010027877488302</v>
      </c>
      <c r="F448" s="35">
        <v>1.4411168052382001E-4</v>
      </c>
      <c r="G448" s="35">
        <v>9.1395968377112093E-3</v>
      </c>
      <c r="H448" s="24" t="s">
        <v>10</v>
      </c>
      <c r="I448" s="24" t="s">
        <v>10</v>
      </c>
      <c r="J448" s="33" t="s">
        <v>10</v>
      </c>
      <c r="K448" s="33"/>
    </row>
    <row r="449" spans="1:11" x14ac:dyDescent="0.2">
      <c r="A449" s="35" t="s">
        <v>3559</v>
      </c>
      <c r="B449" s="35">
        <v>23.124441295993901</v>
      </c>
      <c r="C449" s="35">
        <v>-3.3931936230989601</v>
      </c>
      <c r="D449" s="35">
        <v>0.89325921044019696</v>
      </c>
      <c r="E449" s="35">
        <v>-3.7986662588419202</v>
      </c>
      <c r="F449" s="35">
        <v>1.45476827688867E-4</v>
      </c>
      <c r="G449" s="35">
        <v>9.1922300739298492E-3</v>
      </c>
      <c r="H449" s="24" t="s">
        <v>3099</v>
      </c>
      <c r="I449" s="24" t="s">
        <v>3140</v>
      </c>
      <c r="J449" s="33" t="s">
        <v>10</v>
      </c>
      <c r="K449" s="33"/>
    </row>
    <row r="450" spans="1:11" x14ac:dyDescent="0.2">
      <c r="A450" s="45" t="s">
        <v>3560</v>
      </c>
      <c r="B450" s="45">
        <v>312.45444918542898</v>
      </c>
      <c r="C450" s="45">
        <v>-2.9712553095733001</v>
      </c>
      <c r="D450" s="45">
        <v>0.78230638245231199</v>
      </c>
      <c r="E450" s="45">
        <v>-3.7980711601242998</v>
      </c>
      <c r="F450" s="45">
        <v>1.4582646242610199E-4</v>
      </c>
      <c r="G450" s="45">
        <v>9.2075471727880807E-3</v>
      </c>
      <c r="H450" s="47" t="s">
        <v>84</v>
      </c>
      <c r="I450" s="47" t="s">
        <v>86</v>
      </c>
      <c r="J450" s="50" t="s">
        <v>10</v>
      </c>
      <c r="K450" s="33"/>
    </row>
    <row r="451" spans="1:11" x14ac:dyDescent="0.2">
      <c r="A451" s="35" t="s">
        <v>3561</v>
      </c>
      <c r="B451" s="35">
        <v>44.426948121629202</v>
      </c>
      <c r="C451" s="35">
        <v>-2.3141532573047199</v>
      </c>
      <c r="D451" s="35">
        <v>0.60992248304577201</v>
      </c>
      <c r="E451" s="35">
        <v>-3.7941760168415701</v>
      </c>
      <c r="F451" s="35">
        <v>1.4813456483642499E-4</v>
      </c>
      <c r="G451" s="35">
        <v>9.3063607546595203E-3</v>
      </c>
      <c r="H451" s="24" t="s">
        <v>10</v>
      </c>
      <c r="I451" s="24" t="s">
        <v>10</v>
      </c>
      <c r="J451" s="33" t="s">
        <v>10</v>
      </c>
      <c r="K451" s="33"/>
    </row>
    <row r="452" spans="1:11" x14ac:dyDescent="0.2">
      <c r="A452" s="35" t="s">
        <v>3562</v>
      </c>
      <c r="B452" s="35">
        <v>30.464944485223501</v>
      </c>
      <c r="C452" s="35">
        <v>-3.93722005638796</v>
      </c>
      <c r="D452" s="35">
        <v>1.0378634177272501</v>
      </c>
      <c r="E452" s="35">
        <v>-3.79358207365072</v>
      </c>
      <c r="F452" s="35">
        <v>1.4848951901074101E-4</v>
      </c>
      <c r="G452" s="35">
        <v>9.3208651220550998E-3</v>
      </c>
      <c r="H452" s="24" t="s">
        <v>10</v>
      </c>
      <c r="I452" s="24" t="s">
        <v>10</v>
      </c>
      <c r="J452" s="33" t="s">
        <v>10</v>
      </c>
      <c r="K452" s="33"/>
    </row>
    <row r="453" spans="1:11" x14ac:dyDescent="0.2">
      <c r="A453" s="45" t="s">
        <v>3563</v>
      </c>
      <c r="B453" s="45">
        <v>31.393411846284302</v>
      </c>
      <c r="C453" s="45">
        <v>-2.1322629383949798</v>
      </c>
      <c r="D453" s="45">
        <v>0.56255778321413596</v>
      </c>
      <c r="E453" s="45">
        <v>-3.79030030695237</v>
      </c>
      <c r="F453" s="45">
        <v>1.50465258670774E-4</v>
      </c>
      <c r="G453" s="45">
        <v>9.4268414973869598E-3</v>
      </c>
      <c r="H453" s="47" t="s">
        <v>3832</v>
      </c>
      <c r="I453" s="47" t="s">
        <v>3921</v>
      </c>
      <c r="J453" s="50" t="s">
        <v>10</v>
      </c>
      <c r="K453" s="33"/>
    </row>
    <row r="454" spans="1:11" x14ac:dyDescent="0.2">
      <c r="A454" s="35" t="s">
        <v>3564</v>
      </c>
      <c r="B454" s="35">
        <v>57.875249666256103</v>
      </c>
      <c r="C454" s="35">
        <v>-3.4413205810009</v>
      </c>
      <c r="D454" s="35">
        <v>0.90815782723094296</v>
      </c>
      <c r="E454" s="35">
        <v>-3.7893419819920502</v>
      </c>
      <c r="F454" s="35">
        <v>1.5104685651035101E-4</v>
      </c>
      <c r="G454" s="35">
        <v>9.4357514459541304E-3</v>
      </c>
      <c r="H454" s="24">
        <v>0</v>
      </c>
      <c r="I454" s="24" t="s">
        <v>3891</v>
      </c>
      <c r="J454" s="33" t="s">
        <v>10</v>
      </c>
      <c r="K454" s="33"/>
    </row>
    <row r="455" spans="1:11" x14ac:dyDescent="0.2">
      <c r="A455" s="35" t="s">
        <v>3565</v>
      </c>
      <c r="B455" s="35">
        <v>64.306153520885601</v>
      </c>
      <c r="C455" s="35">
        <v>-2.5806415759684702</v>
      </c>
      <c r="D455" s="35">
        <v>0.68243192645561901</v>
      </c>
      <c r="E455" s="35">
        <v>-3.78153699427821</v>
      </c>
      <c r="F455" s="35">
        <v>1.55863053836982E-4</v>
      </c>
      <c r="G455" s="35">
        <v>9.6986349971271407E-3</v>
      </c>
      <c r="H455" s="24" t="s">
        <v>10</v>
      </c>
      <c r="I455" s="24" t="s">
        <v>10</v>
      </c>
      <c r="J455" s="33" t="s">
        <v>10</v>
      </c>
      <c r="K455" s="33"/>
    </row>
    <row r="456" spans="1:11" x14ac:dyDescent="0.2">
      <c r="A456" s="35" t="s">
        <v>3566</v>
      </c>
      <c r="B456" s="35">
        <v>364.16554941630602</v>
      </c>
      <c r="C456" s="35">
        <v>-2.57670383808304</v>
      </c>
      <c r="D456" s="35">
        <v>0.68180432804161795</v>
      </c>
      <c r="E456" s="35">
        <v>-3.7792424191325402</v>
      </c>
      <c r="F456" s="35">
        <v>1.57306222821824E-4</v>
      </c>
      <c r="G456" s="35">
        <v>9.7742710998066796E-3</v>
      </c>
      <c r="H456" s="24" t="s">
        <v>10</v>
      </c>
      <c r="I456" s="24" t="s">
        <v>10</v>
      </c>
      <c r="J456" s="33" t="s">
        <v>10</v>
      </c>
      <c r="K456" s="33"/>
    </row>
    <row r="457" spans="1:11" x14ac:dyDescent="0.2">
      <c r="A457" s="35" t="s">
        <v>183</v>
      </c>
      <c r="B457" s="35">
        <v>1932.9537001604201</v>
      </c>
      <c r="C457" s="35">
        <v>4.7241116273923298</v>
      </c>
      <c r="D457" s="35">
        <v>0.43329560140441498</v>
      </c>
      <c r="E457" s="35">
        <v>10.902745405400699</v>
      </c>
      <c r="F457" s="40">
        <v>1.1183118541870899E-27</v>
      </c>
      <c r="G457" s="40">
        <v>9.6030557230899394E-23</v>
      </c>
      <c r="H457" s="33" t="str">
        <f>VLOOKUP(A457,TableS5!A:J,8,FALSE)</f>
        <v>K02583</v>
      </c>
      <c r="I457" s="24" t="s">
        <v>606</v>
      </c>
      <c r="J457" s="33" t="s">
        <v>10</v>
      </c>
      <c r="K457" s="33"/>
    </row>
    <row r="458" spans="1:11" x14ac:dyDescent="0.2">
      <c r="A458" s="35" t="s">
        <v>188</v>
      </c>
      <c r="B458" s="35">
        <v>2378.7837782073302</v>
      </c>
      <c r="C458" s="35">
        <v>4.4674486904719197</v>
      </c>
      <c r="D458" s="35">
        <v>0.44965790199716199</v>
      </c>
      <c r="E458" s="35">
        <v>9.9352166850169592</v>
      </c>
      <c r="F458" s="40">
        <v>2.9253922859039399E-23</v>
      </c>
      <c r="G458" s="40">
        <v>1.2560318049142801E-18</v>
      </c>
      <c r="H458" s="33" t="str">
        <f>VLOOKUP(A458,TableS5!A:J,8,FALSE)</f>
        <v>K09627</v>
      </c>
      <c r="I458" s="24" t="s">
        <v>3972</v>
      </c>
      <c r="J458" s="33" t="s">
        <v>10</v>
      </c>
      <c r="K458" s="33"/>
    </row>
    <row r="459" spans="1:11" x14ac:dyDescent="0.2">
      <c r="A459" s="35" t="s">
        <v>192</v>
      </c>
      <c r="B459" s="35">
        <v>2444.9222765711602</v>
      </c>
      <c r="C459" s="35">
        <v>3.3748302054189399</v>
      </c>
      <c r="D459" s="35">
        <v>0.34450377526251003</v>
      </c>
      <c r="E459" s="35">
        <v>9.7962067406876301</v>
      </c>
      <c r="F459" s="40">
        <v>1.16893170633815E-22</v>
      </c>
      <c r="G459" s="40">
        <v>3.3459111518321201E-18</v>
      </c>
      <c r="H459" s="33" t="str">
        <f>VLOOKUP(A459,TableS5!A:J,8,FALSE)</f>
        <v xml:space="preserve">K19865 </v>
      </c>
      <c r="I459" s="29" t="s">
        <v>4193</v>
      </c>
      <c r="J459" s="33" t="s">
        <v>10</v>
      </c>
      <c r="K459" s="33"/>
    </row>
    <row r="460" spans="1:11" x14ac:dyDescent="0.2">
      <c r="A460" s="35" t="s">
        <v>196</v>
      </c>
      <c r="B460" s="35">
        <v>611.74518624871598</v>
      </c>
      <c r="C460" s="35">
        <v>3.7639540861365499</v>
      </c>
      <c r="D460" s="35">
        <v>0.39656022571001598</v>
      </c>
      <c r="E460" s="35">
        <v>9.4915068181571502</v>
      </c>
      <c r="F460" s="40">
        <v>2.2771840037542601E-21</v>
      </c>
      <c r="G460" s="40">
        <v>4.8886016896595499E-17</v>
      </c>
      <c r="H460" s="24" t="s">
        <v>4137</v>
      </c>
      <c r="I460" s="29" t="s">
        <v>4194</v>
      </c>
      <c r="J460" s="33" t="s">
        <v>10</v>
      </c>
      <c r="K460" s="33"/>
    </row>
    <row r="461" spans="1:11" x14ac:dyDescent="0.2">
      <c r="A461" s="35" t="s">
        <v>202</v>
      </c>
      <c r="B461" s="35">
        <v>1533.7939554227</v>
      </c>
      <c r="C461" s="35">
        <v>5.2423150596967796</v>
      </c>
      <c r="D461" s="35">
        <v>0.61337794950191604</v>
      </c>
      <c r="E461" s="35">
        <v>8.5466311007001803</v>
      </c>
      <c r="F461" s="40">
        <v>1.26733455511E-17</v>
      </c>
      <c r="G461" s="40">
        <v>1.08827285581851E-13</v>
      </c>
      <c r="H461" s="24" t="s">
        <v>640</v>
      </c>
      <c r="I461" s="24" t="s">
        <v>111</v>
      </c>
      <c r="J461" s="33" t="s">
        <v>3039</v>
      </c>
      <c r="K461" s="33"/>
    </row>
    <row r="462" spans="1:11" x14ac:dyDescent="0.2">
      <c r="A462" s="45" t="s">
        <v>205</v>
      </c>
      <c r="B462" s="45">
        <v>2819.41719129374</v>
      </c>
      <c r="C462" s="45">
        <v>4.8477167881053802</v>
      </c>
      <c r="D462" s="45">
        <v>0.57138401352480905</v>
      </c>
      <c r="E462" s="45">
        <v>8.4841659433212406</v>
      </c>
      <c r="F462" s="46">
        <v>2.1727150759334599E-17</v>
      </c>
      <c r="G462" s="46">
        <v>1.6961201480498401E-13</v>
      </c>
      <c r="H462" s="47" t="s">
        <v>504</v>
      </c>
      <c r="I462" s="47" t="s">
        <v>3137</v>
      </c>
      <c r="J462" s="49" t="s">
        <v>10</v>
      </c>
      <c r="K462" s="33"/>
    </row>
    <row r="463" spans="1:11" x14ac:dyDescent="0.2">
      <c r="A463" s="35" t="s">
        <v>210</v>
      </c>
      <c r="B463" s="35">
        <v>12731.618914856001</v>
      </c>
      <c r="C463" s="35">
        <v>6.9080522475332904</v>
      </c>
      <c r="D463" s="35">
        <v>0.83132547867083195</v>
      </c>
      <c r="E463" s="35">
        <v>8.3096842629895793</v>
      </c>
      <c r="F463" s="40">
        <v>9.5957045799837399E-17</v>
      </c>
      <c r="G463" s="40">
        <v>6.4855083127734399E-13</v>
      </c>
      <c r="H463" s="33" t="str">
        <f>VLOOKUP(A463,TableS5!A:J,8,FALSE)</f>
        <v xml:space="preserve"> K19899</v>
      </c>
      <c r="I463" s="33" t="str">
        <f>VLOOKUP(A463,TableS5!A:J,9,FALSE)</f>
        <v>pancreatic secretory granule membrane major glycoprotein GP2-like</v>
      </c>
      <c r="J463" s="30" t="s">
        <v>10</v>
      </c>
      <c r="K463" s="33"/>
    </row>
    <row r="464" spans="1:11" x14ac:dyDescent="0.2">
      <c r="A464" s="35" t="s">
        <v>215</v>
      </c>
      <c r="B464" s="35">
        <v>557.51428045708099</v>
      </c>
      <c r="C464" s="35">
        <v>6.8269458708456803</v>
      </c>
      <c r="D464" s="35">
        <v>0.82183432690871905</v>
      </c>
      <c r="E464" s="35">
        <v>8.3069612053378492</v>
      </c>
      <c r="F464" s="40">
        <v>9.8184029609594404E-17</v>
      </c>
      <c r="G464" s="40">
        <v>6.4855083127734399E-13</v>
      </c>
      <c r="H464" s="24" t="s">
        <v>10</v>
      </c>
      <c r="I464" s="24" t="s">
        <v>10</v>
      </c>
      <c r="J464" s="33" t="s">
        <v>10</v>
      </c>
      <c r="K464" s="33"/>
    </row>
    <row r="465" spans="1:11" x14ac:dyDescent="0.2">
      <c r="A465" s="35" t="s">
        <v>219</v>
      </c>
      <c r="B465" s="35">
        <v>2898.7996937833</v>
      </c>
      <c r="C465" s="35">
        <v>2.3654747208172999</v>
      </c>
      <c r="D465" s="35">
        <v>0.28646714309786098</v>
      </c>
      <c r="E465" s="35">
        <v>8.2574032583179093</v>
      </c>
      <c r="F465" s="40">
        <v>1.4887577902488801E-16</v>
      </c>
      <c r="G465" s="40">
        <v>9.1315085861758508E-13</v>
      </c>
      <c r="H465" s="24" t="s">
        <v>10</v>
      </c>
      <c r="I465" s="24" t="s">
        <v>10</v>
      </c>
      <c r="J465" s="33" t="s">
        <v>10</v>
      </c>
      <c r="K465" s="33"/>
    </row>
    <row r="466" spans="1:11" x14ac:dyDescent="0.2">
      <c r="A466" s="35" t="s">
        <v>221</v>
      </c>
      <c r="B466" s="35">
        <v>592.78517285394901</v>
      </c>
      <c r="C466" s="35">
        <v>3.9021600678042501</v>
      </c>
      <c r="D466" s="35">
        <v>0.48251514948951801</v>
      </c>
      <c r="E466" s="35">
        <v>8.0871244600974208</v>
      </c>
      <c r="F466" s="40">
        <v>6.1089833506525303E-16</v>
      </c>
      <c r="G466" s="40">
        <v>3.4972300620258899E-12</v>
      </c>
      <c r="H466" s="24" t="s">
        <v>10</v>
      </c>
      <c r="I466" s="24" t="s">
        <v>10</v>
      </c>
      <c r="J466" s="33" t="s">
        <v>10</v>
      </c>
      <c r="K466" s="33"/>
    </row>
    <row r="467" spans="1:11" x14ac:dyDescent="0.2">
      <c r="A467" s="35" t="s">
        <v>225</v>
      </c>
      <c r="B467" s="35">
        <v>1262.4942790160101</v>
      </c>
      <c r="C467" s="35">
        <v>2.53156496229091</v>
      </c>
      <c r="D467" s="35">
        <v>0.31358017949267702</v>
      </c>
      <c r="E467" s="35">
        <v>8.0731025997452406</v>
      </c>
      <c r="F467" s="40">
        <v>6.8533970839163101E-16</v>
      </c>
      <c r="G467" s="40">
        <v>3.6781753812061097E-12</v>
      </c>
      <c r="H467" s="24" t="s">
        <v>10</v>
      </c>
      <c r="I467" s="24" t="s">
        <v>10</v>
      </c>
      <c r="J467" s="33" t="s">
        <v>10</v>
      </c>
      <c r="K467" s="33"/>
    </row>
    <row r="468" spans="1:11" x14ac:dyDescent="0.2">
      <c r="A468" s="35" t="s">
        <v>228</v>
      </c>
      <c r="B468" s="35">
        <v>863.71535418515805</v>
      </c>
      <c r="C468" s="35">
        <v>4.66697444183795</v>
      </c>
      <c r="D468" s="35">
        <v>0.58043760786828802</v>
      </c>
      <c r="E468" s="35">
        <v>8.0404411750262899</v>
      </c>
      <c r="F468" s="40">
        <v>8.9515595891618309E-16</v>
      </c>
      <c r="G468" s="40">
        <v>4.5216433734171499E-12</v>
      </c>
      <c r="H468" s="24" t="s">
        <v>10</v>
      </c>
      <c r="I468" s="24" t="s">
        <v>10</v>
      </c>
      <c r="J468" s="33" t="s">
        <v>10</v>
      </c>
      <c r="K468" s="33"/>
    </row>
    <row r="469" spans="1:11" x14ac:dyDescent="0.2">
      <c r="A469" s="35" t="s">
        <v>230</v>
      </c>
      <c r="B469" s="35">
        <v>9108.9342539238496</v>
      </c>
      <c r="C469" s="35">
        <v>2.9471477279361298</v>
      </c>
      <c r="D469" s="35">
        <v>0.37078467758364703</v>
      </c>
      <c r="E469" s="35">
        <v>7.9484075424645004</v>
      </c>
      <c r="F469" s="40">
        <v>1.8892425937560001E-15</v>
      </c>
      <c r="G469" s="40">
        <v>9.0128417093567605E-12</v>
      </c>
      <c r="H469" s="24" t="s">
        <v>232</v>
      </c>
      <c r="I469" s="33" t="str">
        <f>VLOOKUP(A469,TableS5!A:J,9,FALSE)</f>
        <v>protein c-ets-2-A-like isoform X2</v>
      </c>
      <c r="J469" s="33" t="s">
        <v>4075</v>
      </c>
      <c r="K469" s="33"/>
    </row>
    <row r="470" spans="1:11" x14ac:dyDescent="0.2">
      <c r="A470" s="35" t="s">
        <v>234</v>
      </c>
      <c r="B470" s="35">
        <v>288.96582951948602</v>
      </c>
      <c r="C470" s="35">
        <v>3.8565580571585101</v>
      </c>
      <c r="D470" s="35">
        <v>0.48671767763906099</v>
      </c>
      <c r="E470" s="35">
        <v>7.9236038351137097</v>
      </c>
      <c r="F470" s="40">
        <v>2.3072391921486399E-15</v>
      </c>
      <c r="G470" s="40">
        <v>1.01247744880883E-11</v>
      </c>
      <c r="H470" s="24" t="s">
        <v>10</v>
      </c>
      <c r="I470" s="24" t="s">
        <v>10</v>
      </c>
      <c r="J470" s="33" t="s">
        <v>10</v>
      </c>
      <c r="K470" s="33"/>
    </row>
    <row r="471" spans="1:11" x14ac:dyDescent="0.2">
      <c r="A471" s="35" t="s">
        <v>240</v>
      </c>
      <c r="B471" s="35">
        <v>5600.4114278181896</v>
      </c>
      <c r="C471" s="35">
        <v>3.6093374462152399</v>
      </c>
      <c r="D471" s="35">
        <v>0.45567313130741499</v>
      </c>
      <c r="E471" s="35">
        <v>7.9208915299863003</v>
      </c>
      <c r="F471" s="40">
        <v>2.3581359220431301E-15</v>
      </c>
      <c r="G471" s="40">
        <v>1.01247744880883E-11</v>
      </c>
      <c r="H471" s="24" t="s">
        <v>10</v>
      </c>
      <c r="I471" s="24" t="s">
        <v>10</v>
      </c>
      <c r="J471" s="33" t="s">
        <v>10</v>
      </c>
      <c r="K471" s="33"/>
    </row>
    <row r="472" spans="1:11" x14ac:dyDescent="0.2">
      <c r="A472" s="35" t="s">
        <v>245</v>
      </c>
      <c r="B472" s="35">
        <v>327.29870264815798</v>
      </c>
      <c r="C472" s="35">
        <v>4.7504547657150598</v>
      </c>
      <c r="D472" s="35">
        <v>0.61031700408811296</v>
      </c>
      <c r="E472" s="35">
        <v>7.7835857986831201</v>
      </c>
      <c r="F472" s="40">
        <v>7.0497303900245598E-15</v>
      </c>
      <c r="G472" s="40">
        <v>2.8827018967704701E-11</v>
      </c>
      <c r="H472" s="24" t="s">
        <v>10</v>
      </c>
      <c r="I472" s="24" t="s">
        <v>10</v>
      </c>
      <c r="J472" s="33" t="s">
        <v>10</v>
      </c>
      <c r="K472" s="33"/>
    </row>
    <row r="473" spans="1:11" x14ac:dyDescent="0.2">
      <c r="A473" s="35" t="s">
        <v>248</v>
      </c>
      <c r="B473" s="35">
        <v>3976.6895821294602</v>
      </c>
      <c r="C473" s="35">
        <v>3.6917540378854601</v>
      </c>
      <c r="D473" s="35">
        <v>0.474959285103775</v>
      </c>
      <c r="E473" s="35">
        <v>7.7727800122464004</v>
      </c>
      <c r="F473" s="40">
        <v>7.6782024806848894E-15</v>
      </c>
      <c r="G473" s="40">
        <v>2.9969769328131398E-11</v>
      </c>
      <c r="H473" s="33" t="str">
        <f>VLOOKUP(A473,TableS5!A:J,8,FALSE)</f>
        <v>K13047</v>
      </c>
      <c r="I473" s="24" t="s">
        <v>3902</v>
      </c>
      <c r="J473" s="30" t="s">
        <v>10</v>
      </c>
      <c r="K473" s="33"/>
    </row>
    <row r="474" spans="1:11" x14ac:dyDescent="0.2">
      <c r="A474" s="35" t="s">
        <v>253</v>
      </c>
      <c r="B474" s="35">
        <v>1022.72985474651</v>
      </c>
      <c r="C474" s="35">
        <v>2.52374950339747</v>
      </c>
      <c r="D474" s="35">
        <v>0.32968244350766301</v>
      </c>
      <c r="E474" s="35">
        <v>7.6550922049290202</v>
      </c>
      <c r="F474" s="40">
        <v>1.9317359118814701E-14</v>
      </c>
      <c r="G474" s="40">
        <v>7.2121780212684394E-11</v>
      </c>
      <c r="H474" s="24" t="s">
        <v>10</v>
      </c>
      <c r="I474" s="24" t="s">
        <v>10</v>
      </c>
      <c r="J474" s="33" t="s">
        <v>10</v>
      </c>
      <c r="K474" s="33"/>
    </row>
    <row r="475" spans="1:11" x14ac:dyDescent="0.2">
      <c r="A475" s="35" t="s">
        <v>256</v>
      </c>
      <c r="B475" s="35">
        <v>1189.2347057230299</v>
      </c>
      <c r="C475" s="35">
        <v>2.62435076156771</v>
      </c>
      <c r="D475" s="35">
        <v>0.35014322747049398</v>
      </c>
      <c r="E475" s="35">
        <v>7.4950778872022203</v>
      </c>
      <c r="F475" s="40">
        <v>6.6259005482295505E-14</v>
      </c>
      <c r="G475" s="40">
        <v>2.1093927074925999E-10</v>
      </c>
      <c r="H475" s="24" t="s">
        <v>10</v>
      </c>
      <c r="I475" s="24" t="s">
        <v>10</v>
      </c>
      <c r="J475" s="33" t="s">
        <v>10</v>
      </c>
      <c r="K475" s="33"/>
    </row>
    <row r="476" spans="1:11" x14ac:dyDescent="0.2">
      <c r="A476" s="35" t="s">
        <v>259</v>
      </c>
      <c r="B476" s="35">
        <v>1674.2566774746399</v>
      </c>
      <c r="C476" s="35">
        <v>2.1638985532364599</v>
      </c>
      <c r="D476" s="35">
        <v>0.28871428158633</v>
      </c>
      <c r="E476" s="35">
        <v>7.4949480896719196</v>
      </c>
      <c r="F476" s="40">
        <v>6.6324606796590397E-14</v>
      </c>
      <c r="G476" s="40">
        <v>2.1093927074925999E-10</v>
      </c>
      <c r="H476" s="24" t="s">
        <v>3884</v>
      </c>
      <c r="I476" s="24" t="s">
        <v>4017</v>
      </c>
      <c r="J476" s="33" t="s">
        <v>4108</v>
      </c>
      <c r="K476" s="33"/>
    </row>
    <row r="477" spans="1:11" x14ac:dyDescent="0.2">
      <c r="A477" s="35" t="s">
        <v>264</v>
      </c>
      <c r="B477" s="35">
        <v>143.82718013451199</v>
      </c>
      <c r="C477" s="35">
        <v>4.11748710626473</v>
      </c>
      <c r="D477" s="35">
        <v>0.55397434968403003</v>
      </c>
      <c r="E477" s="35">
        <v>7.4326313278100598</v>
      </c>
      <c r="F477" s="40">
        <v>1.0645831712354599E-13</v>
      </c>
      <c r="G477" s="40">
        <v>3.1523041895572601E-10</v>
      </c>
      <c r="H477" s="24" t="s">
        <v>10</v>
      </c>
      <c r="I477" s="24" t="s">
        <v>10</v>
      </c>
      <c r="J477" s="33" t="s">
        <v>10</v>
      </c>
      <c r="K477" s="33"/>
    </row>
    <row r="478" spans="1:11" x14ac:dyDescent="0.2">
      <c r="A478" s="35" t="s">
        <v>268</v>
      </c>
      <c r="B478" s="35">
        <v>114.264645555941</v>
      </c>
      <c r="C478" s="35">
        <v>3.01496699920741</v>
      </c>
      <c r="D478" s="35">
        <v>0.40682161072453898</v>
      </c>
      <c r="E478" s="35">
        <v>7.4110296005117098</v>
      </c>
      <c r="F478" s="40">
        <v>1.2532260548133301E-13</v>
      </c>
      <c r="G478" s="40">
        <v>3.58719248509584E-10</v>
      </c>
      <c r="H478" s="24" t="s">
        <v>10</v>
      </c>
      <c r="I478" s="24" t="s">
        <v>10</v>
      </c>
      <c r="J478" s="33" t="s">
        <v>10</v>
      </c>
      <c r="K478" s="33"/>
    </row>
    <row r="479" spans="1:11" x14ac:dyDescent="0.2">
      <c r="A479" s="35" t="s">
        <v>271</v>
      </c>
      <c r="B479" s="35">
        <v>3352.4645142279401</v>
      </c>
      <c r="C479" s="35">
        <v>4.0965391211156899</v>
      </c>
      <c r="D479" s="35">
        <v>0.55401741859106701</v>
      </c>
      <c r="E479" s="35">
        <v>7.394242461787</v>
      </c>
      <c r="F479" s="40">
        <v>1.4221670329195799E-13</v>
      </c>
      <c r="G479" s="40">
        <v>3.9394485575431402E-10</v>
      </c>
      <c r="H479" s="33" t="str">
        <f>VLOOKUP(A479,TableS5!A:J,8,FALSE)</f>
        <v>K10144</v>
      </c>
      <c r="I479" s="24" t="s">
        <v>10</v>
      </c>
      <c r="J479" s="33" t="s">
        <v>10</v>
      </c>
      <c r="K479" s="33"/>
    </row>
    <row r="480" spans="1:11" x14ac:dyDescent="0.2">
      <c r="A480" s="35" t="s">
        <v>276</v>
      </c>
      <c r="B480" s="35">
        <v>358.263330813153</v>
      </c>
      <c r="C480" s="35">
        <v>6.54343676007651</v>
      </c>
      <c r="D480" s="35">
        <v>0.89080624491298799</v>
      </c>
      <c r="E480" s="35">
        <v>7.3455218768876698</v>
      </c>
      <c r="F480" s="40">
        <v>2.04957801005685E-13</v>
      </c>
      <c r="G480" s="40">
        <v>5.3333125242906503E-10</v>
      </c>
      <c r="H480" s="33" t="str">
        <f>VLOOKUP(A480,TableS5!A:J,8,FALSE)</f>
        <v>K07766</v>
      </c>
      <c r="I480" s="24" t="s">
        <v>10</v>
      </c>
      <c r="J480" s="33" t="s">
        <v>10</v>
      </c>
      <c r="K480" s="33"/>
    </row>
    <row r="481" spans="1:11" x14ac:dyDescent="0.2">
      <c r="A481" s="35" t="s">
        <v>279</v>
      </c>
      <c r="B481" s="35">
        <v>1001.89403872495</v>
      </c>
      <c r="C481" s="35">
        <v>3.3305031923469501</v>
      </c>
      <c r="D481" s="35">
        <v>0.45829772536825403</v>
      </c>
      <c r="E481" s="35">
        <v>7.26711700275363</v>
      </c>
      <c r="F481" s="40">
        <v>3.67240708397839E-13</v>
      </c>
      <c r="G481" s="40">
        <v>9.1984508820487696E-10</v>
      </c>
      <c r="H481" s="33" t="str">
        <f>VLOOKUP(A481,TableS5!A:J,8,FALSE)</f>
        <v xml:space="preserve"> K06846</v>
      </c>
      <c r="I481" s="24" t="s">
        <v>10</v>
      </c>
      <c r="J481" s="33" t="s">
        <v>10</v>
      </c>
      <c r="K481" s="33"/>
    </row>
    <row r="482" spans="1:11" x14ac:dyDescent="0.2">
      <c r="A482" s="35" t="s">
        <v>282</v>
      </c>
      <c r="B482" s="35">
        <v>260.69121974816699</v>
      </c>
      <c r="C482" s="35">
        <v>9.7357464250766093</v>
      </c>
      <c r="D482" s="35">
        <v>1.3402143171871601</v>
      </c>
      <c r="E482" s="35">
        <v>7.2643205644228699</v>
      </c>
      <c r="F482" s="40">
        <v>3.7491793605723298E-13</v>
      </c>
      <c r="G482" s="40">
        <v>9.1984508820487696E-10</v>
      </c>
      <c r="H482" s="24" t="s">
        <v>10</v>
      </c>
      <c r="I482" s="24" t="s">
        <v>10</v>
      </c>
      <c r="J482" s="33" t="s">
        <v>10</v>
      </c>
      <c r="K482" s="33"/>
    </row>
    <row r="483" spans="1:11" x14ac:dyDescent="0.2">
      <c r="A483" s="35" t="s">
        <v>286</v>
      </c>
      <c r="B483" s="35">
        <v>125.666768529019</v>
      </c>
      <c r="C483" s="35">
        <v>3.02909873176745</v>
      </c>
      <c r="D483" s="35">
        <v>0.42571718188122099</v>
      </c>
      <c r="E483" s="35">
        <v>7.1152841855760398</v>
      </c>
      <c r="F483" s="40">
        <v>1.1168247483257301E-12</v>
      </c>
      <c r="G483" s="40">
        <v>2.3975714490869701E-9</v>
      </c>
      <c r="H483" s="24" t="s">
        <v>10</v>
      </c>
      <c r="I483" s="24" t="s">
        <v>10</v>
      </c>
      <c r="J483" s="33" t="s">
        <v>10</v>
      </c>
      <c r="K483" s="33"/>
    </row>
    <row r="484" spans="1:11" x14ac:dyDescent="0.2">
      <c r="A484" s="35" t="s">
        <v>288</v>
      </c>
      <c r="B484" s="35">
        <v>54.283453362340197</v>
      </c>
      <c r="C484" s="35">
        <v>3.7197093815486202</v>
      </c>
      <c r="D484" s="35">
        <v>0.52612833596587305</v>
      </c>
      <c r="E484" s="35">
        <v>7.0699658757590598</v>
      </c>
      <c r="F484" s="40">
        <v>1.54971801466972E-12</v>
      </c>
      <c r="G484" s="40">
        <v>3.24575208872447E-9</v>
      </c>
      <c r="H484" s="29" t="s">
        <v>10</v>
      </c>
      <c r="I484" s="24" t="s">
        <v>3968</v>
      </c>
      <c r="J484" s="33" t="s">
        <v>10</v>
      </c>
      <c r="K484" s="33"/>
    </row>
    <row r="485" spans="1:11" x14ac:dyDescent="0.2">
      <c r="A485" s="35" t="s">
        <v>293</v>
      </c>
      <c r="B485" s="35">
        <v>5685.6201805655401</v>
      </c>
      <c r="C485" s="35">
        <v>2.8535002730225401</v>
      </c>
      <c r="D485" s="35">
        <v>0.40439631899351097</v>
      </c>
      <c r="E485" s="35">
        <v>7.0561974454280998</v>
      </c>
      <c r="F485" s="40">
        <v>1.71120635088207E-12</v>
      </c>
      <c r="G485" s="40">
        <v>3.4986428703950999E-9</v>
      </c>
      <c r="H485" s="24" t="s">
        <v>10</v>
      </c>
      <c r="I485" s="24" t="s">
        <v>10</v>
      </c>
      <c r="J485" s="33" t="s">
        <v>10</v>
      </c>
      <c r="K485" s="33"/>
    </row>
    <row r="486" spans="1:11" x14ac:dyDescent="0.2">
      <c r="A486" s="35" t="s">
        <v>298</v>
      </c>
      <c r="B486" s="35">
        <v>3445.9452968785499</v>
      </c>
      <c r="C486" s="35">
        <v>3.6838359496249802</v>
      </c>
      <c r="D486" s="35">
        <v>0.52440433001188502</v>
      </c>
      <c r="E486" s="35">
        <v>7.0248007859536399</v>
      </c>
      <c r="F486" s="40">
        <v>2.1437188936237302E-12</v>
      </c>
      <c r="G486" s="40">
        <v>4.2810066305665802E-9</v>
      </c>
      <c r="H486" s="33" t="str">
        <f>VLOOKUP(A486,TableS5!A:J,8,FALSE)</f>
        <v>K05502</v>
      </c>
      <c r="I486" s="24" t="s">
        <v>3902</v>
      </c>
      <c r="J486" s="33" t="s">
        <v>10</v>
      </c>
      <c r="K486" s="33"/>
    </row>
    <row r="487" spans="1:11" x14ac:dyDescent="0.2">
      <c r="A487" s="35" t="s">
        <v>304</v>
      </c>
      <c r="B487" s="35">
        <v>995.134402660197</v>
      </c>
      <c r="C487" s="35">
        <v>2.6268262764114998</v>
      </c>
      <c r="D487" s="35">
        <v>0.374895452759611</v>
      </c>
      <c r="E487" s="35">
        <v>7.0068235212654502</v>
      </c>
      <c r="F487" s="40">
        <v>2.4378944783671199E-12</v>
      </c>
      <c r="G487" s="40">
        <v>4.69334077187828E-9</v>
      </c>
      <c r="H487" s="24" t="s">
        <v>10</v>
      </c>
      <c r="I487" s="24" t="s">
        <v>10</v>
      </c>
      <c r="J487" s="33" t="s">
        <v>10</v>
      </c>
      <c r="K487" s="33"/>
    </row>
    <row r="488" spans="1:11" x14ac:dyDescent="0.2">
      <c r="A488" s="35" t="s">
        <v>307</v>
      </c>
      <c r="B488" s="35">
        <v>190.81627294148601</v>
      </c>
      <c r="C488" s="35">
        <v>2.2544981512561102</v>
      </c>
      <c r="D488" s="35">
        <v>0.323312039433651</v>
      </c>
      <c r="E488" s="35">
        <v>6.9731339272281296</v>
      </c>
      <c r="F488" s="40">
        <v>3.0995729080028799E-12</v>
      </c>
      <c r="G488" s="40">
        <v>5.6630515996407504E-9</v>
      </c>
      <c r="H488" s="33" t="str">
        <f>VLOOKUP(A488,TableS5!A:J,8,FALSE)</f>
        <v xml:space="preserve">K16857 </v>
      </c>
      <c r="I488" s="33" t="str">
        <f>VLOOKUP(A488,TableS5!A:J,9,FALSE)</f>
        <v>putative thrombospondin-1-like, partial</v>
      </c>
      <c r="J488" s="33" t="s">
        <v>10</v>
      </c>
      <c r="K488" s="33"/>
    </row>
    <row r="489" spans="1:11" x14ac:dyDescent="0.2">
      <c r="A489" s="35" t="s">
        <v>311</v>
      </c>
      <c r="B489" s="35">
        <v>321.45563160396898</v>
      </c>
      <c r="C489" s="35">
        <v>3.1493939134107798</v>
      </c>
      <c r="D489" s="35">
        <v>0.45223046031110198</v>
      </c>
      <c r="E489" s="35">
        <v>6.9641348600097102</v>
      </c>
      <c r="F489" s="40">
        <v>3.3042796686257001E-12</v>
      </c>
      <c r="G489" s="40">
        <v>5.8353033588310701E-9</v>
      </c>
      <c r="H489" s="33" t="str">
        <f>VLOOKUP(A489,TableS5!A:J,8,FALSE)</f>
        <v>K05126</v>
      </c>
      <c r="I489" s="33" t="str">
        <f>VLOOKUP(A489,TableS5!A:J,9,FALSE)</f>
        <v>putative tyrosine-protein kinase receptor Tie-1-like</v>
      </c>
      <c r="J489" s="33" t="s">
        <v>10</v>
      </c>
      <c r="K489" s="33"/>
    </row>
    <row r="490" spans="1:11" x14ac:dyDescent="0.2">
      <c r="A490" s="35" t="s">
        <v>319</v>
      </c>
      <c r="B490" s="35">
        <v>134.31488661853101</v>
      </c>
      <c r="C490" s="35">
        <v>5.8298038797724301</v>
      </c>
      <c r="D490" s="35">
        <v>0.83724821988134102</v>
      </c>
      <c r="E490" s="35">
        <v>6.9630531798546702</v>
      </c>
      <c r="F490" s="40">
        <v>3.3297605080029599E-12</v>
      </c>
      <c r="G490" s="40">
        <v>5.8353033588310701E-9</v>
      </c>
      <c r="H490" s="24" t="s">
        <v>10</v>
      </c>
      <c r="I490" s="24" t="s">
        <v>10</v>
      </c>
      <c r="J490" s="33" t="s">
        <v>10</v>
      </c>
      <c r="K490" s="33"/>
    </row>
    <row r="491" spans="1:11" x14ac:dyDescent="0.2">
      <c r="A491" s="35" t="s">
        <v>323</v>
      </c>
      <c r="B491" s="35">
        <v>92.091599057271495</v>
      </c>
      <c r="C491" s="35">
        <v>2.9936950640573401</v>
      </c>
      <c r="D491" s="35">
        <v>0.43190406056665298</v>
      </c>
      <c r="E491" s="35">
        <v>6.9313890222047103</v>
      </c>
      <c r="F491" s="40">
        <v>4.1672830879261597E-12</v>
      </c>
      <c r="G491" s="40">
        <v>7.1569753208661401E-9</v>
      </c>
      <c r="H491" s="24" t="s">
        <v>10</v>
      </c>
      <c r="I491" s="24" t="s">
        <v>10</v>
      </c>
      <c r="J491" s="33" t="s">
        <v>10</v>
      </c>
      <c r="K491" s="33"/>
    </row>
    <row r="492" spans="1:11" x14ac:dyDescent="0.2">
      <c r="A492" s="35" t="s">
        <v>324</v>
      </c>
      <c r="B492" s="35">
        <v>99.702346207955202</v>
      </c>
      <c r="C492" s="35">
        <v>3.8904303107161802</v>
      </c>
      <c r="D492" s="35">
        <v>0.56307687803485995</v>
      </c>
      <c r="E492" s="35">
        <v>6.90923471106432</v>
      </c>
      <c r="F492" s="40">
        <v>4.8727518149274302E-12</v>
      </c>
      <c r="G492" s="40">
        <v>8.0466936749929495E-9</v>
      </c>
      <c r="H492" s="33" t="str">
        <f>VLOOKUP(A492,TableS5!A:J,8,FALSE)</f>
        <v>K09849</v>
      </c>
      <c r="I492" s="33" t="str">
        <f>VLOOKUP(A492,TableS5!A:J,9,FALSE)</f>
        <v>TNF receptor-associated factor 5-like</v>
      </c>
      <c r="J492" s="33" t="s">
        <v>10</v>
      </c>
      <c r="K492" s="33"/>
    </row>
    <row r="493" spans="1:11" x14ac:dyDescent="0.2">
      <c r="A493" s="35" t="s">
        <v>330</v>
      </c>
      <c r="B493" s="35">
        <v>1203.2595700332299</v>
      </c>
      <c r="C493" s="35">
        <v>2.3921986424054098</v>
      </c>
      <c r="D493" s="35">
        <v>0.34863482087733</v>
      </c>
      <c r="E493" s="35">
        <v>6.8616170822682099</v>
      </c>
      <c r="F493" s="40">
        <v>6.8085367091086E-12</v>
      </c>
      <c r="G493" s="40">
        <v>1.0630106468143001E-8</v>
      </c>
      <c r="H493" s="24" t="s">
        <v>10</v>
      </c>
      <c r="I493" s="24" t="s">
        <v>10</v>
      </c>
      <c r="J493" s="33" t="s">
        <v>10</v>
      </c>
      <c r="K493" s="33"/>
    </row>
    <row r="494" spans="1:11" x14ac:dyDescent="0.2">
      <c r="A494" s="35" t="s">
        <v>332</v>
      </c>
      <c r="B494" s="35">
        <v>229.58436803061801</v>
      </c>
      <c r="C494" s="35">
        <v>3.0518169319359099</v>
      </c>
      <c r="D494" s="35">
        <v>0.451508054141533</v>
      </c>
      <c r="E494" s="35">
        <v>6.7591638818900499</v>
      </c>
      <c r="F494" s="40">
        <v>1.38790337563633E-11</v>
      </c>
      <c r="G494" s="40">
        <v>1.9537811601519301E-8</v>
      </c>
      <c r="H494" s="24" t="s">
        <v>4138</v>
      </c>
      <c r="I494" s="29" t="s">
        <v>3938</v>
      </c>
      <c r="J494" s="33" t="s">
        <v>4083</v>
      </c>
      <c r="K494" s="33"/>
    </row>
    <row r="495" spans="1:11" x14ac:dyDescent="0.2">
      <c r="A495" s="35" t="s">
        <v>338</v>
      </c>
      <c r="B495" s="35">
        <v>1090.15081413792</v>
      </c>
      <c r="C495" s="35">
        <v>3.7763880377753001</v>
      </c>
      <c r="D495" s="35">
        <v>0.56102748700261396</v>
      </c>
      <c r="E495" s="35">
        <v>6.7311996742821103</v>
      </c>
      <c r="F495" s="40">
        <v>1.6826985662868499E-11</v>
      </c>
      <c r="G495" s="40">
        <v>2.25773450915029E-8</v>
      </c>
      <c r="H495" s="33" t="str">
        <f>VLOOKUP(A495,TableS5!A:J,8,FALSE)</f>
        <v>K09608</v>
      </c>
      <c r="I495" s="29" t="s">
        <v>4195</v>
      </c>
      <c r="J495" s="30" t="s">
        <v>10</v>
      </c>
      <c r="K495" s="33"/>
    </row>
    <row r="496" spans="1:11" x14ac:dyDescent="0.2">
      <c r="A496" s="45" t="s">
        <v>344</v>
      </c>
      <c r="B496" s="45">
        <v>243.972140435824</v>
      </c>
      <c r="C496" s="45">
        <v>3.2399062994782999</v>
      </c>
      <c r="D496" s="45">
        <v>0.48236004873099197</v>
      </c>
      <c r="E496" s="45">
        <v>6.7167799406313904</v>
      </c>
      <c r="F496" s="46">
        <v>1.8578421073019099E-11</v>
      </c>
      <c r="G496" s="46">
        <v>2.4171933272139799E-8</v>
      </c>
      <c r="H496" s="47" t="s">
        <v>4139</v>
      </c>
      <c r="I496" s="48" t="s">
        <v>4196</v>
      </c>
      <c r="J496" s="49" t="s">
        <v>10</v>
      </c>
      <c r="K496" s="33"/>
    </row>
    <row r="497" spans="1:11" x14ac:dyDescent="0.2">
      <c r="A497" s="35" t="s">
        <v>348</v>
      </c>
      <c r="B497" s="35">
        <v>77.341302900417602</v>
      </c>
      <c r="C497" s="35">
        <v>2.9789067823418902</v>
      </c>
      <c r="D497" s="35">
        <v>0.44410103105609</v>
      </c>
      <c r="E497" s="35">
        <v>6.7077231846499696</v>
      </c>
      <c r="F497" s="40">
        <v>1.97684475067E-11</v>
      </c>
      <c r="G497" s="40">
        <v>2.5336363520116901E-8</v>
      </c>
      <c r="H497" s="24" t="s">
        <v>10</v>
      </c>
      <c r="I497" s="33" t="str">
        <f>VLOOKUP(A497,TableS5!A:J,9,FALSE)</f>
        <v xml:space="preserve">putative retinol dehydrogenase 2-like </v>
      </c>
      <c r="J497" s="43" t="s">
        <v>10</v>
      </c>
      <c r="K497" s="33"/>
    </row>
    <row r="498" spans="1:11" x14ac:dyDescent="0.2">
      <c r="A498" s="35" t="s">
        <v>351</v>
      </c>
      <c r="B498" s="35">
        <v>259.24645824494797</v>
      </c>
      <c r="C498" s="35">
        <v>3.5195735432386202</v>
      </c>
      <c r="D498" s="35">
        <v>0.52662082421477796</v>
      </c>
      <c r="E498" s="35">
        <v>6.6833163091993297</v>
      </c>
      <c r="F498" s="40">
        <v>2.3359461587033501E-11</v>
      </c>
      <c r="G498" s="40">
        <v>2.92345107260975E-8</v>
      </c>
      <c r="H498" s="24" t="s">
        <v>10</v>
      </c>
      <c r="I498" s="24" t="s">
        <v>10</v>
      </c>
      <c r="J498" s="43" t="s">
        <v>10</v>
      </c>
      <c r="K498" s="33"/>
    </row>
    <row r="499" spans="1:11" x14ac:dyDescent="0.2">
      <c r="A499" s="35" t="s">
        <v>353</v>
      </c>
      <c r="B499" s="35">
        <v>87.664619206468103</v>
      </c>
      <c r="C499" s="35">
        <v>7.6390661756020499</v>
      </c>
      <c r="D499" s="35">
        <v>1.1431458488328601</v>
      </c>
      <c r="E499" s="35">
        <v>6.6824947869962896</v>
      </c>
      <c r="F499" s="40">
        <v>2.3490832063219501E-11</v>
      </c>
      <c r="G499" s="40">
        <v>2.92345107260975E-8</v>
      </c>
      <c r="H499" s="33" t="str">
        <f>VLOOKUP(A499,TableS5!A:J,8,FALSE)</f>
        <v xml:space="preserve"> K07766</v>
      </c>
      <c r="I499" s="33" t="str">
        <f>VLOOKUP(A499,TableS5!A:J,9,FALSE)</f>
        <v>putative  diphosphoinositol polyphosphate phosphohydrolase 1-like isoform X3</v>
      </c>
      <c r="J499" s="43" t="s">
        <v>10</v>
      </c>
      <c r="K499" s="33"/>
    </row>
    <row r="500" spans="1:11" x14ac:dyDescent="0.2">
      <c r="A500" s="35" t="s">
        <v>359</v>
      </c>
      <c r="B500" s="35">
        <v>244.107509740936</v>
      </c>
      <c r="C500" s="35">
        <v>3.87849239482646</v>
      </c>
      <c r="D500" s="35">
        <v>0.58068587761486201</v>
      </c>
      <c r="E500" s="35">
        <v>6.67915743147943</v>
      </c>
      <c r="F500" s="40">
        <v>2.40319893627963E-11</v>
      </c>
      <c r="G500" s="40">
        <v>2.9480727979609701E-8</v>
      </c>
      <c r="H500" s="33" t="str">
        <f>VLOOKUP(A500,TableS5!A:J,8,FALSE)</f>
        <v>K12473</v>
      </c>
      <c r="I500" s="33" t="str">
        <f>VLOOKUP(A500,TableS5!A:J,9,FALSE)</f>
        <v xml:space="preserve">low-density lipoprotein receptor-like </v>
      </c>
      <c r="J500" s="43" t="s">
        <v>10</v>
      </c>
      <c r="K500" s="33"/>
    </row>
    <row r="501" spans="1:11" x14ac:dyDescent="0.2">
      <c r="A501" s="35" t="s">
        <v>364</v>
      </c>
      <c r="B501" s="35">
        <v>1187.7388078433501</v>
      </c>
      <c r="C501" s="35">
        <v>3.72744034529478</v>
      </c>
      <c r="D501" s="35">
        <v>0.55842594987760696</v>
      </c>
      <c r="E501" s="35">
        <v>6.6749053229201403</v>
      </c>
      <c r="F501" s="40">
        <v>2.4739182340528699E-11</v>
      </c>
      <c r="G501" s="40">
        <v>2.9920821503711799E-8</v>
      </c>
      <c r="H501" s="33" t="str">
        <f>VLOOKUP(A501,TableS5!A:J,8,FALSE)</f>
        <v>K09608</v>
      </c>
      <c r="I501" s="24" t="s">
        <v>10</v>
      </c>
      <c r="J501" s="43" t="s">
        <v>10</v>
      </c>
      <c r="K501" s="33"/>
    </row>
    <row r="502" spans="1:11" x14ac:dyDescent="0.2">
      <c r="A502" s="35" t="s">
        <v>366</v>
      </c>
      <c r="B502" s="35">
        <v>5900.3592986130998</v>
      </c>
      <c r="C502" s="35">
        <v>2.2748974642842601</v>
      </c>
      <c r="D502" s="35">
        <v>0.34236800018284802</v>
      </c>
      <c r="E502" s="35">
        <v>6.6445972259945796</v>
      </c>
      <c r="F502" s="40">
        <v>3.0404735383570202E-11</v>
      </c>
      <c r="G502" s="40">
        <v>3.5282230163818401E-8</v>
      </c>
      <c r="H502" s="33" t="str">
        <f>VLOOKUP(A502,TableS5!A:J,8,FALSE)</f>
        <v>K07521</v>
      </c>
      <c r="I502" s="24" t="s">
        <v>606</v>
      </c>
      <c r="J502" s="43" t="s">
        <v>10</v>
      </c>
      <c r="K502" s="33"/>
    </row>
    <row r="503" spans="1:11" x14ac:dyDescent="0.2">
      <c r="A503" s="35" t="s">
        <v>370</v>
      </c>
      <c r="B503" s="35">
        <v>484.71776907824801</v>
      </c>
      <c r="C503" s="35">
        <v>3.36313050403297</v>
      </c>
      <c r="D503" s="35">
        <v>0.50638044507603497</v>
      </c>
      <c r="E503" s="35">
        <v>6.6415094357128801</v>
      </c>
      <c r="F503" s="40">
        <v>3.1048687155565903E-11</v>
      </c>
      <c r="G503" s="40">
        <v>3.5549090863141302E-8</v>
      </c>
      <c r="H503" s="24" t="s">
        <v>10</v>
      </c>
      <c r="I503" s="24" t="s">
        <v>10</v>
      </c>
      <c r="J503" s="43" t="s">
        <v>10</v>
      </c>
      <c r="K503" s="33"/>
    </row>
    <row r="504" spans="1:11" x14ac:dyDescent="0.2">
      <c r="A504" s="35" t="s">
        <v>372</v>
      </c>
      <c r="B504" s="35">
        <v>1675.7686903722599</v>
      </c>
      <c r="C504" s="35">
        <v>2.4468434768404301</v>
      </c>
      <c r="D504" s="35">
        <v>0.36966406616918601</v>
      </c>
      <c r="E504" s="35">
        <v>6.6191001527331803</v>
      </c>
      <c r="F504" s="40">
        <v>3.61391953850823E-11</v>
      </c>
      <c r="G504" s="40">
        <v>3.9786010857851298E-8</v>
      </c>
      <c r="H504" s="29" t="s">
        <v>10</v>
      </c>
      <c r="I504" s="24" t="s">
        <v>3121</v>
      </c>
      <c r="J504" s="43" t="s">
        <v>10</v>
      </c>
      <c r="K504" s="33"/>
    </row>
    <row r="505" spans="1:11" x14ac:dyDescent="0.2">
      <c r="A505" s="35" t="s">
        <v>377</v>
      </c>
      <c r="B505" s="35">
        <v>247.530562622687</v>
      </c>
      <c r="C505" s="35">
        <v>2.9845291588121801</v>
      </c>
      <c r="D505" s="35">
        <v>0.45566239820391402</v>
      </c>
      <c r="E505" s="35">
        <v>6.5498693124038896</v>
      </c>
      <c r="F505" s="40">
        <v>5.7587456820124203E-11</v>
      </c>
      <c r="G505" s="40">
        <v>6.0306006153669306E-8</v>
      </c>
      <c r="H505" s="24" t="s">
        <v>379</v>
      </c>
      <c r="I505" s="29" t="s">
        <v>4197</v>
      </c>
      <c r="J505" s="33" t="s">
        <v>4041</v>
      </c>
      <c r="K505" s="33"/>
    </row>
    <row r="506" spans="1:11" x14ac:dyDescent="0.2">
      <c r="A506" s="35" t="s">
        <v>381</v>
      </c>
      <c r="B506" s="35">
        <v>2843.0988404242598</v>
      </c>
      <c r="C506" s="35">
        <v>2.3788558621871201</v>
      </c>
      <c r="D506" s="35">
        <v>0.36551672311981698</v>
      </c>
      <c r="E506" s="35">
        <v>6.5081997942056704</v>
      </c>
      <c r="F506" s="40">
        <v>7.6056720175637599E-11</v>
      </c>
      <c r="G506" s="40">
        <v>7.86875496168937E-8</v>
      </c>
      <c r="H506" s="24" t="s">
        <v>10</v>
      </c>
      <c r="I506" s="24" t="s">
        <v>10</v>
      </c>
      <c r="J506" s="33" t="s">
        <v>10</v>
      </c>
      <c r="K506" s="33"/>
    </row>
    <row r="507" spans="1:11" x14ac:dyDescent="0.2">
      <c r="A507" s="35" t="s">
        <v>384</v>
      </c>
      <c r="B507" s="35">
        <v>258.192823061941</v>
      </c>
      <c r="C507" s="35">
        <v>2.3179390393166801</v>
      </c>
      <c r="D507" s="35">
        <v>0.35761987921358401</v>
      </c>
      <c r="E507" s="35">
        <v>6.4815721218124001</v>
      </c>
      <c r="F507" s="40">
        <v>9.07717589776494E-11</v>
      </c>
      <c r="G507" s="40">
        <v>9.2793591847258697E-8</v>
      </c>
      <c r="H507" s="24" t="s">
        <v>10</v>
      </c>
      <c r="I507" s="24" t="s">
        <v>10</v>
      </c>
      <c r="J507" s="33" t="s">
        <v>10</v>
      </c>
      <c r="K507" s="33"/>
    </row>
    <row r="508" spans="1:11" x14ac:dyDescent="0.2">
      <c r="A508" s="35" t="s">
        <v>387</v>
      </c>
      <c r="B508" s="35">
        <v>66.808168007961498</v>
      </c>
      <c r="C508" s="35">
        <v>7.2417360320970898</v>
      </c>
      <c r="D508" s="35">
        <v>1.1307751709432501</v>
      </c>
      <c r="E508" s="35">
        <v>6.4042227121561899</v>
      </c>
      <c r="F508" s="40">
        <v>1.5113736022802599E-10</v>
      </c>
      <c r="G508" s="40">
        <v>1.5091065418768401E-7</v>
      </c>
      <c r="H508" s="24" t="s">
        <v>10</v>
      </c>
      <c r="I508" s="24" t="s">
        <v>10</v>
      </c>
      <c r="J508" s="33" t="s">
        <v>10</v>
      </c>
      <c r="K508" s="33"/>
    </row>
    <row r="509" spans="1:11" x14ac:dyDescent="0.2">
      <c r="A509" s="35" t="s">
        <v>390</v>
      </c>
      <c r="B509" s="35">
        <v>50.514609189706803</v>
      </c>
      <c r="C509" s="35">
        <v>3.96538596784516</v>
      </c>
      <c r="D509" s="35">
        <v>0.61981967881923405</v>
      </c>
      <c r="E509" s="35">
        <v>6.3976445139645799</v>
      </c>
      <c r="F509" s="40">
        <v>1.57792116787326E-10</v>
      </c>
      <c r="G509" s="40">
        <v>1.5569309475988701E-7</v>
      </c>
      <c r="H509" s="24" t="s">
        <v>3869</v>
      </c>
      <c r="I509" s="24" t="s">
        <v>3996</v>
      </c>
      <c r="J509" s="30" t="s">
        <v>10</v>
      </c>
      <c r="K509" s="33"/>
    </row>
    <row r="510" spans="1:11" x14ac:dyDescent="0.2">
      <c r="A510" s="35" t="s">
        <v>393</v>
      </c>
      <c r="B510" s="35">
        <v>86.666175457186</v>
      </c>
      <c r="C510" s="35">
        <v>3.5241961079862101</v>
      </c>
      <c r="D510" s="35">
        <v>0.55335398053749596</v>
      </c>
      <c r="E510" s="35">
        <v>6.3687914643046604</v>
      </c>
      <c r="F510" s="40">
        <v>1.9052343821322701E-10</v>
      </c>
      <c r="G510" s="40">
        <v>1.8178264625342201E-7</v>
      </c>
      <c r="H510" s="24" t="s">
        <v>10</v>
      </c>
      <c r="I510" s="24" t="s">
        <v>10</v>
      </c>
      <c r="J510" s="33" t="s">
        <v>10</v>
      </c>
      <c r="K510" s="33"/>
    </row>
    <row r="511" spans="1:11" x14ac:dyDescent="0.2">
      <c r="A511" s="35" t="s">
        <v>395</v>
      </c>
      <c r="B511" s="35">
        <v>882.80729642280005</v>
      </c>
      <c r="C511" s="35">
        <v>4.3504643814172201</v>
      </c>
      <c r="D511" s="35">
        <v>0.68953155074672701</v>
      </c>
      <c r="E511" s="35">
        <v>6.3093043047934403</v>
      </c>
      <c r="F511" s="40">
        <v>2.8029252912638402E-10</v>
      </c>
      <c r="G511" s="40">
        <v>2.61619562702302E-7</v>
      </c>
      <c r="H511" s="33" t="str">
        <f>VLOOKUP(A511,TableS5!A:J,8,FALSE)</f>
        <v>K08522</v>
      </c>
      <c r="I511" s="24" t="s">
        <v>3927</v>
      </c>
      <c r="J511" s="33" t="s">
        <v>4048</v>
      </c>
      <c r="K511" s="33"/>
    </row>
    <row r="512" spans="1:11" x14ac:dyDescent="0.2">
      <c r="A512" s="35" t="s">
        <v>398</v>
      </c>
      <c r="B512" s="35">
        <v>1229.2115392547801</v>
      </c>
      <c r="C512" s="35">
        <v>3.15755573032764</v>
      </c>
      <c r="D512" s="35">
        <v>0.50181209324222398</v>
      </c>
      <c r="E512" s="35">
        <v>6.2923069667902496</v>
      </c>
      <c r="F512" s="40">
        <v>3.1278216740211498E-10</v>
      </c>
      <c r="G512" s="40">
        <v>2.85733164861564E-7</v>
      </c>
      <c r="H512" s="29" t="s">
        <v>10</v>
      </c>
      <c r="I512" s="24" t="s">
        <v>4019</v>
      </c>
      <c r="J512" s="30" t="s">
        <v>10</v>
      </c>
      <c r="K512" s="33"/>
    </row>
    <row r="513" spans="1:11" x14ac:dyDescent="0.2">
      <c r="A513" s="35" t="s">
        <v>403</v>
      </c>
      <c r="B513" s="35">
        <v>160.32260624579899</v>
      </c>
      <c r="C513" s="35">
        <v>3.6075444670099199</v>
      </c>
      <c r="D513" s="35">
        <v>0.57598199919614901</v>
      </c>
      <c r="E513" s="35">
        <v>6.2632937696745197</v>
      </c>
      <c r="F513" s="40">
        <v>3.7692955294229599E-10</v>
      </c>
      <c r="G513" s="40">
        <v>3.3304515715422002E-7</v>
      </c>
      <c r="H513" s="33" t="str">
        <f>VLOOKUP(A513,TableS5!A:J,8,FALSE)</f>
        <v>K05095</v>
      </c>
      <c r="I513" s="33" t="str">
        <f>VLOOKUP(A513,TableS5!A:J,9,FALSE)</f>
        <v xml:space="preserve">fibroblast growth factor receptor 4-like </v>
      </c>
      <c r="J513" s="33" t="s">
        <v>10</v>
      </c>
      <c r="K513" s="33"/>
    </row>
    <row r="514" spans="1:11" x14ac:dyDescent="0.2">
      <c r="A514" s="35" t="s">
        <v>409</v>
      </c>
      <c r="B514" s="35">
        <v>153.878015267721</v>
      </c>
      <c r="C514" s="35">
        <v>2.8700587527492001</v>
      </c>
      <c r="D514" s="35">
        <v>0.45841441847576703</v>
      </c>
      <c r="E514" s="35">
        <v>6.2608387456314798</v>
      </c>
      <c r="F514" s="40">
        <v>3.8291232328052001E-10</v>
      </c>
      <c r="G514" s="40">
        <v>3.3304515715422002E-7</v>
      </c>
      <c r="H514" s="33" t="str">
        <f>VLOOKUP(A514,TableS5!A:J,8,FALSE)</f>
        <v>K05673</v>
      </c>
      <c r="I514" s="24" t="s">
        <v>10</v>
      </c>
      <c r="J514" s="33" t="s">
        <v>10</v>
      </c>
      <c r="K514" s="33"/>
    </row>
    <row r="515" spans="1:11" x14ac:dyDescent="0.2">
      <c r="A515" s="35" t="s">
        <v>412</v>
      </c>
      <c r="B515" s="35">
        <v>4288.4052120373599</v>
      </c>
      <c r="C515" s="35">
        <v>2.16244171103222</v>
      </c>
      <c r="D515" s="35">
        <v>0.34543337367828097</v>
      </c>
      <c r="E515" s="35">
        <v>6.2600833498103396</v>
      </c>
      <c r="F515" s="40">
        <v>3.8477176394905701E-10</v>
      </c>
      <c r="G515" s="40">
        <v>3.3304515715422002E-7</v>
      </c>
      <c r="H515" s="33" t="str">
        <f>VLOOKUP(A515,TableS5!A:J,8,FALSE)</f>
        <v>K14943</v>
      </c>
      <c r="I515" s="24" t="s">
        <v>10</v>
      </c>
      <c r="J515" s="33" t="s">
        <v>10</v>
      </c>
      <c r="K515" s="33"/>
    </row>
    <row r="516" spans="1:11" x14ac:dyDescent="0.2">
      <c r="A516" s="35" t="s">
        <v>415</v>
      </c>
      <c r="B516" s="35">
        <v>1088.2883792118701</v>
      </c>
      <c r="C516" s="35">
        <v>3.0440543091839598</v>
      </c>
      <c r="D516" s="35">
        <v>0.48670063314972201</v>
      </c>
      <c r="E516" s="35">
        <v>6.25446958941499</v>
      </c>
      <c r="F516" s="40">
        <v>3.98869172242911E-10</v>
      </c>
      <c r="G516" s="40">
        <v>3.3579700676147999E-7</v>
      </c>
      <c r="H516" s="29" t="s">
        <v>10</v>
      </c>
      <c r="I516" s="24" t="s">
        <v>593</v>
      </c>
      <c r="J516" s="30" t="s">
        <v>10</v>
      </c>
      <c r="K516" s="33"/>
    </row>
    <row r="517" spans="1:11" x14ac:dyDescent="0.2">
      <c r="A517" s="35" t="s">
        <v>416</v>
      </c>
      <c r="B517" s="35">
        <v>2031.98992714156</v>
      </c>
      <c r="C517" s="35">
        <v>2.5165610478495801</v>
      </c>
      <c r="D517" s="35">
        <v>0.402543922986137</v>
      </c>
      <c r="E517" s="35">
        <v>6.2516433714396102</v>
      </c>
      <c r="F517" s="40">
        <v>4.0615600439379599E-10</v>
      </c>
      <c r="G517" s="40">
        <v>3.3861186653689001E-7</v>
      </c>
      <c r="H517" s="29" t="s">
        <v>10</v>
      </c>
      <c r="I517" s="24" t="s">
        <v>3121</v>
      </c>
      <c r="J517" s="30" t="s">
        <v>10</v>
      </c>
      <c r="K517" s="33"/>
    </row>
    <row r="518" spans="1:11" x14ac:dyDescent="0.2">
      <c r="A518" s="35" t="s">
        <v>419</v>
      </c>
      <c r="B518" s="35">
        <v>5416.5864958918</v>
      </c>
      <c r="C518" s="35">
        <v>3.61318329115376</v>
      </c>
      <c r="D518" s="35">
        <v>0.57937890779360102</v>
      </c>
      <c r="E518" s="35">
        <v>6.2363045022013903</v>
      </c>
      <c r="F518" s="40">
        <v>4.48028604304991E-10</v>
      </c>
      <c r="G518" s="40">
        <v>3.6992946423340199E-7</v>
      </c>
      <c r="H518" s="24" t="s">
        <v>4140</v>
      </c>
      <c r="I518" s="24" t="s">
        <v>3900</v>
      </c>
      <c r="J518" s="30" t="s">
        <v>10</v>
      </c>
      <c r="K518" s="33"/>
    </row>
    <row r="519" spans="1:11" x14ac:dyDescent="0.2">
      <c r="A519" s="35" t="s">
        <v>423</v>
      </c>
      <c r="B519" s="35">
        <v>112.52689801654</v>
      </c>
      <c r="C519" s="35">
        <v>3.8081244865684898</v>
      </c>
      <c r="D519" s="35">
        <v>0.61290394041632301</v>
      </c>
      <c r="E519" s="35">
        <v>6.2132484969533301</v>
      </c>
      <c r="F519" s="40">
        <v>5.1900273372993205E-10</v>
      </c>
      <c r="G519" s="40">
        <v>4.2044607309549998E-7</v>
      </c>
      <c r="H519" s="24" t="s">
        <v>10</v>
      </c>
      <c r="I519" s="24" t="s">
        <v>10</v>
      </c>
      <c r="J519" s="33" t="s">
        <v>10</v>
      </c>
      <c r="K519" s="33"/>
    </row>
    <row r="520" spans="1:11" x14ac:dyDescent="0.2">
      <c r="A520" s="35" t="s">
        <v>425</v>
      </c>
      <c r="B520" s="35">
        <v>42.154934094969299</v>
      </c>
      <c r="C520" s="35">
        <v>6.1223651405475401</v>
      </c>
      <c r="D520" s="35">
        <v>0.98686065411034396</v>
      </c>
      <c r="E520" s="35">
        <v>6.2038800666005498</v>
      </c>
      <c r="F520" s="40">
        <v>5.5087773773694895E-10</v>
      </c>
      <c r="G520" s="40">
        <v>4.4209740389915498E-7</v>
      </c>
      <c r="H520" s="24" t="s">
        <v>10</v>
      </c>
      <c r="I520" s="24" t="s">
        <v>10</v>
      </c>
      <c r="J520" s="33" t="s">
        <v>10</v>
      </c>
      <c r="K520" s="33"/>
    </row>
    <row r="521" spans="1:11" x14ac:dyDescent="0.2">
      <c r="A521" s="35" t="s">
        <v>427</v>
      </c>
      <c r="B521" s="35">
        <v>111.020519678046</v>
      </c>
      <c r="C521" s="35">
        <v>2.8649633011654299</v>
      </c>
      <c r="D521" s="35">
        <v>0.46501041535521598</v>
      </c>
      <c r="E521" s="35">
        <v>6.1610734008547201</v>
      </c>
      <c r="F521" s="40">
        <v>7.2253488400530501E-10</v>
      </c>
      <c r="G521" s="40">
        <v>5.7448882430018104E-7</v>
      </c>
      <c r="H521" s="33" t="str">
        <f>VLOOKUP(A521,TableS5!A:J,8,FALSE)</f>
        <v>K17341</v>
      </c>
      <c r="I521" s="33" t="str">
        <f>VLOOKUP(A521,TableS5!A:J,9,FALSE)</f>
        <v>hemicentin-1-like</v>
      </c>
      <c r="J521" s="33" t="s">
        <v>10</v>
      </c>
      <c r="K521" s="33"/>
    </row>
    <row r="522" spans="1:11" x14ac:dyDescent="0.2">
      <c r="A522" s="35" t="s">
        <v>431</v>
      </c>
      <c r="B522" s="35">
        <v>115.70193230004899</v>
      </c>
      <c r="C522" s="35">
        <v>4.0558569453750799</v>
      </c>
      <c r="D522" s="35">
        <v>0.66064029610716901</v>
      </c>
      <c r="E522" s="35">
        <v>6.1392817986947898</v>
      </c>
      <c r="F522" s="40">
        <v>8.2895401977859201E-10</v>
      </c>
      <c r="G522" s="40">
        <v>6.5305606084777495E-7</v>
      </c>
      <c r="H522" s="24" t="s">
        <v>10</v>
      </c>
      <c r="I522" s="24" t="s">
        <v>10</v>
      </c>
      <c r="J522" s="33" t="s">
        <v>10</v>
      </c>
      <c r="K522" s="33"/>
    </row>
    <row r="523" spans="1:11" x14ac:dyDescent="0.2">
      <c r="A523" s="35" t="s">
        <v>433</v>
      </c>
      <c r="B523" s="35">
        <v>797.23298853404299</v>
      </c>
      <c r="C523" s="35">
        <v>4.0432198937980797</v>
      </c>
      <c r="D523" s="35">
        <v>0.66268422686073702</v>
      </c>
      <c r="E523" s="35">
        <v>6.1012767920425599</v>
      </c>
      <c r="F523" s="40">
        <v>1.0522450667165801E-9</v>
      </c>
      <c r="G523" s="40">
        <v>8.2143032840017499E-7</v>
      </c>
      <c r="H523" s="24" t="s">
        <v>275</v>
      </c>
      <c r="I523" s="24" t="s">
        <v>3988</v>
      </c>
      <c r="J523" s="33" t="s">
        <v>4084</v>
      </c>
      <c r="K523" s="33"/>
    </row>
    <row r="524" spans="1:11" x14ac:dyDescent="0.2">
      <c r="A524" s="35" t="s">
        <v>439</v>
      </c>
      <c r="B524" s="35">
        <v>1772.24947497167</v>
      </c>
      <c r="C524" s="35">
        <v>3.0816739888460298</v>
      </c>
      <c r="D524" s="35">
        <v>0.505280168510992</v>
      </c>
      <c r="E524" s="35">
        <v>6.0989411041549504</v>
      </c>
      <c r="F524" s="40">
        <v>1.06773398118439E-9</v>
      </c>
      <c r="G524" s="40">
        <v>8.2462007012987998E-7</v>
      </c>
      <c r="H524" s="24" t="s">
        <v>3870</v>
      </c>
      <c r="I524" s="24" t="s">
        <v>3898</v>
      </c>
      <c r="J524" s="30" t="s">
        <v>10</v>
      </c>
      <c r="K524" s="33"/>
    </row>
    <row r="525" spans="1:11" x14ac:dyDescent="0.2">
      <c r="A525" s="35" t="s">
        <v>443</v>
      </c>
      <c r="B525" s="35">
        <v>9808.9200827611694</v>
      </c>
      <c r="C525" s="35">
        <v>2.3063611431671398</v>
      </c>
      <c r="D525" s="35">
        <v>0.37851659370298302</v>
      </c>
      <c r="E525" s="35">
        <v>6.0931572922716004</v>
      </c>
      <c r="F525" s="40">
        <v>1.1070518831204399E-9</v>
      </c>
      <c r="G525" s="40">
        <v>8.4127125889765801E-7</v>
      </c>
      <c r="H525" s="33" t="str">
        <f>VLOOKUP(A525,TableS5!A:J,8,FALSE)</f>
        <v>K14943</v>
      </c>
      <c r="I525" s="33" t="str">
        <f>VLOOKUP(A525,TableS5!A:J,9,FALSE)</f>
        <v>putative muscleblind-like protein 2 isoform X8</v>
      </c>
      <c r="J525" s="33" t="s">
        <v>10</v>
      </c>
      <c r="K525" s="33"/>
    </row>
    <row r="526" spans="1:11" x14ac:dyDescent="0.2">
      <c r="A526" s="35" t="s">
        <v>448</v>
      </c>
      <c r="B526" s="35">
        <v>224.82516113733499</v>
      </c>
      <c r="C526" s="35">
        <v>3.6911220487851102</v>
      </c>
      <c r="D526" s="35">
        <v>0.60604548848796402</v>
      </c>
      <c r="E526" s="35">
        <v>6.0905033019784796</v>
      </c>
      <c r="F526" s="40">
        <v>1.1255626244524501E-9</v>
      </c>
      <c r="G526" s="40">
        <v>8.4783498354698498E-7</v>
      </c>
      <c r="H526" s="24" t="s">
        <v>10</v>
      </c>
      <c r="I526" s="24" t="s">
        <v>10</v>
      </c>
      <c r="J526" s="33" t="s">
        <v>10</v>
      </c>
      <c r="K526" s="33"/>
    </row>
    <row r="527" spans="1:11" x14ac:dyDescent="0.2">
      <c r="A527" s="35" t="s">
        <v>450</v>
      </c>
      <c r="B527" s="35">
        <v>115800.371680481</v>
      </c>
      <c r="C527" s="35">
        <v>2.05609035944327</v>
      </c>
      <c r="D527" s="35">
        <v>0.33823897151421201</v>
      </c>
      <c r="E527" s="35">
        <v>6.0788097546496802</v>
      </c>
      <c r="F527" s="40">
        <v>1.2107790633351701E-9</v>
      </c>
      <c r="G527" s="40">
        <v>9.0409399084916997E-7</v>
      </c>
      <c r="H527" s="24" t="s">
        <v>453</v>
      </c>
      <c r="I527" s="29" t="s">
        <v>4198</v>
      </c>
      <c r="J527" s="30" t="s">
        <v>10</v>
      </c>
      <c r="K527" s="33"/>
    </row>
    <row r="528" spans="1:11" x14ac:dyDescent="0.2">
      <c r="A528" s="35" t="s">
        <v>456</v>
      </c>
      <c r="B528" s="35">
        <v>150.91011818253</v>
      </c>
      <c r="C528" s="35">
        <v>2.0296068635844602</v>
      </c>
      <c r="D528" s="35">
        <v>0.33444225898769703</v>
      </c>
      <c r="E528" s="35">
        <v>6.0686316069259902</v>
      </c>
      <c r="F528" s="40">
        <v>1.2900467833559799E-9</v>
      </c>
      <c r="G528" s="40">
        <v>9.5189616939190004E-7</v>
      </c>
      <c r="H528" s="24" t="s">
        <v>10</v>
      </c>
      <c r="I528" s="24" t="s">
        <v>10</v>
      </c>
      <c r="J528" s="33" t="s">
        <v>10</v>
      </c>
      <c r="K528" s="33"/>
    </row>
    <row r="529" spans="1:11" x14ac:dyDescent="0.2">
      <c r="A529" s="35" t="s">
        <v>459</v>
      </c>
      <c r="B529" s="35">
        <v>295.94545413190599</v>
      </c>
      <c r="C529" s="35">
        <v>4.9142161990439401</v>
      </c>
      <c r="D529" s="35">
        <v>0.80988805285505605</v>
      </c>
      <c r="E529" s="35">
        <v>6.0677721837235596</v>
      </c>
      <c r="F529" s="40">
        <v>1.2969669832522301E-9</v>
      </c>
      <c r="G529" s="40">
        <v>9.5189616939190004E-7</v>
      </c>
      <c r="H529" s="24" t="s">
        <v>10</v>
      </c>
      <c r="I529" s="24" t="s">
        <v>10</v>
      </c>
      <c r="J529" s="33" t="s">
        <v>10</v>
      </c>
      <c r="K529" s="33"/>
    </row>
    <row r="530" spans="1:11" x14ac:dyDescent="0.2">
      <c r="A530" s="35" t="s">
        <v>462</v>
      </c>
      <c r="B530" s="35">
        <v>55.879609146718998</v>
      </c>
      <c r="C530" s="35">
        <v>3.1620212663215601</v>
      </c>
      <c r="D530" s="35">
        <v>0.52189908678795804</v>
      </c>
      <c r="E530" s="35">
        <v>6.0586832710942504</v>
      </c>
      <c r="F530" s="40">
        <v>1.3724032097873099E-9</v>
      </c>
      <c r="G530" s="40">
        <v>9.8664569751199401E-7</v>
      </c>
      <c r="H530" s="24" t="s">
        <v>10</v>
      </c>
      <c r="I530" s="24" t="s">
        <v>10</v>
      </c>
      <c r="J530" s="33" t="s">
        <v>10</v>
      </c>
      <c r="K530" s="33"/>
    </row>
    <row r="531" spans="1:11" x14ac:dyDescent="0.2">
      <c r="A531" s="35" t="s">
        <v>465</v>
      </c>
      <c r="B531" s="35">
        <v>624.19595250299005</v>
      </c>
      <c r="C531" s="35">
        <v>3.4862633124354199</v>
      </c>
      <c r="D531" s="35">
        <v>0.57546813087913895</v>
      </c>
      <c r="E531" s="35">
        <v>6.0581344567412998</v>
      </c>
      <c r="F531" s="40">
        <v>1.3770926860334E-9</v>
      </c>
      <c r="G531" s="40">
        <v>9.8664569751199401E-7</v>
      </c>
      <c r="H531" s="24" t="s">
        <v>10</v>
      </c>
      <c r="I531" s="24" t="s">
        <v>10</v>
      </c>
      <c r="J531" s="33" t="s">
        <v>10</v>
      </c>
      <c r="K531" s="33"/>
    </row>
    <row r="532" spans="1:11" x14ac:dyDescent="0.2">
      <c r="A532" s="35" t="s">
        <v>467</v>
      </c>
      <c r="B532" s="35">
        <v>39.689316160332602</v>
      </c>
      <c r="C532" s="35">
        <v>3.9084856406537898</v>
      </c>
      <c r="D532" s="35">
        <v>0.64540837335700496</v>
      </c>
      <c r="E532" s="35">
        <v>6.0558334877564901</v>
      </c>
      <c r="F532" s="40">
        <v>1.3969244574534701E-9</v>
      </c>
      <c r="G532" s="40">
        <v>9.9136611641311306E-7</v>
      </c>
      <c r="H532" s="24" t="s">
        <v>10</v>
      </c>
      <c r="I532" s="24" t="s">
        <v>10</v>
      </c>
      <c r="J532" s="33" t="s">
        <v>10</v>
      </c>
      <c r="K532" s="33"/>
    </row>
    <row r="533" spans="1:11" x14ac:dyDescent="0.2">
      <c r="A533" s="45" t="s">
        <v>469</v>
      </c>
      <c r="B533" s="45">
        <v>2074.97909630511</v>
      </c>
      <c r="C533" s="45">
        <v>2.98868450124592</v>
      </c>
      <c r="D533" s="45">
        <v>0.49713984695453101</v>
      </c>
      <c r="E533" s="45">
        <v>6.0117580989625798</v>
      </c>
      <c r="F533" s="46">
        <v>1.83522033792376E-9</v>
      </c>
      <c r="G533" s="46">
        <v>1.27090488417622E-6</v>
      </c>
      <c r="H533" s="47" t="s">
        <v>164</v>
      </c>
      <c r="I533" s="48" t="s">
        <v>4199</v>
      </c>
      <c r="J533" s="49" t="s">
        <v>10</v>
      </c>
      <c r="K533" s="33"/>
    </row>
    <row r="534" spans="1:11" x14ac:dyDescent="0.2">
      <c r="A534" s="35" t="s">
        <v>471</v>
      </c>
      <c r="B534" s="35">
        <v>4547.62714206486</v>
      </c>
      <c r="C534" s="35">
        <v>3.4923982379207801</v>
      </c>
      <c r="D534" s="35">
        <v>0.58158602949017701</v>
      </c>
      <c r="E534" s="35">
        <v>6.0049555196197701</v>
      </c>
      <c r="F534" s="40">
        <v>1.9138436496822601E-9</v>
      </c>
      <c r="G534" s="40">
        <v>1.30431482572909E-6</v>
      </c>
      <c r="H534" s="24" t="s">
        <v>3162</v>
      </c>
      <c r="I534" s="24" t="s">
        <v>738</v>
      </c>
      <c r="J534" s="30" t="s">
        <v>10</v>
      </c>
      <c r="K534" s="33"/>
    </row>
    <row r="535" spans="1:11" x14ac:dyDescent="0.2">
      <c r="A535" s="35" t="s">
        <v>474</v>
      </c>
      <c r="B535" s="35">
        <v>32692.337179438498</v>
      </c>
      <c r="C535" s="35">
        <v>2.3894754046784299</v>
      </c>
      <c r="D535" s="35">
        <v>0.398793134506647</v>
      </c>
      <c r="E535" s="35">
        <v>5.9917666527396198</v>
      </c>
      <c r="F535" s="40">
        <v>2.07573625636509E-9</v>
      </c>
      <c r="G535" s="40">
        <v>1.3911076633718901E-6</v>
      </c>
      <c r="H535" s="33" t="str">
        <f>VLOOKUP(A535,TableS5!A:J,8,FALSE)</f>
        <v>K09487</v>
      </c>
      <c r="I535" s="24" t="s">
        <v>4018</v>
      </c>
      <c r="J535" s="30" t="s">
        <v>10</v>
      </c>
      <c r="K535" s="33"/>
    </row>
    <row r="536" spans="1:11" x14ac:dyDescent="0.2">
      <c r="A536" s="35" t="s">
        <v>477</v>
      </c>
      <c r="B536" s="35">
        <v>427.08689636845702</v>
      </c>
      <c r="C536" s="35">
        <v>3.9732539646084</v>
      </c>
      <c r="D536" s="35">
        <v>0.66313312095015098</v>
      </c>
      <c r="E536" s="35">
        <v>5.99163853995928</v>
      </c>
      <c r="F536" s="40">
        <v>2.0773724624516401E-9</v>
      </c>
      <c r="G536" s="40">
        <v>1.3911076633718901E-6</v>
      </c>
      <c r="H536" s="24" t="s">
        <v>10</v>
      </c>
      <c r="I536" s="24" t="s">
        <v>10</v>
      </c>
      <c r="J536" s="30" t="s">
        <v>10</v>
      </c>
      <c r="K536" s="33"/>
    </row>
    <row r="537" spans="1:11" x14ac:dyDescent="0.2">
      <c r="A537" s="35" t="s">
        <v>479</v>
      </c>
      <c r="B537" s="35">
        <v>949.68848993915503</v>
      </c>
      <c r="C537" s="35">
        <v>2.8138433436713801</v>
      </c>
      <c r="D537" s="35">
        <v>0.47061199622342897</v>
      </c>
      <c r="E537" s="35">
        <v>5.9791152079673502</v>
      </c>
      <c r="F537" s="40">
        <v>2.2435285021425098E-9</v>
      </c>
      <c r="G537" s="40">
        <v>1.4706414962403E-6</v>
      </c>
      <c r="H537" s="33" t="str">
        <f>VLOOKUP(A537,TableS5!A:J,8,FALSE)</f>
        <v xml:space="preserve"> K00699</v>
      </c>
      <c r="I537" s="33" t="str">
        <f>VLOOKUP(A537,TableS5!A:J,9,FALSE)</f>
        <v xml:space="preserve">putative UDP-glucuronosyltransferase 1-5-like </v>
      </c>
      <c r="J537" s="30" t="s">
        <v>10</v>
      </c>
      <c r="K537" s="33"/>
    </row>
    <row r="538" spans="1:11" x14ac:dyDescent="0.2">
      <c r="A538" s="35" t="s">
        <v>483</v>
      </c>
      <c r="B538" s="35">
        <v>4173.9392949538696</v>
      </c>
      <c r="C538" s="35">
        <v>2.9596642305867</v>
      </c>
      <c r="D538" s="35">
        <v>0.49645157985816701</v>
      </c>
      <c r="E538" s="35">
        <v>5.9616372485555402</v>
      </c>
      <c r="F538" s="40">
        <v>2.4972303846531802E-9</v>
      </c>
      <c r="G538" s="40">
        <v>1.6123283485755899E-6</v>
      </c>
      <c r="H538" s="33" t="str">
        <f>VLOOKUP(A538,TableS5!A:J,8,FALSE)</f>
        <v xml:space="preserve">K01049 </v>
      </c>
      <c r="I538" s="33" t="str">
        <f>VLOOKUP(A538,TableS5!A:J,9,FALSE)</f>
        <v>putative cholinesterase-like</v>
      </c>
      <c r="J538" s="30" t="s">
        <v>10</v>
      </c>
      <c r="K538" s="33"/>
    </row>
    <row r="539" spans="1:11" x14ac:dyDescent="0.2">
      <c r="A539" s="35" t="s">
        <v>488</v>
      </c>
      <c r="B539" s="35">
        <v>961.09490371030597</v>
      </c>
      <c r="C539" s="35">
        <v>2.5910827650083901</v>
      </c>
      <c r="D539" s="35">
        <v>0.43573496070387702</v>
      </c>
      <c r="E539" s="35">
        <v>5.9464651650232696</v>
      </c>
      <c r="F539" s="40">
        <v>2.7399481066243602E-9</v>
      </c>
      <c r="G539" s="40">
        <v>1.73159922279021E-6</v>
      </c>
      <c r="H539" s="24" t="s">
        <v>10</v>
      </c>
      <c r="I539" s="24" t="s">
        <v>10</v>
      </c>
      <c r="J539" s="33" t="s">
        <v>10</v>
      </c>
      <c r="K539" s="33"/>
    </row>
    <row r="540" spans="1:11" x14ac:dyDescent="0.2">
      <c r="A540" s="35" t="s">
        <v>494</v>
      </c>
      <c r="B540" s="35">
        <v>10360.2931547964</v>
      </c>
      <c r="C540" s="35">
        <v>4.3224045339770898</v>
      </c>
      <c r="D540" s="35">
        <v>0.72690469953699499</v>
      </c>
      <c r="E540" s="35">
        <v>5.9463152965309796</v>
      </c>
      <c r="F540" s="40">
        <v>2.7424566419334701E-9</v>
      </c>
      <c r="G540" s="40">
        <v>1.73159922279021E-6</v>
      </c>
      <c r="H540" s="24" t="s">
        <v>3874</v>
      </c>
      <c r="I540" s="24" t="s">
        <v>4009</v>
      </c>
      <c r="J540" s="33" t="s">
        <v>4104</v>
      </c>
      <c r="K540" s="33"/>
    </row>
    <row r="541" spans="1:11" x14ac:dyDescent="0.2">
      <c r="A541" s="35" t="s">
        <v>496</v>
      </c>
      <c r="B541" s="35">
        <v>348.28644406968999</v>
      </c>
      <c r="C541" s="35">
        <v>3.24155157249292</v>
      </c>
      <c r="D541" s="35">
        <v>0.54539655530044595</v>
      </c>
      <c r="E541" s="35">
        <v>5.9434764319463298</v>
      </c>
      <c r="F541" s="40">
        <v>2.79039887344583E-9</v>
      </c>
      <c r="G541" s="40">
        <v>1.74113892864326E-6</v>
      </c>
      <c r="H541" s="24" t="s">
        <v>10</v>
      </c>
      <c r="I541" s="24" t="s">
        <v>10</v>
      </c>
      <c r="J541" s="33" t="s">
        <v>10</v>
      </c>
      <c r="K541" s="33"/>
    </row>
    <row r="542" spans="1:11" x14ac:dyDescent="0.2">
      <c r="A542" s="35" t="s">
        <v>498</v>
      </c>
      <c r="B542" s="35">
        <v>3994.6889262750801</v>
      </c>
      <c r="C542" s="35">
        <v>4.6177189771184404</v>
      </c>
      <c r="D542" s="35">
        <v>0.777575884549494</v>
      </c>
      <c r="E542" s="35">
        <v>5.9386087825933798</v>
      </c>
      <c r="F542" s="40">
        <v>2.8745089060459999E-9</v>
      </c>
      <c r="G542" s="40">
        <v>1.77580542641062E-6</v>
      </c>
      <c r="H542" s="33" t="str">
        <f>VLOOKUP(A542,TableS5!A:J,8,FALSE)</f>
        <v>K04722</v>
      </c>
      <c r="I542" s="33" t="str">
        <f>VLOOKUP(A542,TableS5!A:J,9,FALSE)</f>
        <v>tumor necrosis factor receptor superfamily member 10C-like isoform X1</v>
      </c>
      <c r="J542" s="33" t="s">
        <v>10</v>
      </c>
      <c r="K542" s="33"/>
    </row>
    <row r="543" spans="1:11" x14ac:dyDescent="0.2">
      <c r="A543" s="35" t="s">
        <v>502</v>
      </c>
      <c r="B543" s="35">
        <v>276.20783542525697</v>
      </c>
      <c r="C543" s="35">
        <v>3.9844014128985901</v>
      </c>
      <c r="D543" s="35">
        <v>0.67124330274654898</v>
      </c>
      <c r="E543" s="35">
        <v>5.9358527624714998</v>
      </c>
      <c r="F543" s="40">
        <v>2.92322056257413E-9</v>
      </c>
      <c r="G543" s="40">
        <v>1.7929990923485999E-6</v>
      </c>
      <c r="H543" s="33" t="str">
        <f>VLOOKUP(A543,TableS5!A:J,8,FALSE)</f>
        <v>K05901</v>
      </c>
      <c r="I543" s="24" t="s">
        <v>10</v>
      </c>
      <c r="J543" s="33" t="s">
        <v>10</v>
      </c>
      <c r="K543" s="33"/>
    </row>
    <row r="544" spans="1:11" x14ac:dyDescent="0.2">
      <c r="A544" s="35" t="s">
        <v>507</v>
      </c>
      <c r="B544" s="35">
        <v>2812.8086294386899</v>
      </c>
      <c r="C544" s="35">
        <v>4.8802071264007498</v>
      </c>
      <c r="D544" s="35">
        <v>0.82317413820174501</v>
      </c>
      <c r="E544" s="35">
        <v>5.9285233827459001</v>
      </c>
      <c r="F544" s="40">
        <v>3.0567089167982602E-9</v>
      </c>
      <c r="G544" s="40">
        <v>1.84846937601678E-6</v>
      </c>
      <c r="H544" s="24" t="s">
        <v>10</v>
      </c>
      <c r="I544" s="24" t="s">
        <v>10</v>
      </c>
      <c r="J544" s="33" t="s">
        <v>10</v>
      </c>
      <c r="K544" s="33"/>
    </row>
    <row r="545" spans="1:11" x14ac:dyDescent="0.2">
      <c r="A545" s="35" t="s">
        <v>511</v>
      </c>
      <c r="B545" s="35">
        <v>88.853832816318203</v>
      </c>
      <c r="C545" s="35">
        <v>2.9895526094945701</v>
      </c>
      <c r="D545" s="35">
        <v>0.50623597174247503</v>
      </c>
      <c r="E545" s="35">
        <v>5.9054527460868904</v>
      </c>
      <c r="F545" s="40">
        <v>3.5167958269992199E-9</v>
      </c>
      <c r="G545" s="40">
        <v>2.0826949962775901E-6</v>
      </c>
      <c r="H545" s="24" t="s">
        <v>10</v>
      </c>
      <c r="I545" s="24" t="s">
        <v>10</v>
      </c>
      <c r="J545" s="33" t="s">
        <v>10</v>
      </c>
      <c r="K545" s="33"/>
    </row>
    <row r="546" spans="1:11" x14ac:dyDescent="0.2">
      <c r="A546" s="35" t="s">
        <v>515</v>
      </c>
      <c r="B546" s="35">
        <v>296.73946716058902</v>
      </c>
      <c r="C546" s="35">
        <v>3.4036666997383098</v>
      </c>
      <c r="D546" s="35">
        <v>0.57730227872134299</v>
      </c>
      <c r="E546" s="35">
        <v>5.8958137273891102</v>
      </c>
      <c r="F546" s="40">
        <v>3.7283938609228796E-9</v>
      </c>
      <c r="G546" s="40">
        <v>2.1779653689204702E-6</v>
      </c>
      <c r="H546" s="24" t="s">
        <v>10</v>
      </c>
      <c r="I546" s="24" t="s">
        <v>10</v>
      </c>
      <c r="J546" s="33" t="s">
        <v>10</v>
      </c>
      <c r="K546" s="33"/>
    </row>
    <row r="547" spans="1:11" x14ac:dyDescent="0.2">
      <c r="A547" s="35" t="s">
        <v>519</v>
      </c>
      <c r="B547" s="35">
        <v>295.524153232061</v>
      </c>
      <c r="C547" s="35">
        <v>3.00133823611141</v>
      </c>
      <c r="D547" s="35">
        <v>0.51011949574673998</v>
      </c>
      <c r="E547" s="35">
        <v>5.8835983747649001</v>
      </c>
      <c r="F547" s="40">
        <v>4.0144130245253498E-9</v>
      </c>
      <c r="G547" s="40">
        <v>2.3292004110068698E-6</v>
      </c>
      <c r="H547" s="24" t="s">
        <v>10</v>
      </c>
      <c r="I547" s="24" t="s">
        <v>10</v>
      </c>
      <c r="J547" s="33" t="s">
        <v>10</v>
      </c>
      <c r="K547" s="33"/>
    </row>
    <row r="548" spans="1:11" x14ac:dyDescent="0.2">
      <c r="A548" s="35" t="s">
        <v>522</v>
      </c>
      <c r="B548" s="35">
        <v>71.675509291325</v>
      </c>
      <c r="C548" s="35">
        <v>4.6000293342889398</v>
      </c>
      <c r="D548" s="35">
        <v>0.78494660386176496</v>
      </c>
      <c r="E548" s="35">
        <v>5.8603086014485699</v>
      </c>
      <c r="F548" s="40">
        <v>4.6200776925064998E-9</v>
      </c>
      <c r="G548" s="40">
        <v>2.6100703390343801E-6</v>
      </c>
      <c r="H548" s="24" t="s">
        <v>10</v>
      </c>
      <c r="I548" s="24" t="s">
        <v>10</v>
      </c>
      <c r="J548" s="33" t="s">
        <v>10</v>
      </c>
      <c r="K548" s="33"/>
    </row>
    <row r="549" spans="1:11" x14ac:dyDescent="0.2">
      <c r="A549" s="35" t="s">
        <v>524</v>
      </c>
      <c r="B549" s="35">
        <v>54.222009705669997</v>
      </c>
      <c r="C549" s="35">
        <v>6.8390934883587704</v>
      </c>
      <c r="D549" s="35">
        <v>1.1678805937382399</v>
      </c>
      <c r="E549" s="35">
        <v>5.8559869262555999</v>
      </c>
      <c r="F549" s="40">
        <v>4.7418552284022999E-9</v>
      </c>
      <c r="G549" s="40">
        <v>2.6440769501177501E-6</v>
      </c>
      <c r="H549" s="24" t="s">
        <v>10</v>
      </c>
      <c r="I549" s="24" t="s">
        <v>10</v>
      </c>
      <c r="J549" s="33" t="s">
        <v>10</v>
      </c>
      <c r="K549" s="33"/>
    </row>
    <row r="550" spans="1:11" x14ac:dyDescent="0.2">
      <c r="A550" s="35" t="s">
        <v>528</v>
      </c>
      <c r="B550" s="35">
        <v>1445.06294574602</v>
      </c>
      <c r="C550" s="35">
        <v>2.9847692298021</v>
      </c>
      <c r="D550" s="35">
        <v>0.51191670495078601</v>
      </c>
      <c r="E550" s="35">
        <v>5.8305759529551704</v>
      </c>
      <c r="F550" s="40">
        <v>5.5236389563830999E-9</v>
      </c>
      <c r="G550" s="40">
        <v>3.0211490498316802E-6</v>
      </c>
      <c r="H550" s="24" t="s">
        <v>10</v>
      </c>
      <c r="I550" s="24" t="s">
        <v>10</v>
      </c>
      <c r="J550" s="33" t="s">
        <v>10</v>
      </c>
      <c r="K550" s="33"/>
    </row>
    <row r="551" spans="1:11" x14ac:dyDescent="0.2">
      <c r="A551" s="35" t="s">
        <v>530</v>
      </c>
      <c r="B551" s="35">
        <v>1069.4809577639001</v>
      </c>
      <c r="C551" s="35">
        <v>3.9444903033304599</v>
      </c>
      <c r="D551" s="35">
        <v>0.67757888949645695</v>
      </c>
      <c r="E551" s="35">
        <v>5.8214480475650801</v>
      </c>
      <c r="F551" s="40">
        <v>5.8339940727631701E-9</v>
      </c>
      <c r="G551" s="40">
        <v>3.17070193052055E-6</v>
      </c>
      <c r="H551" s="24" t="s">
        <v>10</v>
      </c>
      <c r="I551" s="24" t="s">
        <v>10</v>
      </c>
      <c r="J551" s="33" t="s">
        <v>10</v>
      </c>
      <c r="K551" s="33"/>
    </row>
    <row r="552" spans="1:11" x14ac:dyDescent="0.2">
      <c r="A552" s="35" t="s">
        <v>533</v>
      </c>
      <c r="B552" s="35">
        <v>132.892141046072</v>
      </c>
      <c r="C552" s="35">
        <v>3.1330339150490101</v>
      </c>
      <c r="D552" s="35">
        <v>0.53875217466700898</v>
      </c>
      <c r="E552" s="35">
        <v>5.8153527027254599</v>
      </c>
      <c r="F552" s="40">
        <v>6.0506172251845803E-9</v>
      </c>
      <c r="G552" s="40">
        <v>3.2677518977599099E-6</v>
      </c>
      <c r="H552" s="24" t="s">
        <v>10</v>
      </c>
      <c r="I552" s="24" t="s">
        <v>10</v>
      </c>
      <c r="J552" s="33" t="s">
        <v>10</v>
      </c>
      <c r="K552" s="33"/>
    </row>
    <row r="553" spans="1:11" x14ac:dyDescent="0.2">
      <c r="A553" s="35" t="s">
        <v>534</v>
      </c>
      <c r="B553" s="35">
        <v>135.55589747056399</v>
      </c>
      <c r="C553" s="35">
        <v>3.1134052960895802</v>
      </c>
      <c r="D553" s="35">
        <v>0.53561213774994199</v>
      </c>
      <c r="E553" s="35">
        <v>5.81279824831587</v>
      </c>
      <c r="F553" s="40">
        <v>6.1437089455901101E-9</v>
      </c>
      <c r="G553" s="40">
        <v>3.2972901929173E-6</v>
      </c>
      <c r="H553" s="24" t="s">
        <v>10</v>
      </c>
      <c r="I553" s="24" t="s">
        <v>10</v>
      </c>
      <c r="J553" s="33" t="s">
        <v>10</v>
      </c>
      <c r="K553" s="33"/>
    </row>
    <row r="554" spans="1:11" x14ac:dyDescent="0.2">
      <c r="A554" s="35" t="s">
        <v>537</v>
      </c>
      <c r="B554" s="35">
        <v>663.00685922990294</v>
      </c>
      <c r="C554" s="35">
        <v>3.2381570644879898</v>
      </c>
      <c r="D554" s="35">
        <v>0.55798461761051799</v>
      </c>
      <c r="E554" s="35">
        <v>5.8033088409406304</v>
      </c>
      <c r="F554" s="40">
        <v>6.5018870899851503E-9</v>
      </c>
      <c r="G554" s="40">
        <v>3.44644164385256E-6</v>
      </c>
      <c r="H554" s="24" t="s">
        <v>3887</v>
      </c>
      <c r="I554" s="24" t="s">
        <v>4023</v>
      </c>
      <c r="J554" s="33" t="s">
        <v>4110</v>
      </c>
      <c r="K554" s="33"/>
    </row>
    <row r="555" spans="1:11" x14ac:dyDescent="0.2">
      <c r="A555" s="35" t="s">
        <v>539</v>
      </c>
      <c r="B555" s="35">
        <v>804.39506886440802</v>
      </c>
      <c r="C555" s="35">
        <v>2.5367044540793602</v>
      </c>
      <c r="D555" s="35">
        <v>0.43720378533892301</v>
      </c>
      <c r="E555" s="35">
        <v>5.8021099980021802</v>
      </c>
      <c r="F555" s="40">
        <v>6.54855771775278E-9</v>
      </c>
      <c r="G555" s="40">
        <v>3.4498846612340398E-6</v>
      </c>
      <c r="H555" s="24" t="s">
        <v>10</v>
      </c>
      <c r="I555" s="24" t="s">
        <v>10</v>
      </c>
      <c r="J555" s="33" t="s">
        <v>10</v>
      </c>
      <c r="K555" s="33"/>
    </row>
    <row r="556" spans="1:11" x14ac:dyDescent="0.2">
      <c r="A556" s="35" t="s">
        <v>541</v>
      </c>
      <c r="B556" s="35">
        <v>2186.7863472566901</v>
      </c>
      <c r="C556" s="35">
        <v>3.2574221623133499</v>
      </c>
      <c r="D556" s="35">
        <v>0.56169838617427303</v>
      </c>
      <c r="E556" s="35">
        <v>5.7992371751317497</v>
      </c>
      <c r="F556" s="40">
        <v>6.6617257592710202E-9</v>
      </c>
      <c r="G556" s="40">
        <v>3.4669639556021898E-6</v>
      </c>
      <c r="H556" s="24" t="s">
        <v>3867</v>
      </c>
      <c r="I556" s="24" t="s">
        <v>1094</v>
      </c>
      <c r="J556" s="33" t="s">
        <v>4098</v>
      </c>
      <c r="K556" s="33"/>
    </row>
    <row r="557" spans="1:11" x14ac:dyDescent="0.2">
      <c r="A557" s="35" t="s">
        <v>544</v>
      </c>
      <c r="B557" s="35">
        <v>2389.4880764770401</v>
      </c>
      <c r="C557" s="35">
        <v>2.87734609690221</v>
      </c>
      <c r="D557" s="35">
        <v>0.496741919075602</v>
      </c>
      <c r="E557" s="35">
        <v>5.7924366485049799</v>
      </c>
      <c r="F557" s="40">
        <v>6.9372497172381699E-9</v>
      </c>
      <c r="G557" s="40">
        <v>3.5536128841438701E-6</v>
      </c>
      <c r="H557" s="33" t="str">
        <f>VLOOKUP(A557,TableS5!A:J,8,FALSE)</f>
        <v>K04515</v>
      </c>
      <c r="I557" s="24" t="s">
        <v>10</v>
      </c>
      <c r="J557" s="33" t="s">
        <v>10</v>
      </c>
      <c r="K557" s="33"/>
    </row>
    <row r="558" spans="1:11" x14ac:dyDescent="0.2">
      <c r="A558" s="35" t="s">
        <v>547</v>
      </c>
      <c r="B558" s="35">
        <v>8523.8167778465504</v>
      </c>
      <c r="C558" s="35">
        <v>3.3745057389336299</v>
      </c>
      <c r="D558" s="35">
        <v>0.58260779006715901</v>
      </c>
      <c r="E558" s="35">
        <v>5.7920710921916099</v>
      </c>
      <c r="F558" s="40">
        <v>6.9523700030996497E-9</v>
      </c>
      <c r="G558" s="40">
        <v>3.5536128841438701E-6</v>
      </c>
      <c r="H558" s="24" t="s">
        <v>10</v>
      </c>
      <c r="I558" s="33" t="str">
        <f>VLOOKUP(A558,TableS5!A:J,9,FALSE)</f>
        <v xml:space="preserve"> uncharacterized skeletal organic matrix protein 7-like </v>
      </c>
      <c r="J558" s="33" t="s">
        <v>10</v>
      </c>
      <c r="K558" s="33"/>
    </row>
    <row r="559" spans="1:11" x14ac:dyDescent="0.2">
      <c r="A559" s="35" t="s">
        <v>550</v>
      </c>
      <c r="B559" s="35">
        <v>111.55067932727</v>
      </c>
      <c r="C559" s="35">
        <v>3.7118618055457802</v>
      </c>
      <c r="D559" s="35">
        <v>0.64131032273934196</v>
      </c>
      <c r="E559" s="35">
        <v>5.7879339750694196</v>
      </c>
      <c r="F559" s="40">
        <v>7.1257407257418396E-9</v>
      </c>
      <c r="G559" s="40">
        <v>3.6023210530148199E-6</v>
      </c>
      <c r="H559" s="24" t="s">
        <v>10</v>
      </c>
      <c r="I559" s="24" t="s">
        <v>10</v>
      </c>
      <c r="J559" s="33" t="s">
        <v>10</v>
      </c>
      <c r="K559" s="33"/>
    </row>
    <row r="560" spans="1:11" x14ac:dyDescent="0.2">
      <c r="A560" s="35" t="s">
        <v>553</v>
      </c>
      <c r="B560" s="35">
        <v>46.387341088800198</v>
      </c>
      <c r="C560" s="35">
        <v>9.1346708286910001</v>
      </c>
      <c r="D560" s="35">
        <v>1.5782639387305599</v>
      </c>
      <c r="E560" s="35">
        <v>5.7877967078423298</v>
      </c>
      <c r="F560" s="40">
        <v>7.1315645446369496E-9</v>
      </c>
      <c r="G560" s="40">
        <v>3.6023210530148199E-6</v>
      </c>
      <c r="H560" s="24" t="s">
        <v>10</v>
      </c>
      <c r="I560" s="24" t="s">
        <v>10</v>
      </c>
      <c r="J560" s="33" t="s">
        <v>10</v>
      </c>
      <c r="K560" s="33"/>
    </row>
    <row r="561" spans="1:11" x14ac:dyDescent="0.2">
      <c r="A561" s="35" t="s">
        <v>556</v>
      </c>
      <c r="B561" s="35">
        <v>1460.24356163108</v>
      </c>
      <c r="C561" s="35">
        <v>2.2301507994680301</v>
      </c>
      <c r="D561" s="35">
        <v>0.38553741933679703</v>
      </c>
      <c r="E561" s="35">
        <v>5.7845248933406701</v>
      </c>
      <c r="F561" s="40">
        <v>7.2717554762272001E-9</v>
      </c>
      <c r="G561" s="40">
        <v>3.6516544707550099E-6</v>
      </c>
      <c r="H561" s="33" t="str">
        <f>VLOOKUP(A561,TableS5!A:J,8,FALSE)</f>
        <v>K13884</v>
      </c>
      <c r="I561" s="33" t="str">
        <f>VLOOKUP(A561,TableS5!A:J,9,FALSE)</f>
        <v xml:space="preserve">putative macrophage receptor MARCO-like isoform X3 </v>
      </c>
      <c r="J561" s="33" t="s">
        <v>10</v>
      </c>
      <c r="K561" s="33"/>
    </row>
    <row r="562" spans="1:11" x14ac:dyDescent="0.2">
      <c r="A562" s="35" t="s">
        <v>562</v>
      </c>
      <c r="B562" s="35">
        <v>70.906295032051702</v>
      </c>
      <c r="C562" s="35">
        <v>3.1764954111695598</v>
      </c>
      <c r="D562" s="35">
        <v>0.55004351455304501</v>
      </c>
      <c r="E562" s="35">
        <v>5.7749893001660402</v>
      </c>
      <c r="F562" s="40">
        <v>7.6957975380411197E-9</v>
      </c>
      <c r="G562" s="40">
        <v>3.8199180947348496E-6</v>
      </c>
      <c r="H562" s="24" t="s">
        <v>10</v>
      </c>
      <c r="I562" s="24" t="s">
        <v>10</v>
      </c>
      <c r="J562" s="33" t="s">
        <v>10</v>
      </c>
      <c r="K562" s="33"/>
    </row>
    <row r="563" spans="1:11" x14ac:dyDescent="0.2">
      <c r="A563" s="35" t="s">
        <v>564</v>
      </c>
      <c r="B563" s="35">
        <v>174.12384381522901</v>
      </c>
      <c r="C563" s="35">
        <v>3.2602338707657701</v>
      </c>
      <c r="D563" s="35">
        <v>0.56775008876761401</v>
      </c>
      <c r="E563" s="35">
        <v>5.7423749203502501</v>
      </c>
      <c r="F563" s="40">
        <v>9.3357834486984293E-9</v>
      </c>
      <c r="G563" s="40">
        <v>4.5292263306394499E-6</v>
      </c>
      <c r="H563" s="24" t="s">
        <v>10</v>
      </c>
      <c r="I563" s="24" t="s">
        <v>10</v>
      </c>
      <c r="J563" s="33" t="s">
        <v>10</v>
      </c>
      <c r="K563" s="33"/>
    </row>
    <row r="564" spans="1:11" x14ac:dyDescent="0.2">
      <c r="A564" s="35" t="s">
        <v>565</v>
      </c>
      <c r="B564" s="35">
        <v>176.183845669059</v>
      </c>
      <c r="C564" s="35">
        <v>4.6584369899457201</v>
      </c>
      <c r="D564" s="35">
        <v>0.81215655286830202</v>
      </c>
      <c r="E564" s="35">
        <v>5.7358854933737504</v>
      </c>
      <c r="F564" s="40">
        <v>9.70041849935314E-9</v>
      </c>
      <c r="G564" s="40">
        <v>4.6796889716738903E-6</v>
      </c>
      <c r="H564" s="24" t="s">
        <v>10</v>
      </c>
      <c r="I564" s="24" t="s">
        <v>10</v>
      </c>
      <c r="J564" s="33" t="s">
        <v>10</v>
      </c>
      <c r="K564" s="33"/>
    </row>
    <row r="565" spans="1:11" x14ac:dyDescent="0.2">
      <c r="A565" s="35" t="s">
        <v>568</v>
      </c>
      <c r="B565" s="35">
        <v>109.023511596463</v>
      </c>
      <c r="C565" s="35">
        <v>4.8725700146428004</v>
      </c>
      <c r="D565" s="35">
        <v>0.851442970818718</v>
      </c>
      <c r="E565" s="35">
        <v>5.7227203484427198</v>
      </c>
      <c r="F565" s="40">
        <v>1.0483174576438499E-8</v>
      </c>
      <c r="G565" s="40">
        <v>4.9461576046887404E-6</v>
      </c>
      <c r="H565" s="24" t="s">
        <v>10</v>
      </c>
      <c r="I565" s="24" t="s">
        <v>10</v>
      </c>
      <c r="J565" s="33" t="s">
        <v>10</v>
      </c>
      <c r="K565" s="33"/>
    </row>
    <row r="566" spans="1:11" x14ac:dyDescent="0.2">
      <c r="A566" s="35" t="s">
        <v>570</v>
      </c>
      <c r="B566" s="35">
        <v>40.870171664983999</v>
      </c>
      <c r="C566" s="35">
        <v>3.2569951126057899</v>
      </c>
      <c r="D566" s="35">
        <v>0.56982454232023305</v>
      </c>
      <c r="E566" s="35">
        <v>5.7157859493798497</v>
      </c>
      <c r="F566" s="40">
        <v>1.09198124221169E-8</v>
      </c>
      <c r="G566" s="40">
        <v>5.1240175546426104E-6</v>
      </c>
      <c r="H566" s="24" t="s">
        <v>10</v>
      </c>
      <c r="I566" s="24" t="s">
        <v>10</v>
      </c>
      <c r="J566" s="33" t="s">
        <v>10</v>
      </c>
      <c r="K566" s="33"/>
    </row>
    <row r="567" spans="1:11" x14ac:dyDescent="0.2">
      <c r="A567" s="35" t="s">
        <v>572</v>
      </c>
      <c r="B567" s="35">
        <v>2978.9845724505399</v>
      </c>
      <c r="C567" s="35">
        <v>4.7703211326736197</v>
      </c>
      <c r="D567" s="35">
        <v>0.83630062987062703</v>
      </c>
      <c r="E567" s="35">
        <v>5.70407454244243</v>
      </c>
      <c r="F567" s="40">
        <v>1.16976880870494E-8</v>
      </c>
      <c r="G567" s="40">
        <v>5.3716159022621201E-6</v>
      </c>
      <c r="H567" s="29" t="s">
        <v>10</v>
      </c>
      <c r="I567" s="29" t="s">
        <v>10</v>
      </c>
      <c r="J567" s="30" t="s">
        <v>10</v>
      </c>
      <c r="K567" s="33"/>
    </row>
    <row r="568" spans="1:11" x14ac:dyDescent="0.2">
      <c r="A568" s="35" t="s">
        <v>574</v>
      </c>
      <c r="B568" s="35">
        <v>112.006035289011</v>
      </c>
      <c r="C568" s="35">
        <v>4.7374657049942304</v>
      </c>
      <c r="D568" s="35">
        <v>0.83089159890945796</v>
      </c>
      <c r="E568" s="35">
        <v>5.7016651885903498</v>
      </c>
      <c r="F568" s="40">
        <v>1.1864268534017501E-8</v>
      </c>
      <c r="G568" s="40">
        <v>5.4191308685351801E-6</v>
      </c>
      <c r="H568" s="24" t="s">
        <v>10</v>
      </c>
      <c r="I568" s="24" t="s">
        <v>10</v>
      </c>
      <c r="J568" s="33" t="s">
        <v>10</v>
      </c>
      <c r="K568" s="33"/>
    </row>
    <row r="569" spans="1:11" x14ac:dyDescent="0.2">
      <c r="A569" s="35" t="s">
        <v>577</v>
      </c>
      <c r="B569" s="35">
        <v>257.54633965796302</v>
      </c>
      <c r="C569" s="35">
        <v>5.9447157978438403</v>
      </c>
      <c r="D569" s="35">
        <v>1.04338860308577</v>
      </c>
      <c r="E569" s="35">
        <v>5.6975088478660902</v>
      </c>
      <c r="F569" s="40">
        <v>1.2157067459315099E-8</v>
      </c>
      <c r="G569" s="40">
        <v>5.4944186305202496E-6</v>
      </c>
      <c r="H569" s="33" t="str">
        <f>VLOOKUP(A569,TableS5!A:J,8,FALSE)</f>
        <v>K19568</v>
      </c>
      <c r="I569" s="24" t="s">
        <v>3952</v>
      </c>
      <c r="J569" s="33" t="s">
        <v>10</v>
      </c>
      <c r="K569" s="33"/>
    </row>
    <row r="570" spans="1:11" x14ac:dyDescent="0.2">
      <c r="A570" s="35" t="s">
        <v>582</v>
      </c>
      <c r="B570" s="35">
        <v>608.93727327073805</v>
      </c>
      <c r="C570" s="35">
        <v>2.9285020575217802</v>
      </c>
      <c r="D570" s="35">
        <v>0.51426822014995799</v>
      </c>
      <c r="E570" s="35">
        <v>5.6945032626512404</v>
      </c>
      <c r="F570" s="40">
        <v>1.2373162026992099E-8</v>
      </c>
      <c r="G570" s="40">
        <v>5.5628052168578104E-6</v>
      </c>
      <c r="H570" s="24" t="s">
        <v>10</v>
      </c>
      <c r="I570" s="24" t="s">
        <v>10</v>
      </c>
      <c r="J570" s="33" t="s">
        <v>10</v>
      </c>
      <c r="K570" s="33"/>
    </row>
    <row r="571" spans="1:11" x14ac:dyDescent="0.2">
      <c r="A571" s="35" t="s">
        <v>584</v>
      </c>
      <c r="B571" s="35">
        <v>834.21308386641897</v>
      </c>
      <c r="C571" s="35">
        <v>4.7819921763036799</v>
      </c>
      <c r="D571" s="35">
        <v>0.84008896689667401</v>
      </c>
      <c r="E571" s="35">
        <v>5.6922449463520204</v>
      </c>
      <c r="F571" s="40">
        <v>1.2537980770889301E-8</v>
      </c>
      <c r="G571" s="40">
        <v>5.5800583796373796E-6</v>
      </c>
      <c r="H571" s="24" t="s">
        <v>10</v>
      </c>
      <c r="I571" s="33" t="str">
        <f>VLOOKUP(A571,TableS5!A:J,9,FALSE)</f>
        <v xml:space="preserve">metalloproteinase inhibitor 2-like isoform X1 </v>
      </c>
      <c r="J571" s="33" t="s">
        <v>10</v>
      </c>
      <c r="K571" s="33"/>
    </row>
    <row r="572" spans="1:11" x14ac:dyDescent="0.2">
      <c r="A572" s="35" t="s">
        <v>589</v>
      </c>
      <c r="B572" s="35">
        <v>229.96658462366801</v>
      </c>
      <c r="C572" s="35">
        <v>2.8655996489813198</v>
      </c>
      <c r="D572" s="35">
        <v>0.50474554482091305</v>
      </c>
      <c r="E572" s="35">
        <v>5.6773153886837298</v>
      </c>
      <c r="F572" s="40">
        <v>1.3682506379956E-8</v>
      </c>
      <c r="G572" s="40">
        <v>6.0252846428369199E-6</v>
      </c>
      <c r="H572" s="24" t="s">
        <v>10</v>
      </c>
      <c r="I572" s="24" t="s">
        <v>10</v>
      </c>
      <c r="J572" s="33" t="s">
        <v>10</v>
      </c>
      <c r="K572" s="33"/>
    </row>
    <row r="573" spans="1:11" x14ac:dyDescent="0.2">
      <c r="A573" s="35" t="s">
        <v>592</v>
      </c>
      <c r="B573" s="35">
        <v>43.227699492881499</v>
      </c>
      <c r="C573" s="35">
        <v>5.2280902305791601</v>
      </c>
      <c r="D573" s="35">
        <v>0.92150469899382703</v>
      </c>
      <c r="E573" s="35">
        <v>5.6734276409958699</v>
      </c>
      <c r="F573" s="40">
        <v>1.39968237515544E-8</v>
      </c>
      <c r="G573" s="40">
        <v>6.1322512876006503E-6</v>
      </c>
      <c r="H573" s="24" t="s">
        <v>10</v>
      </c>
      <c r="I573" s="24" t="s">
        <v>10</v>
      </c>
      <c r="J573" s="33" t="s">
        <v>10</v>
      </c>
      <c r="K573" s="33"/>
    </row>
    <row r="574" spans="1:11" x14ac:dyDescent="0.2">
      <c r="A574" s="45" t="s">
        <v>595</v>
      </c>
      <c r="B574" s="45">
        <v>2613.43380372924</v>
      </c>
      <c r="C574" s="45">
        <v>3.0931700651641201</v>
      </c>
      <c r="D574" s="45">
        <v>0.54529895428446296</v>
      </c>
      <c r="E574" s="45">
        <v>5.6724298494629499</v>
      </c>
      <c r="F574" s="46">
        <v>1.40786178090534E-8</v>
      </c>
      <c r="G574" s="46">
        <v>6.1367765983818698E-6</v>
      </c>
      <c r="H574" s="47" t="s">
        <v>4141</v>
      </c>
      <c r="I574" s="48" t="s">
        <v>4200</v>
      </c>
      <c r="J574" s="50" t="s">
        <v>10</v>
      </c>
      <c r="K574" s="33"/>
    </row>
    <row r="575" spans="1:11" x14ac:dyDescent="0.2">
      <c r="A575" s="35" t="s">
        <v>600</v>
      </c>
      <c r="B575" s="35">
        <v>169.724457016889</v>
      </c>
      <c r="C575" s="35">
        <v>2.1148662725495901</v>
      </c>
      <c r="D575" s="35">
        <v>0.37298976867314498</v>
      </c>
      <c r="E575" s="35">
        <v>5.6700382964200697</v>
      </c>
      <c r="F575" s="40">
        <v>1.4276560375354301E-8</v>
      </c>
      <c r="G575" s="40">
        <v>6.1605151557389403E-6</v>
      </c>
      <c r="H575" s="24" t="s">
        <v>10</v>
      </c>
      <c r="I575" s="24" t="s">
        <v>10</v>
      </c>
      <c r="J575" s="33" t="s">
        <v>10</v>
      </c>
      <c r="K575" s="33"/>
    </row>
    <row r="576" spans="1:11" x14ac:dyDescent="0.2">
      <c r="A576" s="35" t="s">
        <v>603</v>
      </c>
      <c r="B576" s="35">
        <v>9325.5154483798906</v>
      </c>
      <c r="C576" s="35">
        <v>4.3251193068600404</v>
      </c>
      <c r="D576" s="35">
        <v>0.763151219421071</v>
      </c>
      <c r="E576" s="35">
        <v>5.6674472854031297</v>
      </c>
      <c r="F576" s="40">
        <v>1.44940625681204E-8</v>
      </c>
      <c r="G576" s="40">
        <v>6.21274439836602E-6</v>
      </c>
      <c r="H576" s="24" t="s">
        <v>4142</v>
      </c>
      <c r="I576" s="29" t="s">
        <v>4201</v>
      </c>
      <c r="J576" s="33" t="s">
        <v>10</v>
      </c>
      <c r="K576" s="33"/>
    </row>
    <row r="577" spans="1:11" x14ac:dyDescent="0.2">
      <c r="A577" s="35" t="s">
        <v>605</v>
      </c>
      <c r="B577" s="35">
        <v>142.511352557761</v>
      </c>
      <c r="C577" s="35">
        <v>2.9612710150867301</v>
      </c>
      <c r="D577" s="35">
        <v>0.52255776781993701</v>
      </c>
      <c r="E577" s="35">
        <v>5.6668778026989903</v>
      </c>
      <c r="F577" s="40">
        <v>1.45422974470027E-8</v>
      </c>
      <c r="G577" s="40">
        <v>6.21274439836602E-6</v>
      </c>
      <c r="H577" s="29" t="s">
        <v>10</v>
      </c>
      <c r="I577" s="24" t="s">
        <v>3932</v>
      </c>
      <c r="J577" s="33" t="s">
        <v>10</v>
      </c>
      <c r="K577" s="33"/>
    </row>
    <row r="578" spans="1:11" x14ac:dyDescent="0.2">
      <c r="A578" s="35" t="s">
        <v>608</v>
      </c>
      <c r="B578" s="35">
        <v>58.181169605131402</v>
      </c>
      <c r="C578" s="35">
        <v>5.5714652893444496</v>
      </c>
      <c r="D578" s="35">
        <v>0.98463683618515196</v>
      </c>
      <c r="E578" s="35">
        <v>5.6583961564249101</v>
      </c>
      <c r="F578" s="40">
        <v>1.5279412053871199E-8</v>
      </c>
      <c r="G578" s="40">
        <v>6.4953385766236497E-6</v>
      </c>
      <c r="H578" s="24" t="s">
        <v>10</v>
      </c>
      <c r="I578" s="24" t="s">
        <v>10</v>
      </c>
      <c r="J578" s="33" t="s">
        <v>10</v>
      </c>
      <c r="K578" s="33"/>
    </row>
    <row r="579" spans="1:11" x14ac:dyDescent="0.2">
      <c r="A579" s="35" t="s">
        <v>614</v>
      </c>
      <c r="B579" s="35">
        <v>51.2883894110279</v>
      </c>
      <c r="C579" s="35">
        <v>6.9379478362457796</v>
      </c>
      <c r="D579" s="35">
        <v>1.22684868390543</v>
      </c>
      <c r="E579" s="35">
        <v>5.6550966123712803</v>
      </c>
      <c r="F579" s="40">
        <v>1.5575863370281501E-8</v>
      </c>
      <c r="G579" s="40">
        <v>6.5887436624110603E-6</v>
      </c>
      <c r="H579" s="24" t="s">
        <v>10</v>
      </c>
      <c r="I579" s="24" t="s">
        <v>10</v>
      </c>
      <c r="J579" s="33" t="s">
        <v>10</v>
      </c>
      <c r="K579" s="33"/>
    </row>
    <row r="580" spans="1:11" x14ac:dyDescent="0.2">
      <c r="A580" s="35" t="s">
        <v>618</v>
      </c>
      <c r="B580" s="35">
        <v>1173.8217962958799</v>
      </c>
      <c r="C580" s="35">
        <v>3.4528010687616999</v>
      </c>
      <c r="D580" s="35">
        <v>0.613979612045226</v>
      </c>
      <c r="E580" s="35">
        <v>5.62364124316779</v>
      </c>
      <c r="F580" s="40">
        <v>1.8697375189355501E-8</v>
      </c>
      <c r="G580" s="40">
        <v>7.6322398805343806E-6</v>
      </c>
      <c r="H580" s="24" t="s">
        <v>10</v>
      </c>
      <c r="I580" s="24" t="s">
        <v>10</v>
      </c>
      <c r="J580" s="33" t="s">
        <v>10</v>
      </c>
      <c r="K580" s="33"/>
    </row>
    <row r="581" spans="1:11" x14ac:dyDescent="0.2">
      <c r="A581" s="35" t="s">
        <v>620</v>
      </c>
      <c r="B581" s="35">
        <v>1158.7769261261001</v>
      </c>
      <c r="C581" s="35">
        <v>2.7373806915520502</v>
      </c>
      <c r="D581" s="35">
        <v>0.48678532527622698</v>
      </c>
      <c r="E581" s="35">
        <v>5.6233837575089503</v>
      </c>
      <c r="F581" s="40">
        <v>1.8725278264246701E-8</v>
      </c>
      <c r="G581" s="40">
        <v>7.6322398805343806E-6</v>
      </c>
      <c r="H581" s="33" t="str">
        <f>VLOOKUP(A581,TableS5!A:J,8,FALSE)</f>
        <v>K05449</v>
      </c>
      <c r="I581" s="33" t="str">
        <f>VLOOKUP(A581,TableS5!A:J,9,FALSE)</f>
        <v>balbiani ring protein 3-like</v>
      </c>
      <c r="J581" s="33" t="s">
        <v>10</v>
      </c>
      <c r="K581" s="33"/>
    </row>
    <row r="582" spans="1:11" x14ac:dyDescent="0.2">
      <c r="A582" s="35" t="s">
        <v>625</v>
      </c>
      <c r="B582" s="35">
        <v>72.725470411638099</v>
      </c>
      <c r="C582" s="35">
        <v>6.7610263295195399</v>
      </c>
      <c r="D582" s="35">
        <v>1.2023617764746299</v>
      </c>
      <c r="E582" s="35">
        <v>5.62312147791586</v>
      </c>
      <c r="F582" s="40">
        <v>1.8753742413536001E-8</v>
      </c>
      <c r="G582" s="40">
        <v>7.6322398805343806E-6</v>
      </c>
      <c r="H582" s="24" t="s">
        <v>10</v>
      </c>
      <c r="I582" s="24" t="s">
        <v>10</v>
      </c>
      <c r="J582" s="33" t="s">
        <v>10</v>
      </c>
      <c r="K582" s="33"/>
    </row>
    <row r="583" spans="1:11" x14ac:dyDescent="0.2">
      <c r="A583" s="35" t="s">
        <v>628</v>
      </c>
      <c r="B583" s="35">
        <v>421.41580709512698</v>
      </c>
      <c r="C583" s="35">
        <v>7.20389181332171</v>
      </c>
      <c r="D583" s="35">
        <v>1.28200810491201</v>
      </c>
      <c r="E583" s="35">
        <v>5.6192248595933503</v>
      </c>
      <c r="F583" s="40">
        <v>1.91816079698416E-8</v>
      </c>
      <c r="G583" s="40">
        <v>7.7330697557665303E-6</v>
      </c>
      <c r="H583" s="24" t="s">
        <v>10</v>
      </c>
      <c r="I583" s="24" t="s">
        <v>10</v>
      </c>
      <c r="J583" s="33" t="s">
        <v>10</v>
      </c>
      <c r="K583" s="33"/>
    </row>
    <row r="584" spans="1:11" x14ac:dyDescent="0.2">
      <c r="A584" s="35" t="s">
        <v>630</v>
      </c>
      <c r="B584" s="35">
        <v>1372.2054577479701</v>
      </c>
      <c r="C584" s="35">
        <v>2.9994339062802902</v>
      </c>
      <c r="D584" s="35">
        <v>0.53481084474613805</v>
      </c>
      <c r="E584" s="35">
        <v>5.6084014296756601</v>
      </c>
      <c r="F584" s="40">
        <v>2.0420394574936199E-8</v>
      </c>
      <c r="G584" s="40">
        <v>8.1559055932295294E-6</v>
      </c>
      <c r="H584" s="29" t="s">
        <v>10</v>
      </c>
      <c r="I584" s="24" t="s">
        <v>3951</v>
      </c>
      <c r="J584" s="33" t="s">
        <v>10</v>
      </c>
      <c r="K584" s="33"/>
    </row>
    <row r="585" spans="1:11" x14ac:dyDescent="0.2">
      <c r="A585" s="35" t="s">
        <v>634</v>
      </c>
      <c r="B585" s="35">
        <v>221.88853141233199</v>
      </c>
      <c r="C585" s="35">
        <v>2.84381852943591</v>
      </c>
      <c r="D585" s="35">
        <v>0.50757102035971402</v>
      </c>
      <c r="E585" s="35">
        <v>5.6027992445677999</v>
      </c>
      <c r="F585" s="40">
        <v>2.1091746459100701E-8</v>
      </c>
      <c r="G585" s="40">
        <v>8.3464025815181294E-6</v>
      </c>
      <c r="H585" s="33" t="str">
        <f>VLOOKUP(A585,TableS5!A:J,8,FALSE)</f>
        <v>K05051</v>
      </c>
      <c r="I585" s="29" t="s">
        <v>4202</v>
      </c>
      <c r="J585" s="33" t="s">
        <v>10</v>
      </c>
      <c r="K585" s="33"/>
    </row>
    <row r="586" spans="1:11" x14ac:dyDescent="0.2">
      <c r="A586" s="35" t="s">
        <v>637</v>
      </c>
      <c r="B586" s="35">
        <v>140.98850344157299</v>
      </c>
      <c r="C586" s="35">
        <v>2.4057816106663101</v>
      </c>
      <c r="D586" s="35">
        <v>0.43056590457646299</v>
      </c>
      <c r="E586" s="35">
        <v>5.5874875021346897</v>
      </c>
      <c r="F586" s="40">
        <v>2.3037833208029999E-8</v>
      </c>
      <c r="G586" s="40">
        <v>8.9921898882124806E-6</v>
      </c>
      <c r="H586" s="24" t="s">
        <v>10</v>
      </c>
      <c r="I586" s="24" t="s">
        <v>10</v>
      </c>
      <c r="J586" s="33" t="s">
        <v>10</v>
      </c>
      <c r="K586" s="33"/>
    </row>
    <row r="587" spans="1:11" x14ac:dyDescent="0.2">
      <c r="A587" s="35" t="s">
        <v>639</v>
      </c>
      <c r="B587" s="35">
        <v>2165.443627823</v>
      </c>
      <c r="C587" s="35">
        <v>2.9483403860168602</v>
      </c>
      <c r="D587" s="35">
        <v>0.52813090261411699</v>
      </c>
      <c r="E587" s="35">
        <v>5.5825939580950701</v>
      </c>
      <c r="F587" s="40">
        <v>2.3695751945716699E-8</v>
      </c>
      <c r="G587" s="40">
        <v>9.1656662852731408E-6</v>
      </c>
      <c r="H587" s="29" t="s">
        <v>10</v>
      </c>
      <c r="I587" s="24" t="s">
        <v>3898</v>
      </c>
      <c r="J587" s="33" t="s">
        <v>10</v>
      </c>
      <c r="K587" s="33"/>
    </row>
    <row r="588" spans="1:11" x14ac:dyDescent="0.2">
      <c r="A588" s="35" t="s">
        <v>641</v>
      </c>
      <c r="B588" s="35">
        <v>47.918452789794301</v>
      </c>
      <c r="C588" s="35">
        <v>2.9370516775570299</v>
      </c>
      <c r="D588" s="35">
        <v>0.52765617923758601</v>
      </c>
      <c r="E588" s="35">
        <v>5.5662224628939203</v>
      </c>
      <c r="F588" s="40">
        <v>2.6032086598729999E-8</v>
      </c>
      <c r="G588" s="40">
        <v>9.9351169258646295E-6</v>
      </c>
      <c r="H588" s="24" t="s">
        <v>10</v>
      </c>
      <c r="I588" s="24" t="s">
        <v>10</v>
      </c>
      <c r="J588" s="33" t="s">
        <v>10</v>
      </c>
      <c r="K588" s="33"/>
    </row>
    <row r="589" spans="1:11" x14ac:dyDescent="0.2">
      <c r="A589" s="35" t="s">
        <v>644</v>
      </c>
      <c r="B589" s="35">
        <v>579.02851543283305</v>
      </c>
      <c r="C589" s="35">
        <v>2.1009482759797802</v>
      </c>
      <c r="D589" s="35">
        <v>0.37753280403369899</v>
      </c>
      <c r="E589" s="35">
        <v>5.5649423137075198</v>
      </c>
      <c r="F589" s="40">
        <v>2.62239146671082E-8</v>
      </c>
      <c r="G589" s="40">
        <v>9.9640432583152494E-6</v>
      </c>
      <c r="H589" s="24" t="s">
        <v>10</v>
      </c>
      <c r="I589" s="24" t="s">
        <v>10</v>
      </c>
      <c r="J589" s="33" t="s">
        <v>10</v>
      </c>
      <c r="K589" s="33"/>
    </row>
    <row r="590" spans="1:11" x14ac:dyDescent="0.2">
      <c r="A590" s="35" t="s">
        <v>645</v>
      </c>
      <c r="B590" s="35">
        <v>184.45540226301199</v>
      </c>
      <c r="C590" s="35">
        <v>2.8317675617820299</v>
      </c>
      <c r="D590" s="35">
        <v>0.50897573467748203</v>
      </c>
      <c r="E590" s="35">
        <v>5.5636592647710499</v>
      </c>
      <c r="F590" s="40">
        <v>2.6417553382294399E-8</v>
      </c>
      <c r="G590" s="40">
        <v>9.9933996761718299E-6</v>
      </c>
      <c r="H590" s="29" t="s">
        <v>10</v>
      </c>
      <c r="I590" s="24" t="s">
        <v>3932</v>
      </c>
      <c r="J590" s="33" t="s">
        <v>10</v>
      </c>
      <c r="K590" s="33"/>
    </row>
    <row r="591" spans="1:11" x14ac:dyDescent="0.2">
      <c r="A591" s="35" t="s">
        <v>648</v>
      </c>
      <c r="B591" s="35">
        <v>425.03629518584899</v>
      </c>
      <c r="C591" s="35">
        <v>3.5920399061577002</v>
      </c>
      <c r="D591" s="35">
        <v>0.64618547503822099</v>
      </c>
      <c r="E591" s="35">
        <v>5.5588372764727296</v>
      </c>
      <c r="F591" s="40">
        <v>2.71577742914898E-8</v>
      </c>
      <c r="G591" s="40">
        <v>1.0228356299054901E-5</v>
      </c>
      <c r="H591" s="24" t="s">
        <v>10</v>
      </c>
      <c r="I591" s="24" t="s">
        <v>10</v>
      </c>
      <c r="J591" s="33" t="s">
        <v>10</v>
      </c>
      <c r="K591" s="33"/>
    </row>
    <row r="592" spans="1:11" x14ac:dyDescent="0.2">
      <c r="A592" s="35" t="s">
        <v>650</v>
      </c>
      <c r="B592" s="35">
        <v>415.62059158534902</v>
      </c>
      <c r="C592" s="35">
        <v>2.4700885076754502</v>
      </c>
      <c r="D592" s="35">
        <v>0.44447225526012901</v>
      </c>
      <c r="E592" s="35">
        <v>5.5573513947002704</v>
      </c>
      <c r="F592" s="40">
        <v>2.73899000517233E-8</v>
      </c>
      <c r="G592" s="40">
        <v>1.02707340931945E-5</v>
      </c>
      <c r="H592" s="33" t="str">
        <f>VLOOKUP(A592,TableS5!A:J,8,FALSE)</f>
        <v>K01488</v>
      </c>
      <c r="I592" s="33" t="str">
        <f>VLOOKUP(A592,TableS5!A:J,9,FALSE)</f>
        <v xml:space="preserve">adenosine deaminase-like protein isoform X2 </v>
      </c>
      <c r="J592" s="33" t="s">
        <v>10</v>
      </c>
      <c r="K592" s="33"/>
    </row>
    <row r="593" spans="1:11" x14ac:dyDescent="0.2">
      <c r="A593" s="35" t="s">
        <v>655</v>
      </c>
      <c r="B593" s="35">
        <v>3388.2724273099502</v>
      </c>
      <c r="C593" s="35">
        <v>5.4428905521233002</v>
      </c>
      <c r="D593" s="35">
        <v>0.98151902688427595</v>
      </c>
      <c r="E593" s="35">
        <v>5.5453744685940096</v>
      </c>
      <c r="F593" s="40">
        <v>2.9332571752457398E-8</v>
      </c>
      <c r="G593" s="40">
        <v>1.0903970861278201E-5</v>
      </c>
      <c r="H593" s="24" t="s">
        <v>10</v>
      </c>
      <c r="I593" s="33" t="str">
        <f>VLOOKUP(A593,TableS5!A:J,9,FALSE)</f>
        <v xml:space="preserve">galaxin-like </v>
      </c>
      <c r="J593" s="33" t="s">
        <v>10</v>
      </c>
      <c r="K593" s="33"/>
    </row>
    <row r="594" spans="1:11" x14ac:dyDescent="0.2">
      <c r="A594" s="35" t="s">
        <v>659</v>
      </c>
      <c r="B594" s="35">
        <v>1349.1299580463599</v>
      </c>
      <c r="C594" s="35">
        <v>3.4761396681156902</v>
      </c>
      <c r="D594" s="35">
        <v>0.62779219113898199</v>
      </c>
      <c r="E594" s="35">
        <v>5.5370865027948897</v>
      </c>
      <c r="F594" s="40">
        <v>3.0754467669679202E-8</v>
      </c>
      <c r="G594" s="40">
        <v>1.1383262470961301E-5</v>
      </c>
      <c r="H594" s="33" t="str">
        <f>VLOOKUP(A594,TableS5!A:J,8,FALSE)</f>
        <v>K07998</v>
      </c>
      <c r="I594" s="24" t="s">
        <v>10</v>
      </c>
      <c r="J594" s="33" t="s">
        <v>10</v>
      </c>
      <c r="K594" s="33"/>
    </row>
    <row r="595" spans="1:11" x14ac:dyDescent="0.2">
      <c r="A595" s="35" t="s">
        <v>662</v>
      </c>
      <c r="B595" s="35">
        <v>104.968908005439</v>
      </c>
      <c r="C595" s="35">
        <v>4.2695701504455901</v>
      </c>
      <c r="D595" s="35">
        <v>0.77173962450003397</v>
      </c>
      <c r="E595" s="35">
        <v>5.5323972164984996</v>
      </c>
      <c r="F595" s="40">
        <v>3.1588355005065901E-8</v>
      </c>
      <c r="G595" s="40">
        <v>1.16417323289271E-5</v>
      </c>
      <c r="H595" s="24" t="s">
        <v>10</v>
      </c>
      <c r="I595" s="24" t="s">
        <v>10</v>
      </c>
      <c r="J595" s="33" t="s">
        <v>10</v>
      </c>
      <c r="K595" s="33"/>
    </row>
    <row r="596" spans="1:11" x14ac:dyDescent="0.2">
      <c r="A596" s="35" t="s">
        <v>663</v>
      </c>
      <c r="B596" s="35">
        <v>1486.9386240137201</v>
      </c>
      <c r="C596" s="35">
        <v>9.1251914352454104</v>
      </c>
      <c r="D596" s="35">
        <v>1.65216626607068</v>
      </c>
      <c r="E596" s="35">
        <v>5.52316774809095</v>
      </c>
      <c r="F596" s="40">
        <v>3.3294158016097899E-8</v>
      </c>
      <c r="G596" s="40">
        <v>1.2189163158413E-5</v>
      </c>
      <c r="H596" s="24" t="s">
        <v>10</v>
      </c>
      <c r="I596" s="24" t="s">
        <v>10</v>
      </c>
      <c r="J596" s="33" t="s">
        <v>10</v>
      </c>
      <c r="K596" s="33"/>
    </row>
    <row r="597" spans="1:11" x14ac:dyDescent="0.2">
      <c r="A597" s="35" t="s">
        <v>665</v>
      </c>
      <c r="B597" s="35">
        <v>61.7765437149354</v>
      </c>
      <c r="C597" s="35">
        <v>5.2330453209629901</v>
      </c>
      <c r="D597" s="35">
        <v>0.94752912249342103</v>
      </c>
      <c r="E597" s="35">
        <v>5.5228332266899001</v>
      </c>
      <c r="F597" s="40">
        <v>3.3357633452819399E-8</v>
      </c>
      <c r="G597" s="40">
        <v>1.2189163158413E-5</v>
      </c>
      <c r="H597" s="24" t="s">
        <v>10</v>
      </c>
      <c r="I597" s="24" t="s">
        <v>10</v>
      </c>
      <c r="J597" s="33" t="s">
        <v>10</v>
      </c>
      <c r="K597" s="33"/>
    </row>
    <row r="598" spans="1:11" x14ac:dyDescent="0.2">
      <c r="A598" s="35" t="s">
        <v>671</v>
      </c>
      <c r="B598" s="35">
        <v>15488.4273346956</v>
      </c>
      <c r="C598" s="35">
        <v>11.424780663900901</v>
      </c>
      <c r="D598" s="35">
        <v>2.07281798952903</v>
      </c>
      <c r="E598" s="35">
        <v>5.5117143529310599</v>
      </c>
      <c r="F598" s="40">
        <v>3.5535530644952999E-8</v>
      </c>
      <c r="G598" s="40">
        <v>1.2883296717762501E-5</v>
      </c>
      <c r="H598" s="24" t="s">
        <v>10</v>
      </c>
      <c r="I598" s="24" t="s">
        <v>10</v>
      </c>
      <c r="J598" s="33" t="s">
        <v>10</v>
      </c>
      <c r="K598" s="33"/>
    </row>
    <row r="599" spans="1:11" x14ac:dyDescent="0.2">
      <c r="A599" s="35" t="s">
        <v>672</v>
      </c>
      <c r="B599" s="35">
        <v>647.54970514427498</v>
      </c>
      <c r="C599" s="35">
        <v>2.1936886650003098</v>
      </c>
      <c r="D599" s="35">
        <v>0.398289361518461</v>
      </c>
      <c r="E599" s="35">
        <v>5.5077761972776997</v>
      </c>
      <c r="F599" s="40">
        <v>3.6339498640930103E-8</v>
      </c>
      <c r="G599" s="40">
        <v>1.30565233798967E-5</v>
      </c>
      <c r="H599" s="33" t="str">
        <f>VLOOKUP(A599,TableS5!A:J,8,FALSE)</f>
        <v>K01488</v>
      </c>
      <c r="I599" s="24" t="s">
        <v>3971</v>
      </c>
      <c r="J599" s="33" t="s">
        <v>4077</v>
      </c>
      <c r="K599" s="33"/>
    </row>
    <row r="600" spans="1:11" x14ac:dyDescent="0.2">
      <c r="A600" s="35" t="s">
        <v>675</v>
      </c>
      <c r="B600" s="35">
        <v>28.060054481207999</v>
      </c>
      <c r="C600" s="35">
        <v>4.7119813199901097</v>
      </c>
      <c r="D600" s="35">
        <v>0.85602666801947203</v>
      </c>
      <c r="E600" s="35">
        <v>5.5044795869407803</v>
      </c>
      <c r="F600" s="40">
        <v>3.70260357969211E-8</v>
      </c>
      <c r="G600" s="40">
        <v>1.32383904298085E-5</v>
      </c>
      <c r="H600" s="24" t="s">
        <v>10</v>
      </c>
      <c r="I600" s="24" t="s">
        <v>10</v>
      </c>
      <c r="J600" s="33" t="s">
        <v>10</v>
      </c>
      <c r="K600" s="33"/>
    </row>
    <row r="601" spans="1:11" x14ac:dyDescent="0.2">
      <c r="A601" s="35" t="s">
        <v>676</v>
      </c>
      <c r="B601" s="35">
        <v>184.52369597778201</v>
      </c>
      <c r="C601" s="35">
        <v>3.0450412829210598</v>
      </c>
      <c r="D601" s="35">
        <v>0.55373951129992605</v>
      </c>
      <c r="E601" s="35">
        <v>5.4990500420905599</v>
      </c>
      <c r="F601" s="40">
        <v>3.81842767443397E-8</v>
      </c>
      <c r="G601" s="40">
        <v>1.35209751757162E-5</v>
      </c>
      <c r="H601" s="24" t="s">
        <v>411</v>
      </c>
      <c r="I601" s="24" t="s">
        <v>3143</v>
      </c>
      <c r="J601" s="33" t="s">
        <v>10</v>
      </c>
      <c r="K601" s="33"/>
    </row>
    <row r="602" spans="1:11" x14ac:dyDescent="0.2">
      <c r="A602" s="35" t="s">
        <v>679</v>
      </c>
      <c r="B602" s="35">
        <v>865.03590930553798</v>
      </c>
      <c r="C602" s="35">
        <v>2.7385860015376799</v>
      </c>
      <c r="D602" s="35">
        <v>0.49804322609068502</v>
      </c>
      <c r="E602" s="35">
        <v>5.4986913947887404</v>
      </c>
      <c r="F602" s="40">
        <v>3.8262008916852501E-8</v>
      </c>
      <c r="G602" s="40">
        <v>1.35209751757162E-5</v>
      </c>
      <c r="H602" s="29" t="s">
        <v>10</v>
      </c>
      <c r="I602" s="24" t="s">
        <v>593</v>
      </c>
      <c r="J602" s="33" t="s">
        <v>10</v>
      </c>
      <c r="K602" s="33"/>
    </row>
    <row r="603" spans="1:11" x14ac:dyDescent="0.2">
      <c r="A603" s="35" t="s">
        <v>680</v>
      </c>
      <c r="B603" s="35">
        <v>591.51023468935398</v>
      </c>
      <c r="C603" s="35">
        <v>2.66589196496817</v>
      </c>
      <c r="D603" s="35">
        <v>0.48578048588762202</v>
      </c>
      <c r="E603" s="35">
        <v>5.4878531402862603</v>
      </c>
      <c r="F603" s="40">
        <v>4.0684808826584502E-8</v>
      </c>
      <c r="G603" s="40">
        <v>1.4201809832307499E-5</v>
      </c>
      <c r="H603" s="24" t="s">
        <v>10</v>
      </c>
      <c r="I603" s="24" t="s">
        <v>10</v>
      </c>
      <c r="J603" s="33" t="s">
        <v>10</v>
      </c>
      <c r="K603" s="33"/>
    </row>
    <row r="604" spans="1:11" x14ac:dyDescent="0.2">
      <c r="A604" s="35" t="s">
        <v>682</v>
      </c>
      <c r="B604" s="35">
        <v>53.560396964114801</v>
      </c>
      <c r="C604" s="35">
        <v>3.0281824096676302</v>
      </c>
      <c r="D604" s="35">
        <v>0.55235416069543197</v>
      </c>
      <c r="E604" s="35">
        <v>5.4823202668647504</v>
      </c>
      <c r="F604" s="40">
        <v>4.1978339607556701E-8</v>
      </c>
      <c r="G604" s="40">
        <v>1.45940161961154E-5</v>
      </c>
      <c r="H604" s="24" t="s">
        <v>10</v>
      </c>
      <c r="I604" s="24" t="s">
        <v>10</v>
      </c>
      <c r="J604" s="33" t="s">
        <v>10</v>
      </c>
      <c r="K604" s="33"/>
    </row>
    <row r="605" spans="1:11" x14ac:dyDescent="0.2">
      <c r="A605" s="35" t="s">
        <v>684</v>
      </c>
      <c r="B605" s="35">
        <v>45.386448233977198</v>
      </c>
      <c r="C605" s="35">
        <v>4.1743562909424003</v>
      </c>
      <c r="D605" s="35">
        <v>0.76367239469207204</v>
      </c>
      <c r="E605" s="35">
        <v>5.4661610396766802</v>
      </c>
      <c r="F605" s="40">
        <v>4.5988656287808599E-8</v>
      </c>
      <c r="G605" s="40">
        <v>1.58598068437366E-5</v>
      </c>
      <c r="H605" s="24" t="s">
        <v>10</v>
      </c>
      <c r="I605" s="24" t="s">
        <v>10</v>
      </c>
      <c r="J605" s="33" t="s">
        <v>10</v>
      </c>
      <c r="K605" s="33"/>
    </row>
    <row r="606" spans="1:11" x14ac:dyDescent="0.2">
      <c r="A606" s="35" t="s">
        <v>688</v>
      </c>
      <c r="B606" s="35">
        <v>12460.5340092877</v>
      </c>
      <c r="C606" s="35">
        <v>2.80898866382765</v>
      </c>
      <c r="D606" s="35">
        <v>0.51463861424776802</v>
      </c>
      <c r="E606" s="35">
        <v>5.4581770315339897</v>
      </c>
      <c r="F606" s="40">
        <v>4.8104790761808501E-8</v>
      </c>
      <c r="G606" s="40">
        <v>1.6327298369593899E-5</v>
      </c>
      <c r="H606" s="24" t="s">
        <v>10</v>
      </c>
      <c r="I606" s="24" t="s">
        <v>10</v>
      </c>
      <c r="J606" s="33" t="s">
        <v>10</v>
      </c>
      <c r="K606" s="33"/>
    </row>
    <row r="607" spans="1:11" x14ac:dyDescent="0.2">
      <c r="A607" s="35" t="s">
        <v>690</v>
      </c>
      <c r="B607" s="35">
        <v>69.227414719723996</v>
      </c>
      <c r="C607" s="35">
        <v>3.4388504508955502</v>
      </c>
      <c r="D607" s="35">
        <v>0.63025640970319796</v>
      </c>
      <c r="E607" s="35">
        <v>5.4562720790336403</v>
      </c>
      <c r="F607" s="40">
        <v>4.8623470172625502E-8</v>
      </c>
      <c r="G607" s="40">
        <v>1.6438370107061102E-5</v>
      </c>
      <c r="H607" s="24" t="s">
        <v>10</v>
      </c>
      <c r="I607" s="24" t="s">
        <v>10</v>
      </c>
      <c r="J607" s="33" t="s">
        <v>10</v>
      </c>
      <c r="K607" s="33"/>
    </row>
    <row r="608" spans="1:11" x14ac:dyDescent="0.2">
      <c r="A608" s="35" t="s">
        <v>693</v>
      </c>
      <c r="B608" s="35">
        <v>1741.7301543327901</v>
      </c>
      <c r="C608" s="35">
        <v>2.5179124359832001</v>
      </c>
      <c r="D608" s="35">
        <v>0.462707666242199</v>
      </c>
      <c r="E608" s="35">
        <v>5.4416916331471104</v>
      </c>
      <c r="F608" s="40">
        <v>5.2776977054486002E-8</v>
      </c>
      <c r="G608" s="40">
        <v>1.7629297385682699E-5</v>
      </c>
      <c r="H608" s="29" t="s">
        <v>10</v>
      </c>
      <c r="I608" s="24" t="s">
        <v>4026</v>
      </c>
      <c r="J608" s="33" t="s">
        <v>4111</v>
      </c>
      <c r="K608" s="33"/>
    </row>
    <row r="609" spans="1:11" x14ac:dyDescent="0.2">
      <c r="A609" s="35" t="s">
        <v>704</v>
      </c>
      <c r="B609" s="35">
        <v>1076.3553891691499</v>
      </c>
      <c r="C609" s="35">
        <v>2.0374370491231502</v>
      </c>
      <c r="D609" s="35">
        <v>0.37599305022726098</v>
      </c>
      <c r="E609" s="35">
        <v>5.4188157145236202</v>
      </c>
      <c r="F609" s="40">
        <v>5.9995118902111999E-8</v>
      </c>
      <c r="G609" s="40">
        <v>1.9814772520166401E-5</v>
      </c>
      <c r="H609" s="24" t="s">
        <v>705</v>
      </c>
      <c r="I609" s="29" t="s">
        <v>4203</v>
      </c>
      <c r="J609" s="33" t="s">
        <v>4070</v>
      </c>
      <c r="K609" s="33"/>
    </row>
    <row r="610" spans="1:11" x14ac:dyDescent="0.2">
      <c r="A610" s="35" t="s">
        <v>706</v>
      </c>
      <c r="B610" s="35">
        <v>4366.4475216527899</v>
      </c>
      <c r="C610" s="35">
        <v>3.0294870258906701</v>
      </c>
      <c r="D610" s="35">
        <v>0.56043105010234795</v>
      </c>
      <c r="E610" s="35">
        <v>5.4056373666973201</v>
      </c>
      <c r="F610" s="40">
        <v>6.4578335320234803E-8</v>
      </c>
      <c r="G610" s="40">
        <v>2.1050290998838199E-5</v>
      </c>
      <c r="H610" s="24" t="s">
        <v>10</v>
      </c>
      <c r="I610" s="33" t="str">
        <f>VLOOKUP(A610,TableS5!A:J,9,FALSE)</f>
        <v>putative protein sidekick-2-like</v>
      </c>
      <c r="J610" s="33" t="s">
        <v>10</v>
      </c>
      <c r="K610" s="33"/>
    </row>
    <row r="611" spans="1:11" x14ac:dyDescent="0.2">
      <c r="A611" s="35" t="s">
        <v>709</v>
      </c>
      <c r="B611" s="35">
        <v>878.921745751515</v>
      </c>
      <c r="C611" s="35">
        <v>2.5354255091263602</v>
      </c>
      <c r="D611" s="35">
        <v>0.47083877222468301</v>
      </c>
      <c r="E611" s="35">
        <v>5.3849123281556297</v>
      </c>
      <c r="F611" s="40">
        <v>7.2479968189849903E-8</v>
      </c>
      <c r="G611" s="40">
        <v>2.32236095090694E-5</v>
      </c>
      <c r="H611" s="24" t="s">
        <v>10</v>
      </c>
      <c r="I611" s="24" t="s">
        <v>10</v>
      </c>
      <c r="J611" s="33" t="s">
        <v>10</v>
      </c>
      <c r="K611" s="33"/>
    </row>
    <row r="612" spans="1:11" x14ac:dyDescent="0.2">
      <c r="A612" s="35" t="s">
        <v>712</v>
      </c>
      <c r="B612" s="35">
        <v>1253.07716393855</v>
      </c>
      <c r="C612" s="35">
        <v>2.8853906666986799</v>
      </c>
      <c r="D612" s="35">
        <v>0.53612138868757098</v>
      </c>
      <c r="E612" s="35">
        <v>5.3819726792884302</v>
      </c>
      <c r="F612" s="40">
        <v>7.3673948860686905E-8</v>
      </c>
      <c r="G612" s="40">
        <v>2.3431317268948299E-5</v>
      </c>
      <c r="H612" s="24" t="s">
        <v>10</v>
      </c>
      <c r="I612" s="33" t="str">
        <f>VLOOKUP(A612,TableS5!A:J,9,FALSE)</f>
        <v>MAM and fibronectin type III domain-containing protein 1 (Fragment)</v>
      </c>
      <c r="J612" s="33" t="s">
        <v>10</v>
      </c>
      <c r="K612" s="33"/>
    </row>
    <row r="613" spans="1:11" x14ac:dyDescent="0.2">
      <c r="A613" s="35" t="s">
        <v>715</v>
      </c>
      <c r="B613" s="35">
        <v>396.81508304137202</v>
      </c>
      <c r="C613" s="35">
        <v>4.2383943123428898</v>
      </c>
      <c r="D613" s="35">
        <v>0.78825053649695198</v>
      </c>
      <c r="E613" s="35">
        <v>5.3769634349741802</v>
      </c>
      <c r="F613" s="40">
        <v>7.5752550117898105E-8</v>
      </c>
      <c r="G613" s="40">
        <v>2.4003495317985399E-5</v>
      </c>
      <c r="H613" s="24" t="s">
        <v>10</v>
      </c>
      <c r="I613" s="24" t="s">
        <v>10</v>
      </c>
      <c r="J613" s="33" t="s">
        <v>10</v>
      </c>
      <c r="K613" s="33"/>
    </row>
    <row r="614" spans="1:11" x14ac:dyDescent="0.2">
      <c r="A614" s="35" t="s">
        <v>717</v>
      </c>
      <c r="B614" s="35">
        <v>177.62584779181799</v>
      </c>
      <c r="C614" s="35">
        <v>2.1773191665559599</v>
      </c>
      <c r="D614" s="35">
        <v>0.40515529959045798</v>
      </c>
      <c r="E614" s="35">
        <v>5.3740360023843898</v>
      </c>
      <c r="F614" s="40">
        <v>7.6993474216968395E-8</v>
      </c>
      <c r="G614" s="40">
        <v>2.4248596409437701E-5</v>
      </c>
      <c r="H614" s="24" t="s">
        <v>10</v>
      </c>
      <c r="I614" s="24" t="s">
        <v>10</v>
      </c>
      <c r="J614" s="33" t="s">
        <v>10</v>
      </c>
      <c r="K614" s="33"/>
    </row>
    <row r="615" spans="1:11" x14ac:dyDescent="0.2">
      <c r="A615" s="35" t="s">
        <v>720</v>
      </c>
      <c r="B615" s="35">
        <v>37.513155184759299</v>
      </c>
      <c r="C615" s="35">
        <v>3.1845081610320101</v>
      </c>
      <c r="D615" s="35">
        <v>0.59259802429280095</v>
      </c>
      <c r="E615" s="35">
        <v>5.3738082654466499</v>
      </c>
      <c r="F615" s="40">
        <v>7.7090831826536306E-8</v>
      </c>
      <c r="G615" s="40">
        <v>2.4248596409437701E-5</v>
      </c>
      <c r="H615" s="24" t="s">
        <v>10</v>
      </c>
      <c r="I615" s="24" t="s">
        <v>10</v>
      </c>
      <c r="J615" s="33" t="s">
        <v>10</v>
      </c>
      <c r="K615" s="33"/>
    </row>
    <row r="616" spans="1:11" x14ac:dyDescent="0.2">
      <c r="A616" s="35" t="s">
        <v>723</v>
      </c>
      <c r="B616" s="35">
        <v>1055.0625027972201</v>
      </c>
      <c r="C616" s="35">
        <v>2.5260946120088201</v>
      </c>
      <c r="D616" s="35">
        <v>0.470154674118476</v>
      </c>
      <c r="E616" s="35">
        <v>5.3729011984091501</v>
      </c>
      <c r="F616" s="40">
        <v>7.74797877313369E-8</v>
      </c>
      <c r="G616" s="40">
        <v>2.42819958112322E-5</v>
      </c>
      <c r="H616" s="24" t="s">
        <v>10</v>
      </c>
      <c r="I616" s="33" t="str">
        <f>VLOOKUP(A616,TableS5!A:J,9,FALSE)</f>
        <v xml:space="preserve"> SH3 and PX domain-containing protein 2A-like</v>
      </c>
      <c r="J616" s="33" t="s">
        <v>10</v>
      </c>
      <c r="K616" s="33"/>
    </row>
    <row r="617" spans="1:11" x14ac:dyDescent="0.2">
      <c r="A617" s="35" t="s">
        <v>727</v>
      </c>
      <c r="B617" s="35">
        <v>825.27105211104197</v>
      </c>
      <c r="C617" s="35">
        <v>3.2650198226219298</v>
      </c>
      <c r="D617" s="35">
        <v>0.60797361506054803</v>
      </c>
      <c r="E617" s="35">
        <v>5.3703314448880501</v>
      </c>
      <c r="F617" s="40">
        <v>7.8592060992462998E-8</v>
      </c>
      <c r="G617" s="40">
        <v>2.4541014070850101E-5</v>
      </c>
      <c r="H617" s="24" t="s">
        <v>10</v>
      </c>
      <c r="I617" s="33" t="str">
        <f>VLOOKUP(A617,TableS5!A:J,9,FALSE)</f>
        <v>-</v>
      </c>
      <c r="J617" s="33" t="s">
        <v>10</v>
      </c>
      <c r="K617" s="33"/>
    </row>
    <row r="618" spans="1:11" x14ac:dyDescent="0.2">
      <c r="A618" s="35" t="s">
        <v>728</v>
      </c>
      <c r="B618" s="35">
        <v>131.973488253276</v>
      </c>
      <c r="C618" s="35">
        <v>2.86950610801915</v>
      </c>
      <c r="D618" s="35">
        <v>0.53542963978785196</v>
      </c>
      <c r="E618" s="35">
        <v>5.3592589852816301</v>
      </c>
      <c r="F618" s="40">
        <v>8.3563991382859501E-8</v>
      </c>
      <c r="G618" s="40">
        <v>2.58119550504947E-5</v>
      </c>
      <c r="H618" s="24" t="s">
        <v>10</v>
      </c>
      <c r="I618" s="33" t="str">
        <f>VLOOKUP(A618,TableS5!A:J,9,FALSE)</f>
        <v>-</v>
      </c>
      <c r="J618" s="33" t="s">
        <v>10</v>
      </c>
      <c r="K618" s="33"/>
    </row>
    <row r="619" spans="1:11" x14ac:dyDescent="0.2">
      <c r="A619" s="35" t="s">
        <v>730</v>
      </c>
      <c r="B619" s="35">
        <v>186.72958150787201</v>
      </c>
      <c r="C619" s="35">
        <v>2.4570021696037401</v>
      </c>
      <c r="D619" s="35">
        <v>0.45854674730773998</v>
      </c>
      <c r="E619" s="35">
        <v>5.3582370478680899</v>
      </c>
      <c r="F619" s="40">
        <v>8.40379337796272E-8</v>
      </c>
      <c r="G619" s="40">
        <v>2.58653097189619E-5</v>
      </c>
      <c r="H619" s="24" t="s">
        <v>10</v>
      </c>
      <c r="I619" s="33" t="str">
        <f>VLOOKUP(A619,TableS5!A:J,9,FALSE)</f>
        <v xml:space="preserve">FMRFamide neuropeptides-like </v>
      </c>
      <c r="J619" s="33" t="s">
        <v>10</v>
      </c>
      <c r="K619" s="33"/>
    </row>
    <row r="620" spans="1:11" x14ac:dyDescent="0.2">
      <c r="A620" s="35" t="s">
        <v>736</v>
      </c>
      <c r="B620" s="35">
        <v>232.25669823964799</v>
      </c>
      <c r="C620" s="35">
        <v>3.8844695233654001</v>
      </c>
      <c r="D620" s="35">
        <v>0.72628673051915704</v>
      </c>
      <c r="E620" s="35">
        <v>5.3483966595241803</v>
      </c>
      <c r="F620" s="40">
        <v>8.8736819043209203E-8</v>
      </c>
      <c r="G620" s="40">
        <v>2.70010968612789E-5</v>
      </c>
      <c r="H620" s="24" t="s">
        <v>10</v>
      </c>
      <c r="I620" s="24" t="s">
        <v>10</v>
      </c>
      <c r="J620" s="33" t="s">
        <v>10</v>
      </c>
      <c r="K620" s="33"/>
    </row>
    <row r="621" spans="1:11" x14ac:dyDescent="0.2">
      <c r="A621" s="35" t="s">
        <v>740</v>
      </c>
      <c r="B621" s="35">
        <v>158.74067832906201</v>
      </c>
      <c r="C621" s="35">
        <v>4.4415709670485599</v>
      </c>
      <c r="D621" s="35">
        <v>0.83052786368218701</v>
      </c>
      <c r="E621" s="35">
        <v>5.3478891693731203</v>
      </c>
      <c r="F621" s="40">
        <v>8.8985925536466603E-8</v>
      </c>
      <c r="G621" s="40">
        <v>2.70010968612789E-5</v>
      </c>
      <c r="H621" s="24" t="s">
        <v>10</v>
      </c>
      <c r="I621" s="24" t="s">
        <v>10</v>
      </c>
      <c r="J621" s="33" t="s">
        <v>10</v>
      </c>
      <c r="K621" s="33"/>
    </row>
    <row r="622" spans="1:11" x14ac:dyDescent="0.2">
      <c r="A622" s="35" t="s">
        <v>743</v>
      </c>
      <c r="B622" s="35">
        <v>74.833287608817002</v>
      </c>
      <c r="C622" s="35">
        <v>5.8488263094444903</v>
      </c>
      <c r="D622" s="35">
        <v>1.09574123052591</v>
      </c>
      <c r="E622" s="35">
        <v>5.3377806242056698</v>
      </c>
      <c r="F622" s="40">
        <v>9.40912052224685E-8</v>
      </c>
      <c r="G622" s="40">
        <v>2.8449668604431699E-5</v>
      </c>
      <c r="H622" s="24" t="s">
        <v>10</v>
      </c>
      <c r="I622" s="24" t="s">
        <v>10</v>
      </c>
      <c r="J622" s="33" t="s">
        <v>10</v>
      </c>
      <c r="K622" s="33"/>
    </row>
    <row r="623" spans="1:11" x14ac:dyDescent="0.2">
      <c r="A623" s="35" t="s">
        <v>747</v>
      </c>
      <c r="B623" s="35">
        <v>303.71550731821998</v>
      </c>
      <c r="C623" s="35">
        <v>3.7323569434424</v>
      </c>
      <c r="D623" s="35">
        <v>0.69946155275551503</v>
      </c>
      <c r="E623" s="35">
        <v>5.3360430301549098</v>
      </c>
      <c r="F623" s="40">
        <v>9.49968665658878E-8</v>
      </c>
      <c r="G623" s="40">
        <v>2.86227225574714E-5</v>
      </c>
      <c r="H623" s="24" t="s">
        <v>10</v>
      </c>
      <c r="I623" s="24" t="s">
        <v>10</v>
      </c>
      <c r="J623" s="33" t="s">
        <v>10</v>
      </c>
      <c r="K623" s="33"/>
    </row>
    <row r="624" spans="1:11" x14ac:dyDescent="0.2">
      <c r="A624" s="35" t="s">
        <v>749</v>
      </c>
      <c r="B624" s="35">
        <v>58.659556179966401</v>
      </c>
      <c r="C624" s="35">
        <v>7.6770041621531799</v>
      </c>
      <c r="D624" s="35">
        <v>1.43984055604118</v>
      </c>
      <c r="E624" s="35">
        <v>5.3318432585764999</v>
      </c>
      <c r="F624" s="40">
        <v>9.7220838559546102E-8</v>
      </c>
      <c r="G624" s="40">
        <v>2.8988171512837601E-5</v>
      </c>
      <c r="H624" s="24" t="s">
        <v>10</v>
      </c>
      <c r="I624" s="24" t="s">
        <v>10</v>
      </c>
      <c r="J624" s="33" t="s">
        <v>10</v>
      </c>
      <c r="K624" s="33"/>
    </row>
    <row r="625" spans="1:11" x14ac:dyDescent="0.2">
      <c r="A625" s="35" t="s">
        <v>754</v>
      </c>
      <c r="B625" s="35">
        <v>56.676790086996299</v>
      </c>
      <c r="C625" s="35">
        <v>4.1406249501622003</v>
      </c>
      <c r="D625" s="35">
        <v>0.777489114878256</v>
      </c>
      <c r="E625" s="35">
        <v>5.3256371966192297</v>
      </c>
      <c r="F625" s="40">
        <v>1.00599749707164E-7</v>
      </c>
      <c r="G625" s="40">
        <v>2.97882796796685E-5</v>
      </c>
      <c r="H625" s="24" t="s">
        <v>10</v>
      </c>
      <c r="I625" s="24" t="s">
        <v>10</v>
      </c>
      <c r="J625" s="33" t="s">
        <v>10</v>
      </c>
      <c r="K625" s="33"/>
    </row>
    <row r="626" spans="1:11" x14ac:dyDescent="0.2">
      <c r="A626" s="35" t="s">
        <v>757</v>
      </c>
      <c r="B626" s="35">
        <v>292.55844970123798</v>
      </c>
      <c r="C626" s="35">
        <v>3.1163249795021102</v>
      </c>
      <c r="D626" s="35">
        <v>0.58556962927948097</v>
      </c>
      <c r="E626" s="35">
        <v>5.3218692085117496</v>
      </c>
      <c r="F626" s="40">
        <v>1.02706407063111E-7</v>
      </c>
      <c r="G626" s="40">
        <v>3.0307566601087202E-5</v>
      </c>
      <c r="H626" s="24" t="s">
        <v>10</v>
      </c>
      <c r="I626" s="24" t="s">
        <v>10</v>
      </c>
      <c r="J626" s="33" t="s">
        <v>10</v>
      </c>
      <c r="K626" s="33"/>
    </row>
    <row r="627" spans="1:11" x14ac:dyDescent="0.2">
      <c r="A627" s="35" t="s">
        <v>760</v>
      </c>
      <c r="B627" s="35">
        <v>107.419323531326</v>
      </c>
      <c r="C627" s="35">
        <v>4.6641298074479396</v>
      </c>
      <c r="D627" s="35">
        <v>0.876530673975221</v>
      </c>
      <c r="E627" s="35">
        <v>5.3211255988284902</v>
      </c>
      <c r="F627" s="40">
        <v>1.03127169673567E-7</v>
      </c>
      <c r="G627" s="40">
        <v>3.03275109145167E-5</v>
      </c>
      <c r="H627" s="24" t="s">
        <v>10</v>
      </c>
      <c r="I627" s="24" t="s">
        <v>10</v>
      </c>
      <c r="J627" s="33" t="s">
        <v>10</v>
      </c>
      <c r="K627" s="33"/>
    </row>
    <row r="628" spans="1:11" x14ac:dyDescent="0.2">
      <c r="A628" s="45" t="s">
        <v>763</v>
      </c>
      <c r="B628" s="45">
        <v>751.22074491962405</v>
      </c>
      <c r="C628" s="45">
        <v>6.2730420370758697</v>
      </c>
      <c r="D628" s="45">
        <v>1.18054517129679</v>
      </c>
      <c r="E628" s="45">
        <v>5.3136823474405102</v>
      </c>
      <c r="F628" s="46">
        <v>1.07431826532121E-7</v>
      </c>
      <c r="G628" s="46">
        <v>3.1378497878026401E-5</v>
      </c>
      <c r="H628" s="47" t="s">
        <v>4143</v>
      </c>
      <c r="I628" s="47" t="s">
        <v>3944</v>
      </c>
      <c r="J628" s="50" t="s">
        <v>10</v>
      </c>
      <c r="K628" s="33"/>
    </row>
    <row r="629" spans="1:11" x14ac:dyDescent="0.2">
      <c r="A629" s="35" t="s">
        <v>767</v>
      </c>
      <c r="B629" s="35">
        <v>235.455695093727</v>
      </c>
      <c r="C629" s="35">
        <v>5.0170946060461299</v>
      </c>
      <c r="D629" s="35">
        <v>0.94472695538106699</v>
      </c>
      <c r="E629" s="35">
        <v>5.3106292537428699</v>
      </c>
      <c r="F629" s="40">
        <v>1.09247371273461E-7</v>
      </c>
      <c r="G629" s="40">
        <v>3.1800613622452201E-5</v>
      </c>
      <c r="H629" s="24" t="s">
        <v>10</v>
      </c>
      <c r="I629" s="33" t="str">
        <f>VLOOKUP(A629,TableS5!A:J,9,FALSE)</f>
        <v>arrestin domain-containing protein 3-like</v>
      </c>
      <c r="J629" s="33" t="s">
        <v>10</v>
      </c>
      <c r="K629" s="33"/>
    </row>
    <row r="630" spans="1:11" x14ac:dyDescent="0.2">
      <c r="A630" s="35" t="s">
        <v>771</v>
      </c>
      <c r="B630" s="35">
        <v>101.318272773929</v>
      </c>
      <c r="C630" s="35">
        <v>3.4035377115632799</v>
      </c>
      <c r="D630" s="35">
        <v>0.641034748071308</v>
      </c>
      <c r="E630" s="35">
        <v>5.3094433988228698</v>
      </c>
      <c r="F630" s="40">
        <v>1.09960525105655E-7</v>
      </c>
      <c r="G630" s="40">
        <v>3.18985155676785E-5</v>
      </c>
      <c r="H630" s="24" t="s">
        <v>10</v>
      </c>
      <c r="I630" s="24" t="s">
        <v>10</v>
      </c>
      <c r="J630" s="33" t="s">
        <v>10</v>
      </c>
      <c r="K630" s="33"/>
    </row>
    <row r="631" spans="1:11" x14ac:dyDescent="0.2">
      <c r="A631" s="35" t="s">
        <v>774</v>
      </c>
      <c r="B631" s="35">
        <v>30.654755056285801</v>
      </c>
      <c r="C631" s="35">
        <v>3.8226540694404201</v>
      </c>
      <c r="D631" s="35">
        <v>0.72020167344700003</v>
      </c>
      <c r="E631" s="35">
        <v>5.3077550502550004</v>
      </c>
      <c r="F631" s="40">
        <v>1.10983648850845E-7</v>
      </c>
      <c r="G631" s="40">
        <v>3.1980795001580398E-5</v>
      </c>
      <c r="H631" s="24" t="s">
        <v>10</v>
      </c>
      <c r="I631" s="24" t="s">
        <v>10</v>
      </c>
      <c r="J631" s="33" t="s">
        <v>10</v>
      </c>
      <c r="K631" s="33"/>
    </row>
    <row r="632" spans="1:11" x14ac:dyDescent="0.2">
      <c r="A632" s="35" t="s">
        <v>777</v>
      </c>
      <c r="B632" s="35">
        <v>4007.2928821601799</v>
      </c>
      <c r="C632" s="35">
        <v>2.3779041152898901</v>
      </c>
      <c r="D632" s="35">
        <v>0.44826815402010001</v>
      </c>
      <c r="E632" s="35">
        <v>5.3046465468596899</v>
      </c>
      <c r="F632" s="40">
        <v>1.1289152005624499E-7</v>
      </c>
      <c r="G632" s="40">
        <v>3.22692096406002E-5</v>
      </c>
      <c r="H632" s="24" t="s">
        <v>2476</v>
      </c>
      <c r="I632" s="29" t="s">
        <v>4204</v>
      </c>
      <c r="J632" s="33" t="s">
        <v>10</v>
      </c>
      <c r="K632" s="33"/>
    </row>
    <row r="633" spans="1:11" x14ac:dyDescent="0.2">
      <c r="A633" s="35" t="s">
        <v>779</v>
      </c>
      <c r="B633" s="35">
        <v>3968.2398690090499</v>
      </c>
      <c r="C633" s="35">
        <v>5.1105490817663197</v>
      </c>
      <c r="D633" s="35">
        <v>0.96347453675067196</v>
      </c>
      <c r="E633" s="35">
        <v>5.3042907589459602</v>
      </c>
      <c r="F633" s="40">
        <v>1.1311190159449201E-7</v>
      </c>
      <c r="G633" s="40">
        <v>3.22692096406002E-5</v>
      </c>
      <c r="H633" s="29" t="s">
        <v>10</v>
      </c>
      <c r="I633" s="29" t="s">
        <v>10</v>
      </c>
      <c r="J633" s="33" t="s">
        <v>10</v>
      </c>
      <c r="K633" s="33"/>
    </row>
    <row r="634" spans="1:11" x14ac:dyDescent="0.2">
      <c r="A634" s="35" t="s">
        <v>782</v>
      </c>
      <c r="B634" s="35">
        <v>1331.88434831973</v>
      </c>
      <c r="C634" s="35">
        <v>7.0390314164553898</v>
      </c>
      <c r="D634" s="35">
        <v>1.32996178523871</v>
      </c>
      <c r="E634" s="35">
        <v>5.2926568978009998</v>
      </c>
      <c r="F634" s="40">
        <v>1.2055196474039299E-7</v>
      </c>
      <c r="G634" s="40">
        <v>3.3862650709912997E-5</v>
      </c>
      <c r="H634" s="33" t="str">
        <f>VLOOKUP(A634,TableS5!A:J,8,FALSE)</f>
        <v>K01637</v>
      </c>
      <c r="I634" s="24" t="s">
        <v>3966</v>
      </c>
      <c r="J634" s="33" t="s">
        <v>10</v>
      </c>
      <c r="K634" s="33"/>
    </row>
    <row r="635" spans="1:11" x14ac:dyDescent="0.2">
      <c r="A635" s="35" t="s">
        <v>785</v>
      </c>
      <c r="B635" s="35">
        <v>106.726239727058</v>
      </c>
      <c r="C635" s="35">
        <v>4.0628561490916901</v>
      </c>
      <c r="D635" s="35">
        <v>0.767970782580914</v>
      </c>
      <c r="E635" s="35">
        <v>5.29037854205556</v>
      </c>
      <c r="F635" s="40">
        <v>1.2206345965909899E-7</v>
      </c>
      <c r="G635" s="40">
        <v>3.4097842997323899E-5</v>
      </c>
      <c r="H635" s="24" t="s">
        <v>10</v>
      </c>
      <c r="I635" s="24" t="s">
        <v>10</v>
      </c>
      <c r="J635" s="33" t="s">
        <v>10</v>
      </c>
      <c r="K635" s="33"/>
    </row>
    <row r="636" spans="1:11" x14ac:dyDescent="0.2">
      <c r="A636" s="35" t="s">
        <v>788</v>
      </c>
      <c r="B636" s="35">
        <v>761.57012261103296</v>
      </c>
      <c r="C636" s="35">
        <v>2.2214963147077</v>
      </c>
      <c r="D636" s="35">
        <v>0.42027571097361099</v>
      </c>
      <c r="E636" s="35">
        <v>5.28580704690589</v>
      </c>
      <c r="F636" s="40">
        <v>1.2515175818618899E-7</v>
      </c>
      <c r="G636" s="40">
        <v>3.4667440732923503E-5</v>
      </c>
      <c r="H636" s="29" t="s">
        <v>10</v>
      </c>
      <c r="I636" s="29" t="s">
        <v>4205</v>
      </c>
      <c r="J636" s="33" t="s">
        <v>10</v>
      </c>
      <c r="K636" s="33"/>
    </row>
    <row r="637" spans="1:11" x14ac:dyDescent="0.2">
      <c r="A637" s="35" t="s">
        <v>790</v>
      </c>
      <c r="B637" s="35">
        <v>315.25959798444001</v>
      </c>
      <c r="C637" s="35">
        <v>2.4003111805478401</v>
      </c>
      <c r="D637" s="35">
        <v>0.45538444938232298</v>
      </c>
      <c r="E637" s="35">
        <v>5.2709555273650404</v>
      </c>
      <c r="F637" s="40">
        <v>1.3571535401214601E-7</v>
      </c>
      <c r="G637" s="40">
        <v>3.7114691606296298E-5</v>
      </c>
      <c r="H637" s="29" t="s">
        <v>10</v>
      </c>
      <c r="I637" s="24" t="s">
        <v>3121</v>
      </c>
      <c r="J637" s="33" t="s">
        <v>10</v>
      </c>
      <c r="K637" s="33"/>
    </row>
    <row r="638" spans="1:11" x14ac:dyDescent="0.2">
      <c r="A638" s="35" t="s">
        <v>794</v>
      </c>
      <c r="B638" s="35">
        <v>684.039716180455</v>
      </c>
      <c r="C638" s="35">
        <v>4.2542736886131696</v>
      </c>
      <c r="D638" s="35">
        <v>0.80786006142752098</v>
      </c>
      <c r="E638" s="35">
        <v>5.2661022517881397</v>
      </c>
      <c r="F638" s="40">
        <v>1.3935068800456701E-7</v>
      </c>
      <c r="G638" s="40">
        <v>3.7629506068050701E-5</v>
      </c>
      <c r="H638" s="24" t="s">
        <v>10</v>
      </c>
      <c r="I638" s="24" t="s">
        <v>10</v>
      </c>
      <c r="J638" s="33" t="s">
        <v>10</v>
      </c>
      <c r="K638" s="33"/>
    </row>
    <row r="639" spans="1:11" x14ac:dyDescent="0.2">
      <c r="A639" s="35" t="s">
        <v>798</v>
      </c>
      <c r="B639" s="35">
        <v>54.3547495800306</v>
      </c>
      <c r="C639" s="35">
        <v>2.54358521861423</v>
      </c>
      <c r="D639" s="35">
        <v>0.48314194246200098</v>
      </c>
      <c r="E639" s="35">
        <v>5.2646748192727699</v>
      </c>
      <c r="F639" s="40">
        <v>1.40437708698761E-7</v>
      </c>
      <c r="G639" s="40">
        <v>3.7804158256022903E-5</v>
      </c>
      <c r="H639" s="24" t="s">
        <v>10</v>
      </c>
      <c r="I639" s="24" t="s">
        <v>10</v>
      </c>
      <c r="J639" s="33" t="s">
        <v>10</v>
      </c>
      <c r="K639" s="33"/>
    </row>
    <row r="640" spans="1:11" x14ac:dyDescent="0.2">
      <c r="A640" s="35" t="s">
        <v>801</v>
      </c>
      <c r="B640" s="35">
        <v>87.600590841937802</v>
      </c>
      <c r="C640" s="35">
        <v>2.87763705392786</v>
      </c>
      <c r="D640" s="35">
        <v>0.54686651762121397</v>
      </c>
      <c r="E640" s="35">
        <v>5.2620465162964196</v>
      </c>
      <c r="F640" s="40">
        <v>1.4246071063130999E-7</v>
      </c>
      <c r="G640" s="40">
        <v>3.8228886508191299E-5</v>
      </c>
      <c r="H640" s="24" t="s">
        <v>10</v>
      </c>
      <c r="I640" s="24" t="s">
        <v>10</v>
      </c>
      <c r="J640" s="33" t="s">
        <v>10</v>
      </c>
      <c r="K640" s="33"/>
    </row>
    <row r="641" spans="1:11" x14ac:dyDescent="0.2">
      <c r="A641" s="35" t="s">
        <v>804</v>
      </c>
      <c r="B641" s="35">
        <v>1063.81619635015</v>
      </c>
      <c r="C641" s="35">
        <v>2.99060581068992</v>
      </c>
      <c r="D641" s="35">
        <v>0.56857421559330601</v>
      </c>
      <c r="E641" s="35">
        <v>5.2598336833991599</v>
      </c>
      <c r="F641" s="40">
        <v>1.44185755101113E-7</v>
      </c>
      <c r="G641" s="40">
        <v>3.8451475081638798E-5</v>
      </c>
      <c r="H641" s="33" t="str">
        <f>VLOOKUP(A641,TableS5!A:J,8,FALSE)</f>
        <v>K05155</v>
      </c>
      <c r="I641" s="24" t="s">
        <v>10</v>
      </c>
      <c r="J641" s="33" t="s">
        <v>10</v>
      </c>
      <c r="K641" s="33"/>
    </row>
    <row r="642" spans="1:11" x14ac:dyDescent="0.2">
      <c r="A642" s="35" t="s">
        <v>811</v>
      </c>
      <c r="B642" s="35">
        <v>130.21589628431099</v>
      </c>
      <c r="C642" s="35">
        <v>3.30499074703829</v>
      </c>
      <c r="D642" s="35">
        <v>0.62908327598015101</v>
      </c>
      <c r="E642" s="35">
        <v>5.2536617539051802</v>
      </c>
      <c r="F642" s="40">
        <v>1.4910460478677799E-7</v>
      </c>
      <c r="G642" s="40">
        <v>3.9517782461868601E-5</v>
      </c>
      <c r="H642" s="33" t="str">
        <f>VLOOKUP(A642,TableS5!A:J,8,FALSE)</f>
        <v>K05121</v>
      </c>
      <c r="I642" s="33" t="str">
        <f>VLOOKUP(A642,TableS5!A:J,9,FALSE)</f>
        <v xml:space="preserve"> angiopoietin-1 receptor-like </v>
      </c>
      <c r="J642" s="33" t="s">
        <v>10</v>
      </c>
      <c r="K642" s="33"/>
    </row>
    <row r="643" spans="1:11" x14ac:dyDescent="0.2">
      <c r="A643" s="35" t="s">
        <v>816</v>
      </c>
      <c r="B643" s="35">
        <v>2375.78733792</v>
      </c>
      <c r="C643" s="35">
        <v>2.1920130540052001</v>
      </c>
      <c r="D643" s="35">
        <v>0.418318045696639</v>
      </c>
      <c r="E643" s="35">
        <v>5.2400633359117101</v>
      </c>
      <c r="F643" s="40">
        <v>1.6052149414164599E-7</v>
      </c>
      <c r="G643" s="40">
        <v>4.20248208031624E-5</v>
      </c>
      <c r="H643" s="24" t="s">
        <v>10</v>
      </c>
      <c r="I643" s="24" t="s">
        <v>10</v>
      </c>
      <c r="J643" s="33" t="s">
        <v>10</v>
      </c>
      <c r="K643" s="33"/>
    </row>
    <row r="644" spans="1:11" x14ac:dyDescent="0.2">
      <c r="A644" s="35" t="s">
        <v>822</v>
      </c>
      <c r="B644" s="35">
        <v>2058.3527445741001</v>
      </c>
      <c r="C644" s="35">
        <v>2.7466861870877701</v>
      </c>
      <c r="D644" s="35">
        <v>0.52438101671238402</v>
      </c>
      <c r="E644" s="35">
        <v>5.2379588496703597</v>
      </c>
      <c r="F644" s="40">
        <v>1.6236225103489899E-7</v>
      </c>
      <c r="G644" s="40">
        <v>4.2377534524674202E-5</v>
      </c>
      <c r="H644" s="33" t="str">
        <f>VLOOKUP(A644,TableS5!A:J,8,FALSE)</f>
        <v>K00830</v>
      </c>
      <c r="I644" s="33" t="str">
        <f>VLOOKUP(A644,TableS5!A:J,9,FALSE)</f>
        <v>serine--pyruvate aminotransferase-like</v>
      </c>
      <c r="J644" s="33" t="s">
        <v>10</v>
      </c>
      <c r="K644" s="33"/>
    </row>
    <row r="645" spans="1:11" x14ac:dyDescent="0.2">
      <c r="A645" s="35" t="s">
        <v>827</v>
      </c>
      <c r="B645" s="35">
        <v>265.05603672053201</v>
      </c>
      <c r="C645" s="35">
        <v>2.3857432828898499</v>
      </c>
      <c r="D645" s="35">
        <v>0.45576494572760401</v>
      </c>
      <c r="E645" s="35">
        <v>5.2345914385344896</v>
      </c>
      <c r="F645" s="40">
        <v>1.6535020014376801E-7</v>
      </c>
      <c r="G645" s="40">
        <v>4.2896637572644999E-5</v>
      </c>
      <c r="H645" s="24" t="s">
        <v>10</v>
      </c>
      <c r="I645" s="24" t="s">
        <v>10</v>
      </c>
      <c r="J645" s="33" t="s">
        <v>10</v>
      </c>
      <c r="K645" s="33"/>
    </row>
    <row r="646" spans="1:11" x14ac:dyDescent="0.2">
      <c r="A646" s="35" t="s">
        <v>831</v>
      </c>
      <c r="B646" s="35">
        <v>199.65692518122</v>
      </c>
      <c r="C646" s="35">
        <v>2.4205769863659401</v>
      </c>
      <c r="D646" s="35">
        <v>0.46247746384427901</v>
      </c>
      <c r="E646" s="35">
        <v>5.2339350035463896</v>
      </c>
      <c r="F646" s="40">
        <v>1.6593882414190101E-7</v>
      </c>
      <c r="G646" s="40">
        <v>4.2919677011714397E-5</v>
      </c>
      <c r="H646" s="24" t="s">
        <v>10</v>
      </c>
      <c r="I646" s="24" t="s">
        <v>10</v>
      </c>
      <c r="J646" s="33" t="s">
        <v>10</v>
      </c>
      <c r="K646" s="33"/>
    </row>
    <row r="647" spans="1:11" x14ac:dyDescent="0.2">
      <c r="A647" s="35" t="s">
        <v>836</v>
      </c>
      <c r="B647" s="35">
        <v>39.430898296105902</v>
      </c>
      <c r="C647" s="35">
        <v>6.6453936037949797</v>
      </c>
      <c r="D647" s="35">
        <v>1.2698497546352301</v>
      </c>
      <c r="E647" s="35">
        <v>5.2332124958388597</v>
      </c>
      <c r="F647" s="40">
        <v>1.6658903764182999E-7</v>
      </c>
      <c r="G647" s="40">
        <v>4.2958460214239003E-5</v>
      </c>
      <c r="H647" s="24" t="s">
        <v>10</v>
      </c>
      <c r="I647" s="33" t="str">
        <f>VLOOKUP(A647,TableS5!A:J,9,FALSE)</f>
        <v>blastula protease 10-like</v>
      </c>
      <c r="J647" s="33" t="s">
        <v>10</v>
      </c>
      <c r="K647" s="33"/>
    </row>
    <row r="648" spans="1:11" x14ac:dyDescent="0.2">
      <c r="A648" s="35" t="s">
        <v>841</v>
      </c>
      <c r="B648" s="35">
        <v>51279.145587646897</v>
      </c>
      <c r="C648" s="35">
        <v>2.5366770194391401</v>
      </c>
      <c r="D648" s="35">
        <v>0.48507189875259898</v>
      </c>
      <c r="E648" s="35">
        <v>5.2294866512828397</v>
      </c>
      <c r="F648" s="40">
        <v>1.6998137384146799E-7</v>
      </c>
      <c r="G648" s="40">
        <v>4.3571553889972198E-5</v>
      </c>
      <c r="H648" s="24" t="s">
        <v>844</v>
      </c>
      <c r="I648" s="29" t="s">
        <v>4206</v>
      </c>
      <c r="J648" s="33" t="s">
        <v>4095</v>
      </c>
      <c r="K648" s="33"/>
    </row>
    <row r="649" spans="1:11" x14ac:dyDescent="0.2">
      <c r="A649" s="35" t="s">
        <v>847</v>
      </c>
      <c r="B649" s="35">
        <v>354.48082313331003</v>
      </c>
      <c r="C649" s="35">
        <v>8.1110169174148297</v>
      </c>
      <c r="D649" s="35">
        <v>1.5514961733422099</v>
      </c>
      <c r="E649" s="35">
        <v>5.2278678199651702</v>
      </c>
      <c r="F649" s="40">
        <v>1.7147602635026399E-7</v>
      </c>
      <c r="G649" s="40">
        <v>4.3823862674772299E-5</v>
      </c>
      <c r="H649" s="33" t="str">
        <f>VLOOKUP(A649,TableS5!A:J,8,FALSE)</f>
        <v>K00273</v>
      </c>
      <c r="I649" s="24" t="s">
        <v>3935</v>
      </c>
      <c r="J649" s="30" t="s">
        <v>10</v>
      </c>
      <c r="K649" s="33"/>
    </row>
    <row r="650" spans="1:11" x14ac:dyDescent="0.2">
      <c r="A650" s="35" t="s">
        <v>852</v>
      </c>
      <c r="B650" s="35">
        <v>29.168238157515098</v>
      </c>
      <c r="C650" s="35">
        <v>5.1743185909398202</v>
      </c>
      <c r="D650" s="35">
        <v>0.99113854721663297</v>
      </c>
      <c r="E650" s="35">
        <v>5.22058051870812</v>
      </c>
      <c r="F650" s="40">
        <v>1.7836313653720599E-7</v>
      </c>
      <c r="G650" s="40">
        <v>4.5314263010610598E-5</v>
      </c>
      <c r="H650" s="24" t="s">
        <v>10</v>
      </c>
      <c r="I650" s="24" t="s">
        <v>10</v>
      </c>
      <c r="J650" s="33" t="s">
        <v>10</v>
      </c>
      <c r="K650" s="33"/>
    </row>
    <row r="651" spans="1:11" x14ac:dyDescent="0.2">
      <c r="A651" s="35" t="s">
        <v>855</v>
      </c>
      <c r="B651" s="35">
        <v>368.11997653690798</v>
      </c>
      <c r="C651" s="35">
        <v>2.3114206874308101</v>
      </c>
      <c r="D651" s="35">
        <v>0.44314705500436102</v>
      </c>
      <c r="E651" s="35">
        <v>5.2159224829059498</v>
      </c>
      <c r="F651" s="40">
        <v>1.8290465951478199E-7</v>
      </c>
      <c r="G651" s="40">
        <v>4.6330991201161702E-5</v>
      </c>
      <c r="H651" s="33" t="str">
        <f>VLOOKUP(A651,TableS5!A:J,8,FALSE)</f>
        <v>K02583</v>
      </c>
      <c r="I651" s="24" t="s">
        <v>606</v>
      </c>
      <c r="J651" s="30" t="s">
        <v>10</v>
      </c>
      <c r="K651" s="33"/>
    </row>
    <row r="652" spans="1:11" x14ac:dyDescent="0.2">
      <c r="A652" s="35" t="s">
        <v>857</v>
      </c>
      <c r="B652" s="35">
        <v>423.23268554636201</v>
      </c>
      <c r="C652" s="35">
        <v>3.6969572049719202</v>
      </c>
      <c r="D652" s="35">
        <v>0.70955982615941204</v>
      </c>
      <c r="E652" s="35">
        <v>5.2102121183807704</v>
      </c>
      <c r="F652" s="40">
        <v>1.88624851054223E-7</v>
      </c>
      <c r="G652" s="40">
        <v>4.76394252496387E-5</v>
      </c>
      <c r="H652" s="24" t="s">
        <v>4144</v>
      </c>
      <c r="I652" s="29" t="s">
        <v>4207</v>
      </c>
      <c r="J652" s="33" t="s">
        <v>4062</v>
      </c>
      <c r="K652" s="33"/>
    </row>
    <row r="653" spans="1:11" x14ac:dyDescent="0.2">
      <c r="A653" s="35" t="s">
        <v>863</v>
      </c>
      <c r="B653" s="35">
        <v>325.15696376667898</v>
      </c>
      <c r="C653" s="35">
        <v>2.51943606780311</v>
      </c>
      <c r="D653" s="35">
        <v>0.48385871174566297</v>
      </c>
      <c r="E653" s="35">
        <v>5.2069664276860896</v>
      </c>
      <c r="F653" s="40">
        <v>1.91952805195821E-7</v>
      </c>
      <c r="G653" s="40">
        <v>4.8196430804006899E-5</v>
      </c>
      <c r="H653" s="33" t="str">
        <f>VLOOKUP(A653,TableS5!A:J,8,FALSE)</f>
        <v>K03068</v>
      </c>
      <c r="I653" s="33" t="str">
        <f>VLOOKUP(A653,TableS5!A:J,9,FALSE)</f>
        <v>putative prolow-density lipoprotein receptor-related protein 1-like</v>
      </c>
      <c r="J653" s="33" t="s">
        <v>10</v>
      </c>
      <c r="K653" s="33"/>
    </row>
    <row r="654" spans="1:11" x14ac:dyDescent="0.2">
      <c r="A654" s="35" t="s">
        <v>869</v>
      </c>
      <c r="B654" s="35">
        <v>483.14655283532602</v>
      </c>
      <c r="C654" s="35">
        <v>6.8449882634653596</v>
      </c>
      <c r="D654" s="35">
        <v>1.3147819678791399</v>
      </c>
      <c r="E654" s="35">
        <v>5.2061774732938604</v>
      </c>
      <c r="F654" s="40">
        <v>1.92770290281906E-7</v>
      </c>
      <c r="G654" s="40">
        <v>4.8260576083957998E-5</v>
      </c>
      <c r="H654" s="24" t="s">
        <v>850</v>
      </c>
      <c r="I654" s="29" t="s">
        <v>4208</v>
      </c>
      <c r="J654" s="30" t="s">
        <v>10</v>
      </c>
      <c r="K654" s="33"/>
    </row>
    <row r="655" spans="1:11" x14ac:dyDescent="0.2">
      <c r="A655" s="35" t="s">
        <v>873</v>
      </c>
      <c r="B655" s="35">
        <v>41.824731993861299</v>
      </c>
      <c r="C655" s="35">
        <v>2.8029530266486198</v>
      </c>
      <c r="D655" s="35">
        <v>0.53909549477876795</v>
      </c>
      <c r="E655" s="35">
        <v>5.1993627359080197</v>
      </c>
      <c r="F655" s="40">
        <v>1.9997293872402701E-7</v>
      </c>
      <c r="G655" s="40">
        <v>4.9074130993086703E-5</v>
      </c>
      <c r="H655" s="24" t="s">
        <v>10</v>
      </c>
      <c r="I655" s="33" t="str">
        <f>VLOOKUP(A655,TableS5!A:J,9,FALSE)</f>
        <v>sushi domain-containing protein 2-like</v>
      </c>
      <c r="J655" s="33" t="s">
        <v>10</v>
      </c>
      <c r="K655" s="33"/>
    </row>
    <row r="656" spans="1:11" x14ac:dyDescent="0.2">
      <c r="A656" s="35" t="s">
        <v>879</v>
      </c>
      <c r="B656" s="35">
        <v>91.781302925491403</v>
      </c>
      <c r="C656" s="35">
        <v>4.3911542453792904</v>
      </c>
      <c r="D656" s="35">
        <v>0.84472774852614496</v>
      </c>
      <c r="E656" s="35">
        <v>5.19830709129758</v>
      </c>
      <c r="F656" s="40">
        <v>2.01111687130144E-7</v>
      </c>
      <c r="G656" s="40">
        <v>4.9074130993086703E-5</v>
      </c>
      <c r="H656" s="24" t="s">
        <v>10</v>
      </c>
      <c r="I656" s="24" t="s">
        <v>10</v>
      </c>
      <c r="J656" s="33" t="s">
        <v>10</v>
      </c>
      <c r="K656" s="33"/>
    </row>
    <row r="657" spans="1:11" x14ac:dyDescent="0.2">
      <c r="A657" s="35" t="s">
        <v>882</v>
      </c>
      <c r="B657" s="35">
        <v>37.656610471469797</v>
      </c>
      <c r="C657" s="35">
        <v>5.5338698108539699</v>
      </c>
      <c r="D657" s="35">
        <v>1.0645674186337799</v>
      </c>
      <c r="E657" s="35">
        <v>5.1982333049003797</v>
      </c>
      <c r="F657" s="40">
        <v>2.0119151614873201E-7</v>
      </c>
      <c r="G657" s="40">
        <v>4.9074130993086703E-5</v>
      </c>
      <c r="H657" s="24" t="s">
        <v>10</v>
      </c>
      <c r="I657" s="24" t="s">
        <v>10</v>
      </c>
      <c r="J657" s="33" t="s">
        <v>10</v>
      </c>
      <c r="K657" s="33"/>
    </row>
    <row r="658" spans="1:11" x14ac:dyDescent="0.2">
      <c r="A658" s="35" t="s">
        <v>885</v>
      </c>
      <c r="B658" s="35">
        <v>3432.0991972512602</v>
      </c>
      <c r="C658" s="35">
        <v>2.0080461755000698</v>
      </c>
      <c r="D658" s="35">
        <v>0.38629666048256101</v>
      </c>
      <c r="E658" s="35">
        <v>5.1981970876777002</v>
      </c>
      <c r="F658" s="40">
        <v>2.01230710528512E-7</v>
      </c>
      <c r="G658" s="40">
        <v>4.9074130993086703E-5</v>
      </c>
      <c r="H658" s="24" t="s">
        <v>10</v>
      </c>
      <c r="I658" s="24" t="s">
        <v>10</v>
      </c>
      <c r="J658" s="33" t="s">
        <v>10</v>
      </c>
      <c r="K658" s="33"/>
    </row>
    <row r="659" spans="1:11" x14ac:dyDescent="0.2">
      <c r="A659" s="35" t="s">
        <v>888</v>
      </c>
      <c r="B659" s="35">
        <v>489.46930012724602</v>
      </c>
      <c r="C659" s="35">
        <v>3.2653594761916298</v>
      </c>
      <c r="D659" s="35">
        <v>0.62818334830259703</v>
      </c>
      <c r="E659" s="35">
        <v>5.1980993845425898</v>
      </c>
      <c r="F659" s="40">
        <v>2.01336481945388E-7</v>
      </c>
      <c r="G659" s="40">
        <v>4.9074130993086703E-5</v>
      </c>
      <c r="H659" s="24" t="s">
        <v>1147</v>
      </c>
      <c r="I659" s="29" t="s">
        <v>4207</v>
      </c>
      <c r="J659" s="33" t="s">
        <v>4062</v>
      </c>
      <c r="K659" s="33"/>
    </row>
    <row r="660" spans="1:11" x14ac:dyDescent="0.2">
      <c r="A660" s="35" t="s">
        <v>892</v>
      </c>
      <c r="B660" s="35">
        <v>70.158152306103901</v>
      </c>
      <c r="C660" s="35">
        <v>3.5769851574674498</v>
      </c>
      <c r="D660" s="35">
        <v>0.68850398873101704</v>
      </c>
      <c r="E660" s="35">
        <v>5.1953005589120904</v>
      </c>
      <c r="F660" s="40">
        <v>2.0438935247975999E-7</v>
      </c>
      <c r="G660" s="40">
        <v>4.9579429623699098E-5</v>
      </c>
      <c r="H660" s="24" t="s">
        <v>10</v>
      </c>
      <c r="I660" s="33" t="str">
        <f>VLOOKUP(A660,TableS5!A:J,9,FALSE)</f>
        <v xml:space="preserve"> D-amino-acid oxidase-like, partial </v>
      </c>
      <c r="J660" s="33" t="s">
        <v>10</v>
      </c>
      <c r="K660" s="33"/>
    </row>
    <row r="661" spans="1:11" x14ac:dyDescent="0.2">
      <c r="A661" s="35" t="s">
        <v>896</v>
      </c>
      <c r="B661" s="35">
        <v>59.988609995569199</v>
      </c>
      <c r="C661" s="35">
        <v>3.5072540913796799</v>
      </c>
      <c r="D661" s="35">
        <v>0.67526990141320598</v>
      </c>
      <c r="E661" s="35">
        <v>5.1938552037336301</v>
      </c>
      <c r="F661" s="40">
        <v>2.0598336888800701E-7</v>
      </c>
      <c r="G661" s="40">
        <v>4.9762328588054399E-5</v>
      </c>
      <c r="H661" s="24" t="s">
        <v>10</v>
      </c>
      <c r="I661" s="24" t="s">
        <v>10</v>
      </c>
      <c r="J661" s="33" t="s">
        <v>10</v>
      </c>
      <c r="K661" s="33"/>
    </row>
    <row r="662" spans="1:11" x14ac:dyDescent="0.2">
      <c r="A662" s="35" t="s">
        <v>899</v>
      </c>
      <c r="B662" s="35">
        <v>62.714232488476803</v>
      </c>
      <c r="C662" s="35">
        <v>2.7735584809229299</v>
      </c>
      <c r="D662" s="35">
        <v>0.53403726882315905</v>
      </c>
      <c r="E662" s="35">
        <v>5.1935672711287202</v>
      </c>
      <c r="F662" s="40">
        <v>2.0630234860834701E-7</v>
      </c>
      <c r="G662" s="40">
        <v>4.9762328588054399E-5</v>
      </c>
      <c r="H662" s="24" t="s">
        <v>10</v>
      </c>
      <c r="I662" s="24" t="s">
        <v>10</v>
      </c>
      <c r="J662" s="33" t="s">
        <v>10</v>
      </c>
      <c r="K662" s="33"/>
    </row>
    <row r="663" spans="1:11" x14ac:dyDescent="0.2">
      <c r="A663" s="35" t="s">
        <v>901</v>
      </c>
      <c r="B663" s="35">
        <v>861.13677823306102</v>
      </c>
      <c r="C663" s="35">
        <v>7.2547942349203201</v>
      </c>
      <c r="D663" s="35">
        <v>1.3972972347223001</v>
      </c>
      <c r="E663" s="35">
        <v>5.1920193174662401</v>
      </c>
      <c r="F663" s="40">
        <v>2.0802541336403999E-7</v>
      </c>
      <c r="G663" s="40">
        <v>4.9897626455260998E-5</v>
      </c>
      <c r="H663" s="24" t="s">
        <v>850</v>
      </c>
      <c r="I663" s="29" t="s">
        <v>4208</v>
      </c>
      <c r="J663" s="30" t="s">
        <v>10</v>
      </c>
      <c r="K663" s="33"/>
    </row>
    <row r="664" spans="1:11" x14ac:dyDescent="0.2">
      <c r="A664" s="35" t="s">
        <v>904</v>
      </c>
      <c r="B664" s="35">
        <v>194.886508552572</v>
      </c>
      <c r="C664" s="35">
        <v>2.9496256807911201</v>
      </c>
      <c r="D664" s="35">
        <v>0.56874365785974101</v>
      </c>
      <c r="E664" s="35">
        <v>5.1862128746911402</v>
      </c>
      <c r="F664" s="40">
        <v>2.1461348589444099E-7</v>
      </c>
      <c r="G664" s="40">
        <v>5.1050068274907301E-5</v>
      </c>
      <c r="H664" s="24" t="s">
        <v>411</v>
      </c>
      <c r="I664" s="24" t="s">
        <v>3143</v>
      </c>
      <c r="J664" s="30" t="s">
        <v>10</v>
      </c>
      <c r="K664" s="33"/>
    </row>
    <row r="665" spans="1:11" x14ac:dyDescent="0.2">
      <c r="A665" s="35" t="s">
        <v>907</v>
      </c>
      <c r="B665" s="35">
        <v>89.875014584157896</v>
      </c>
      <c r="C665" s="35">
        <v>2.2662674227888</v>
      </c>
      <c r="D665" s="35">
        <v>0.437202817447224</v>
      </c>
      <c r="E665" s="35">
        <v>5.1835608837593297</v>
      </c>
      <c r="F665" s="40">
        <v>2.17689121152586E-7</v>
      </c>
      <c r="G665" s="40">
        <v>5.1638625752745101E-5</v>
      </c>
      <c r="H665" s="24" t="s">
        <v>10</v>
      </c>
      <c r="I665" s="24" t="s">
        <v>10</v>
      </c>
      <c r="J665" s="33" t="s">
        <v>10</v>
      </c>
      <c r="K665" s="33"/>
    </row>
    <row r="666" spans="1:11" x14ac:dyDescent="0.2">
      <c r="A666" s="35" t="s">
        <v>912</v>
      </c>
      <c r="B666" s="35">
        <v>327.45601251223599</v>
      </c>
      <c r="C666" s="35">
        <v>4.5394230923732097</v>
      </c>
      <c r="D666" s="35">
        <v>0.87583871429551896</v>
      </c>
      <c r="E666" s="35">
        <v>5.1829440949347498</v>
      </c>
      <c r="F666" s="40">
        <v>2.18410520695502E-7</v>
      </c>
      <c r="G666" s="40">
        <v>5.1667024304802899E-5</v>
      </c>
      <c r="H666" s="24" t="s">
        <v>10</v>
      </c>
      <c r="I666" s="24" t="s">
        <v>10</v>
      </c>
      <c r="J666" s="33" t="s">
        <v>10</v>
      </c>
      <c r="K666" s="33"/>
    </row>
    <row r="667" spans="1:11" x14ac:dyDescent="0.2">
      <c r="A667" s="35" t="s">
        <v>914</v>
      </c>
      <c r="B667" s="35">
        <v>1407.12577258848</v>
      </c>
      <c r="C667" s="35">
        <v>2.3353174244891099</v>
      </c>
      <c r="D667" s="35">
        <v>0.45079507169209698</v>
      </c>
      <c r="E667" s="35">
        <v>5.1804413382854797</v>
      </c>
      <c r="F667" s="40">
        <v>2.2136153525981799E-7</v>
      </c>
      <c r="G667" s="40">
        <v>5.2005148261993402E-5</v>
      </c>
      <c r="H667" s="24" t="s">
        <v>10</v>
      </c>
      <c r="I667" s="33" t="str">
        <f>VLOOKUP(A667,TableS5!A:J,9,FALSE)</f>
        <v>tRNA-dihydrouridine(16/17) synthase [NAD(P)(+)]-like</v>
      </c>
      <c r="J667" s="33" t="s">
        <v>10</v>
      </c>
      <c r="K667" s="33"/>
    </row>
    <row r="668" spans="1:11" x14ac:dyDescent="0.2">
      <c r="A668" s="35" t="s">
        <v>918</v>
      </c>
      <c r="B668" s="35">
        <v>2763.0607256154099</v>
      </c>
      <c r="C668" s="35">
        <v>2.4997431451751599</v>
      </c>
      <c r="D668" s="35">
        <v>0.48255793891853399</v>
      </c>
      <c r="E668" s="35">
        <v>5.1801927676857904</v>
      </c>
      <c r="F668" s="40">
        <v>2.2165672070768401E-7</v>
      </c>
      <c r="G668" s="40">
        <v>5.2005148261993402E-5</v>
      </c>
      <c r="H668" s="24" t="s">
        <v>4145</v>
      </c>
      <c r="I668" s="24" t="s">
        <v>3967</v>
      </c>
      <c r="J668" s="33" t="s">
        <v>4076</v>
      </c>
      <c r="K668" s="33"/>
    </row>
    <row r="669" spans="1:11" x14ac:dyDescent="0.2">
      <c r="A669" s="35" t="s">
        <v>920</v>
      </c>
      <c r="B669" s="35">
        <v>1875.2899459759201</v>
      </c>
      <c r="C669" s="35">
        <v>2.2843435882090399</v>
      </c>
      <c r="D669" s="35">
        <v>0.44138301659521501</v>
      </c>
      <c r="E669" s="35">
        <v>5.1754224841504799</v>
      </c>
      <c r="F669" s="40">
        <v>2.2739582708965199E-7</v>
      </c>
      <c r="G669" s="40">
        <v>5.3061703989172498E-5</v>
      </c>
      <c r="H669" s="24" t="s">
        <v>923</v>
      </c>
      <c r="I669" s="24" t="s">
        <v>4001</v>
      </c>
      <c r="J669" s="33" t="s">
        <v>4097</v>
      </c>
      <c r="K669" s="33"/>
    </row>
    <row r="670" spans="1:11" x14ac:dyDescent="0.2">
      <c r="A670" s="35" t="s">
        <v>924</v>
      </c>
      <c r="B670" s="35">
        <v>2402.2847930088801</v>
      </c>
      <c r="C670" s="35">
        <v>2.7110704472456799</v>
      </c>
      <c r="D670" s="35">
        <v>0.52559243379975795</v>
      </c>
      <c r="E670" s="35">
        <v>5.1581230491581902</v>
      </c>
      <c r="F670" s="40">
        <v>2.4943767939217301E-7</v>
      </c>
      <c r="G670" s="40">
        <v>5.7370548275541702E-5</v>
      </c>
      <c r="H670" s="24" t="s">
        <v>3879</v>
      </c>
      <c r="I670" s="29" t="s">
        <v>4209</v>
      </c>
      <c r="J670" s="33" t="s">
        <v>4106</v>
      </c>
      <c r="K670" s="33"/>
    </row>
    <row r="671" spans="1:11" x14ac:dyDescent="0.2">
      <c r="A671" s="35" t="s">
        <v>926</v>
      </c>
      <c r="B671" s="35">
        <v>764.954879854664</v>
      </c>
      <c r="C671" s="35">
        <v>7.1148996424711397</v>
      </c>
      <c r="D671" s="35">
        <v>1.3794449908608499</v>
      </c>
      <c r="E671" s="35">
        <v>5.1577987448640998</v>
      </c>
      <c r="F671" s="40">
        <v>2.4986998002879402E-7</v>
      </c>
      <c r="G671" s="40">
        <v>5.7370548275541702E-5</v>
      </c>
      <c r="H671" s="24" t="s">
        <v>4146</v>
      </c>
      <c r="I671" s="24" t="s">
        <v>3997</v>
      </c>
      <c r="J671" s="30" t="s">
        <v>10</v>
      </c>
      <c r="K671" s="33"/>
    </row>
    <row r="672" spans="1:11" x14ac:dyDescent="0.2">
      <c r="A672" s="35" t="s">
        <v>929</v>
      </c>
      <c r="B672" s="35">
        <v>183.574159494182</v>
      </c>
      <c r="C672" s="35">
        <v>5.8022289197266996</v>
      </c>
      <c r="D672" s="35">
        <v>1.1250907189533601</v>
      </c>
      <c r="E672" s="35">
        <v>5.1571209520991896</v>
      </c>
      <c r="F672" s="40">
        <v>2.5077582233481202E-7</v>
      </c>
      <c r="G672" s="40">
        <v>5.7424988372567097E-5</v>
      </c>
      <c r="H672" s="24" t="s">
        <v>10</v>
      </c>
      <c r="I672" s="24" t="s">
        <v>10</v>
      </c>
      <c r="J672" s="33" t="s">
        <v>10</v>
      </c>
      <c r="K672" s="33"/>
    </row>
    <row r="673" spans="1:11" x14ac:dyDescent="0.2">
      <c r="A673" s="35" t="s">
        <v>931</v>
      </c>
      <c r="B673" s="35">
        <v>2475.23099625755</v>
      </c>
      <c r="C673" s="35">
        <v>2.0018365381946199</v>
      </c>
      <c r="D673" s="35">
        <v>0.3882412325288</v>
      </c>
      <c r="E673" s="35">
        <v>5.1561667604331998</v>
      </c>
      <c r="F673" s="40">
        <v>2.52056438736725E-7</v>
      </c>
      <c r="G673" s="40">
        <v>5.7564729922237602E-5</v>
      </c>
      <c r="H673" s="24" t="s">
        <v>935</v>
      </c>
      <c r="I673" s="24" t="s">
        <v>3963</v>
      </c>
      <c r="J673" s="33" t="s">
        <v>4073</v>
      </c>
      <c r="K673" s="33"/>
    </row>
    <row r="674" spans="1:11" x14ac:dyDescent="0.2">
      <c r="A674" s="35" t="s">
        <v>938</v>
      </c>
      <c r="B674" s="35">
        <v>2359.2804820972601</v>
      </c>
      <c r="C674" s="35">
        <v>3.86817636420664</v>
      </c>
      <c r="D674" s="35">
        <v>0.75240784633298297</v>
      </c>
      <c r="E674" s="35">
        <v>5.1410632983946201</v>
      </c>
      <c r="F674" s="40">
        <v>2.7318799058508101E-7</v>
      </c>
      <c r="G674" s="40">
        <v>6.1571984093258594E-5</v>
      </c>
      <c r="H674" s="24" t="s">
        <v>10</v>
      </c>
      <c r="I674" s="24" t="s">
        <v>10</v>
      </c>
      <c r="J674" s="33" t="s">
        <v>10</v>
      </c>
      <c r="K674" s="33"/>
    </row>
    <row r="675" spans="1:11" x14ac:dyDescent="0.2">
      <c r="A675" s="35" t="s">
        <v>941</v>
      </c>
      <c r="B675" s="35">
        <v>339.17990574903899</v>
      </c>
      <c r="C675" s="35">
        <v>4.2216373035870696</v>
      </c>
      <c r="D675" s="35">
        <v>0.82297404331808</v>
      </c>
      <c r="E675" s="35">
        <v>5.1297332374739399</v>
      </c>
      <c r="F675" s="40">
        <v>2.9015306319187899E-7</v>
      </c>
      <c r="G675" s="40">
        <v>6.5224433741753503E-5</v>
      </c>
      <c r="H675" s="24" t="s">
        <v>10</v>
      </c>
      <c r="I675" s="24" t="s">
        <v>10</v>
      </c>
      <c r="J675" s="33" t="s">
        <v>10</v>
      </c>
      <c r="K675" s="33"/>
    </row>
    <row r="676" spans="1:11" x14ac:dyDescent="0.2">
      <c r="A676" s="35" t="s">
        <v>944</v>
      </c>
      <c r="B676" s="35">
        <v>33.720259524977003</v>
      </c>
      <c r="C676" s="35">
        <v>5.4498375330156099</v>
      </c>
      <c r="D676" s="35">
        <v>1.0629517832566999</v>
      </c>
      <c r="E676" s="35">
        <v>5.1270787808626999</v>
      </c>
      <c r="F676" s="40">
        <v>2.9427240132593301E-7</v>
      </c>
      <c r="G676" s="40">
        <v>6.5634974998075794E-5</v>
      </c>
      <c r="H676" s="24" t="s">
        <v>10</v>
      </c>
      <c r="I676" s="24" t="s">
        <v>10</v>
      </c>
      <c r="J676" s="33" t="s">
        <v>10</v>
      </c>
      <c r="K676" s="33"/>
    </row>
    <row r="677" spans="1:11" x14ac:dyDescent="0.2">
      <c r="A677" s="35" t="s">
        <v>947</v>
      </c>
      <c r="B677" s="35">
        <v>241.46761383833001</v>
      </c>
      <c r="C677" s="35">
        <v>3.1237737904824798</v>
      </c>
      <c r="D677" s="35">
        <v>0.60957731387799996</v>
      </c>
      <c r="E677" s="35">
        <v>5.12449154416477</v>
      </c>
      <c r="F677" s="40">
        <v>2.9834173749356399E-7</v>
      </c>
      <c r="G677" s="40">
        <v>6.6070653737967496E-5</v>
      </c>
      <c r="H677" s="24" t="s">
        <v>10</v>
      </c>
      <c r="I677" s="24" t="s">
        <v>10</v>
      </c>
      <c r="J677" s="33" t="s">
        <v>10</v>
      </c>
      <c r="K677" s="33"/>
    </row>
    <row r="678" spans="1:11" x14ac:dyDescent="0.2">
      <c r="A678" s="35" t="s">
        <v>953</v>
      </c>
      <c r="B678" s="35">
        <v>1084.76147498621</v>
      </c>
      <c r="C678" s="35">
        <v>2.7438005238882299</v>
      </c>
      <c r="D678" s="35">
        <v>0.535492204306937</v>
      </c>
      <c r="E678" s="35">
        <v>5.12388509453542</v>
      </c>
      <c r="F678" s="40">
        <v>2.9930342378765098E-7</v>
      </c>
      <c r="G678" s="40">
        <v>6.6070653737967496E-5</v>
      </c>
      <c r="H678" s="24" t="s">
        <v>379</v>
      </c>
      <c r="I678" s="29" t="s">
        <v>4197</v>
      </c>
      <c r="J678" s="33" t="s">
        <v>4041</v>
      </c>
      <c r="K678" s="33"/>
    </row>
    <row r="679" spans="1:11" x14ac:dyDescent="0.2">
      <c r="A679" s="35" t="s">
        <v>955</v>
      </c>
      <c r="B679" s="35">
        <v>211.107329121172</v>
      </c>
      <c r="C679" s="35">
        <v>3.14990635359338</v>
      </c>
      <c r="D679" s="35">
        <v>0.61677006376538002</v>
      </c>
      <c r="E679" s="35">
        <v>5.1070999366655503</v>
      </c>
      <c r="F679" s="40">
        <v>3.2714075131525399E-7</v>
      </c>
      <c r="G679" s="40">
        <v>7.14806703719903E-5</v>
      </c>
      <c r="H679" s="24" t="s">
        <v>10</v>
      </c>
      <c r="I679" s="33" t="str">
        <f>VLOOKUP(A679,TableS5!A:J,9,FALSE)</f>
        <v xml:space="preserve">putative RNA-directed DNA polymerase from transposon X-element </v>
      </c>
      <c r="J679" s="33" t="s">
        <v>10</v>
      </c>
      <c r="K679" s="33"/>
    </row>
    <row r="680" spans="1:11" x14ac:dyDescent="0.2">
      <c r="A680" s="35" t="s">
        <v>962</v>
      </c>
      <c r="B680" s="35">
        <v>101.72239761442501</v>
      </c>
      <c r="C680" s="35">
        <v>2.5406911269324599</v>
      </c>
      <c r="D680" s="35">
        <v>0.49891827024739699</v>
      </c>
      <c r="E680" s="35">
        <v>5.0923994538677002</v>
      </c>
      <c r="F680" s="40">
        <v>3.5356022103538698E-7</v>
      </c>
      <c r="G680" s="40">
        <v>7.6474986751964101E-5</v>
      </c>
      <c r="H680" s="33" t="str">
        <f>VLOOKUP(A680,TableS5!A:J,8,FALSE)</f>
        <v xml:space="preserve"> K11038</v>
      </c>
      <c r="I680" s="33" t="str">
        <f>VLOOKUP(A680,TableS5!A:J,9,FALSE)</f>
        <v>putative aerolysin-like</v>
      </c>
      <c r="J680" s="33" t="s">
        <v>10</v>
      </c>
      <c r="K680" s="33"/>
    </row>
    <row r="681" spans="1:11" x14ac:dyDescent="0.2">
      <c r="A681" s="35" t="s">
        <v>967</v>
      </c>
      <c r="B681" s="35">
        <v>28.7038248417199</v>
      </c>
      <c r="C681" s="35">
        <v>5.5634737040622904</v>
      </c>
      <c r="D681" s="35">
        <v>1.0943234169769001</v>
      </c>
      <c r="E681" s="35">
        <v>5.0839391881346803</v>
      </c>
      <c r="F681" s="40">
        <v>3.6968634392450898E-7</v>
      </c>
      <c r="G681" s="40">
        <v>7.9165426531524894E-5</v>
      </c>
      <c r="H681" s="24" t="s">
        <v>10</v>
      </c>
      <c r="I681" s="24" t="s">
        <v>10</v>
      </c>
      <c r="J681" s="33" t="s">
        <v>10</v>
      </c>
      <c r="K681" s="33"/>
    </row>
    <row r="682" spans="1:11" x14ac:dyDescent="0.2">
      <c r="A682" s="35" t="s">
        <v>969</v>
      </c>
      <c r="B682" s="35">
        <v>8391.9757679721097</v>
      </c>
      <c r="C682" s="35">
        <v>2.9517700710311399</v>
      </c>
      <c r="D682" s="35">
        <v>0.58090891841693204</v>
      </c>
      <c r="E682" s="35">
        <v>5.0812958407923396</v>
      </c>
      <c r="F682" s="40">
        <v>3.7486876368618899E-7</v>
      </c>
      <c r="G682" s="40">
        <v>8.0075511458947102E-5</v>
      </c>
      <c r="H682" s="24" t="s">
        <v>10</v>
      </c>
      <c r="I682" s="24" t="s">
        <v>10</v>
      </c>
      <c r="J682" s="33" t="s">
        <v>10</v>
      </c>
      <c r="K682" s="33"/>
    </row>
    <row r="683" spans="1:11" x14ac:dyDescent="0.2">
      <c r="A683" s="35" t="s">
        <v>972</v>
      </c>
      <c r="B683" s="35">
        <v>27.9061101823192</v>
      </c>
      <c r="C683" s="35">
        <v>8.3969863904713105</v>
      </c>
      <c r="D683" s="35">
        <v>1.6534668204427401</v>
      </c>
      <c r="E683" s="35">
        <v>5.0784123918633499</v>
      </c>
      <c r="F683" s="40">
        <v>3.8060186140810898E-7</v>
      </c>
      <c r="G683" s="40">
        <v>8.1098417967681694E-5</v>
      </c>
      <c r="H683" s="24" t="s">
        <v>10</v>
      </c>
      <c r="I683" s="24" t="s">
        <v>10</v>
      </c>
      <c r="J683" s="33" t="s">
        <v>10</v>
      </c>
      <c r="K683" s="33"/>
    </row>
    <row r="684" spans="1:11" x14ac:dyDescent="0.2">
      <c r="A684" s="35" t="s">
        <v>975</v>
      </c>
      <c r="B684" s="35">
        <v>571.50456474011605</v>
      </c>
      <c r="C684" s="35">
        <v>2.5744491824867501</v>
      </c>
      <c r="D684" s="35">
        <v>0.50751060856256602</v>
      </c>
      <c r="E684" s="35">
        <v>5.07270023335753</v>
      </c>
      <c r="F684" s="40">
        <v>3.9221008644545599E-7</v>
      </c>
      <c r="G684" s="40">
        <v>8.2750546273114897E-5</v>
      </c>
      <c r="H684" s="24" t="s">
        <v>978</v>
      </c>
      <c r="I684" s="24" t="s">
        <v>4027</v>
      </c>
      <c r="J684" s="33" t="s">
        <v>4112</v>
      </c>
      <c r="K684" s="33"/>
    </row>
    <row r="685" spans="1:11" x14ac:dyDescent="0.2">
      <c r="A685" s="35" t="s">
        <v>979</v>
      </c>
      <c r="B685" s="35">
        <v>57.571565837018298</v>
      </c>
      <c r="C685" s="35">
        <v>9.4440802924074791</v>
      </c>
      <c r="D685" s="35">
        <v>1.8621219545780201</v>
      </c>
      <c r="E685" s="35">
        <v>5.0716765726268598</v>
      </c>
      <c r="F685" s="40">
        <v>3.9432615061886199E-7</v>
      </c>
      <c r="G685" s="40">
        <v>8.2993090391647898E-5</v>
      </c>
      <c r="H685" s="24" t="s">
        <v>10</v>
      </c>
      <c r="I685" s="24" t="s">
        <v>10</v>
      </c>
      <c r="J685" s="33" t="s">
        <v>10</v>
      </c>
      <c r="K685" s="33"/>
    </row>
    <row r="686" spans="1:11" x14ac:dyDescent="0.2">
      <c r="A686" s="35" t="s">
        <v>982</v>
      </c>
      <c r="B686" s="35">
        <v>303.19611559157698</v>
      </c>
      <c r="C686" s="35">
        <v>2.9179201394441998</v>
      </c>
      <c r="D686" s="35">
        <v>0.575402345811036</v>
      </c>
      <c r="E686" s="35">
        <v>5.0710953138909503</v>
      </c>
      <c r="F686" s="40">
        <v>3.9553260110729701E-7</v>
      </c>
      <c r="G686" s="40">
        <v>8.3043471857419807E-5</v>
      </c>
      <c r="H686" s="24" t="s">
        <v>10</v>
      </c>
      <c r="I686" s="24" t="s">
        <v>10</v>
      </c>
      <c r="J686" s="33" t="s">
        <v>10</v>
      </c>
      <c r="K686" s="33"/>
    </row>
    <row r="687" spans="1:11" x14ac:dyDescent="0.2">
      <c r="A687" s="35" t="s">
        <v>984</v>
      </c>
      <c r="B687" s="35">
        <v>35.629518991845998</v>
      </c>
      <c r="C687" s="35">
        <v>2.90987384402364</v>
      </c>
      <c r="D687" s="35">
        <v>0.57412866632676796</v>
      </c>
      <c r="E687" s="35">
        <v>5.0683305236103298</v>
      </c>
      <c r="F687" s="40">
        <v>4.0132008315734302E-7</v>
      </c>
      <c r="G687" s="40">
        <v>8.3141949108208498E-5</v>
      </c>
      <c r="H687" s="24" t="s">
        <v>10</v>
      </c>
      <c r="I687" s="24" t="s">
        <v>10</v>
      </c>
      <c r="J687" s="33" t="s">
        <v>10</v>
      </c>
      <c r="K687" s="33"/>
    </row>
    <row r="688" spans="1:11" x14ac:dyDescent="0.2">
      <c r="A688" s="35" t="s">
        <v>986</v>
      </c>
      <c r="B688" s="35">
        <v>253.58790610586999</v>
      </c>
      <c r="C688" s="35">
        <v>3.4243229453397399</v>
      </c>
      <c r="D688" s="35">
        <v>0.67566236551626901</v>
      </c>
      <c r="E688" s="35">
        <v>5.0680977957433502</v>
      </c>
      <c r="F688" s="40">
        <v>4.01810959228453E-7</v>
      </c>
      <c r="G688" s="40">
        <v>8.3141949108208498E-5</v>
      </c>
      <c r="H688" s="24" t="s">
        <v>10</v>
      </c>
      <c r="I688" s="24" t="s">
        <v>10</v>
      </c>
      <c r="J688" s="33" t="s">
        <v>10</v>
      </c>
      <c r="K688" s="33"/>
    </row>
    <row r="689" spans="1:11" x14ac:dyDescent="0.2">
      <c r="A689" s="35" t="s">
        <v>988</v>
      </c>
      <c r="B689" s="35">
        <v>1535.4013583758499</v>
      </c>
      <c r="C689" s="35">
        <v>2.1189987043650498</v>
      </c>
      <c r="D689" s="35">
        <v>0.41853534816066401</v>
      </c>
      <c r="E689" s="35">
        <v>5.0628906582858804</v>
      </c>
      <c r="F689" s="40">
        <v>4.1294671814840097E-7</v>
      </c>
      <c r="G689" s="40">
        <v>8.4582246122869397E-5</v>
      </c>
      <c r="H689" s="24" t="s">
        <v>3845</v>
      </c>
      <c r="I689" s="29" t="s">
        <v>4210</v>
      </c>
      <c r="J689" s="30" t="s">
        <v>10</v>
      </c>
      <c r="K689" s="33"/>
    </row>
    <row r="690" spans="1:11" x14ac:dyDescent="0.2">
      <c r="A690" s="35" t="s">
        <v>991</v>
      </c>
      <c r="B690" s="35">
        <v>35.268904202611402</v>
      </c>
      <c r="C690" s="35">
        <v>6.4861802884381099</v>
      </c>
      <c r="D690" s="35">
        <v>1.2811493875293101</v>
      </c>
      <c r="E690" s="35">
        <v>5.06278217948236</v>
      </c>
      <c r="F690" s="40">
        <v>4.1318184324767599E-7</v>
      </c>
      <c r="G690" s="40">
        <v>8.4582246122869397E-5</v>
      </c>
      <c r="H690" s="24" t="s">
        <v>10</v>
      </c>
      <c r="I690" s="24" t="s">
        <v>10</v>
      </c>
      <c r="J690" s="33" t="s">
        <v>10</v>
      </c>
      <c r="K690" s="33"/>
    </row>
    <row r="691" spans="1:11" x14ac:dyDescent="0.2">
      <c r="A691" s="35" t="s">
        <v>993</v>
      </c>
      <c r="B691" s="35">
        <v>5426.2210684503098</v>
      </c>
      <c r="C691" s="35">
        <v>2.8628371462945101</v>
      </c>
      <c r="D691" s="35">
        <v>0.56586218939418997</v>
      </c>
      <c r="E691" s="35">
        <v>5.0592479935078298</v>
      </c>
      <c r="F691" s="40">
        <v>4.2091315202156797E-7</v>
      </c>
      <c r="G691" s="40">
        <v>8.5853285694166396E-5</v>
      </c>
      <c r="H691" s="24" t="s">
        <v>10</v>
      </c>
      <c r="I691" s="24" t="s">
        <v>10</v>
      </c>
      <c r="J691" s="33" t="s">
        <v>10</v>
      </c>
      <c r="K691" s="33"/>
    </row>
    <row r="692" spans="1:11" x14ac:dyDescent="0.2">
      <c r="A692" s="35" t="s">
        <v>996</v>
      </c>
      <c r="B692" s="35">
        <v>762.90825373328698</v>
      </c>
      <c r="C692" s="35">
        <v>2.4382227656030699</v>
      </c>
      <c r="D692" s="35">
        <v>0.48218420993372102</v>
      </c>
      <c r="E692" s="35">
        <v>5.05662092489138</v>
      </c>
      <c r="F692" s="40">
        <v>4.2675031219933602E-7</v>
      </c>
      <c r="G692" s="40">
        <v>8.6632331108437794E-5</v>
      </c>
      <c r="H692" s="24" t="s">
        <v>10</v>
      </c>
      <c r="I692" s="24" t="s">
        <v>10</v>
      </c>
      <c r="J692" s="33" t="s">
        <v>10</v>
      </c>
      <c r="K692" s="33"/>
    </row>
    <row r="693" spans="1:11" x14ac:dyDescent="0.2">
      <c r="A693" s="35" t="s">
        <v>999</v>
      </c>
      <c r="B693" s="35">
        <v>173.822209509657</v>
      </c>
      <c r="C693" s="35">
        <v>3.5741611362877701</v>
      </c>
      <c r="D693" s="35">
        <v>0.70749998484282395</v>
      </c>
      <c r="E693" s="35">
        <v>5.0518179687053903</v>
      </c>
      <c r="F693" s="40">
        <v>4.37624667470098E-7</v>
      </c>
      <c r="G693" s="40">
        <v>8.8630348632841397E-5</v>
      </c>
      <c r="H693" s="24" t="s">
        <v>10</v>
      </c>
      <c r="I693" s="24" t="s">
        <v>10</v>
      </c>
      <c r="J693" s="33" t="s">
        <v>10</v>
      </c>
      <c r="K693" s="33"/>
    </row>
    <row r="694" spans="1:11" x14ac:dyDescent="0.2">
      <c r="A694" s="35" t="s">
        <v>1001</v>
      </c>
      <c r="B694" s="35">
        <v>229.03075128263899</v>
      </c>
      <c r="C694" s="35">
        <v>3.2619455900579299</v>
      </c>
      <c r="D694" s="35">
        <v>0.64600741650443605</v>
      </c>
      <c r="E694" s="35">
        <v>5.0493934074447804</v>
      </c>
      <c r="F694" s="40">
        <v>4.4321515716195898E-7</v>
      </c>
      <c r="G694" s="40">
        <v>8.9444013370485403E-5</v>
      </c>
      <c r="H694" s="24" t="s">
        <v>10</v>
      </c>
      <c r="I694" s="24" t="s">
        <v>10</v>
      </c>
      <c r="J694" s="33" t="s">
        <v>10</v>
      </c>
      <c r="K694" s="33"/>
    </row>
    <row r="695" spans="1:11" x14ac:dyDescent="0.2">
      <c r="A695" s="35" t="s">
        <v>1003</v>
      </c>
      <c r="B695" s="35">
        <v>26.408712363632301</v>
      </c>
      <c r="C695" s="35">
        <v>3.7753463276890802</v>
      </c>
      <c r="D695" s="35">
        <v>0.75110283431997404</v>
      </c>
      <c r="E695" s="35">
        <v>5.0264040490636104</v>
      </c>
      <c r="F695" s="40">
        <v>4.9976235519951595E-7</v>
      </c>
      <c r="G695" s="40">
        <v>9.9802542333343305E-5</v>
      </c>
      <c r="H695" s="24" t="s">
        <v>10</v>
      </c>
      <c r="I695" s="24" t="s">
        <v>10</v>
      </c>
      <c r="J695" s="33" t="s">
        <v>10</v>
      </c>
      <c r="K695" s="33"/>
    </row>
    <row r="696" spans="1:11" x14ac:dyDescent="0.2">
      <c r="A696" s="35" t="s">
        <v>1007</v>
      </c>
      <c r="B696" s="35">
        <v>191.030158509904</v>
      </c>
      <c r="C696" s="35">
        <v>2.07516986132977</v>
      </c>
      <c r="D696" s="35">
        <v>0.41315409100456202</v>
      </c>
      <c r="E696" s="35">
        <v>5.0227503648435503</v>
      </c>
      <c r="F696" s="40">
        <v>5.0936732518452401E-7</v>
      </c>
      <c r="G696" s="35">
        <v>1.0146698434051601E-4</v>
      </c>
      <c r="H696" s="24" t="s">
        <v>10</v>
      </c>
      <c r="I696" s="24" t="s">
        <v>10</v>
      </c>
      <c r="J696" s="33" t="s">
        <v>10</v>
      </c>
      <c r="K696" s="33"/>
    </row>
    <row r="697" spans="1:11" x14ac:dyDescent="0.2">
      <c r="A697" s="35" t="s">
        <v>1008</v>
      </c>
      <c r="B697" s="35">
        <v>38.588608829753397</v>
      </c>
      <c r="C697" s="35">
        <v>3.6587848554053899</v>
      </c>
      <c r="D697" s="35">
        <v>0.72850219560747598</v>
      </c>
      <c r="E697" s="35">
        <v>5.02233881718701</v>
      </c>
      <c r="F697" s="40">
        <v>5.1046030947703799E-7</v>
      </c>
      <c r="G697" s="35">
        <v>1.0146698434051601E-4</v>
      </c>
      <c r="H697" s="24" t="s">
        <v>10</v>
      </c>
      <c r="I697" s="24" t="s">
        <v>10</v>
      </c>
      <c r="J697" s="33" t="s">
        <v>10</v>
      </c>
      <c r="K697" s="33"/>
    </row>
    <row r="698" spans="1:11" x14ac:dyDescent="0.2">
      <c r="A698" s="35" t="s">
        <v>1010</v>
      </c>
      <c r="B698" s="35">
        <v>1514.8086573063099</v>
      </c>
      <c r="C698" s="35">
        <v>6.3506234222803402</v>
      </c>
      <c r="D698" s="35">
        <v>1.26467612798868</v>
      </c>
      <c r="E698" s="35">
        <v>5.0215413114346097</v>
      </c>
      <c r="F698" s="40">
        <v>5.1258475876691999E-7</v>
      </c>
      <c r="G698" s="35">
        <v>1.01653962632966E-4</v>
      </c>
      <c r="H698" s="29" t="s">
        <v>10</v>
      </c>
      <c r="I698" s="29" t="s">
        <v>4211</v>
      </c>
      <c r="J698" s="33" t="s">
        <v>4078</v>
      </c>
      <c r="K698" s="33"/>
    </row>
    <row r="699" spans="1:11" x14ac:dyDescent="0.2">
      <c r="A699" s="35" t="s">
        <v>1011</v>
      </c>
      <c r="B699" s="35">
        <v>46.582506479519999</v>
      </c>
      <c r="C699" s="35">
        <v>2.4612639736094799</v>
      </c>
      <c r="D699" s="35">
        <v>0.49049555653976201</v>
      </c>
      <c r="E699" s="35">
        <v>5.0179128858427502</v>
      </c>
      <c r="F699" s="40">
        <v>5.2235851872891902E-7</v>
      </c>
      <c r="G699" s="35">
        <v>1.0287946871965801E-4</v>
      </c>
      <c r="H699" s="33" t="str">
        <f>VLOOKUP(A699,TableS5!A:J,8,FALSE)</f>
        <v>K05673</v>
      </c>
      <c r="I699" s="33" t="str">
        <f>VLOOKUP(A699,TableS5!A:J,9,FALSE)</f>
        <v xml:space="preserve">multidrug resistance-associated protein 4-like </v>
      </c>
      <c r="J699" s="33" t="s">
        <v>10</v>
      </c>
      <c r="K699" s="33"/>
    </row>
    <row r="700" spans="1:11" x14ac:dyDescent="0.2">
      <c r="A700" s="35" t="s">
        <v>1015</v>
      </c>
      <c r="B700" s="35">
        <v>255.33392617360201</v>
      </c>
      <c r="C700" s="35">
        <v>2.7643079590959498</v>
      </c>
      <c r="D700" s="35">
        <v>0.55149298113812095</v>
      </c>
      <c r="E700" s="35">
        <v>5.0124082329955097</v>
      </c>
      <c r="F700" s="40">
        <v>5.3753012521204003E-7</v>
      </c>
      <c r="G700" s="35">
        <v>1.05384131009322E-4</v>
      </c>
      <c r="H700" s="24" t="s">
        <v>545</v>
      </c>
      <c r="I700" s="33" t="str">
        <f>VLOOKUP(A700,TableS5!A:J,9,FALSE)</f>
        <v xml:space="preserve"> calcium/calmodulin-dependent protein kinase type II alpha chain-like</v>
      </c>
      <c r="J700" s="33" t="s">
        <v>4109</v>
      </c>
      <c r="K700" s="33"/>
    </row>
    <row r="701" spans="1:11" x14ac:dyDescent="0.2">
      <c r="A701" s="35" t="s">
        <v>1018</v>
      </c>
      <c r="B701" s="35">
        <v>84.142542579557301</v>
      </c>
      <c r="C701" s="35">
        <v>2.4081087214472299</v>
      </c>
      <c r="D701" s="35">
        <v>0.48086318438501002</v>
      </c>
      <c r="E701" s="35">
        <v>5.0078874816067103</v>
      </c>
      <c r="F701" s="40">
        <v>5.5030687593236305E-7</v>
      </c>
      <c r="G701" s="35">
        <v>1.0733420537134E-4</v>
      </c>
      <c r="H701" s="24" t="s">
        <v>10</v>
      </c>
      <c r="I701" s="24" t="s">
        <v>10</v>
      </c>
      <c r="J701" s="33" t="s">
        <v>10</v>
      </c>
      <c r="K701" s="33"/>
    </row>
    <row r="702" spans="1:11" x14ac:dyDescent="0.2">
      <c r="A702" s="35" t="s">
        <v>1020</v>
      </c>
      <c r="B702" s="35">
        <v>95.9000294232318</v>
      </c>
      <c r="C702" s="35">
        <v>3.71887485635972</v>
      </c>
      <c r="D702" s="35">
        <v>0.74264733477826195</v>
      </c>
      <c r="E702" s="35">
        <v>5.0075920052552201</v>
      </c>
      <c r="F702" s="40">
        <v>5.5115208112448095E-7</v>
      </c>
      <c r="G702" s="35">
        <v>1.0733420537134E-4</v>
      </c>
      <c r="H702" s="24" t="s">
        <v>10</v>
      </c>
      <c r="I702" s="24" t="s">
        <v>10</v>
      </c>
      <c r="J702" s="33" t="s">
        <v>10</v>
      </c>
      <c r="K702" s="33"/>
    </row>
    <row r="703" spans="1:11" x14ac:dyDescent="0.2">
      <c r="A703" s="35" t="s">
        <v>1022</v>
      </c>
      <c r="B703" s="35">
        <v>28.138053420707401</v>
      </c>
      <c r="C703" s="35">
        <v>3.7760933106728398</v>
      </c>
      <c r="D703" s="35">
        <v>0.75458317444898804</v>
      </c>
      <c r="E703" s="35">
        <v>5.0042108524752402</v>
      </c>
      <c r="F703" s="40">
        <v>5.6091335408657296E-7</v>
      </c>
      <c r="G703" s="35">
        <v>1.08973281965539E-4</v>
      </c>
      <c r="H703" s="24" t="s">
        <v>10</v>
      </c>
      <c r="I703" s="24" t="s">
        <v>10</v>
      </c>
      <c r="J703" s="33" t="s">
        <v>10</v>
      </c>
      <c r="K703" s="33"/>
    </row>
    <row r="704" spans="1:11" x14ac:dyDescent="0.2">
      <c r="A704" s="35" t="s">
        <v>1023</v>
      </c>
      <c r="B704" s="35">
        <v>151.73387387212199</v>
      </c>
      <c r="C704" s="35">
        <v>2.6075171545188001</v>
      </c>
      <c r="D704" s="35">
        <v>0.52204206510596196</v>
      </c>
      <c r="E704" s="35">
        <v>4.9948410842898996</v>
      </c>
      <c r="F704" s="40">
        <v>5.88842348631151E-7</v>
      </c>
      <c r="G704" s="35">
        <v>1.14141041352834E-4</v>
      </c>
      <c r="H704" s="24" t="s">
        <v>10</v>
      </c>
      <c r="I704" s="24" t="s">
        <v>10</v>
      </c>
      <c r="J704" s="33" t="s">
        <v>10</v>
      </c>
      <c r="K704" s="33"/>
    </row>
    <row r="705" spans="1:11" x14ac:dyDescent="0.2">
      <c r="A705" s="35" t="s">
        <v>1025</v>
      </c>
      <c r="B705" s="35">
        <v>212.96026099771001</v>
      </c>
      <c r="C705" s="35">
        <v>2.2475870726999898</v>
      </c>
      <c r="D705" s="35">
        <v>0.450500070499395</v>
      </c>
      <c r="E705" s="35">
        <v>4.9890937202484</v>
      </c>
      <c r="F705" s="40">
        <v>6.06632129363115E-7</v>
      </c>
      <c r="G705" s="35">
        <v>1.17060915911326E-4</v>
      </c>
      <c r="H705" s="24" t="s">
        <v>10</v>
      </c>
      <c r="I705" s="24" t="s">
        <v>10</v>
      </c>
      <c r="J705" s="33" t="s">
        <v>10</v>
      </c>
      <c r="K705" s="33"/>
    </row>
    <row r="706" spans="1:11" x14ac:dyDescent="0.2">
      <c r="A706" s="35" t="s">
        <v>1027</v>
      </c>
      <c r="B706" s="35">
        <v>486.78891222799598</v>
      </c>
      <c r="C706" s="35">
        <v>3.6684122383440698</v>
      </c>
      <c r="D706" s="35">
        <v>0.73595311486247805</v>
      </c>
      <c r="E706" s="35">
        <v>4.98457328906008</v>
      </c>
      <c r="F706" s="40">
        <v>6.2098704893735301E-7</v>
      </c>
      <c r="G706" s="35">
        <v>1.1956228448273401E-4</v>
      </c>
      <c r="H706" s="24" t="s">
        <v>10</v>
      </c>
      <c r="I706" s="24" t="s">
        <v>10</v>
      </c>
      <c r="J706" s="33" t="s">
        <v>10</v>
      </c>
      <c r="K706" s="33"/>
    </row>
    <row r="707" spans="1:11" x14ac:dyDescent="0.2">
      <c r="A707" s="35" t="s">
        <v>1028</v>
      </c>
      <c r="B707" s="35">
        <v>303.84490157081001</v>
      </c>
      <c r="C707" s="35">
        <v>2.33246705636902</v>
      </c>
      <c r="D707" s="35">
        <v>0.468327301325763</v>
      </c>
      <c r="E707" s="35">
        <v>4.9804208504739398</v>
      </c>
      <c r="F707" s="40">
        <v>6.3446147563321603E-7</v>
      </c>
      <c r="G707" s="35">
        <v>1.21883314036018E-4</v>
      </c>
      <c r="H707" s="24" t="s">
        <v>10</v>
      </c>
      <c r="I707" s="24" t="s">
        <v>10</v>
      </c>
      <c r="J707" s="33" t="s">
        <v>10</v>
      </c>
      <c r="K707" s="33"/>
    </row>
    <row r="708" spans="1:11" x14ac:dyDescent="0.2">
      <c r="A708" s="35" t="s">
        <v>1030</v>
      </c>
      <c r="B708" s="35">
        <v>418.94081757869799</v>
      </c>
      <c r="C708" s="35">
        <v>3.9039000578782601</v>
      </c>
      <c r="D708" s="35">
        <v>0.78606698093190797</v>
      </c>
      <c r="E708" s="35">
        <v>4.9663707452131698</v>
      </c>
      <c r="F708" s="40">
        <v>6.8217483481427605E-7</v>
      </c>
      <c r="G708" s="35">
        <v>1.30175633867415E-4</v>
      </c>
      <c r="H708" s="33" t="str">
        <f>VLOOKUP(A708,TableS5!A:J,8,FALSE)</f>
        <v>K02583</v>
      </c>
      <c r="I708" s="33" t="str">
        <f>VLOOKUP(A708,TableS5!A:J,9,FALSE)</f>
        <v xml:space="preserve"> tumor necrosis factor receptor superfamily member 16-like</v>
      </c>
      <c r="J708" s="33" t="s">
        <v>10</v>
      </c>
      <c r="K708" s="33"/>
    </row>
    <row r="709" spans="1:11" x14ac:dyDescent="0.2">
      <c r="A709" s="35" t="s">
        <v>1034</v>
      </c>
      <c r="B709" s="35">
        <v>9286.7783801056303</v>
      </c>
      <c r="C709" s="35">
        <v>2.05436775583137</v>
      </c>
      <c r="D709" s="35">
        <v>0.41380259283420001</v>
      </c>
      <c r="E709" s="35">
        <v>4.96460822480757</v>
      </c>
      <c r="F709" s="40">
        <v>6.8839890577332805E-7</v>
      </c>
      <c r="G709" s="35">
        <v>1.30782085039074E-4</v>
      </c>
      <c r="H709" s="33" t="str">
        <f>VLOOKUP(A709,TableS5!A:J,8,FALSE)</f>
        <v>K18309</v>
      </c>
      <c r="I709" s="33" t="str">
        <f>VLOOKUP(A709,TableS5!A:J,9,FALSE)</f>
        <v xml:space="preserve">N-acetyltransferase 8-like </v>
      </c>
      <c r="J709" s="33" t="s">
        <v>10</v>
      </c>
      <c r="K709" s="33"/>
    </row>
    <row r="710" spans="1:11" x14ac:dyDescent="0.2">
      <c r="A710" s="35" t="s">
        <v>1038</v>
      </c>
      <c r="B710" s="35">
        <v>56.758332888828598</v>
      </c>
      <c r="C710" s="35">
        <v>2.2642244801526901</v>
      </c>
      <c r="D710" s="35">
        <v>0.45630984716607598</v>
      </c>
      <c r="E710" s="35">
        <v>4.9620329129750704</v>
      </c>
      <c r="F710" s="40">
        <v>6.9759170815963298E-7</v>
      </c>
      <c r="G710" s="35">
        <v>1.31841366237024E-4</v>
      </c>
      <c r="H710" s="24" t="s">
        <v>10</v>
      </c>
      <c r="I710" s="24" t="s">
        <v>10</v>
      </c>
      <c r="J710" s="33" t="s">
        <v>10</v>
      </c>
      <c r="K710" s="33"/>
    </row>
    <row r="711" spans="1:11" x14ac:dyDescent="0.2">
      <c r="A711" s="35" t="s">
        <v>1040</v>
      </c>
      <c r="B711" s="35">
        <v>71.011220374371007</v>
      </c>
      <c r="C711" s="35">
        <v>2.9233213759195502</v>
      </c>
      <c r="D711" s="35">
        <v>0.58917050944772398</v>
      </c>
      <c r="E711" s="35">
        <v>4.9617578087195904</v>
      </c>
      <c r="F711" s="40">
        <v>6.9858068076354099E-7</v>
      </c>
      <c r="G711" s="35">
        <v>1.31841366237024E-4</v>
      </c>
      <c r="H711" s="24" t="s">
        <v>10</v>
      </c>
      <c r="I711" s="24" t="s">
        <v>10</v>
      </c>
      <c r="J711" s="33" t="s">
        <v>10</v>
      </c>
      <c r="K711" s="33"/>
    </row>
    <row r="712" spans="1:11" x14ac:dyDescent="0.2">
      <c r="A712" s="35" t="s">
        <v>1042</v>
      </c>
      <c r="B712" s="35">
        <v>3835.5153205808501</v>
      </c>
      <c r="C712" s="35">
        <v>4.1488518120889299</v>
      </c>
      <c r="D712" s="35">
        <v>0.83669552540375902</v>
      </c>
      <c r="E712" s="35">
        <v>4.9586159912673597</v>
      </c>
      <c r="F712" s="40">
        <v>7.09971449993157E-7</v>
      </c>
      <c r="G712" s="35">
        <v>1.3326635498383101E-4</v>
      </c>
      <c r="H712" s="29" t="s">
        <v>10</v>
      </c>
      <c r="I712" s="24" t="s">
        <v>3991</v>
      </c>
      <c r="J712" s="33" t="s">
        <v>4087</v>
      </c>
      <c r="K712" s="33"/>
    </row>
    <row r="713" spans="1:11" x14ac:dyDescent="0.2">
      <c r="A713" s="35" t="s">
        <v>1044</v>
      </c>
      <c r="B713" s="35">
        <v>448.47694700897199</v>
      </c>
      <c r="C713" s="35">
        <v>4.1994158610482204</v>
      </c>
      <c r="D713" s="35">
        <v>0.84693083742489605</v>
      </c>
      <c r="E713" s="35">
        <v>4.9583929117713996</v>
      </c>
      <c r="F713" s="40">
        <v>7.1078700122968696E-7</v>
      </c>
      <c r="G713" s="35">
        <v>1.3326635498383101E-4</v>
      </c>
      <c r="H713" s="29" t="s">
        <v>10</v>
      </c>
      <c r="I713" s="24" t="s">
        <v>4024</v>
      </c>
      <c r="J713" s="30" t="s">
        <v>10</v>
      </c>
      <c r="K713" s="33"/>
    </row>
    <row r="714" spans="1:11" x14ac:dyDescent="0.2">
      <c r="A714" s="35" t="s">
        <v>1046</v>
      </c>
      <c r="B714" s="35">
        <v>65.701931992000397</v>
      </c>
      <c r="C714" s="35">
        <v>2.2584362036027001</v>
      </c>
      <c r="D714" s="35">
        <v>0.45588772809011202</v>
      </c>
      <c r="E714" s="35">
        <v>4.9539306817144499</v>
      </c>
      <c r="F714" s="40">
        <v>7.2729124474689503E-7</v>
      </c>
      <c r="G714" s="35">
        <v>1.3547337630729001E-4</v>
      </c>
      <c r="H714" s="24" t="s">
        <v>10</v>
      </c>
      <c r="I714" s="24" t="s">
        <v>10</v>
      </c>
      <c r="J714" s="33" t="s">
        <v>10</v>
      </c>
      <c r="K714" s="33"/>
    </row>
    <row r="715" spans="1:11" x14ac:dyDescent="0.2">
      <c r="A715" s="35" t="s">
        <v>1048</v>
      </c>
      <c r="B715" s="35">
        <v>32.659005659434399</v>
      </c>
      <c r="C715" s="35">
        <v>3.46684545928604</v>
      </c>
      <c r="D715" s="35">
        <v>0.700069883306079</v>
      </c>
      <c r="E715" s="35">
        <v>4.9521419817602599</v>
      </c>
      <c r="F715" s="40">
        <v>7.3401016163447701E-7</v>
      </c>
      <c r="G715" s="35">
        <v>1.3642897530241201E-4</v>
      </c>
      <c r="H715" s="24" t="s">
        <v>10</v>
      </c>
      <c r="I715" s="24" t="s">
        <v>10</v>
      </c>
      <c r="J715" s="33" t="s">
        <v>10</v>
      </c>
      <c r="K715" s="33"/>
    </row>
    <row r="716" spans="1:11" x14ac:dyDescent="0.2">
      <c r="A716" s="35" t="s">
        <v>1050</v>
      </c>
      <c r="B716" s="35">
        <v>257.52020231726601</v>
      </c>
      <c r="C716" s="35">
        <v>2.7063880326070802</v>
      </c>
      <c r="D716" s="35">
        <v>0.54679859045913204</v>
      </c>
      <c r="E716" s="35">
        <v>4.9495153788428796</v>
      </c>
      <c r="F716" s="40">
        <v>7.4398499240953299E-7</v>
      </c>
      <c r="G716" s="35">
        <v>1.3768692948965301E-4</v>
      </c>
      <c r="H716" s="24" t="s">
        <v>4147</v>
      </c>
      <c r="I716" s="33" t="str">
        <f>VLOOKUP(A716,TableS5!A:J,9,FALSE)</f>
        <v xml:space="preserve">fibroblast growth factor receptor 2-like </v>
      </c>
      <c r="J716" s="33" t="s">
        <v>10</v>
      </c>
      <c r="K716" s="33"/>
    </row>
    <row r="717" spans="1:11" x14ac:dyDescent="0.2">
      <c r="A717" s="35" t="s">
        <v>1053</v>
      </c>
      <c r="B717" s="35">
        <v>1095.65494273271</v>
      </c>
      <c r="C717" s="35">
        <v>2.22656927435145</v>
      </c>
      <c r="D717" s="35">
        <v>0.450445834853683</v>
      </c>
      <c r="E717" s="35">
        <v>4.9430344384796001</v>
      </c>
      <c r="F717" s="40">
        <v>7.6915890274030296E-7</v>
      </c>
      <c r="G717" s="35">
        <v>1.41734858663546E-4</v>
      </c>
      <c r="H717" s="24" t="s">
        <v>10</v>
      </c>
      <c r="I717" s="24" t="s">
        <v>10</v>
      </c>
      <c r="J717" s="33" t="s">
        <v>10</v>
      </c>
      <c r="K717" s="33"/>
    </row>
    <row r="718" spans="1:11" x14ac:dyDescent="0.2">
      <c r="A718" s="35" t="s">
        <v>1055</v>
      </c>
      <c r="B718" s="35">
        <v>113.468592203745</v>
      </c>
      <c r="C718" s="35">
        <v>4.0837185623919297</v>
      </c>
      <c r="D718" s="35">
        <v>0.82672465206619195</v>
      </c>
      <c r="E718" s="35">
        <v>4.9396356479581103</v>
      </c>
      <c r="F718" s="40">
        <v>7.8268680127321801E-7</v>
      </c>
      <c r="G718" s="35">
        <v>1.4361132117977001E-4</v>
      </c>
      <c r="H718" s="24" t="s">
        <v>10</v>
      </c>
      <c r="I718" s="24" t="s">
        <v>10</v>
      </c>
      <c r="J718" s="33" t="s">
        <v>10</v>
      </c>
      <c r="K718" s="33"/>
    </row>
    <row r="719" spans="1:11" x14ac:dyDescent="0.2">
      <c r="A719" s="35" t="s">
        <v>1057</v>
      </c>
      <c r="B719" s="35">
        <v>357.91213972156498</v>
      </c>
      <c r="C719" s="35">
        <v>2.44386572704268</v>
      </c>
      <c r="D719" s="35">
        <v>0.49493371860260899</v>
      </c>
      <c r="E719" s="35">
        <v>4.9377636543791503</v>
      </c>
      <c r="F719" s="40">
        <v>7.9023530563979398E-7</v>
      </c>
      <c r="G719" s="35">
        <v>1.4468719814625801E-4</v>
      </c>
      <c r="H719" s="24" t="s">
        <v>10</v>
      </c>
      <c r="I719" s="24" t="s">
        <v>10</v>
      </c>
      <c r="J719" s="33" t="s">
        <v>10</v>
      </c>
      <c r="K719" s="33"/>
    </row>
    <row r="720" spans="1:11" x14ac:dyDescent="0.2">
      <c r="A720" s="35" t="s">
        <v>1060</v>
      </c>
      <c r="B720" s="35">
        <v>616.26250758525896</v>
      </c>
      <c r="C720" s="35">
        <v>2.9027892446987602</v>
      </c>
      <c r="D720" s="35">
        <v>0.588539972874215</v>
      </c>
      <c r="E720" s="35">
        <v>4.9321870705274096</v>
      </c>
      <c r="F720" s="40">
        <v>8.1313984069376095E-7</v>
      </c>
      <c r="G720" s="35">
        <v>1.4824868632741799E-4</v>
      </c>
      <c r="H720" s="24" t="s">
        <v>3829</v>
      </c>
      <c r="I720" s="24" t="s">
        <v>898</v>
      </c>
      <c r="J720" s="33" t="s">
        <v>10</v>
      </c>
      <c r="K720" s="33"/>
    </row>
    <row r="721" spans="1:11" x14ac:dyDescent="0.2">
      <c r="A721" s="35" t="s">
        <v>1061</v>
      </c>
      <c r="B721" s="35">
        <v>244.087749213671</v>
      </c>
      <c r="C721" s="35">
        <v>2.2628233655482601</v>
      </c>
      <c r="D721" s="35">
        <v>0.45886735225256198</v>
      </c>
      <c r="E721" s="35">
        <v>4.9313235174395098</v>
      </c>
      <c r="F721" s="40">
        <v>8.1674337417534001E-7</v>
      </c>
      <c r="G721" s="35">
        <v>1.4859019127925999E-4</v>
      </c>
      <c r="H721" s="24" t="s">
        <v>10</v>
      </c>
      <c r="I721" s="24" t="s">
        <v>10</v>
      </c>
      <c r="J721" s="33" t="s">
        <v>10</v>
      </c>
      <c r="K721" s="33"/>
    </row>
    <row r="722" spans="1:11" x14ac:dyDescent="0.2">
      <c r="A722" s="35" t="s">
        <v>1063</v>
      </c>
      <c r="B722" s="35">
        <v>106.557507514945</v>
      </c>
      <c r="C722" s="35">
        <v>4.7258535291083499</v>
      </c>
      <c r="D722" s="35">
        <v>0.95947660734904405</v>
      </c>
      <c r="E722" s="35">
        <v>4.9254494512018399</v>
      </c>
      <c r="F722" s="40">
        <v>8.4166667463104796E-7</v>
      </c>
      <c r="G722" s="35">
        <v>1.52157387404722E-4</v>
      </c>
      <c r="H722" s="24" t="s">
        <v>10</v>
      </c>
      <c r="I722" s="24" t="s">
        <v>10</v>
      </c>
      <c r="J722" s="33" t="s">
        <v>10</v>
      </c>
      <c r="K722" s="33"/>
    </row>
    <row r="723" spans="1:11" x14ac:dyDescent="0.2">
      <c r="A723" s="35" t="s">
        <v>1065</v>
      </c>
      <c r="B723" s="35">
        <v>56.447176543491302</v>
      </c>
      <c r="C723" s="35">
        <v>2.5454851306238702</v>
      </c>
      <c r="D723" s="35">
        <v>0.51713764802037798</v>
      </c>
      <c r="E723" s="35">
        <v>4.9222583974848497</v>
      </c>
      <c r="F723" s="40">
        <v>8.5551149960094902E-7</v>
      </c>
      <c r="G723" s="35">
        <v>1.5433535290385099E-4</v>
      </c>
      <c r="H723" s="24" t="s">
        <v>10</v>
      </c>
      <c r="I723" s="24" t="s">
        <v>10</v>
      </c>
      <c r="J723" s="33" t="s">
        <v>10</v>
      </c>
      <c r="K723" s="33"/>
    </row>
    <row r="724" spans="1:11" x14ac:dyDescent="0.2">
      <c r="A724" s="35" t="s">
        <v>1067</v>
      </c>
      <c r="B724" s="35">
        <v>32.049510042839003</v>
      </c>
      <c r="C724" s="35">
        <v>7.6253443195164001</v>
      </c>
      <c r="D724" s="35">
        <v>1.5530830495041299</v>
      </c>
      <c r="E724" s="35">
        <v>4.9098110509615198</v>
      </c>
      <c r="F724" s="40">
        <v>9.1164189794453801E-7</v>
      </c>
      <c r="G724" s="35">
        <v>1.63090836288324E-4</v>
      </c>
      <c r="H724" s="24" t="s">
        <v>10</v>
      </c>
      <c r="I724" s="24" t="s">
        <v>10</v>
      </c>
      <c r="J724" s="33" t="s">
        <v>10</v>
      </c>
      <c r="K724" s="33"/>
    </row>
    <row r="725" spans="1:11" x14ac:dyDescent="0.2">
      <c r="A725" s="35" t="s">
        <v>1069</v>
      </c>
      <c r="B725" s="35">
        <v>1076.1282799102</v>
      </c>
      <c r="C725" s="35">
        <v>2.1098266078909602</v>
      </c>
      <c r="D725" s="35">
        <v>0.43110322925630401</v>
      </c>
      <c r="E725" s="35">
        <v>4.8940171743334302</v>
      </c>
      <c r="F725" s="40">
        <v>9.8798211331625703E-7</v>
      </c>
      <c r="G725" s="35">
        <v>1.7520150258062999E-4</v>
      </c>
      <c r="H725" s="29" t="s">
        <v>10</v>
      </c>
      <c r="I725" s="29" t="s">
        <v>10</v>
      </c>
      <c r="J725" s="33" t="s">
        <v>10</v>
      </c>
      <c r="K725" s="33"/>
    </row>
    <row r="726" spans="1:11" x14ac:dyDescent="0.2">
      <c r="A726" s="35" t="s">
        <v>1071</v>
      </c>
      <c r="B726" s="35">
        <v>75.738134191459295</v>
      </c>
      <c r="C726" s="35">
        <v>4.0468793296180197</v>
      </c>
      <c r="D726" s="35">
        <v>0.82722315107474398</v>
      </c>
      <c r="E726" s="35">
        <v>4.8921253284077499</v>
      </c>
      <c r="F726" s="40">
        <v>9.9752887994094902E-7</v>
      </c>
      <c r="G726" s="35">
        <v>1.7625267993705599E-4</v>
      </c>
      <c r="H726" s="24" t="s">
        <v>10</v>
      </c>
      <c r="I726" s="24" t="s">
        <v>10</v>
      </c>
      <c r="J726" s="33" t="s">
        <v>10</v>
      </c>
      <c r="K726" s="33"/>
    </row>
    <row r="727" spans="1:11" x14ac:dyDescent="0.2">
      <c r="A727" s="35" t="s">
        <v>1073</v>
      </c>
      <c r="B727" s="35">
        <v>67.634412813391407</v>
      </c>
      <c r="C727" s="35">
        <v>4.8072005456472198</v>
      </c>
      <c r="D727" s="35">
        <v>0.98445222624811501</v>
      </c>
      <c r="E727" s="35">
        <v>4.8831222252075497</v>
      </c>
      <c r="F727" s="40">
        <v>1.04419100145773E-6</v>
      </c>
      <c r="G727" s="35">
        <v>1.8411853282582501E-4</v>
      </c>
      <c r="H727" s="24" t="s">
        <v>10</v>
      </c>
      <c r="I727" s="24" t="s">
        <v>10</v>
      </c>
      <c r="J727" s="33" t="s">
        <v>10</v>
      </c>
      <c r="K727" s="33"/>
    </row>
    <row r="728" spans="1:11" x14ac:dyDescent="0.2">
      <c r="A728" s="35" t="s">
        <v>1075</v>
      </c>
      <c r="B728" s="35">
        <v>23.210888432817299</v>
      </c>
      <c r="C728" s="35">
        <v>3.70029823257553</v>
      </c>
      <c r="D728" s="35">
        <v>0.75811538262623501</v>
      </c>
      <c r="E728" s="35">
        <v>4.8809169651156497</v>
      </c>
      <c r="F728" s="40">
        <v>1.0559369881709099E-6</v>
      </c>
      <c r="G728" s="35">
        <v>1.8504972471678299E-4</v>
      </c>
      <c r="H728" s="24" t="s">
        <v>10</v>
      </c>
      <c r="I728" s="24" t="s">
        <v>10</v>
      </c>
      <c r="J728" s="33" t="s">
        <v>10</v>
      </c>
      <c r="K728" s="33"/>
    </row>
    <row r="729" spans="1:11" x14ac:dyDescent="0.2">
      <c r="A729" s="35" t="s">
        <v>1077</v>
      </c>
      <c r="B729" s="35">
        <v>151.804850076566</v>
      </c>
      <c r="C729" s="35">
        <v>2.0123295330781299</v>
      </c>
      <c r="D729" s="35">
        <v>0.41279612593910803</v>
      </c>
      <c r="E729" s="35">
        <v>4.8748750451572196</v>
      </c>
      <c r="F729" s="40">
        <v>1.08877349771227E-6</v>
      </c>
      <c r="G729" s="35">
        <v>1.9002859557327301E-4</v>
      </c>
      <c r="H729" s="24" t="s">
        <v>10</v>
      </c>
      <c r="I729" s="24" t="s">
        <v>10</v>
      </c>
      <c r="J729" s="33" t="s">
        <v>10</v>
      </c>
      <c r="K729" s="33"/>
    </row>
    <row r="730" spans="1:11" x14ac:dyDescent="0.2">
      <c r="A730" s="35" t="s">
        <v>1079</v>
      </c>
      <c r="B730" s="35">
        <v>2090.61990056679</v>
      </c>
      <c r="C730" s="35">
        <v>3.8232930960455702</v>
      </c>
      <c r="D730" s="35">
        <v>0.78485330317816504</v>
      </c>
      <c r="E730" s="35">
        <v>4.8713473977412498</v>
      </c>
      <c r="F730" s="40">
        <v>1.1083975447922501E-6</v>
      </c>
      <c r="G730" s="35">
        <v>1.9228122337142499E-4</v>
      </c>
      <c r="H730" s="29" t="s">
        <v>10</v>
      </c>
      <c r="I730" s="33" t="str">
        <f>VLOOKUP(A730,TableS5!A:J,9,FALSE)</f>
        <v xml:space="preserve">putative uncharacterized skeletal organic matrix protein 8-like </v>
      </c>
      <c r="J730" s="33" t="s">
        <v>10</v>
      </c>
      <c r="K730" s="33"/>
    </row>
    <row r="731" spans="1:11" x14ac:dyDescent="0.2">
      <c r="A731" s="35" t="s">
        <v>1082</v>
      </c>
      <c r="B731" s="35">
        <v>3017.2778132636599</v>
      </c>
      <c r="C731" s="35">
        <v>2.49648002014401</v>
      </c>
      <c r="D731" s="35">
        <v>0.512779184739102</v>
      </c>
      <c r="E731" s="35">
        <v>4.8685283928094796</v>
      </c>
      <c r="F731" s="40">
        <v>1.12432370632874E-6</v>
      </c>
      <c r="G731" s="35">
        <v>1.9425915691379301E-4</v>
      </c>
      <c r="H731" s="24" t="s">
        <v>10</v>
      </c>
      <c r="I731" s="33" t="str">
        <f>VLOOKUP(A731,TableS5!A:J,9,FALSE)</f>
        <v>small cysteine-rich protein 5-like</v>
      </c>
      <c r="J731" s="33" t="s">
        <v>10</v>
      </c>
      <c r="K731" s="33"/>
    </row>
    <row r="732" spans="1:11" x14ac:dyDescent="0.2">
      <c r="A732" s="35" t="s">
        <v>1085</v>
      </c>
      <c r="B732" s="35">
        <v>36.7293249283167</v>
      </c>
      <c r="C732" s="35">
        <v>4.5039160990561999</v>
      </c>
      <c r="D732" s="35">
        <v>0.92551610868394796</v>
      </c>
      <c r="E732" s="35">
        <v>4.8663832609684299</v>
      </c>
      <c r="F732" s="40">
        <v>1.1365900773861301E-6</v>
      </c>
      <c r="G732" s="35">
        <v>1.9557958618519501E-4</v>
      </c>
      <c r="H732" s="24" t="s">
        <v>10</v>
      </c>
      <c r="I732" s="24" t="s">
        <v>10</v>
      </c>
      <c r="J732" s="33" t="s">
        <v>10</v>
      </c>
      <c r="K732" s="33"/>
    </row>
    <row r="733" spans="1:11" x14ac:dyDescent="0.2">
      <c r="A733" s="35" t="s">
        <v>1088</v>
      </c>
      <c r="B733" s="35">
        <v>1814.6427778156101</v>
      </c>
      <c r="C733" s="35">
        <v>3.0385620145820398</v>
      </c>
      <c r="D733" s="35">
        <v>0.62544834355763801</v>
      </c>
      <c r="E733" s="35">
        <v>4.8582141848809899</v>
      </c>
      <c r="F733" s="40">
        <v>1.18449237848758E-6</v>
      </c>
      <c r="G733" s="35">
        <v>2.02475615425349E-4</v>
      </c>
      <c r="H733" s="24" t="s">
        <v>10</v>
      </c>
      <c r="I733" s="24" t="s">
        <v>10</v>
      </c>
      <c r="J733" s="33" t="s">
        <v>10</v>
      </c>
      <c r="K733" s="33"/>
    </row>
    <row r="734" spans="1:11" x14ac:dyDescent="0.2">
      <c r="A734" s="35" t="s">
        <v>1090</v>
      </c>
      <c r="B734" s="35">
        <v>5528.1901667432803</v>
      </c>
      <c r="C734" s="35">
        <v>2.2599700274505898</v>
      </c>
      <c r="D734" s="35">
        <v>0.46540292644714298</v>
      </c>
      <c r="E734" s="35">
        <v>4.8559428809420302</v>
      </c>
      <c r="F734" s="40">
        <v>1.1981523833883E-6</v>
      </c>
      <c r="G734" s="35">
        <v>2.03735729334529E-4</v>
      </c>
      <c r="H734" s="24" t="s">
        <v>871</v>
      </c>
      <c r="I734" s="24" t="s">
        <v>872</v>
      </c>
      <c r="J734" s="33" t="s">
        <v>3041</v>
      </c>
      <c r="K734" s="33"/>
    </row>
    <row r="735" spans="1:11" x14ac:dyDescent="0.2">
      <c r="A735" s="35" t="s">
        <v>1096</v>
      </c>
      <c r="B735" s="35">
        <v>119.20659373001</v>
      </c>
      <c r="C735" s="35">
        <v>2.5780783238291201</v>
      </c>
      <c r="D735" s="35">
        <v>0.53187549366849496</v>
      </c>
      <c r="E735" s="35">
        <v>4.8471462861493801</v>
      </c>
      <c r="F735" s="40">
        <v>1.2525007270017401E-6</v>
      </c>
      <c r="G735" s="35">
        <v>2.11719468362927E-4</v>
      </c>
      <c r="H735" s="24" t="s">
        <v>4148</v>
      </c>
      <c r="I735" s="24" t="s">
        <v>3903</v>
      </c>
      <c r="J735" s="33" t="s">
        <v>4037</v>
      </c>
      <c r="K735" s="33"/>
    </row>
    <row r="736" spans="1:11" x14ac:dyDescent="0.2">
      <c r="A736" s="35" t="s">
        <v>1098</v>
      </c>
      <c r="B736" s="35">
        <v>230.84829654102299</v>
      </c>
      <c r="C736" s="35">
        <v>2.8641947250157802</v>
      </c>
      <c r="D736" s="35">
        <v>0.59100151416950397</v>
      </c>
      <c r="E736" s="35">
        <v>4.84634075606498</v>
      </c>
      <c r="F736" s="40">
        <v>1.2575944230457999E-6</v>
      </c>
      <c r="G736" s="35">
        <v>2.1216285010091499E-4</v>
      </c>
      <c r="H736" s="29" t="s">
        <v>10</v>
      </c>
      <c r="I736" s="24" t="s">
        <v>3932</v>
      </c>
      <c r="J736" s="30" t="s">
        <v>10</v>
      </c>
      <c r="K736" s="33"/>
    </row>
    <row r="737" spans="1:11" x14ac:dyDescent="0.2">
      <c r="A737" s="35" t="s">
        <v>1100</v>
      </c>
      <c r="B737" s="35">
        <v>254.50631140253299</v>
      </c>
      <c r="C737" s="35">
        <v>4.2031379162642297</v>
      </c>
      <c r="D737" s="35">
        <v>0.86869266107570597</v>
      </c>
      <c r="E737" s="35">
        <v>4.8384637105825998</v>
      </c>
      <c r="F737" s="40">
        <v>1.3084658007968201E-6</v>
      </c>
      <c r="G737" s="35">
        <v>2.19445760284579E-4</v>
      </c>
      <c r="H737" s="24" t="s">
        <v>10</v>
      </c>
      <c r="I737" s="24" t="s">
        <v>10</v>
      </c>
      <c r="J737" s="30" t="s">
        <v>10</v>
      </c>
      <c r="K737" s="33"/>
    </row>
    <row r="738" spans="1:11" x14ac:dyDescent="0.2">
      <c r="A738" s="35" t="s">
        <v>1102</v>
      </c>
      <c r="B738" s="35">
        <v>25.196353531492001</v>
      </c>
      <c r="C738" s="35">
        <v>3.38472977213944</v>
      </c>
      <c r="D738" s="35">
        <v>0.69960168979947501</v>
      </c>
      <c r="E738" s="35">
        <v>4.8380811846089102</v>
      </c>
      <c r="F738" s="40">
        <v>1.31098595598035E-6</v>
      </c>
      <c r="G738" s="35">
        <v>2.19445760284579E-4</v>
      </c>
      <c r="H738" s="24" t="s">
        <v>10</v>
      </c>
      <c r="I738" s="24" t="s">
        <v>10</v>
      </c>
      <c r="J738" s="30" t="s">
        <v>10</v>
      </c>
      <c r="K738" s="33"/>
    </row>
    <row r="739" spans="1:11" x14ac:dyDescent="0.2">
      <c r="A739" s="35" t="s">
        <v>1105</v>
      </c>
      <c r="B739" s="35">
        <v>16550.371426842601</v>
      </c>
      <c r="C739" s="35">
        <v>3.0744071717949102</v>
      </c>
      <c r="D739" s="35">
        <v>0.63561138734817402</v>
      </c>
      <c r="E739" s="35">
        <v>4.8369290308369104</v>
      </c>
      <c r="F739" s="40">
        <v>1.3186048075579799E-6</v>
      </c>
      <c r="G739" s="35">
        <v>2.20291660369283E-4</v>
      </c>
      <c r="H739" s="29" t="s">
        <v>10</v>
      </c>
      <c r="I739" s="33" t="str">
        <f>VLOOKUP(A739,TableS5!A:J,9,FALSE)</f>
        <v>Predicted protein</v>
      </c>
      <c r="J739" s="30" t="s">
        <v>10</v>
      </c>
      <c r="K739" s="33"/>
    </row>
    <row r="740" spans="1:11" x14ac:dyDescent="0.2">
      <c r="A740" s="35" t="s">
        <v>1107</v>
      </c>
      <c r="B740" s="35">
        <v>18.456345299544701</v>
      </c>
      <c r="C740" s="35">
        <v>7.7991121142179303</v>
      </c>
      <c r="D740" s="35">
        <v>1.6128553893191899</v>
      </c>
      <c r="E740" s="35">
        <v>4.8355929278383902</v>
      </c>
      <c r="F740" s="40">
        <v>1.3274933928971E-6</v>
      </c>
      <c r="G740" s="35">
        <v>2.2134599056595499E-4</v>
      </c>
      <c r="H740" s="24" t="s">
        <v>10</v>
      </c>
      <c r="I740" s="24" t="s">
        <v>10</v>
      </c>
      <c r="J740" s="30" t="s">
        <v>10</v>
      </c>
      <c r="K740" s="33"/>
    </row>
    <row r="741" spans="1:11" x14ac:dyDescent="0.2">
      <c r="A741" s="35" t="s">
        <v>1109</v>
      </c>
      <c r="B741" s="35">
        <v>74.806341980314301</v>
      </c>
      <c r="C741" s="35">
        <v>2.7837834282764899</v>
      </c>
      <c r="D741" s="35">
        <v>0.57581348138577304</v>
      </c>
      <c r="E741" s="35">
        <v>4.8345228416273596</v>
      </c>
      <c r="F741" s="40">
        <v>1.3346538019879099E-6</v>
      </c>
      <c r="G741" s="35">
        <v>2.21949229006256E-4</v>
      </c>
      <c r="H741" s="24" t="s">
        <v>10</v>
      </c>
      <c r="I741" s="24" t="s">
        <v>10</v>
      </c>
      <c r="J741" s="33" t="s">
        <v>10</v>
      </c>
      <c r="K741" s="33"/>
    </row>
    <row r="742" spans="1:11" x14ac:dyDescent="0.2">
      <c r="A742" s="35" t="s">
        <v>1111</v>
      </c>
      <c r="B742" s="35">
        <v>2822.5358913571599</v>
      </c>
      <c r="C742" s="35">
        <v>2.1679047243802199</v>
      </c>
      <c r="D742" s="35">
        <v>0.44899919007185402</v>
      </c>
      <c r="E742" s="35">
        <v>4.82830430948726</v>
      </c>
      <c r="F742" s="40">
        <v>1.3770055850871399E-6</v>
      </c>
      <c r="G742" s="35">
        <v>2.2827190462744801E-4</v>
      </c>
      <c r="H742" s="24" t="s">
        <v>1114</v>
      </c>
      <c r="I742" s="29" t="s">
        <v>4212</v>
      </c>
      <c r="J742" s="33" t="s">
        <v>4082</v>
      </c>
      <c r="K742" s="33"/>
    </row>
    <row r="743" spans="1:11" x14ac:dyDescent="0.2">
      <c r="A743" s="35" t="s">
        <v>1116</v>
      </c>
      <c r="B743" s="35">
        <v>60.6159468141811</v>
      </c>
      <c r="C743" s="35">
        <v>4.6046174416937697</v>
      </c>
      <c r="D743" s="35">
        <v>0.95550600026882104</v>
      </c>
      <c r="E743" s="35">
        <v>4.8190356108682897</v>
      </c>
      <c r="F743" s="40">
        <v>1.44253806872031E-6</v>
      </c>
      <c r="G743" s="35">
        <v>2.3647422501022399E-4</v>
      </c>
      <c r="H743" s="24" t="s">
        <v>10</v>
      </c>
      <c r="I743" s="24" t="s">
        <v>10</v>
      </c>
      <c r="J743" s="33" t="s">
        <v>10</v>
      </c>
      <c r="K743" s="33"/>
    </row>
    <row r="744" spans="1:11" x14ac:dyDescent="0.2">
      <c r="A744" s="35" t="s">
        <v>1117</v>
      </c>
      <c r="B744" s="35">
        <v>30294.3298170538</v>
      </c>
      <c r="C744" s="35">
        <v>2.0114681413745901</v>
      </c>
      <c r="D744" s="35">
        <v>0.41743913455520698</v>
      </c>
      <c r="E744" s="35">
        <v>4.8185902443427304</v>
      </c>
      <c r="F744" s="40">
        <v>1.44576129462062E-6</v>
      </c>
      <c r="G744" s="35">
        <v>2.3647422501022399E-4</v>
      </c>
      <c r="H744" s="24" t="s">
        <v>1119</v>
      </c>
      <c r="I744" s="29" t="s">
        <v>4213</v>
      </c>
      <c r="J744" s="33" t="s">
        <v>4040</v>
      </c>
      <c r="K744" s="33"/>
    </row>
    <row r="745" spans="1:11" x14ac:dyDescent="0.2">
      <c r="A745" s="35" t="s">
        <v>1121</v>
      </c>
      <c r="B745" s="35">
        <v>7135.65788857801</v>
      </c>
      <c r="C745" s="35">
        <v>5.41513205045867</v>
      </c>
      <c r="D745" s="35">
        <v>1.12614397235131</v>
      </c>
      <c r="E745" s="35">
        <v>4.8085610573861501</v>
      </c>
      <c r="F745" s="40">
        <v>1.5202059809692299E-6</v>
      </c>
      <c r="G745" s="35">
        <v>2.4577332074368098E-4</v>
      </c>
      <c r="H745" s="24" t="s">
        <v>10</v>
      </c>
      <c r="I745" s="33" t="str">
        <f>VLOOKUP(A745,TableS5!A:J,9,FALSE)</f>
        <v>galaxin-like</v>
      </c>
      <c r="J745" s="33" t="s">
        <v>10</v>
      </c>
      <c r="K745" s="33"/>
    </row>
    <row r="746" spans="1:11" x14ac:dyDescent="0.2">
      <c r="A746" s="35" t="s">
        <v>1124</v>
      </c>
      <c r="B746" s="35">
        <v>333.26432604226</v>
      </c>
      <c r="C746" s="35">
        <v>2.1742997206936199</v>
      </c>
      <c r="D746" s="35">
        <v>0.452210287895767</v>
      </c>
      <c r="E746" s="35">
        <v>4.8081606696988599</v>
      </c>
      <c r="F746" s="40">
        <v>1.52325320271665E-6</v>
      </c>
      <c r="G746" s="35">
        <v>2.4577332074368098E-4</v>
      </c>
      <c r="H746" s="33" t="str">
        <f>VLOOKUP(A746,TableS5!A:J,8,FALSE)</f>
        <v>K15275</v>
      </c>
      <c r="I746" s="24" t="s">
        <v>10</v>
      </c>
      <c r="J746" s="33" t="s">
        <v>10</v>
      </c>
      <c r="K746" s="33"/>
    </row>
    <row r="747" spans="1:11" x14ac:dyDescent="0.2">
      <c r="A747" s="35" t="s">
        <v>1129</v>
      </c>
      <c r="B747" s="35">
        <v>228.025655331363</v>
      </c>
      <c r="C747" s="35">
        <v>4.8639475544444997</v>
      </c>
      <c r="D747" s="35">
        <v>1.0139955386606401</v>
      </c>
      <c r="E747" s="35">
        <v>4.7968135647511598</v>
      </c>
      <c r="F747" s="40">
        <v>1.6120951534547401E-6</v>
      </c>
      <c r="G747" s="35">
        <v>2.5820876424515599E-4</v>
      </c>
      <c r="H747" s="24" t="s">
        <v>10</v>
      </c>
      <c r="I747" s="24" t="s">
        <v>10</v>
      </c>
      <c r="J747" s="33" t="s">
        <v>10</v>
      </c>
      <c r="K747" s="33"/>
    </row>
    <row r="748" spans="1:11" x14ac:dyDescent="0.2">
      <c r="A748" s="35" t="s">
        <v>1131</v>
      </c>
      <c r="B748" s="35">
        <v>607.89679323829102</v>
      </c>
      <c r="C748" s="35">
        <v>3.4891218299618201</v>
      </c>
      <c r="D748" s="35">
        <v>0.72786252318741096</v>
      </c>
      <c r="E748" s="35">
        <v>4.7936550087542296</v>
      </c>
      <c r="F748" s="40">
        <v>1.6376980982454899E-6</v>
      </c>
      <c r="G748" s="35">
        <v>2.61169828940268E-4</v>
      </c>
      <c r="H748" s="24" t="s">
        <v>10</v>
      </c>
      <c r="I748" s="24" t="s">
        <v>10</v>
      </c>
      <c r="J748" s="33" t="s">
        <v>10</v>
      </c>
      <c r="K748" s="33"/>
    </row>
    <row r="749" spans="1:11" x14ac:dyDescent="0.2">
      <c r="A749" s="35" t="s">
        <v>1135</v>
      </c>
      <c r="B749" s="35">
        <v>36.892228090726199</v>
      </c>
      <c r="C749" s="35">
        <v>3.7254609774150498</v>
      </c>
      <c r="D749" s="35">
        <v>0.77858555269889096</v>
      </c>
      <c r="E749" s="35">
        <v>4.7849089473868398</v>
      </c>
      <c r="F749" s="40">
        <v>1.71064863698246E-6</v>
      </c>
      <c r="G749" s="35">
        <v>2.7002777409250098E-4</v>
      </c>
      <c r="H749" s="24" t="s">
        <v>10</v>
      </c>
      <c r="I749" s="24" t="s">
        <v>10</v>
      </c>
      <c r="J749" s="33" t="s">
        <v>10</v>
      </c>
      <c r="K749" s="33"/>
    </row>
    <row r="750" spans="1:11" x14ac:dyDescent="0.2">
      <c r="A750" s="35" t="s">
        <v>1139</v>
      </c>
      <c r="B750" s="35">
        <v>917.11033578616798</v>
      </c>
      <c r="C750" s="35">
        <v>2.0490039028270801</v>
      </c>
      <c r="D750" s="35">
        <v>0.42845597456204598</v>
      </c>
      <c r="E750" s="35">
        <v>4.7822974225566703</v>
      </c>
      <c r="F750" s="40">
        <v>1.7330300308989301E-6</v>
      </c>
      <c r="G750" s="35">
        <v>2.7206036889089902E-4</v>
      </c>
      <c r="H750" s="24" t="s">
        <v>10</v>
      </c>
      <c r="I750" s="24" t="s">
        <v>10</v>
      </c>
      <c r="J750" s="33" t="s">
        <v>10</v>
      </c>
      <c r="K750" s="33"/>
    </row>
    <row r="751" spans="1:11" x14ac:dyDescent="0.2">
      <c r="A751" s="35" t="s">
        <v>1141</v>
      </c>
      <c r="B751" s="35">
        <v>229.92661331203399</v>
      </c>
      <c r="C751" s="35">
        <v>2.06967878543816</v>
      </c>
      <c r="D751" s="35">
        <v>0.432963014862355</v>
      </c>
      <c r="E751" s="35">
        <v>4.7802669382652496</v>
      </c>
      <c r="F751" s="40">
        <v>1.75062596130041E-6</v>
      </c>
      <c r="G751" s="35">
        <v>2.7432117139202102E-4</v>
      </c>
      <c r="H751" s="24" t="s">
        <v>10</v>
      </c>
      <c r="I751" s="24" t="s">
        <v>10</v>
      </c>
      <c r="J751" s="33" t="s">
        <v>10</v>
      </c>
      <c r="K751" s="33"/>
    </row>
    <row r="752" spans="1:11" x14ac:dyDescent="0.2">
      <c r="A752" s="35" t="s">
        <v>1143</v>
      </c>
      <c r="B752" s="35">
        <v>64.833802956131706</v>
      </c>
      <c r="C752" s="35">
        <v>4.6099292350919097</v>
      </c>
      <c r="D752" s="35">
        <v>0.96545183602572604</v>
      </c>
      <c r="E752" s="35">
        <v>4.7748930221818604</v>
      </c>
      <c r="F752" s="40">
        <v>1.7980280895911601E-6</v>
      </c>
      <c r="G752" s="35">
        <v>2.81057698899945E-4</v>
      </c>
      <c r="H752" s="24" t="s">
        <v>10</v>
      </c>
      <c r="I752" s="24" t="s">
        <v>10</v>
      </c>
      <c r="J752" s="33" t="s">
        <v>10</v>
      </c>
      <c r="K752" s="33"/>
    </row>
    <row r="753" spans="1:11" x14ac:dyDescent="0.2">
      <c r="A753" s="35" t="s">
        <v>1145</v>
      </c>
      <c r="B753" s="35">
        <v>61.089428806610599</v>
      </c>
      <c r="C753" s="35">
        <v>3.4416684647188398</v>
      </c>
      <c r="D753" s="35">
        <v>0.72090938596975795</v>
      </c>
      <c r="E753" s="35">
        <v>4.7740652732508897</v>
      </c>
      <c r="F753" s="40">
        <v>1.80543822614551E-6</v>
      </c>
      <c r="G753" s="35">
        <v>2.8136984739989202E-4</v>
      </c>
      <c r="H753" s="24" t="s">
        <v>10</v>
      </c>
      <c r="I753" s="24" t="s">
        <v>10</v>
      </c>
      <c r="J753" s="33" t="s">
        <v>10</v>
      </c>
      <c r="K753" s="33"/>
    </row>
    <row r="754" spans="1:11" x14ac:dyDescent="0.2">
      <c r="A754" s="35" t="s">
        <v>1146</v>
      </c>
      <c r="B754" s="35">
        <v>134.401255761578</v>
      </c>
      <c r="C754" s="35">
        <v>2.8294233627454002</v>
      </c>
      <c r="D754" s="35">
        <v>0.59280376001686297</v>
      </c>
      <c r="E754" s="35">
        <v>4.7729511072347304</v>
      </c>
      <c r="F754" s="40">
        <v>1.81545875895159E-6</v>
      </c>
      <c r="G754" s="35">
        <v>2.8182422906948801E-4</v>
      </c>
      <c r="H754" s="24" t="s">
        <v>3109</v>
      </c>
      <c r="I754" s="33" t="str">
        <f>VLOOKUP(A754,TableS5!A:J,9,FALSE)</f>
        <v>TNF receptor-associated factor 3-like, partial</v>
      </c>
      <c r="J754" s="30" t="s">
        <v>10</v>
      </c>
      <c r="K754" s="33"/>
    </row>
    <row r="755" spans="1:11" x14ac:dyDescent="0.2">
      <c r="A755" s="35" t="s">
        <v>1149</v>
      </c>
      <c r="B755" s="35">
        <v>235.20323567451399</v>
      </c>
      <c r="C755" s="35">
        <v>4.58526202473411</v>
      </c>
      <c r="D755" s="35">
        <v>0.96110123730030195</v>
      </c>
      <c r="E755" s="35">
        <v>4.7708418705337801</v>
      </c>
      <c r="F755" s="40">
        <v>1.83457524907129E-6</v>
      </c>
      <c r="G755" s="35">
        <v>2.8385011029369398E-4</v>
      </c>
      <c r="H755" s="24" t="s">
        <v>10</v>
      </c>
      <c r="I755" s="24" t="s">
        <v>10</v>
      </c>
      <c r="J755" s="30" t="s">
        <v>10</v>
      </c>
      <c r="K755" s="33"/>
    </row>
    <row r="756" spans="1:11" x14ac:dyDescent="0.2">
      <c r="A756" s="35" t="s">
        <v>1150</v>
      </c>
      <c r="B756" s="35">
        <v>1365.89796692708</v>
      </c>
      <c r="C756" s="35">
        <v>2.0429421457713901</v>
      </c>
      <c r="D756" s="35">
        <v>0.42846351338321698</v>
      </c>
      <c r="E756" s="35">
        <v>4.76806561576268</v>
      </c>
      <c r="F756" s="40">
        <v>1.8600320898644101E-6</v>
      </c>
      <c r="G756" s="35">
        <v>2.86241604997754E-4</v>
      </c>
      <c r="H756" s="24" t="s">
        <v>4149</v>
      </c>
      <c r="I756" s="29" t="s">
        <v>4214</v>
      </c>
      <c r="J756" s="30" t="s">
        <v>10</v>
      </c>
      <c r="K756" s="33"/>
    </row>
    <row r="757" spans="1:11" x14ac:dyDescent="0.2">
      <c r="A757" s="35" t="s">
        <v>1151</v>
      </c>
      <c r="B757" s="35">
        <v>126.82676418649299</v>
      </c>
      <c r="C757" s="35">
        <v>3.2744908949290701</v>
      </c>
      <c r="D757" s="35">
        <v>0.68812978177593598</v>
      </c>
      <c r="E757" s="35">
        <v>4.7585368075164798</v>
      </c>
      <c r="F757" s="40">
        <v>1.9500133744262799E-6</v>
      </c>
      <c r="G757" s="35">
        <v>2.9848413275465E-4</v>
      </c>
      <c r="H757" s="24" t="s">
        <v>10</v>
      </c>
      <c r="I757" s="24" t="s">
        <v>10</v>
      </c>
      <c r="J757" s="30" t="s">
        <v>10</v>
      </c>
      <c r="K757" s="33"/>
    </row>
    <row r="758" spans="1:11" x14ac:dyDescent="0.2">
      <c r="A758" s="35" t="s">
        <v>1152</v>
      </c>
      <c r="B758" s="35">
        <v>92.339372784120997</v>
      </c>
      <c r="C758" s="35">
        <v>4.0004364761806404</v>
      </c>
      <c r="D758" s="35">
        <v>0.84127630982101798</v>
      </c>
      <c r="E758" s="35">
        <v>4.75519924842735</v>
      </c>
      <c r="F758" s="40">
        <v>1.98250792023469E-6</v>
      </c>
      <c r="G758" s="35">
        <v>3.0291803846703398E-4</v>
      </c>
      <c r="H758" s="24" t="s">
        <v>10</v>
      </c>
      <c r="I758" s="33" t="str">
        <f>VLOOKUP(A758,TableS5!A:J,9,FALSE)</f>
        <v>putative  VWFA and cache domain-containing protein 1-like</v>
      </c>
      <c r="J758" s="30" t="s">
        <v>10</v>
      </c>
      <c r="K758" s="33"/>
    </row>
    <row r="759" spans="1:11" x14ac:dyDescent="0.2">
      <c r="A759" s="35" t="s">
        <v>1154</v>
      </c>
      <c r="B759" s="35">
        <v>50.246114115339402</v>
      </c>
      <c r="C759" s="35">
        <v>3.7605837427073201</v>
      </c>
      <c r="D759" s="35">
        <v>0.79467911285523696</v>
      </c>
      <c r="E759" s="35">
        <v>4.7322040832251799</v>
      </c>
      <c r="F759" s="40">
        <v>2.22094945473261E-6</v>
      </c>
      <c r="G759" s="35">
        <v>3.3635829034805E-4</v>
      </c>
      <c r="H759" s="24" t="s">
        <v>10</v>
      </c>
      <c r="I759" s="24" t="s">
        <v>10</v>
      </c>
      <c r="J759" s="30" t="s">
        <v>10</v>
      </c>
      <c r="K759" s="33"/>
    </row>
    <row r="760" spans="1:11" x14ac:dyDescent="0.2">
      <c r="A760" s="35" t="s">
        <v>1155</v>
      </c>
      <c r="B760" s="35">
        <v>877.16581206728995</v>
      </c>
      <c r="C760" s="35">
        <v>3.1467079775839002</v>
      </c>
      <c r="D760" s="35">
        <v>0.66585822443544196</v>
      </c>
      <c r="E760" s="35">
        <v>4.7257927620431204</v>
      </c>
      <c r="F760" s="40">
        <v>2.29219327740321E-6</v>
      </c>
      <c r="G760" s="35">
        <v>3.45927818846909E-4</v>
      </c>
      <c r="H760" s="24" t="s">
        <v>3882</v>
      </c>
      <c r="I760" s="33" t="str">
        <f>VLOOKUP(A760,TableS5!A:J,9,FALSE)</f>
        <v>VWFA and cache domain-containing protein 1-like isoform X2</v>
      </c>
      <c r="J760" s="30" t="s">
        <v>10</v>
      </c>
      <c r="K760" s="33"/>
    </row>
    <row r="761" spans="1:11" x14ac:dyDescent="0.2">
      <c r="A761" s="35" t="s">
        <v>1157</v>
      </c>
      <c r="B761" s="35">
        <v>34.216784352590103</v>
      </c>
      <c r="C761" s="35">
        <v>2.6891180494384002</v>
      </c>
      <c r="D761" s="35">
        <v>0.56943032436274699</v>
      </c>
      <c r="E761" s="35">
        <v>4.7224707473171597</v>
      </c>
      <c r="F761" s="40">
        <v>2.3299661063722602E-6</v>
      </c>
      <c r="G761" s="35">
        <v>3.5101143775489898E-4</v>
      </c>
      <c r="H761" s="24" t="s">
        <v>4150</v>
      </c>
      <c r="I761" s="33" t="str">
        <f>VLOOKUP(A761,TableS5!A:J,9,FALSE)</f>
        <v>TNF receptor-associated factor 5-like, partial</v>
      </c>
      <c r="J761" s="30" t="s">
        <v>10</v>
      </c>
      <c r="K761" s="33"/>
    </row>
    <row r="762" spans="1:11" x14ac:dyDescent="0.2">
      <c r="A762" s="35" t="s">
        <v>1159</v>
      </c>
      <c r="B762" s="35">
        <v>42.500386045624097</v>
      </c>
      <c r="C762" s="35">
        <v>5.7533563171351201</v>
      </c>
      <c r="D762" s="35">
        <v>1.22019341360843</v>
      </c>
      <c r="E762" s="35">
        <v>4.7151183189236701</v>
      </c>
      <c r="F762" s="40">
        <v>2.4157033091810199E-6</v>
      </c>
      <c r="G762" s="35">
        <v>3.6208290065471699E-4</v>
      </c>
      <c r="H762" s="24" t="s">
        <v>10</v>
      </c>
      <c r="I762" s="24" t="s">
        <v>10</v>
      </c>
      <c r="J762" s="30" t="s">
        <v>10</v>
      </c>
      <c r="K762" s="33"/>
    </row>
    <row r="763" spans="1:11" x14ac:dyDescent="0.2">
      <c r="A763" s="35" t="s">
        <v>1160</v>
      </c>
      <c r="B763" s="35">
        <v>136.32631844533</v>
      </c>
      <c r="C763" s="35">
        <v>2.34032213785789</v>
      </c>
      <c r="D763" s="35">
        <v>0.49680912652049503</v>
      </c>
      <c r="E763" s="35">
        <v>4.71070681460467</v>
      </c>
      <c r="F763" s="40">
        <v>2.4685914811297801E-6</v>
      </c>
      <c r="G763" s="35">
        <v>3.6866159839320901E-4</v>
      </c>
      <c r="H763" s="24" t="s">
        <v>10</v>
      </c>
      <c r="I763" s="24" t="s">
        <v>10</v>
      </c>
      <c r="J763" s="30" t="s">
        <v>10</v>
      </c>
      <c r="K763" s="33"/>
    </row>
    <row r="764" spans="1:11" x14ac:dyDescent="0.2">
      <c r="A764" s="35" t="s">
        <v>1161</v>
      </c>
      <c r="B764" s="35">
        <v>54.583317319483399</v>
      </c>
      <c r="C764" s="35">
        <v>2.5920037173260799</v>
      </c>
      <c r="D764" s="35">
        <v>0.55053296765113002</v>
      </c>
      <c r="E764" s="35">
        <v>4.70817166206223</v>
      </c>
      <c r="F764" s="40">
        <v>2.49948571983369E-6</v>
      </c>
      <c r="G764" s="35">
        <v>3.72180055496143E-4</v>
      </c>
      <c r="H764" s="24" t="s">
        <v>10</v>
      </c>
      <c r="I764" s="24" t="s">
        <v>10</v>
      </c>
      <c r="J764" s="30" t="s">
        <v>10</v>
      </c>
      <c r="K764" s="33"/>
    </row>
    <row r="765" spans="1:11" x14ac:dyDescent="0.2">
      <c r="A765" s="35" t="s">
        <v>1162</v>
      </c>
      <c r="B765" s="35">
        <v>1583.57532734861</v>
      </c>
      <c r="C765" s="35">
        <v>2.2443595399343699</v>
      </c>
      <c r="D765" s="35">
        <v>0.47678961513287699</v>
      </c>
      <c r="E765" s="35">
        <v>4.7072324327133002</v>
      </c>
      <c r="F765" s="40">
        <v>2.51102544122766E-6</v>
      </c>
      <c r="G765" s="35">
        <v>3.73052362739897E-4</v>
      </c>
      <c r="H765" s="29" t="s">
        <v>10</v>
      </c>
      <c r="I765" s="33" t="str">
        <f>VLOOKUP(A765,TableS5!A:J,9,FALSE)</f>
        <v>tetratricopeptide repeat protein 38-like isoform X1</v>
      </c>
      <c r="J765" s="30" t="s">
        <v>10</v>
      </c>
      <c r="K765" s="33"/>
    </row>
    <row r="766" spans="1:11" x14ac:dyDescent="0.2">
      <c r="A766" s="35" t="s">
        <v>1164</v>
      </c>
      <c r="B766" s="35">
        <v>66.235769394725097</v>
      </c>
      <c r="C766" s="35">
        <v>4.2068635215399501</v>
      </c>
      <c r="D766" s="35">
        <v>0.89408184739144303</v>
      </c>
      <c r="E766" s="35">
        <v>4.7052331213454499</v>
      </c>
      <c r="F766" s="40">
        <v>2.53576026344252E-6</v>
      </c>
      <c r="G766" s="35">
        <v>3.7607645869097201E-4</v>
      </c>
      <c r="H766" s="24" t="s">
        <v>4151</v>
      </c>
      <c r="I766" s="33" t="str">
        <f>VLOOKUP(A766,TableS5!A:J,9,FALSE)</f>
        <v xml:space="preserve">fibroblast growth factor receptor 4-like </v>
      </c>
      <c r="J766" s="30" t="s">
        <v>10</v>
      </c>
      <c r="K766" s="33"/>
    </row>
    <row r="767" spans="1:11" x14ac:dyDescent="0.2">
      <c r="A767" s="35" t="s">
        <v>1165</v>
      </c>
      <c r="B767" s="35">
        <v>276.74325266223099</v>
      </c>
      <c r="C767" s="35">
        <v>2.8726700984219402</v>
      </c>
      <c r="D767" s="35">
        <v>0.61119450148572096</v>
      </c>
      <c r="E767" s="35">
        <v>4.7000915280470004</v>
      </c>
      <c r="F767" s="40">
        <v>2.6004491232871799E-6</v>
      </c>
      <c r="G767" s="35">
        <v>3.8434279976900702E-4</v>
      </c>
      <c r="H767" s="24" t="s">
        <v>10</v>
      </c>
      <c r="I767" s="24" t="s">
        <v>10</v>
      </c>
      <c r="J767" s="30" t="s">
        <v>10</v>
      </c>
      <c r="K767" s="33"/>
    </row>
    <row r="768" spans="1:11" x14ac:dyDescent="0.2">
      <c r="A768" s="35" t="s">
        <v>1166</v>
      </c>
      <c r="B768" s="35">
        <v>136.98345569518801</v>
      </c>
      <c r="C768" s="35">
        <v>2.6485655515355999</v>
      </c>
      <c r="D768" s="35">
        <v>0.56425941627473197</v>
      </c>
      <c r="E768" s="35">
        <v>4.6938792249521599</v>
      </c>
      <c r="F768" s="40">
        <v>2.68072337795626E-6</v>
      </c>
      <c r="G768" s="35">
        <v>3.9503118968509099E-4</v>
      </c>
      <c r="H768" s="24" t="s">
        <v>10</v>
      </c>
      <c r="I768" s="24" t="s">
        <v>10</v>
      </c>
      <c r="J768" s="30" t="s">
        <v>10</v>
      </c>
      <c r="K768" s="33"/>
    </row>
    <row r="769" spans="1:11" x14ac:dyDescent="0.2">
      <c r="A769" s="35" t="s">
        <v>1167</v>
      </c>
      <c r="B769" s="35">
        <v>768.14597532940297</v>
      </c>
      <c r="C769" s="35">
        <v>3.89362615528223</v>
      </c>
      <c r="D769" s="35">
        <v>0.82952812160971301</v>
      </c>
      <c r="E769" s="35">
        <v>4.6937843984440102</v>
      </c>
      <c r="F769" s="40">
        <v>2.68196694560921E-6</v>
      </c>
      <c r="G769" s="35">
        <v>3.9503118968509099E-4</v>
      </c>
      <c r="H769" s="24" t="s">
        <v>3104</v>
      </c>
      <c r="I769" s="24" t="s">
        <v>3949</v>
      </c>
      <c r="J769" s="33" t="s">
        <v>3072</v>
      </c>
      <c r="K769" s="33"/>
    </row>
    <row r="770" spans="1:11" x14ac:dyDescent="0.2">
      <c r="A770" s="35" t="s">
        <v>1168</v>
      </c>
      <c r="B770" s="35">
        <v>59.632632495857798</v>
      </c>
      <c r="C770" s="35">
        <v>3.8656987556167999</v>
      </c>
      <c r="D770" s="35">
        <v>0.82496842841862505</v>
      </c>
      <c r="E770" s="35">
        <v>4.6858747831440404</v>
      </c>
      <c r="F770" s="40">
        <v>2.7876666697017E-6</v>
      </c>
      <c r="G770" s="35">
        <v>4.07801915832973E-4</v>
      </c>
      <c r="H770" s="24" t="s">
        <v>10</v>
      </c>
      <c r="I770" s="24" t="s">
        <v>10</v>
      </c>
      <c r="J770" s="33" t="s">
        <v>10</v>
      </c>
      <c r="K770" s="33"/>
    </row>
    <row r="771" spans="1:11" x14ac:dyDescent="0.2">
      <c r="A771" s="35" t="s">
        <v>1169</v>
      </c>
      <c r="B771" s="35">
        <v>708.169089387898</v>
      </c>
      <c r="C771" s="35">
        <v>3.7906872150269</v>
      </c>
      <c r="D771" s="35">
        <v>0.80964979407475901</v>
      </c>
      <c r="E771" s="35">
        <v>4.6818849862844303</v>
      </c>
      <c r="F771" s="40">
        <v>2.8424895715347199E-6</v>
      </c>
      <c r="G771" s="35">
        <v>4.1511466326064298E-4</v>
      </c>
      <c r="H771" s="24" t="s">
        <v>10</v>
      </c>
      <c r="I771" s="24" t="s">
        <v>10</v>
      </c>
      <c r="J771" s="33" t="s">
        <v>10</v>
      </c>
      <c r="K771" s="33"/>
    </row>
    <row r="772" spans="1:11" x14ac:dyDescent="0.2">
      <c r="A772" s="35" t="s">
        <v>1170</v>
      </c>
      <c r="B772" s="35">
        <v>40.907589035862301</v>
      </c>
      <c r="C772" s="35">
        <v>2.4922828805004098</v>
      </c>
      <c r="D772" s="35">
        <v>0.53344974607024498</v>
      </c>
      <c r="E772" s="35">
        <v>4.6720106230441898</v>
      </c>
      <c r="F772" s="40">
        <v>2.9826552932392002E-6</v>
      </c>
      <c r="G772" s="35">
        <v>4.3118449947094901E-4</v>
      </c>
      <c r="H772" s="24" t="s">
        <v>10</v>
      </c>
      <c r="I772" s="24" t="s">
        <v>10</v>
      </c>
      <c r="J772" s="33" t="s">
        <v>10</v>
      </c>
      <c r="K772" s="33"/>
    </row>
    <row r="773" spans="1:11" x14ac:dyDescent="0.2">
      <c r="A773" s="35" t="s">
        <v>1171</v>
      </c>
      <c r="B773" s="35">
        <v>22.461036669248401</v>
      </c>
      <c r="C773" s="35">
        <v>3.6303286414712801</v>
      </c>
      <c r="D773" s="35">
        <v>0.77724451375797499</v>
      </c>
      <c r="E773" s="35">
        <v>4.6707677921310102</v>
      </c>
      <c r="F773" s="40">
        <v>3.0007600327074E-6</v>
      </c>
      <c r="G773" s="35">
        <v>4.3162188403453398E-4</v>
      </c>
      <c r="H773" s="24" t="s">
        <v>10</v>
      </c>
      <c r="I773" s="24" t="s">
        <v>10</v>
      </c>
      <c r="J773" s="33" t="s">
        <v>10</v>
      </c>
      <c r="K773" s="33"/>
    </row>
    <row r="774" spans="1:11" x14ac:dyDescent="0.2">
      <c r="A774" s="35" t="s">
        <v>1172</v>
      </c>
      <c r="B774" s="35">
        <v>77.359587869892295</v>
      </c>
      <c r="C774" s="35">
        <v>3.5089843187902301</v>
      </c>
      <c r="D774" s="35">
        <v>0.75154670291325298</v>
      </c>
      <c r="E774" s="35">
        <v>4.66901698216253</v>
      </c>
      <c r="F774" s="40">
        <v>3.0264436397258E-6</v>
      </c>
      <c r="G774" s="35">
        <v>4.3313956964482402E-4</v>
      </c>
      <c r="H774" s="24" t="s">
        <v>10</v>
      </c>
      <c r="I774" s="24" t="s">
        <v>10</v>
      </c>
      <c r="J774" s="33" t="s">
        <v>10</v>
      </c>
      <c r="K774" s="33"/>
    </row>
    <row r="775" spans="1:11" x14ac:dyDescent="0.2">
      <c r="A775" s="35" t="s">
        <v>1173</v>
      </c>
      <c r="B775" s="35">
        <v>12616.2328217547</v>
      </c>
      <c r="C775" s="35">
        <v>2.5352793214099898</v>
      </c>
      <c r="D775" s="35">
        <v>0.54405294930925696</v>
      </c>
      <c r="E775" s="35">
        <v>4.65998635726329</v>
      </c>
      <c r="F775" s="40">
        <v>3.1623034289937301E-6</v>
      </c>
      <c r="G775" s="35">
        <v>4.5033193656902301E-4</v>
      </c>
      <c r="H775" s="24" t="s">
        <v>10</v>
      </c>
      <c r="I775" s="33" t="str">
        <f>VLOOKUP(A775,TableS5!A:J,9,FALSE)</f>
        <v>Uncharacterized protein</v>
      </c>
      <c r="J775" s="33" t="s">
        <v>10</v>
      </c>
      <c r="K775" s="33"/>
    </row>
    <row r="776" spans="1:11" x14ac:dyDescent="0.2">
      <c r="A776" s="35" t="s">
        <v>1175</v>
      </c>
      <c r="B776" s="35">
        <v>29.1653473283707</v>
      </c>
      <c r="C776" s="35">
        <v>2.7805090364796698</v>
      </c>
      <c r="D776" s="35">
        <v>0.59753771298514702</v>
      </c>
      <c r="E776" s="35">
        <v>4.6532779037308796</v>
      </c>
      <c r="F776" s="40">
        <v>3.2669946267969801E-6</v>
      </c>
      <c r="G776" s="35">
        <v>4.6447035694980698E-4</v>
      </c>
      <c r="H776" s="24" t="s">
        <v>10</v>
      </c>
      <c r="I776" s="24" t="s">
        <v>10</v>
      </c>
      <c r="J776" s="33" t="s">
        <v>10</v>
      </c>
      <c r="K776" s="33"/>
    </row>
    <row r="777" spans="1:11" x14ac:dyDescent="0.2">
      <c r="A777" s="35" t="s">
        <v>1176</v>
      </c>
      <c r="B777" s="35">
        <v>422.95337484292298</v>
      </c>
      <c r="C777" s="35">
        <v>2.0290972543771901</v>
      </c>
      <c r="D777" s="35">
        <v>0.43642378226484801</v>
      </c>
      <c r="E777" s="35">
        <v>4.6493736978472198</v>
      </c>
      <c r="F777" s="40">
        <v>3.3294449156575401E-6</v>
      </c>
      <c r="G777" s="35">
        <v>4.69462667245367E-4</v>
      </c>
      <c r="H777" s="24" t="s">
        <v>10</v>
      </c>
      <c r="I777" s="24" t="s">
        <v>10</v>
      </c>
      <c r="J777" s="33" t="s">
        <v>10</v>
      </c>
      <c r="K777" s="33"/>
    </row>
    <row r="778" spans="1:11" x14ac:dyDescent="0.2">
      <c r="A778" s="35" t="s">
        <v>1177</v>
      </c>
      <c r="B778" s="35">
        <v>194.38791929972601</v>
      </c>
      <c r="C778" s="35">
        <v>3.27115765001209</v>
      </c>
      <c r="D778" s="35">
        <v>0.70475851042178805</v>
      </c>
      <c r="E778" s="35">
        <v>4.6415298313380502</v>
      </c>
      <c r="F778" s="40">
        <v>3.45839079873576E-6</v>
      </c>
      <c r="G778" s="35">
        <v>4.8414646335766899E-4</v>
      </c>
      <c r="H778" s="24" t="s">
        <v>10</v>
      </c>
      <c r="I778" s="24" t="s">
        <v>10</v>
      </c>
      <c r="J778" s="33" t="s">
        <v>10</v>
      </c>
      <c r="K778" s="33"/>
    </row>
    <row r="779" spans="1:11" x14ac:dyDescent="0.2">
      <c r="A779" s="35" t="s">
        <v>1178</v>
      </c>
      <c r="B779" s="35">
        <v>145.14655511336699</v>
      </c>
      <c r="C779" s="35">
        <v>2.5158760939531399</v>
      </c>
      <c r="D779" s="35">
        <v>0.54206410806418903</v>
      </c>
      <c r="E779" s="35">
        <v>4.6412888374731001</v>
      </c>
      <c r="F779" s="40">
        <v>3.4624273680347799E-6</v>
      </c>
      <c r="G779" s="35">
        <v>4.8414646335766899E-4</v>
      </c>
      <c r="H779" s="24" t="s">
        <v>10</v>
      </c>
      <c r="I779" s="24" t="s">
        <v>10</v>
      </c>
      <c r="J779" s="33" t="s">
        <v>10</v>
      </c>
      <c r="K779" s="33"/>
    </row>
    <row r="780" spans="1:11" x14ac:dyDescent="0.2">
      <c r="A780" s="35" t="s">
        <v>1179</v>
      </c>
      <c r="B780" s="35">
        <v>513.51378637421999</v>
      </c>
      <c r="C780" s="35">
        <v>4.4708972250582599</v>
      </c>
      <c r="D780" s="35">
        <v>0.96334955047256998</v>
      </c>
      <c r="E780" s="35">
        <v>4.6409916554848296</v>
      </c>
      <c r="F780" s="40">
        <v>3.4674112909476602E-6</v>
      </c>
      <c r="G780" s="35">
        <v>4.8414646335766899E-4</v>
      </c>
      <c r="H780" s="24" t="s">
        <v>10</v>
      </c>
      <c r="I780" s="24" t="s">
        <v>10</v>
      </c>
      <c r="J780" s="33" t="s">
        <v>10</v>
      </c>
      <c r="K780" s="33"/>
    </row>
    <row r="781" spans="1:11" x14ac:dyDescent="0.2">
      <c r="A781" s="35" t="s">
        <v>1180</v>
      </c>
      <c r="B781" s="35">
        <v>1041.4144668178701</v>
      </c>
      <c r="C781" s="35">
        <v>2.4062871248595301</v>
      </c>
      <c r="D781" s="35">
        <v>0.51907715599751503</v>
      </c>
      <c r="E781" s="35">
        <v>4.6357022208679997</v>
      </c>
      <c r="F781" s="40">
        <v>3.5572776190324198E-6</v>
      </c>
      <c r="G781" s="35">
        <v>4.9354642473531905E-4</v>
      </c>
      <c r="H781" s="24" t="s">
        <v>10</v>
      </c>
      <c r="I781" s="24" t="s">
        <v>10</v>
      </c>
      <c r="J781" s="33" t="s">
        <v>10</v>
      </c>
      <c r="K781" s="33"/>
    </row>
    <row r="782" spans="1:11" x14ac:dyDescent="0.2">
      <c r="A782" s="35" t="s">
        <v>1181</v>
      </c>
      <c r="B782" s="35">
        <v>278.82843993119201</v>
      </c>
      <c r="C782" s="35">
        <v>3.0858982245284898</v>
      </c>
      <c r="D782" s="35">
        <v>0.66787863607379605</v>
      </c>
      <c r="E782" s="35">
        <v>4.6204475751302798</v>
      </c>
      <c r="F782" s="40">
        <v>3.8291309354979702E-6</v>
      </c>
      <c r="G782" s="35">
        <v>5.2609808409943403E-4</v>
      </c>
      <c r="H782" s="24" t="s">
        <v>10</v>
      </c>
      <c r="I782" s="24" t="s">
        <v>10</v>
      </c>
      <c r="J782" s="33" t="s">
        <v>10</v>
      </c>
      <c r="K782" s="33"/>
    </row>
    <row r="783" spans="1:11" x14ac:dyDescent="0.2">
      <c r="A783" s="35" t="s">
        <v>1182</v>
      </c>
      <c r="B783" s="35">
        <v>29.221660251295202</v>
      </c>
      <c r="C783" s="35">
        <v>2.9209550379914102</v>
      </c>
      <c r="D783" s="35">
        <v>0.63309090067733598</v>
      </c>
      <c r="E783" s="35">
        <v>4.6138003797974596</v>
      </c>
      <c r="F783" s="40">
        <v>3.9537217284412898E-6</v>
      </c>
      <c r="G783" s="35">
        <v>5.3976158750871598E-4</v>
      </c>
      <c r="H783" s="24" t="s">
        <v>4152</v>
      </c>
      <c r="I783" s="24" t="s">
        <v>3904</v>
      </c>
      <c r="J783" s="33" t="s">
        <v>4038</v>
      </c>
      <c r="K783" s="33"/>
    </row>
    <row r="784" spans="1:11" x14ac:dyDescent="0.2">
      <c r="A784" s="35" t="s">
        <v>1183</v>
      </c>
      <c r="B784" s="35">
        <v>61.581796930026101</v>
      </c>
      <c r="C784" s="35">
        <v>3.1492177234552701</v>
      </c>
      <c r="D784" s="35">
        <v>0.68321889137439096</v>
      </c>
      <c r="E784" s="35">
        <v>4.6093832638617096</v>
      </c>
      <c r="F784" s="40">
        <v>4.0386522132012399E-6</v>
      </c>
      <c r="G784" s="35">
        <v>5.4644949475669803E-4</v>
      </c>
      <c r="H784" s="24" t="s">
        <v>10</v>
      </c>
      <c r="I784" s="24" t="s">
        <v>10</v>
      </c>
      <c r="J784" s="33" t="s">
        <v>10</v>
      </c>
      <c r="K784" s="33"/>
    </row>
    <row r="785" spans="1:11" x14ac:dyDescent="0.2">
      <c r="A785" s="35" t="s">
        <v>1184</v>
      </c>
      <c r="B785" s="35">
        <v>5325.5374377400303</v>
      </c>
      <c r="C785" s="35">
        <v>3.7420152073315198</v>
      </c>
      <c r="D785" s="35">
        <v>0.81184587576810396</v>
      </c>
      <c r="E785" s="35">
        <v>4.6092679891871402</v>
      </c>
      <c r="F785" s="40">
        <v>4.0408919096144596E-6</v>
      </c>
      <c r="G785" s="35">
        <v>5.4644949475669803E-4</v>
      </c>
      <c r="H785" s="29" t="s">
        <v>10</v>
      </c>
      <c r="I785" s="24" t="s">
        <v>4024</v>
      </c>
      <c r="J785" s="30" t="s">
        <v>10</v>
      </c>
      <c r="K785" s="33"/>
    </row>
    <row r="786" spans="1:11" x14ac:dyDescent="0.2">
      <c r="A786" s="35" t="s">
        <v>1185</v>
      </c>
      <c r="B786" s="35">
        <v>36.053014456495802</v>
      </c>
      <c r="C786" s="35">
        <v>4.0124866612949397</v>
      </c>
      <c r="D786" s="35">
        <v>0.87295050579657296</v>
      </c>
      <c r="E786" s="35">
        <v>4.5964652459116397</v>
      </c>
      <c r="F786" s="40">
        <v>4.2971861041381702E-6</v>
      </c>
      <c r="G786" s="35">
        <v>5.7747052887081201E-4</v>
      </c>
      <c r="H786" s="24" t="s">
        <v>10</v>
      </c>
      <c r="I786" s="24" t="s">
        <v>10</v>
      </c>
      <c r="J786" s="33" t="s">
        <v>10</v>
      </c>
      <c r="K786" s="33"/>
    </row>
    <row r="787" spans="1:11" x14ac:dyDescent="0.2">
      <c r="A787" s="35" t="s">
        <v>1186</v>
      </c>
      <c r="B787" s="35">
        <v>315.91255677678703</v>
      </c>
      <c r="C787" s="35">
        <v>2.9164901871255799</v>
      </c>
      <c r="D787" s="35">
        <v>0.63655514010224701</v>
      </c>
      <c r="E787" s="35">
        <v>4.5816772238413197</v>
      </c>
      <c r="F787" s="40">
        <v>4.6126146292686697E-6</v>
      </c>
      <c r="G787" s="35">
        <v>6.1504632116448699E-4</v>
      </c>
      <c r="H787" s="24" t="s">
        <v>10</v>
      </c>
      <c r="I787" s="24" t="s">
        <v>10</v>
      </c>
      <c r="J787" s="33" t="s">
        <v>10</v>
      </c>
      <c r="K787" s="33"/>
    </row>
    <row r="788" spans="1:11" x14ac:dyDescent="0.2">
      <c r="A788" s="35" t="s">
        <v>1187</v>
      </c>
      <c r="B788" s="35">
        <v>42.291930453173102</v>
      </c>
      <c r="C788" s="35">
        <v>3.1740953106448999</v>
      </c>
      <c r="D788" s="35">
        <v>0.69323757731969504</v>
      </c>
      <c r="E788" s="35">
        <v>4.5786544389545201</v>
      </c>
      <c r="F788" s="40">
        <v>4.6797657655333604E-6</v>
      </c>
      <c r="G788" s="35">
        <v>6.2303281558467405E-4</v>
      </c>
      <c r="H788" s="24" t="s">
        <v>10</v>
      </c>
      <c r="I788" s="24" t="s">
        <v>10</v>
      </c>
      <c r="J788" s="33" t="s">
        <v>10</v>
      </c>
      <c r="K788" s="33"/>
    </row>
    <row r="789" spans="1:11" x14ac:dyDescent="0.2">
      <c r="A789" s="35" t="s">
        <v>1188</v>
      </c>
      <c r="B789" s="35">
        <v>1159.78677771102</v>
      </c>
      <c r="C789" s="35">
        <v>2.7058178859291999</v>
      </c>
      <c r="D789" s="35">
        <v>0.59220853154944797</v>
      </c>
      <c r="E789" s="35">
        <v>4.5690288838793496</v>
      </c>
      <c r="F789" s="40">
        <v>4.8998925957597003E-6</v>
      </c>
      <c r="G789" s="35">
        <v>6.5032253027895101E-4</v>
      </c>
      <c r="H789" s="24" t="s">
        <v>10</v>
      </c>
      <c r="I789" s="24" t="s">
        <v>10</v>
      </c>
      <c r="J789" s="33" t="s">
        <v>10</v>
      </c>
      <c r="K789" s="33"/>
    </row>
    <row r="790" spans="1:11" x14ac:dyDescent="0.2">
      <c r="A790" s="35" t="s">
        <v>1189</v>
      </c>
      <c r="B790" s="35">
        <v>163.43879919541101</v>
      </c>
      <c r="C790" s="35">
        <v>2.4548476673678699</v>
      </c>
      <c r="D790" s="35">
        <v>0.53732065040959098</v>
      </c>
      <c r="E790" s="35">
        <v>4.5686829000459603</v>
      </c>
      <c r="F790" s="40">
        <v>4.9079866843725097E-6</v>
      </c>
      <c r="G790" s="35">
        <v>6.5039155026813602E-4</v>
      </c>
      <c r="H790" s="24" t="s">
        <v>4153</v>
      </c>
      <c r="I790" s="33" t="str">
        <f>VLOOKUP(A790,TableS5!A:J,9,FALSE)</f>
        <v>putative mucin-3A-like</v>
      </c>
      <c r="J790" s="33" t="s">
        <v>4091</v>
      </c>
      <c r="K790" s="33"/>
    </row>
    <row r="791" spans="1:11" x14ac:dyDescent="0.2">
      <c r="A791" s="35" t="s">
        <v>1191</v>
      </c>
      <c r="B791" s="35">
        <v>51.147817524174499</v>
      </c>
      <c r="C791" s="35">
        <v>3.71040243182245</v>
      </c>
      <c r="D791" s="35">
        <v>0.81486227218588603</v>
      </c>
      <c r="E791" s="35">
        <v>4.5534105068691098</v>
      </c>
      <c r="F791" s="40">
        <v>5.2783131549923101E-6</v>
      </c>
      <c r="G791" s="35">
        <v>6.9144777904741098E-4</v>
      </c>
      <c r="H791" s="24" t="s">
        <v>10</v>
      </c>
      <c r="I791" s="33" t="str">
        <f>VLOOKUP(A791,TableS5!A:J,9,FALSE)</f>
        <v>ephrin type-A receptor 4-like</v>
      </c>
      <c r="J791" s="33" t="s">
        <v>10</v>
      </c>
      <c r="K791" s="33"/>
    </row>
    <row r="792" spans="1:11" x14ac:dyDescent="0.2">
      <c r="A792" s="35" t="s">
        <v>1192</v>
      </c>
      <c r="B792" s="35">
        <v>58.384813511331501</v>
      </c>
      <c r="C792" s="35">
        <v>2.3310745014535099</v>
      </c>
      <c r="D792" s="35">
        <v>0.51195784013452705</v>
      </c>
      <c r="E792" s="35">
        <v>4.5532548165313198</v>
      </c>
      <c r="F792" s="40">
        <v>5.2822226718578104E-6</v>
      </c>
      <c r="G792" s="35">
        <v>6.9144777904741098E-4</v>
      </c>
      <c r="H792" s="24" t="s">
        <v>10</v>
      </c>
      <c r="I792" s="33" t="str">
        <f>VLOOKUP(A792,TableS5!A:J,9,FALSE)</f>
        <v>coadhesin-like, partial</v>
      </c>
      <c r="J792" s="33" t="s">
        <v>10</v>
      </c>
      <c r="K792" s="33"/>
    </row>
    <row r="793" spans="1:11" x14ac:dyDescent="0.2">
      <c r="A793" s="35" t="s">
        <v>1194</v>
      </c>
      <c r="B793" s="35">
        <v>1198.9652318329299</v>
      </c>
      <c r="C793" s="35">
        <v>4.12931732742096</v>
      </c>
      <c r="D793" s="35">
        <v>0.90748717968756198</v>
      </c>
      <c r="E793" s="35">
        <v>4.5502762130949801</v>
      </c>
      <c r="F793" s="40">
        <v>5.3575540223149697E-6</v>
      </c>
      <c r="G793" s="35">
        <v>6.9917708427083395E-4</v>
      </c>
      <c r="H793" s="24" t="s">
        <v>10</v>
      </c>
      <c r="I793" s="24" t="s">
        <v>10</v>
      </c>
      <c r="J793" s="33" t="s">
        <v>10</v>
      </c>
      <c r="K793" s="33"/>
    </row>
    <row r="794" spans="1:11" x14ac:dyDescent="0.2">
      <c r="A794" s="35" t="s">
        <v>1195</v>
      </c>
      <c r="B794" s="35">
        <v>253.06144522336501</v>
      </c>
      <c r="C794" s="35">
        <v>4.0123368896054998</v>
      </c>
      <c r="D794" s="35">
        <v>0.882461010304601</v>
      </c>
      <c r="E794" s="35">
        <v>4.5467582621248601</v>
      </c>
      <c r="F794" s="40">
        <v>5.4478509590979802E-6</v>
      </c>
      <c r="G794" s="35">
        <v>7.08806681376823E-4</v>
      </c>
      <c r="H794" s="24" t="s">
        <v>10</v>
      </c>
      <c r="I794" s="24" t="s">
        <v>10</v>
      </c>
      <c r="J794" s="33" t="s">
        <v>10</v>
      </c>
      <c r="K794" s="33"/>
    </row>
    <row r="795" spans="1:11" x14ac:dyDescent="0.2">
      <c r="A795" s="35" t="s">
        <v>1196</v>
      </c>
      <c r="B795" s="35">
        <v>107.016197542135</v>
      </c>
      <c r="C795" s="35">
        <v>5.79722834615455</v>
      </c>
      <c r="D795" s="35">
        <v>1.27546924942665</v>
      </c>
      <c r="E795" s="35">
        <v>4.5451729618416996</v>
      </c>
      <c r="F795" s="40">
        <v>5.4890161671342803E-6</v>
      </c>
      <c r="G795" s="35">
        <v>7.1017542914822895E-4</v>
      </c>
      <c r="H795" s="24" t="s">
        <v>10</v>
      </c>
      <c r="I795" s="33" t="str">
        <f>VLOOKUP(A795,TableS5!A:J,9,FALSE)</f>
        <v xml:space="preserve"> blastula protease 10-like</v>
      </c>
      <c r="J795" s="33" t="s">
        <v>10</v>
      </c>
      <c r="K795" s="33"/>
    </row>
    <row r="796" spans="1:11" x14ac:dyDescent="0.2">
      <c r="A796" s="35" t="s">
        <v>1198</v>
      </c>
      <c r="B796" s="35">
        <v>319.89026768163097</v>
      </c>
      <c r="C796" s="35">
        <v>2.7509477614846798</v>
      </c>
      <c r="D796" s="35">
        <v>0.60561998288437502</v>
      </c>
      <c r="E796" s="35">
        <v>4.5423662349825298</v>
      </c>
      <c r="F796" s="40">
        <v>5.56262930826072E-6</v>
      </c>
      <c r="G796" s="35">
        <v>7.1614473962467297E-4</v>
      </c>
      <c r="H796" s="24" t="s">
        <v>10</v>
      </c>
      <c r="I796" s="24" t="s">
        <v>10</v>
      </c>
      <c r="J796" s="33" t="s">
        <v>10</v>
      </c>
      <c r="K796" s="33"/>
    </row>
    <row r="797" spans="1:11" x14ac:dyDescent="0.2">
      <c r="A797" s="35" t="s">
        <v>1199</v>
      </c>
      <c r="B797" s="35">
        <v>8168.3146242085104</v>
      </c>
      <c r="C797" s="35">
        <v>3.9275805166086699</v>
      </c>
      <c r="D797" s="35">
        <v>0.86472399770459096</v>
      </c>
      <c r="E797" s="35">
        <v>4.5420047634094001</v>
      </c>
      <c r="F797" s="40">
        <v>5.5721781788184304E-6</v>
      </c>
      <c r="G797" s="35">
        <v>7.1630016825346998E-4</v>
      </c>
      <c r="H797" s="33" t="str">
        <f>VLOOKUP(A797,TableS5!A:J,8,FALSE)</f>
        <v>K06792</v>
      </c>
      <c r="I797" s="33" t="str">
        <f>VLOOKUP(A797,TableS5!A:J,9,FALSE)</f>
        <v>putative fibulin-1-like, partial</v>
      </c>
      <c r="J797" s="30" t="s">
        <v>10</v>
      </c>
      <c r="K797" s="33"/>
    </row>
    <row r="798" spans="1:11" x14ac:dyDescent="0.2">
      <c r="A798" s="35" t="s">
        <v>1202</v>
      </c>
      <c r="B798" s="35">
        <v>5752.8925274108396</v>
      </c>
      <c r="C798" s="35">
        <v>2.1100102892658001</v>
      </c>
      <c r="D798" s="35">
        <v>0.46476184127567799</v>
      </c>
      <c r="E798" s="35">
        <v>4.5399817753416301</v>
      </c>
      <c r="F798" s="40">
        <v>5.62590907987332E-6</v>
      </c>
      <c r="G798" s="35">
        <v>7.2122194400873704E-4</v>
      </c>
      <c r="H798" s="33" t="str">
        <f>VLOOKUP(A798,TableS5!A:J,8,FALSE)</f>
        <v>K10345</v>
      </c>
      <c r="I798" s="33" t="str">
        <f>VLOOKUP(A798,TableS5!A:J,9,FALSE)</f>
        <v xml:space="preserve">SPRY domain-containing SOCS box protein 3-like </v>
      </c>
      <c r="J798" s="33" t="s">
        <v>10</v>
      </c>
      <c r="K798" s="33"/>
    </row>
    <row r="799" spans="1:11" x14ac:dyDescent="0.2">
      <c r="A799" s="45" t="s">
        <v>1205</v>
      </c>
      <c r="B799" s="45">
        <v>2706.2469342096601</v>
      </c>
      <c r="C799" s="45">
        <v>3.8243824953024501</v>
      </c>
      <c r="D799" s="45">
        <v>0.842387794652392</v>
      </c>
      <c r="E799" s="45">
        <v>4.5399310383889899</v>
      </c>
      <c r="F799" s="46">
        <v>5.62726301645321E-6</v>
      </c>
      <c r="G799" s="45">
        <v>7.2122194400873704E-4</v>
      </c>
      <c r="H799" s="47" t="s">
        <v>84</v>
      </c>
      <c r="I799" s="50" t="str">
        <f>VLOOKUP(A799,TableS5!A:J,9,FALSE)</f>
        <v xml:space="preserve">Alpha-N-acetylgalactosamine-specific lectin </v>
      </c>
      <c r="J799" s="49" t="s">
        <v>10</v>
      </c>
      <c r="K799" s="33"/>
    </row>
    <row r="800" spans="1:11" x14ac:dyDescent="0.2">
      <c r="A800" s="35" t="s">
        <v>1207</v>
      </c>
      <c r="B800" s="35">
        <v>40.557225889696703</v>
      </c>
      <c r="C800" s="35">
        <v>2.8332358515390701</v>
      </c>
      <c r="D800" s="35">
        <v>0.62433153720708101</v>
      </c>
      <c r="E800" s="35">
        <v>4.53803097023326</v>
      </c>
      <c r="F800" s="40">
        <v>5.6781922775340703E-6</v>
      </c>
      <c r="G800" s="35">
        <v>7.2611049573894401E-4</v>
      </c>
      <c r="H800" s="24" t="s">
        <v>10</v>
      </c>
      <c r="I800" s="24" t="s">
        <v>10</v>
      </c>
      <c r="J800" s="33" t="s">
        <v>10</v>
      </c>
      <c r="K800" s="33"/>
    </row>
    <row r="801" spans="1:11" x14ac:dyDescent="0.2">
      <c r="A801" s="35" t="s">
        <v>1208</v>
      </c>
      <c r="B801" s="35">
        <v>32.378633982759702</v>
      </c>
      <c r="C801" s="35">
        <v>6.9332274952514998</v>
      </c>
      <c r="D801" s="35">
        <v>1.52829892039985</v>
      </c>
      <c r="E801" s="35">
        <v>4.5365650676750704</v>
      </c>
      <c r="F801" s="40">
        <v>5.7177854003182897E-6</v>
      </c>
      <c r="G801" s="35">
        <v>7.2955713240821995E-4</v>
      </c>
      <c r="H801" s="24" t="s">
        <v>10</v>
      </c>
      <c r="I801" s="24" t="s">
        <v>10</v>
      </c>
      <c r="J801" s="33" t="s">
        <v>10</v>
      </c>
      <c r="K801" s="33"/>
    </row>
    <row r="802" spans="1:11" x14ac:dyDescent="0.2">
      <c r="A802" s="35" t="s">
        <v>1209</v>
      </c>
      <c r="B802" s="35">
        <v>57.383920541549301</v>
      </c>
      <c r="C802" s="35">
        <v>2.74538496451073</v>
      </c>
      <c r="D802" s="35">
        <v>0.60524103985330802</v>
      </c>
      <c r="E802" s="35">
        <v>4.5360191786996698</v>
      </c>
      <c r="F802" s="40">
        <v>5.7325969412460002E-6</v>
      </c>
      <c r="G802" s="35">
        <v>7.3036176845954796E-4</v>
      </c>
      <c r="H802" s="24" t="s">
        <v>3887</v>
      </c>
      <c r="I802" s="24" t="s">
        <v>4023</v>
      </c>
      <c r="J802" s="33" t="s">
        <v>4110</v>
      </c>
      <c r="K802" s="33"/>
    </row>
    <row r="803" spans="1:11" x14ac:dyDescent="0.2">
      <c r="A803" s="35" t="s">
        <v>1210</v>
      </c>
      <c r="B803" s="35">
        <v>553.04057236987501</v>
      </c>
      <c r="C803" s="35">
        <v>2.09013447636399</v>
      </c>
      <c r="D803" s="35">
        <v>0.461003282999907</v>
      </c>
      <c r="E803" s="35">
        <v>4.5338819775051498</v>
      </c>
      <c r="F803" s="40">
        <v>5.7909394914419497E-6</v>
      </c>
      <c r="G803" s="35">
        <v>7.3670187417720304E-4</v>
      </c>
      <c r="H803" s="33" t="str">
        <f>VLOOKUP(A803,TableS5!A:J,8,FALSE)</f>
        <v>K04142</v>
      </c>
      <c r="I803" s="33" t="str">
        <f>VLOOKUP(A803,TableS5!A:J,9,FALSE)</f>
        <v xml:space="preserve"> dopamine D2-like receptor </v>
      </c>
      <c r="J803" s="30" t="s">
        <v>10</v>
      </c>
      <c r="K803" s="33"/>
    </row>
    <row r="804" spans="1:11" x14ac:dyDescent="0.2">
      <c r="A804" s="35" t="s">
        <v>1213</v>
      </c>
      <c r="B804" s="35">
        <v>36.616252643604902</v>
      </c>
      <c r="C804" s="35">
        <v>3.5949062604469599</v>
      </c>
      <c r="D804" s="35">
        <v>0.79341795955175398</v>
      </c>
      <c r="E804" s="35">
        <v>4.53091112593156</v>
      </c>
      <c r="F804" s="40">
        <v>5.8729843192019503E-6</v>
      </c>
      <c r="G804" s="35">
        <v>7.4202719722586696E-4</v>
      </c>
      <c r="H804" s="24" t="s">
        <v>10</v>
      </c>
      <c r="I804" s="24" t="s">
        <v>10</v>
      </c>
      <c r="J804" s="33" t="s">
        <v>10</v>
      </c>
      <c r="K804" s="33"/>
    </row>
    <row r="805" spans="1:11" x14ac:dyDescent="0.2">
      <c r="A805" s="35" t="s">
        <v>1214</v>
      </c>
      <c r="B805" s="35">
        <v>46.012418409681501</v>
      </c>
      <c r="C805" s="35">
        <v>2.1813755325778499</v>
      </c>
      <c r="D805" s="35">
        <v>0.48167976281641101</v>
      </c>
      <c r="E805" s="35">
        <v>4.5286842025980301</v>
      </c>
      <c r="F805" s="40">
        <v>5.9352126740001003E-6</v>
      </c>
      <c r="G805" s="35">
        <v>7.4840330033636203E-4</v>
      </c>
      <c r="H805" s="24" t="s">
        <v>10</v>
      </c>
      <c r="I805" s="24" t="s">
        <v>10</v>
      </c>
      <c r="J805" s="33" t="s">
        <v>10</v>
      </c>
      <c r="K805" s="33"/>
    </row>
    <row r="806" spans="1:11" x14ac:dyDescent="0.2">
      <c r="A806" s="35" t="s">
        <v>1215</v>
      </c>
      <c r="B806" s="35">
        <v>716.75455328311705</v>
      </c>
      <c r="C806" s="35">
        <v>2.8362253840991598</v>
      </c>
      <c r="D806" s="35">
        <v>0.62639126522209099</v>
      </c>
      <c r="E806" s="35">
        <v>4.5278814401946601</v>
      </c>
      <c r="F806" s="40">
        <v>5.9577991332559599E-6</v>
      </c>
      <c r="G806" s="35">
        <v>7.4905149249168798E-4</v>
      </c>
      <c r="H806" s="24" t="s">
        <v>3109</v>
      </c>
      <c r="I806" s="33" t="str">
        <f>VLOOKUP(A806,TableS5!A:J,9,FALSE)</f>
        <v>TNF receptor-associated factor 3-like</v>
      </c>
      <c r="J806" s="30" t="s">
        <v>10</v>
      </c>
      <c r="K806" s="33"/>
    </row>
    <row r="807" spans="1:11" x14ac:dyDescent="0.2">
      <c r="A807" s="35" t="s">
        <v>1217</v>
      </c>
      <c r="B807" s="35">
        <v>53.108184565791603</v>
      </c>
      <c r="C807" s="35">
        <v>3.4645877012069701</v>
      </c>
      <c r="D807" s="35">
        <v>0.76532207243165296</v>
      </c>
      <c r="E807" s="35">
        <v>4.5269669149864704</v>
      </c>
      <c r="F807" s="40">
        <v>5.9836303780135403E-6</v>
      </c>
      <c r="G807" s="35">
        <v>7.5119930437193101E-4</v>
      </c>
      <c r="H807" s="24" t="s">
        <v>10</v>
      </c>
      <c r="I807" s="24" t="s">
        <v>10</v>
      </c>
      <c r="J807" s="33" t="s">
        <v>10</v>
      </c>
      <c r="K807" s="33"/>
    </row>
    <row r="808" spans="1:11" x14ac:dyDescent="0.2">
      <c r="A808" s="35" t="s">
        <v>1218</v>
      </c>
      <c r="B808" s="35">
        <v>161.25633128224101</v>
      </c>
      <c r="C808" s="35">
        <v>2.5927965383538401</v>
      </c>
      <c r="D808" s="35">
        <v>0.57286508872886899</v>
      </c>
      <c r="E808" s="35">
        <v>4.5260159667034303</v>
      </c>
      <c r="F808" s="40">
        <v>6.0106040683257998E-6</v>
      </c>
      <c r="G808" s="35">
        <v>7.5348406124263402E-4</v>
      </c>
      <c r="H808" s="33" t="str">
        <f>VLOOKUP(A808,TableS5!A:J,8,FALSE)</f>
        <v>K06558</v>
      </c>
      <c r="I808" s="33" t="str">
        <f>VLOOKUP(A808,TableS5!A:J,9,FALSE)</f>
        <v>putative macrophage scavenger receptor types I and II-like isoform X3 [</v>
      </c>
      <c r="J808" s="33" t="s">
        <v>10</v>
      </c>
      <c r="K808" s="33"/>
    </row>
    <row r="809" spans="1:11" x14ac:dyDescent="0.2">
      <c r="A809" s="35" t="s">
        <v>1221</v>
      </c>
      <c r="B809" s="35">
        <v>52.078592937481098</v>
      </c>
      <c r="C809" s="35">
        <v>5.2540382899215796</v>
      </c>
      <c r="D809" s="35">
        <v>1.1611822264971501</v>
      </c>
      <c r="E809" s="35">
        <v>4.52473192409348</v>
      </c>
      <c r="F809" s="40">
        <v>6.0472106942679397E-6</v>
      </c>
      <c r="G809" s="35">
        <v>7.5526293357875795E-4</v>
      </c>
      <c r="H809" s="24" t="s">
        <v>10</v>
      </c>
      <c r="I809" s="24" t="s">
        <v>10</v>
      </c>
      <c r="J809" s="33" t="s">
        <v>10</v>
      </c>
      <c r="K809" s="33"/>
    </row>
    <row r="810" spans="1:11" x14ac:dyDescent="0.2">
      <c r="A810" s="35" t="s">
        <v>1222</v>
      </c>
      <c r="B810" s="35">
        <v>45.457403497555497</v>
      </c>
      <c r="C810" s="35">
        <v>4.5460357561062299</v>
      </c>
      <c r="D810" s="35">
        <v>1.0049173783759</v>
      </c>
      <c r="E810" s="35">
        <v>4.5237905661989002</v>
      </c>
      <c r="F810" s="40">
        <v>6.0741832026605197E-6</v>
      </c>
      <c r="G810" s="35">
        <v>7.5703365137251295E-4</v>
      </c>
      <c r="H810" s="24" t="s">
        <v>10</v>
      </c>
      <c r="I810" s="24" t="s">
        <v>10</v>
      </c>
      <c r="J810" s="33" t="s">
        <v>10</v>
      </c>
      <c r="K810" s="33"/>
    </row>
    <row r="811" spans="1:11" x14ac:dyDescent="0.2">
      <c r="A811" s="35" t="s">
        <v>1223</v>
      </c>
      <c r="B811" s="35">
        <v>567.68203824375496</v>
      </c>
      <c r="C811" s="35">
        <v>2.38641631372146</v>
      </c>
      <c r="D811" s="35">
        <v>0.52814306893072405</v>
      </c>
      <c r="E811" s="35">
        <v>4.5185035156344799</v>
      </c>
      <c r="F811" s="40">
        <v>6.22782395592632E-6</v>
      </c>
      <c r="G811" s="35">
        <v>7.7393555849399303E-4</v>
      </c>
      <c r="H811" s="24" t="s">
        <v>10</v>
      </c>
      <c r="I811" s="24" t="s">
        <v>10</v>
      </c>
      <c r="J811" s="33" t="s">
        <v>10</v>
      </c>
      <c r="K811" s="33"/>
    </row>
    <row r="812" spans="1:11" x14ac:dyDescent="0.2">
      <c r="A812" s="35" t="s">
        <v>1224</v>
      </c>
      <c r="B812" s="35">
        <v>1925.4789282655299</v>
      </c>
      <c r="C812" s="35">
        <v>2.5567257398874901</v>
      </c>
      <c r="D812" s="35">
        <v>0.56706958069441304</v>
      </c>
      <c r="E812" s="35">
        <v>4.50866318160924</v>
      </c>
      <c r="F812" s="40">
        <v>6.5237382007248302E-6</v>
      </c>
      <c r="G812" s="35">
        <v>8.0720450004962904E-4</v>
      </c>
      <c r="H812" s="24" t="s">
        <v>4154</v>
      </c>
      <c r="I812" s="24" t="s">
        <v>3977</v>
      </c>
      <c r="J812" s="33" t="s">
        <v>4080</v>
      </c>
      <c r="K812" s="33"/>
    </row>
    <row r="813" spans="1:11" x14ac:dyDescent="0.2">
      <c r="A813" s="35" t="s">
        <v>1225</v>
      </c>
      <c r="B813" s="35">
        <v>56.147825799655003</v>
      </c>
      <c r="C813" s="35">
        <v>4.0070319847050904</v>
      </c>
      <c r="D813" s="35">
        <v>0.88972542363685903</v>
      </c>
      <c r="E813" s="35">
        <v>4.5036725693707496</v>
      </c>
      <c r="F813" s="40">
        <v>6.6789085240828404E-6</v>
      </c>
      <c r="G813" s="35">
        <v>8.2284727958610896E-4</v>
      </c>
      <c r="H813" s="24" t="s">
        <v>4155</v>
      </c>
      <c r="I813" s="29" t="s">
        <v>4215</v>
      </c>
      <c r="J813" s="33" t="s">
        <v>4105</v>
      </c>
      <c r="K813" s="33"/>
    </row>
    <row r="814" spans="1:11" x14ac:dyDescent="0.2">
      <c r="A814" s="35" t="s">
        <v>1226</v>
      </c>
      <c r="B814" s="35">
        <v>106.717904874612</v>
      </c>
      <c r="C814" s="35">
        <v>8.5609210526265596</v>
      </c>
      <c r="D814" s="35">
        <v>1.9011041621240901</v>
      </c>
      <c r="E814" s="35">
        <v>4.5031309820822703</v>
      </c>
      <c r="F814" s="40">
        <v>6.6959585996562703E-6</v>
      </c>
      <c r="G814" s="35">
        <v>8.2312016303673699E-4</v>
      </c>
      <c r="H814" s="24" t="s">
        <v>10</v>
      </c>
      <c r="I814" s="24" t="s">
        <v>10</v>
      </c>
      <c r="J814" s="33" t="s">
        <v>10</v>
      </c>
      <c r="K814" s="33"/>
    </row>
    <row r="815" spans="1:11" x14ac:dyDescent="0.2">
      <c r="A815" s="35" t="s">
        <v>1227</v>
      </c>
      <c r="B815" s="35">
        <v>1650.92104375501</v>
      </c>
      <c r="C815" s="35">
        <v>2.8471374172566501</v>
      </c>
      <c r="D815" s="35">
        <v>0.63227798655605805</v>
      </c>
      <c r="E815" s="35">
        <v>4.5029836208036702</v>
      </c>
      <c r="F815" s="40">
        <v>6.7006049807767899E-6</v>
      </c>
      <c r="G815" s="35">
        <v>8.2312016303673699E-4</v>
      </c>
      <c r="H815" s="24" t="s">
        <v>3829</v>
      </c>
      <c r="I815" s="33" t="str">
        <f>VLOOKUP(A815,TableS5!A:J,9,FALSE)</f>
        <v xml:space="preserve"> neuroligin-4, Y-linked-like</v>
      </c>
      <c r="J815" s="30" t="s">
        <v>10</v>
      </c>
      <c r="K815" s="33"/>
    </row>
    <row r="816" spans="1:11" x14ac:dyDescent="0.2">
      <c r="A816" s="35" t="s">
        <v>1229</v>
      </c>
      <c r="B816" s="35">
        <v>642.40795159089305</v>
      </c>
      <c r="C816" s="35">
        <v>3.29599847784249</v>
      </c>
      <c r="D816" s="35">
        <v>0.73229417417249998</v>
      </c>
      <c r="E816" s="35">
        <v>4.50092134293845</v>
      </c>
      <c r="F816" s="40">
        <v>6.7659542120571997E-6</v>
      </c>
      <c r="G816" s="35">
        <v>8.2763426516177096E-4</v>
      </c>
      <c r="H816" s="33" t="str">
        <f>VLOOKUP(A816,TableS5!A:J,8,FALSE)</f>
        <v>K03174</v>
      </c>
      <c r="I816" s="33" t="str">
        <f>VLOOKUP(A816,TableS5!A:J,9,FALSE)</f>
        <v xml:space="preserve">TNF receptor-associated factor 5-like, partial </v>
      </c>
      <c r="J816" s="33" t="s">
        <v>10</v>
      </c>
      <c r="K816" s="33"/>
    </row>
    <row r="817" spans="1:11" x14ac:dyDescent="0.2">
      <c r="A817" s="35" t="s">
        <v>1231</v>
      </c>
      <c r="B817" s="35">
        <v>65.526351337723497</v>
      </c>
      <c r="C817" s="35">
        <v>3.8297617847652399</v>
      </c>
      <c r="D817" s="35">
        <v>0.85169620901064602</v>
      </c>
      <c r="E817" s="35">
        <v>4.4966288968386996</v>
      </c>
      <c r="F817" s="40">
        <v>6.9039332731541998E-6</v>
      </c>
      <c r="G817" s="35">
        <v>8.4211314502702405E-4</v>
      </c>
      <c r="H817" s="24" t="s">
        <v>10</v>
      </c>
      <c r="I817" s="24" t="s">
        <v>10</v>
      </c>
      <c r="J817" s="33" t="s">
        <v>10</v>
      </c>
      <c r="K817" s="33"/>
    </row>
    <row r="818" spans="1:11" x14ac:dyDescent="0.2">
      <c r="A818" s="35" t="s">
        <v>1232</v>
      </c>
      <c r="B818" s="35">
        <v>62.839294153113897</v>
      </c>
      <c r="C818" s="35">
        <v>2.0358048449633301</v>
      </c>
      <c r="D818" s="35">
        <v>0.45282495714804399</v>
      </c>
      <c r="E818" s="35">
        <v>4.4957876389700804</v>
      </c>
      <c r="F818" s="40">
        <v>6.9312887930592096E-6</v>
      </c>
      <c r="G818" s="35">
        <v>8.4425063822523097E-4</v>
      </c>
      <c r="H818" s="24" t="s">
        <v>10</v>
      </c>
      <c r="I818" s="24" t="s">
        <v>10</v>
      </c>
      <c r="J818" s="33" t="s">
        <v>10</v>
      </c>
      <c r="K818" s="33"/>
    </row>
    <row r="819" spans="1:11" x14ac:dyDescent="0.2">
      <c r="A819" s="35" t="s">
        <v>1233</v>
      </c>
      <c r="B819" s="35">
        <v>30.336592558745298</v>
      </c>
      <c r="C819" s="35">
        <v>4.1500144686854803</v>
      </c>
      <c r="D819" s="35">
        <v>0.92354215539574303</v>
      </c>
      <c r="E819" s="35">
        <v>4.4935842337453202</v>
      </c>
      <c r="F819" s="40">
        <v>7.0034300608718704E-6</v>
      </c>
      <c r="G819" s="35">
        <v>8.4910829272638296E-4</v>
      </c>
      <c r="H819" s="24" t="s">
        <v>10</v>
      </c>
      <c r="I819" s="24" t="s">
        <v>10</v>
      </c>
      <c r="J819" s="33" t="s">
        <v>10</v>
      </c>
      <c r="K819" s="33"/>
    </row>
    <row r="820" spans="1:11" x14ac:dyDescent="0.2">
      <c r="A820" s="35" t="s">
        <v>1234</v>
      </c>
      <c r="B820" s="35">
        <v>53.890828867334797</v>
      </c>
      <c r="C820" s="35">
        <v>2.2963860314189102</v>
      </c>
      <c r="D820" s="35">
        <v>0.51184238900944001</v>
      </c>
      <c r="E820" s="35">
        <v>4.4865100678024596</v>
      </c>
      <c r="F820" s="40">
        <v>7.2399297747707201E-6</v>
      </c>
      <c r="G820" s="35">
        <v>8.6829610291806801E-4</v>
      </c>
      <c r="H820" s="24" t="s">
        <v>10</v>
      </c>
      <c r="I820" s="33" t="str">
        <f>VLOOKUP(A820,TableS5!A:J,9,FALSE)</f>
        <v>uncharacterized skeletal organic matrix protein 5-like</v>
      </c>
      <c r="J820" s="33" t="s">
        <v>10</v>
      </c>
      <c r="K820" s="33"/>
    </row>
    <row r="821" spans="1:11" x14ac:dyDescent="0.2">
      <c r="A821" s="35" t="s">
        <v>1236</v>
      </c>
      <c r="B821" s="35">
        <v>73.186742525979895</v>
      </c>
      <c r="C821" s="35">
        <v>3.9764580216580998</v>
      </c>
      <c r="D821" s="35">
        <v>0.88762951779555299</v>
      </c>
      <c r="E821" s="35">
        <v>4.47986230959705</v>
      </c>
      <c r="F821" s="40">
        <v>7.4691205778100199E-6</v>
      </c>
      <c r="G821" s="35">
        <v>8.9204569281936595E-4</v>
      </c>
      <c r="H821" s="24" t="s">
        <v>10</v>
      </c>
      <c r="I821" s="24" t="s">
        <v>10</v>
      </c>
      <c r="J821" s="33" t="s">
        <v>10</v>
      </c>
      <c r="K821" s="33"/>
    </row>
    <row r="822" spans="1:11" x14ac:dyDescent="0.2">
      <c r="A822" s="35" t="s">
        <v>1237</v>
      </c>
      <c r="B822" s="35">
        <v>3833.8726439110301</v>
      </c>
      <c r="C822" s="35">
        <v>2.53801721794329</v>
      </c>
      <c r="D822" s="35">
        <v>0.56670258291673503</v>
      </c>
      <c r="E822" s="35">
        <v>4.4785700550021899</v>
      </c>
      <c r="F822" s="40">
        <v>7.5144710309536599E-6</v>
      </c>
      <c r="G822" s="35">
        <v>8.9621547485975298E-4</v>
      </c>
      <c r="H822" s="24" t="s">
        <v>10</v>
      </c>
      <c r="I822" s="24" t="s">
        <v>10</v>
      </c>
      <c r="J822" s="33" t="s">
        <v>10</v>
      </c>
      <c r="K822" s="33"/>
    </row>
    <row r="823" spans="1:11" x14ac:dyDescent="0.2">
      <c r="A823" s="35" t="s">
        <v>1238</v>
      </c>
      <c r="B823" s="35">
        <v>95.838839946327099</v>
      </c>
      <c r="C823" s="35">
        <v>3.3284139879096899</v>
      </c>
      <c r="D823" s="35">
        <v>0.743887485208377</v>
      </c>
      <c r="E823" s="35">
        <v>4.47435136911509</v>
      </c>
      <c r="F823" s="40">
        <v>7.6643617889265792E-6</v>
      </c>
      <c r="G823" s="35">
        <v>9.1029932389614801E-4</v>
      </c>
      <c r="H823" s="33" t="str">
        <f>VLOOKUP(A823,TableS5!A:J,8,FALSE)</f>
        <v>K04199</v>
      </c>
      <c r="I823" s="33" t="str">
        <f>VLOOKUP(A823,TableS5!A:J,9,FALSE)</f>
        <v>melanocyte-stimulating hormone receptor-like, partial</v>
      </c>
      <c r="J823" s="30" t="s">
        <v>10</v>
      </c>
      <c r="K823" s="33"/>
    </row>
    <row r="824" spans="1:11" x14ac:dyDescent="0.2">
      <c r="A824" s="35" t="s">
        <v>1241</v>
      </c>
      <c r="B824" s="35">
        <v>922.33972857392803</v>
      </c>
      <c r="C824" s="35">
        <v>2.0714157119055199</v>
      </c>
      <c r="D824" s="35">
        <v>0.46307717099472101</v>
      </c>
      <c r="E824" s="35">
        <v>4.4731544581564604</v>
      </c>
      <c r="F824" s="40">
        <v>7.7074061747124697E-6</v>
      </c>
      <c r="G824" s="35">
        <v>9.1414734202863895E-4</v>
      </c>
      <c r="H824" s="24" t="s">
        <v>10</v>
      </c>
      <c r="I824" s="24" t="s">
        <v>10</v>
      </c>
      <c r="J824" s="33" t="s">
        <v>10</v>
      </c>
      <c r="K824" s="33"/>
    </row>
    <row r="825" spans="1:11" x14ac:dyDescent="0.2">
      <c r="A825" s="35" t="s">
        <v>1242</v>
      </c>
      <c r="B825" s="35">
        <v>20.156999778003001</v>
      </c>
      <c r="C825" s="35">
        <v>6.9502650302086204</v>
      </c>
      <c r="D825" s="35">
        <v>1.5549346866334599</v>
      </c>
      <c r="E825" s="35">
        <v>4.46981155540134</v>
      </c>
      <c r="F825" s="40">
        <v>7.82885432528107E-6</v>
      </c>
      <c r="G825" s="35">
        <v>9.2472015098515902E-4</v>
      </c>
      <c r="H825" s="24" t="s">
        <v>10</v>
      </c>
      <c r="I825" s="24" t="s">
        <v>10</v>
      </c>
      <c r="J825" s="33" t="s">
        <v>10</v>
      </c>
      <c r="K825" s="33"/>
    </row>
    <row r="826" spans="1:11" x14ac:dyDescent="0.2">
      <c r="A826" s="35" t="s">
        <v>1243</v>
      </c>
      <c r="B826" s="35">
        <v>372.17225991556802</v>
      </c>
      <c r="C826" s="35">
        <v>3.42498205159115</v>
      </c>
      <c r="D826" s="35">
        <v>0.766816598046835</v>
      </c>
      <c r="E826" s="35">
        <v>4.4664944138076104</v>
      </c>
      <c r="F826" s="40">
        <v>7.9511737427731107E-6</v>
      </c>
      <c r="G826" s="35">
        <v>9.3787807756273397E-4</v>
      </c>
      <c r="H826" s="24" t="s">
        <v>10</v>
      </c>
      <c r="I826" s="24" t="s">
        <v>10</v>
      </c>
      <c r="J826" s="33" t="s">
        <v>10</v>
      </c>
      <c r="K826" s="33"/>
    </row>
    <row r="827" spans="1:11" x14ac:dyDescent="0.2">
      <c r="A827" s="35" t="s">
        <v>1244</v>
      </c>
      <c r="B827" s="35">
        <v>72.022290265659294</v>
      </c>
      <c r="C827" s="35">
        <v>3.0380132498735399</v>
      </c>
      <c r="D827" s="35">
        <v>0.68051140680900302</v>
      </c>
      <c r="E827" s="35">
        <v>4.4643090761977602</v>
      </c>
      <c r="F827" s="40">
        <v>8.0327539709695292E-6</v>
      </c>
      <c r="G827" s="35">
        <v>9.4553815735147798E-4</v>
      </c>
      <c r="H827" s="24" t="s">
        <v>10</v>
      </c>
      <c r="I827" s="24" t="s">
        <v>10</v>
      </c>
      <c r="J827" s="33" t="s">
        <v>10</v>
      </c>
      <c r="K827" s="33"/>
    </row>
    <row r="828" spans="1:11" x14ac:dyDescent="0.2">
      <c r="A828" s="35" t="s">
        <v>1245</v>
      </c>
      <c r="B828" s="35">
        <v>983.12549121361599</v>
      </c>
      <c r="C828" s="35">
        <v>6.0757488287096804</v>
      </c>
      <c r="D828" s="35">
        <v>1.36100434794054</v>
      </c>
      <c r="E828" s="35">
        <v>4.4641656273203401</v>
      </c>
      <c r="F828" s="40">
        <v>8.0381369131205994E-6</v>
      </c>
      <c r="G828" s="35">
        <v>9.4553815735147798E-4</v>
      </c>
      <c r="H828" s="24" t="s">
        <v>10</v>
      </c>
      <c r="I828" s="24" t="s">
        <v>10</v>
      </c>
      <c r="J828" s="33" t="s">
        <v>10</v>
      </c>
      <c r="K828" s="33"/>
    </row>
    <row r="829" spans="1:11" x14ac:dyDescent="0.2">
      <c r="A829" s="35" t="s">
        <v>1246</v>
      </c>
      <c r="B829" s="35">
        <v>85.4944567022809</v>
      </c>
      <c r="C829" s="35">
        <v>2.0079090500158601</v>
      </c>
      <c r="D829" s="35">
        <v>0.45017658540835298</v>
      </c>
      <c r="E829" s="35">
        <v>4.4602698476521203</v>
      </c>
      <c r="F829" s="40">
        <v>8.1856521434516303E-6</v>
      </c>
      <c r="G829" s="35">
        <v>9.61573372380759E-4</v>
      </c>
      <c r="H829" s="24" t="s">
        <v>10</v>
      </c>
      <c r="I829" s="24" t="s">
        <v>10</v>
      </c>
      <c r="J829" s="33" t="s">
        <v>10</v>
      </c>
      <c r="K829" s="33"/>
    </row>
    <row r="830" spans="1:11" x14ac:dyDescent="0.2">
      <c r="A830" s="35" t="s">
        <v>1247</v>
      </c>
      <c r="B830" s="35">
        <v>31.634721565661302</v>
      </c>
      <c r="C830" s="35">
        <v>3.6268546790059002</v>
      </c>
      <c r="D830" s="35">
        <v>0.813625336102616</v>
      </c>
      <c r="E830" s="35">
        <v>4.4576471725660101</v>
      </c>
      <c r="F830" s="40">
        <v>8.28641440958892E-6</v>
      </c>
      <c r="G830" s="35">
        <v>9.72080180007937E-4</v>
      </c>
      <c r="H830" s="24" t="s">
        <v>10</v>
      </c>
      <c r="I830" s="24" t="s">
        <v>10</v>
      </c>
      <c r="J830" s="33" t="s">
        <v>10</v>
      </c>
      <c r="K830" s="33"/>
    </row>
    <row r="831" spans="1:11" x14ac:dyDescent="0.2">
      <c r="A831" s="35" t="s">
        <v>1248</v>
      </c>
      <c r="B831" s="35">
        <v>18.646782988860299</v>
      </c>
      <c r="C831" s="35">
        <v>7.8115641798610396</v>
      </c>
      <c r="D831" s="35">
        <v>1.75371342331171</v>
      </c>
      <c r="E831" s="35">
        <v>4.4542991323574999</v>
      </c>
      <c r="F831" s="40">
        <v>8.4167685373363408E-6</v>
      </c>
      <c r="G831" s="35">
        <v>9.8334194703348092E-4</v>
      </c>
      <c r="H831" s="24" t="s">
        <v>10</v>
      </c>
      <c r="I831" s="33" t="str">
        <f>VLOOKUP(A831,TableS5!A:J,9,FALSE)</f>
        <v>putative  blastula protease 10-like</v>
      </c>
      <c r="J831" s="33" t="s">
        <v>10</v>
      </c>
      <c r="K831" s="33"/>
    </row>
    <row r="832" spans="1:11" x14ac:dyDescent="0.2">
      <c r="A832" s="35" t="s">
        <v>1250</v>
      </c>
      <c r="B832" s="35">
        <v>152.567946945139</v>
      </c>
      <c r="C832" s="35">
        <v>3.05475917591176</v>
      </c>
      <c r="D832" s="35">
        <v>0.68592458636650699</v>
      </c>
      <c r="E832" s="35">
        <v>4.4534912971898102</v>
      </c>
      <c r="F832" s="40">
        <v>8.4485134088061602E-6</v>
      </c>
      <c r="G832" s="35">
        <v>9.857096398472741E-4</v>
      </c>
      <c r="H832" s="24" t="s">
        <v>10</v>
      </c>
      <c r="I832" s="24" t="s">
        <v>10</v>
      </c>
      <c r="J832" s="33" t="s">
        <v>10</v>
      </c>
      <c r="K832" s="33"/>
    </row>
    <row r="833" spans="1:11" x14ac:dyDescent="0.2">
      <c r="A833" s="35" t="s">
        <v>1251</v>
      </c>
      <c r="B833" s="35">
        <v>440.745983107722</v>
      </c>
      <c r="C833" s="35">
        <v>2.2675479368441902</v>
      </c>
      <c r="D833" s="35">
        <v>0.50922343669103698</v>
      </c>
      <c r="E833" s="35">
        <v>4.4529528168986996</v>
      </c>
      <c r="F833" s="40">
        <v>8.4697371772251804E-6</v>
      </c>
      <c r="G833" s="35">
        <v>9.8684504904410198E-4</v>
      </c>
      <c r="H833" s="24" t="s">
        <v>865</v>
      </c>
      <c r="I833" s="24" t="s">
        <v>4016</v>
      </c>
      <c r="J833" s="30" t="s">
        <v>10</v>
      </c>
      <c r="K833" s="33"/>
    </row>
    <row r="834" spans="1:11" x14ac:dyDescent="0.2">
      <c r="A834" s="35" t="s">
        <v>1252</v>
      </c>
      <c r="B834" s="35">
        <v>488.62113329175099</v>
      </c>
      <c r="C834" s="35">
        <v>2.9250601758605699</v>
      </c>
      <c r="D834" s="35">
        <v>0.65700227006671197</v>
      </c>
      <c r="E834" s="35">
        <v>4.4521310033884003</v>
      </c>
      <c r="F834" s="40">
        <v>8.5022265557563508E-6</v>
      </c>
      <c r="G834" s="35">
        <v>9.8928820673354094E-4</v>
      </c>
      <c r="H834" s="24" t="s">
        <v>10</v>
      </c>
      <c r="I834" s="33" t="str">
        <f>VLOOKUP(A834,TableS5!A:J,9,FALSE)</f>
        <v xml:space="preserve"> papilin-like</v>
      </c>
      <c r="J834" s="33" t="s">
        <v>10</v>
      </c>
      <c r="K834" s="33"/>
    </row>
    <row r="835" spans="1:11" x14ac:dyDescent="0.2">
      <c r="A835" s="35" t="s">
        <v>1254</v>
      </c>
      <c r="B835" s="35">
        <v>24.670908553703899</v>
      </c>
      <c r="C835" s="35">
        <v>2.5387698901044198</v>
      </c>
      <c r="D835" s="35">
        <v>0.57052115687852201</v>
      </c>
      <c r="E835" s="35">
        <v>4.4499136613876402</v>
      </c>
      <c r="F835" s="40">
        <v>8.5904817311623907E-6</v>
      </c>
      <c r="G835" s="35">
        <v>9.9820467758679997E-4</v>
      </c>
      <c r="H835" s="33" t="str">
        <f>VLOOKUP(A835,TableS5!A:J,8,FALSE)</f>
        <v>K05658</v>
      </c>
      <c r="I835" s="33" t="str">
        <f>VLOOKUP(A835,TableS5!A:J,9,FALSE)</f>
        <v>putative ABC transporter B family member 1-like</v>
      </c>
      <c r="J835" s="33" t="s">
        <v>10</v>
      </c>
      <c r="K835" s="33"/>
    </row>
    <row r="836" spans="1:11" x14ac:dyDescent="0.2">
      <c r="A836" s="35" t="s">
        <v>3567</v>
      </c>
      <c r="B836" s="35">
        <v>43.917122134632201</v>
      </c>
      <c r="C836" s="35">
        <v>2.9801154262656602</v>
      </c>
      <c r="D836" s="35">
        <v>0.67016230694650103</v>
      </c>
      <c r="E836" s="35">
        <v>4.4468562247914702</v>
      </c>
      <c r="F836" s="40">
        <v>8.7136115299281394E-6</v>
      </c>
      <c r="G836" s="35">
        <v>1.0097794003865899E-3</v>
      </c>
      <c r="H836" s="24" t="s">
        <v>10</v>
      </c>
      <c r="I836" s="24" t="s">
        <v>10</v>
      </c>
      <c r="J836" s="33" t="s">
        <v>10</v>
      </c>
      <c r="K836" s="33"/>
    </row>
    <row r="837" spans="1:11" x14ac:dyDescent="0.2">
      <c r="A837" s="35" t="s">
        <v>3568</v>
      </c>
      <c r="B837" s="35">
        <v>1511.40447790753</v>
      </c>
      <c r="C837" s="35">
        <v>2.1532714126172401</v>
      </c>
      <c r="D837" s="35">
        <v>0.48440742324937203</v>
      </c>
      <c r="E837" s="35">
        <v>4.4451660095818699</v>
      </c>
      <c r="F837" s="40">
        <v>8.7824023203586006E-6</v>
      </c>
      <c r="G837" s="35">
        <v>1.0159371205105299E-3</v>
      </c>
      <c r="H837" s="29" t="s">
        <v>10</v>
      </c>
      <c r="I837" s="24" t="s">
        <v>401</v>
      </c>
      <c r="J837" s="30" t="s">
        <v>10</v>
      </c>
      <c r="K837" s="33"/>
    </row>
    <row r="838" spans="1:11" x14ac:dyDescent="0.2">
      <c r="A838" s="35" t="s">
        <v>3569</v>
      </c>
      <c r="B838" s="35">
        <v>452.66208468700898</v>
      </c>
      <c r="C838" s="35">
        <v>2.69731604064371</v>
      </c>
      <c r="D838" s="35">
        <v>0.60682434051172496</v>
      </c>
      <c r="E838" s="35">
        <v>4.4449700853612901</v>
      </c>
      <c r="F838" s="40">
        <v>8.7904098070282497E-6</v>
      </c>
      <c r="G838" s="35">
        <v>1.0159371205105299E-3</v>
      </c>
      <c r="H838" s="29" t="s">
        <v>10</v>
      </c>
      <c r="I838" s="24" t="s">
        <v>4000</v>
      </c>
      <c r="J838" s="30" t="s">
        <v>10</v>
      </c>
      <c r="K838" s="33"/>
    </row>
    <row r="839" spans="1:11" x14ac:dyDescent="0.2">
      <c r="A839" s="35" t="s">
        <v>3570</v>
      </c>
      <c r="B839" s="35">
        <v>66.236212516245899</v>
      </c>
      <c r="C839" s="35">
        <v>4.0751225533083799</v>
      </c>
      <c r="D839" s="35">
        <v>0.918181697338317</v>
      </c>
      <c r="E839" s="35">
        <v>4.4382528699075703</v>
      </c>
      <c r="F839" s="40">
        <v>9.0692034442926394E-6</v>
      </c>
      <c r="G839" s="35">
        <v>1.03984584073749E-3</v>
      </c>
      <c r="H839" s="24" t="s">
        <v>3882</v>
      </c>
      <c r="I839" s="24" t="s">
        <v>4015</v>
      </c>
      <c r="J839" s="30" t="s">
        <v>10</v>
      </c>
      <c r="K839" s="33"/>
    </row>
    <row r="840" spans="1:11" x14ac:dyDescent="0.2">
      <c r="A840" s="35" t="s">
        <v>3571</v>
      </c>
      <c r="B840" s="35">
        <v>1654.7547862925001</v>
      </c>
      <c r="C840" s="35">
        <v>2.8819242373118299</v>
      </c>
      <c r="D840" s="35">
        <v>0.64976012178342502</v>
      </c>
      <c r="E840" s="35">
        <v>4.4353664386199698</v>
      </c>
      <c r="F840" s="40">
        <v>9.1915804668457805E-6</v>
      </c>
      <c r="G840" s="35">
        <v>1.0495880402506799E-3</v>
      </c>
      <c r="H840" s="24" t="s">
        <v>10</v>
      </c>
      <c r="I840" s="24" t="s">
        <v>10</v>
      </c>
      <c r="J840" s="33" t="s">
        <v>10</v>
      </c>
      <c r="K840" s="33"/>
    </row>
    <row r="841" spans="1:11" x14ac:dyDescent="0.2">
      <c r="A841" s="35" t="s">
        <v>3572</v>
      </c>
      <c r="B841" s="35">
        <v>75.203865121085997</v>
      </c>
      <c r="C841" s="35">
        <v>4.0272358141628999</v>
      </c>
      <c r="D841" s="35">
        <v>0.90870177998462498</v>
      </c>
      <c r="E841" s="35">
        <v>4.4318564163383103</v>
      </c>
      <c r="F841" s="40">
        <v>9.3425225221230206E-6</v>
      </c>
      <c r="G841" s="35">
        <v>1.06405735863873E-3</v>
      </c>
      <c r="H841" s="24" t="s">
        <v>10</v>
      </c>
      <c r="I841" s="24" t="s">
        <v>10</v>
      </c>
      <c r="J841" s="33" t="s">
        <v>10</v>
      </c>
      <c r="K841" s="33"/>
    </row>
    <row r="842" spans="1:11" x14ac:dyDescent="0.2">
      <c r="A842" s="35" t="s">
        <v>3573</v>
      </c>
      <c r="B842" s="35">
        <v>135.820079373222</v>
      </c>
      <c r="C842" s="35">
        <v>3.2336502705223298</v>
      </c>
      <c r="D842" s="35">
        <v>0.72976536075029297</v>
      </c>
      <c r="E842" s="35">
        <v>4.4310821593364196</v>
      </c>
      <c r="F842" s="40">
        <v>9.3761353652419102E-6</v>
      </c>
      <c r="G842" s="35">
        <v>1.0648521364756099E-3</v>
      </c>
      <c r="H842" s="29" t="s">
        <v>10</v>
      </c>
      <c r="I842" s="24" t="s">
        <v>3894</v>
      </c>
      <c r="J842" s="30" t="s">
        <v>10</v>
      </c>
      <c r="K842" s="33"/>
    </row>
    <row r="843" spans="1:11" x14ac:dyDescent="0.2">
      <c r="A843" s="45" t="s">
        <v>3574</v>
      </c>
      <c r="B843" s="45">
        <v>954.17996369276705</v>
      </c>
      <c r="C843" s="45">
        <v>2.58309685584481</v>
      </c>
      <c r="D843" s="45">
        <v>0.58298306375620901</v>
      </c>
      <c r="E843" s="45">
        <v>4.4308265821680903</v>
      </c>
      <c r="F843" s="46">
        <v>9.3872560854309303E-6</v>
      </c>
      <c r="G843" s="45">
        <v>1.0648521364756099E-3</v>
      </c>
      <c r="H843" s="47" t="s">
        <v>3864</v>
      </c>
      <c r="I843" s="47" t="s">
        <v>3996</v>
      </c>
      <c r="J843" s="50" t="s">
        <v>4092</v>
      </c>
      <c r="K843" s="33"/>
    </row>
    <row r="844" spans="1:11" x14ac:dyDescent="0.2">
      <c r="A844" s="35" t="s">
        <v>3575</v>
      </c>
      <c r="B844" s="35">
        <v>5324.5379209167404</v>
      </c>
      <c r="C844" s="35">
        <v>6.1209702137135702</v>
      </c>
      <c r="D844" s="35">
        <v>1.3816544408601199</v>
      </c>
      <c r="E844" s="35">
        <v>4.4301744580237399</v>
      </c>
      <c r="F844" s="40">
        <v>9.4156885547045104E-6</v>
      </c>
      <c r="G844" s="35">
        <v>1.0666683270198301E-3</v>
      </c>
      <c r="H844" s="24" t="s">
        <v>3858</v>
      </c>
      <c r="I844" s="24" t="s">
        <v>3986</v>
      </c>
      <c r="J844" s="30" t="s">
        <v>10</v>
      </c>
      <c r="K844" s="33"/>
    </row>
    <row r="845" spans="1:11" x14ac:dyDescent="0.2">
      <c r="A845" s="35" t="s">
        <v>3576</v>
      </c>
      <c r="B845" s="35">
        <v>41.422556627172497</v>
      </c>
      <c r="C845" s="35">
        <v>3.19762406543932</v>
      </c>
      <c r="D845" s="35">
        <v>0.72230915747017899</v>
      </c>
      <c r="E845" s="35">
        <v>4.4269465953314198</v>
      </c>
      <c r="F845" s="40">
        <v>9.5576383341544693E-6</v>
      </c>
      <c r="G845" s="35">
        <v>1.0784808953905099E-3</v>
      </c>
      <c r="H845" s="24" t="s">
        <v>10</v>
      </c>
      <c r="I845" s="24" t="s">
        <v>10</v>
      </c>
      <c r="J845" s="30" t="s">
        <v>10</v>
      </c>
      <c r="K845" s="33"/>
    </row>
    <row r="846" spans="1:11" x14ac:dyDescent="0.2">
      <c r="A846" s="35" t="s">
        <v>3577</v>
      </c>
      <c r="B846" s="35">
        <v>227.28102811064801</v>
      </c>
      <c r="C846" s="35">
        <v>3.9281072050426502</v>
      </c>
      <c r="D846" s="35">
        <v>0.88820842895317897</v>
      </c>
      <c r="E846" s="35">
        <v>4.4225061111750898</v>
      </c>
      <c r="F846" s="40">
        <v>9.7562588865925997E-6</v>
      </c>
      <c r="G846" s="35">
        <v>1.09657029692486E-3</v>
      </c>
      <c r="H846" s="24" t="s">
        <v>10</v>
      </c>
      <c r="I846" s="24" t="s">
        <v>10</v>
      </c>
      <c r="J846" s="30" t="s">
        <v>10</v>
      </c>
      <c r="K846" s="33"/>
    </row>
    <row r="847" spans="1:11" x14ac:dyDescent="0.2">
      <c r="A847" s="35" t="s">
        <v>3578</v>
      </c>
      <c r="B847" s="35">
        <v>69.832651549745293</v>
      </c>
      <c r="C847" s="35">
        <v>4.4739453695993401</v>
      </c>
      <c r="D847" s="35">
        <v>1.0128366657936101</v>
      </c>
      <c r="E847" s="35">
        <v>4.4172427013132998</v>
      </c>
      <c r="F847" s="40">
        <v>9.9967960965244692E-6</v>
      </c>
      <c r="G847" s="35">
        <v>1.12213709490804E-3</v>
      </c>
      <c r="H847" s="24" t="s">
        <v>10</v>
      </c>
      <c r="I847" s="24" t="s">
        <v>10</v>
      </c>
      <c r="J847" s="30" t="s">
        <v>10</v>
      </c>
      <c r="K847" s="33"/>
    </row>
    <row r="848" spans="1:11" x14ac:dyDescent="0.2">
      <c r="A848" s="35" t="s">
        <v>3579</v>
      </c>
      <c r="B848" s="35">
        <v>132.46935025211499</v>
      </c>
      <c r="C848" s="35">
        <v>3.8394561408380801</v>
      </c>
      <c r="D848" s="35">
        <v>0.87027618819738495</v>
      </c>
      <c r="E848" s="35">
        <v>4.4117674284422197</v>
      </c>
      <c r="F848" s="40">
        <v>1.02530213434781E-5</v>
      </c>
      <c r="G848" s="35">
        <v>1.1469614824915E-3</v>
      </c>
      <c r="H848" s="24" t="s">
        <v>10</v>
      </c>
      <c r="I848" s="24" t="s">
        <v>10</v>
      </c>
      <c r="J848" s="30" t="s">
        <v>10</v>
      </c>
      <c r="K848" s="33"/>
    </row>
    <row r="849" spans="1:11" x14ac:dyDescent="0.2">
      <c r="A849" s="35" t="s">
        <v>3580</v>
      </c>
      <c r="B849" s="35">
        <v>45.461821938039598</v>
      </c>
      <c r="C849" s="35">
        <v>9.1048435646635006</v>
      </c>
      <c r="D849" s="35">
        <v>2.0638126237213501</v>
      </c>
      <c r="E849" s="35">
        <v>4.4116619212485402</v>
      </c>
      <c r="F849" s="40">
        <v>1.0258019803583001E-5</v>
      </c>
      <c r="G849" s="35">
        <v>1.1469614824915E-3</v>
      </c>
      <c r="H849" s="24" t="s">
        <v>10</v>
      </c>
      <c r="I849" s="24" t="s">
        <v>10</v>
      </c>
      <c r="J849" s="30" t="s">
        <v>10</v>
      </c>
      <c r="K849" s="33"/>
    </row>
    <row r="850" spans="1:11" x14ac:dyDescent="0.2">
      <c r="A850" s="35" t="s">
        <v>3581</v>
      </c>
      <c r="B850" s="35">
        <v>91.630181835862899</v>
      </c>
      <c r="C850" s="35">
        <v>3.10665789060308</v>
      </c>
      <c r="D850" s="35">
        <v>0.70466718390143501</v>
      </c>
      <c r="E850" s="35">
        <v>4.4086881886607303</v>
      </c>
      <c r="F850" s="40">
        <v>1.0399862961143801E-5</v>
      </c>
      <c r="G850" s="35">
        <v>1.16103332120739E-3</v>
      </c>
      <c r="H850" s="24" t="s">
        <v>10</v>
      </c>
      <c r="I850" s="24" t="s">
        <v>10</v>
      </c>
      <c r="J850" s="30" t="s">
        <v>10</v>
      </c>
      <c r="K850" s="33"/>
    </row>
    <row r="851" spans="1:11" x14ac:dyDescent="0.2">
      <c r="A851" s="35" t="s">
        <v>3582</v>
      </c>
      <c r="B851" s="35">
        <v>5870.2566706259804</v>
      </c>
      <c r="C851" s="35">
        <v>4.0778473249910299</v>
      </c>
      <c r="D851" s="35">
        <v>0.92731846876939705</v>
      </c>
      <c r="E851" s="35">
        <v>4.3974615650678901</v>
      </c>
      <c r="F851" s="40">
        <v>1.09524271699451E-5</v>
      </c>
      <c r="G851" s="35">
        <v>1.2119788807739701E-3</v>
      </c>
      <c r="H851" s="24" t="s">
        <v>10</v>
      </c>
      <c r="I851" s="24" t="s">
        <v>10</v>
      </c>
      <c r="J851" s="30" t="s">
        <v>10</v>
      </c>
      <c r="K851" s="33"/>
    </row>
    <row r="852" spans="1:11" x14ac:dyDescent="0.2">
      <c r="A852" s="35" t="s">
        <v>3583</v>
      </c>
      <c r="B852" s="35">
        <v>2359.0817100015602</v>
      </c>
      <c r="C852" s="35">
        <v>2.0927253112736799</v>
      </c>
      <c r="D852" s="35">
        <v>0.47604228676958399</v>
      </c>
      <c r="E852" s="35">
        <v>4.3960912075162</v>
      </c>
      <c r="F852" s="40">
        <v>1.10217636403734E-5</v>
      </c>
      <c r="G852" s="35">
        <v>1.21339726354167E-3</v>
      </c>
      <c r="H852" s="24" t="s">
        <v>10</v>
      </c>
      <c r="I852" s="24" t="s">
        <v>10</v>
      </c>
      <c r="J852" s="30" t="s">
        <v>10</v>
      </c>
      <c r="K852" s="33"/>
    </row>
    <row r="853" spans="1:11" x14ac:dyDescent="0.2">
      <c r="A853" s="35" t="s">
        <v>3584</v>
      </c>
      <c r="B853" s="35">
        <v>97.145030436416206</v>
      </c>
      <c r="C853" s="35">
        <v>4.3911453766125597</v>
      </c>
      <c r="D853" s="35">
        <v>1.0000555610281201</v>
      </c>
      <c r="E853" s="35">
        <v>4.3909014136156603</v>
      </c>
      <c r="F853" s="40">
        <v>1.1288171599691201E-5</v>
      </c>
      <c r="G853" s="35">
        <v>1.2379649852325501E-3</v>
      </c>
      <c r="H853" s="24" t="s">
        <v>10</v>
      </c>
      <c r="I853" s="24" t="s">
        <v>10</v>
      </c>
      <c r="J853" s="30" t="s">
        <v>10</v>
      </c>
      <c r="K853" s="33"/>
    </row>
    <row r="854" spans="1:11" x14ac:dyDescent="0.2">
      <c r="A854" s="35" t="s">
        <v>3585</v>
      </c>
      <c r="B854" s="35">
        <v>52.4747767448711</v>
      </c>
      <c r="C854" s="35">
        <v>4.5006471653019098</v>
      </c>
      <c r="D854" s="35">
        <v>1.02574408277471</v>
      </c>
      <c r="E854" s="35">
        <v>4.3876901079724799</v>
      </c>
      <c r="F854" s="40">
        <v>1.14560846038562E-5</v>
      </c>
      <c r="G854" s="35">
        <v>1.2515845305569101E-3</v>
      </c>
      <c r="H854" s="24" t="s">
        <v>10</v>
      </c>
      <c r="I854" s="24" t="s">
        <v>10</v>
      </c>
      <c r="J854" s="30" t="s">
        <v>10</v>
      </c>
      <c r="K854" s="33"/>
    </row>
    <row r="855" spans="1:11" x14ac:dyDescent="0.2">
      <c r="A855" s="35" t="s">
        <v>3586</v>
      </c>
      <c r="B855" s="35">
        <v>19.856495907007101</v>
      </c>
      <c r="C855" s="35">
        <v>3.2394795966222301</v>
      </c>
      <c r="D855" s="35">
        <v>0.73886544224219297</v>
      </c>
      <c r="E855" s="35">
        <v>4.3843972277165397</v>
      </c>
      <c r="F855" s="40">
        <v>1.16307375004489E-5</v>
      </c>
      <c r="G855" s="35">
        <v>1.2674404313465001E-3</v>
      </c>
      <c r="H855" s="24" t="s">
        <v>10</v>
      </c>
      <c r="I855" s="24" t="s">
        <v>10</v>
      </c>
      <c r="J855" s="30" t="s">
        <v>10</v>
      </c>
      <c r="K855" s="33"/>
    </row>
    <row r="856" spans="1:11" x14ac:dyDescent="0.2">
      <c r="A856" s="35" t="s">
        <v>3587</v>
      </c>
      <c r="B856" s="35">
        <v>1271.3138428960599</v>
      </c>
      <c r="C856" s="35">
        <v>4.6031133442881202</v>
      </c>
      <c r="D856" s="35">
        <v>1.05084908471367</v>
      </c>
      <c r="E856" s="35">
        <v>4.3803752710526798</v>
      </c>
      <c r="F856" s="40">
        <v>1.18475093406768E-5</v>
      </c>
      <c r="G856" s="35">
        <v>1.28454226590058E-3</v>
      </c>
      <c r="H856" s="24" t="s">
        <v>10</v>
      </c>
      <c r="I856" s="24" t="s">
        <v>10</v>
      </c>
      <c r="J856" s="30" t="s">
        <v>10</v>
      </c>
      <c r="K856" s="33"/>
    </row>
    <row r="857" spans="1:11" x14ac:dyDescent="0.2">
      <c r="A857" s="35" t="s">
        <v>3588</v>
      </c>
      <c r="B857" s="35">
        <v>75.581168596654095</v>
      </c>
      <c r="C857" s="35">
        <v>3.5273863803848502</v>
      </c>
      <c r="D857" s="35">
        <v>0.80571496811087795</v>
      </c>
      <c r="E857" s="35">
        <v>4.3779581117319202</v>
      </c>
      <c r="F857" s="40">
        <v>1.19796366855227E-5</v>
      </c>
      <c r="G857" s="35">
        <v>1.28956524219898E-3</v>
      </c>
      <c r="H857" s="24" t="s">
        <v>10</v>
      </c>
      <c r="I857" s="24" t="s">
        <v>10</v>
      </c>
      <c r="J857" s="30" t="s">
        <v>10</v>
      </c>
      <c r="K857" s="33"/>
    </row>
    <row r="858" spans="1:11" x14ac:dyDescent="0.2">
      <c r="A858" s="35" t="s">
        <v>3589</v>
      </c>
      <c r="B858" s="35">
        <v>166.27030058118601</v>
      </c>
      <c r="C858" s="35">
        <v>2.7912472241078898</v>
      </c>
      <c r="D858" s="35">
        <v>0.63819304594552395</v>
      </c>
      <c r="E858" s="35">
        <v>4.3736722639659602</v>
      </c>
      <c r="F858" s="40">
        <v>1.22173753906945E-5</v>
      </c>
      <c r="G858" s="35">
        <v>1.30649843359194E-3</v>
      </c>
      <c r="H858" s="24" t="s">
        <v>10</v>
      </c>
      <c r="I858" s="24" t="s">
        <v>10</v>
      </c>
      <c r="J858" s="30" t="s">
        <v>10</v>
      </c>
      <c r="K858" s="33"/>
    </row>
    <row r="859" spans="1:11" x14ac:dyDescent="0.2">
      <c r="A859" s="35" t="s">
        <v>3590</v>
      </c>
      <c r="B859" s="35">
        <v>61.3150766401019</v>
      </c>
      <c r="C859" s="35">
        <v>2.1205822541341601</v>
      </c>
      <c r="D859" s="35">
        <v>0.48529894775820398</v>
      </c>
      <c r="E859" s="35">
        <v>4.3696411540350502</v>
      </c>
      <c r="F859" s="40">
        <v>1.24450874726565E-5</v>
      </c>
      <c r="G859" s="35">
        <v>1.3258959136035801E-3</v>
      </c>
      <c r="H859" s="24" t="s">
        <v>10</v>
      </c>
      <c r="I859" s="24" t="s">
        <v>10</v>
      </c>
      <c r="J859" s="30" t="s">
        <v>10</v>
      </c>
      <c r="K859" s="33"/>
    </row>
    <row r="860" spans="1:11" x14ac:dyDescent="0.2">
      <c r="A860" s="35" t="s">
        <v>3591</v>
      </c>
      <c r="B860" s="35">
        <v>550.77393576684995</v>
      </c>
      <c r="C860" s="35">
        <v>3.0233988188835701</v>
      </c>
      <c r="D860" s="35">
        <v>0.69311815263023702</v>
      </c>
      <c r="E860" s="35">
        <v>4.36202515748636</v>
      </c>
      <c r="F860" s="40">
        <v>1.2886404776216001E-5</v>
      </c>
      <c r="G860" s="35">
        <v>1.3661339068375901E-3</v>
      </c>
      <c r="H860" s="24" t="s">
        <v>3885</v>
      </c>
      <c r="I860" s="24" t="s">
        <v>1144</v>
      </c>
      <c r="J860" s="30" t="s">
        <v>10</v>
      </c>
      <c r="K860" s="33"/>
    </row>
    <row r="861" spans="1:11" x14ac:dyDescent="0.2">
      <c r="A861" s="45" t="s">
        <v>3592</v>
      </c>
      <c r="B861" s="45">
        <v>1280.51129904556</v>
      </c>
      <c r="C861" s="45">
        <v>2.94344610925633</v>
      </c>
      <c r="D861" s="45">
        <v>0.67519476787893995</v>
      </c>
      <c r="E861" s="45">
        <v>4.3594030186325101</v>
      </c>
      <c r="F861" s="46">
        <v>1.3041773480392201E-5</v>
      </c>
      <c r="G861" s="45">
        <v>1.37755221352575E-3</v>
      </c>
      <c r="H861" s="47" t="s">
        <v>164</v>
      </c>
      <c r="I861" s="47" t="s">
        <v>3923</v>
      </c>
      <c r="J861" s="50" t="s">
        <v>4089</v>
      </c>
      <c r="K861" s="33"/>
    </row>
    <row r="862" spans="1:11" x14ac:dyDescent="0.2">
      <c r="A862" s="35" t="s">
        <v>3593</v>
      </c>
      <c r="B862" s="35">
        <v>268.43549167344901</v>
      </c>
      <c r="C862" s="35">
        <v>3.0085633646055601</v>
      </c>
      <c r="D862" s="35">
        <v>0.69013319526557304</v>
      </c>
      <c r="E862" s="35">
        <v>4.3593952373901104</v>
      </c>
      <c r="F862" s="40">
        <v>1.30422371882991E-5</v>
      </c>
      <c r="G862" s="35">
        <v>1.37755221352575E-3</v>
      </c>
      <c r="H862" s="24" t="s">
        <v>10</v>
      </c>
      <c r="I862" s="24" t="s">
        <v>10</v>
      </c>
      <c r="J862" s="33" t="s">
        <v>10</v>
      </c>
      <c r="K862" s="33"/>
    </row>
    <row r="863" spans="1:11" x14ac:dyDescent="0.2">
      <c r="A863" s="35" t="s">
        <v>3594</v>
      </c>
      <c r="B863" s="35">
        <v>3016.9800779575198</v>
      </c>
      <c r="C863" s="35">
        <v>4.2223884364094699</v>
      </c>
      <c r="D863" s="35">
        <v>0.969588056226383</v>
      </c>
      <c r="E863" s="35">
        <v>4.3548271962455001</v>
      </c>
      <c r="F863" s="40">
        <v>1.3317192956974E-5</v>
      </c>
      <c r="G863" s="35">
        <v>1.3997070702672101E-3</v>
      </c>
      <c r="H863" s="24" t="s">
        <v>3828</v>
      </c>
      <c r="I863" s="24" t="s">
        <v>3917</v>
      </c>
      <c r="J863" s="33" t="s">
        <v>4044</v>
      </c>
      <c r="K863" s="33"/>
    </row>
    <row r="864" spans="1:11" x14ac:dyDescent="0.2">
      <c r="A864" s="35" t="s">
        <v>3595</v>
      </c>
      <c r="B864" s="35">
        <v>23.171990563366101</v>
      </c>
      <c r="C864" s="35">
        <v>4.6428524839209704</v>
      </c>
      <c r="D864" s="35">
        <v>1.06698616055465</v>
      </c>
      <c r="E864" s="35">
        <v>4.3513708570573</v>
      </c>
      <c r="F864" s="40">
        <v>1.35288998129179E-5</v>
      </c>
      <c r="G864" s="35">
        <v>1.41503064048121E-3</v>
      </c>
      <c r="H864" s="24" t="s">
        <v>10</v>
      </c>
      <c r="I864" s="24" t="s">
        <v>10</v>
      </c>
      <c r="J864" s="33" t="s">
        <v>10</v>
      </c>
      <c r="K864" s="33"/>
    </row>
    <row r="865" spans="1:11" x14ac:dyDescent="0.2">
      <c r="A865" s="45" t="s">
        <v>3596</v>
      </c>
      <c r="B865" s="45">
        <v>5041.5956804364596</v>
      </c>
      <c r="C865" s="45">
        <v>4.0230588860614196</v>
      </c>
      <c r="D865" s="45">
        <v>0.92552521857020298</v>
      </c>
      <c r="E865" s="45">
        <v>4.3467847286500101</v>
      </c>
      <c r="F865" s="46">
        <v>1.38147684128581E-5</v>
      </c>
      <c r="G865" s="45">
        <v>1.4405684243043199E-3</v>
      </c>
      <c r="H865" s="47" t="s">
        <v>84</v>
      </c>
      <c r="I865" s="47" t="s">
        <v>86</v>
      </c>
      <c r="J865" s="49" t="s">
        <v>10</v>
      </c>
      <c r="K865" s="33"/>
    </row>
    <row r="866" spans="1:11" x14ac:dyDescent="0.2">
      <c r="A866" s="35" t="s">
        <v>3597</v>
      </c>
      <c r="B866" s="35">
        <v>16.9004184648016</v>
      </c>
      <c r="C866" s="35">
        <v>3.3204421322826101</v>
      </c>
      <c r="D866" s="35">
        <v>0.76390871176836805</v>
      </c>
      <c r="E866" s="35">
        <v>4.34664781423443</v>
      </c>
      <c r="F866" s="40">
        <v>1.38233906863407E-5</v>
      </c>
      <c r="G866" s="35">
        <v>1.4405684243043199E-3</v>
      </c>
      <c r="H866" s="24" t="s">
        <v>10</v>
      </c>
      <c r="I866" s="24" t="s">
        <v>10</v>
      </c>
      <c r="J866" s="33" t="s">
        <v>10</v>
      </c>
      <c r="K866" s="33"/>
    </row>
    <row r="867" spans="1:11" x14ac:dyDescent="0.2">
      <c r="A867" s="35" t="s">
        <v>3598</v>
      </c>
      <c r="B867" s="35">
        <v>1922.6464484176299</v>
      </c>
      <c r="C867" s="35">
        <v>3.7708669668248</v>
      </c>
      <c r="D867" s="35">
        <v>0.86764257388920196</v>
      </c>
      <c r="E867" s="35">
        <v>4.3461064271223098</v>
      </c>
      <c r="F867" s="40">
        <v>1.38575351918225E-5</v>
      </c>
      <c r="G867" s="35">
        <v>1.44237624782666E-3</v>
      </c>
      <c r="H867" s="24" t="s">
        <v>10</v>
      </c>
      <c r="I867" s="24" t="s">
        <v>10</v>
      </c>
      <c r="J867" s="33" t="s">
        <v>10</v>
      </c>
      <c r="K867" s="33"/>
    </row>
    <row r="868" spans="1:11" x14ac:dyDescent="0.2">
      <c r="A868" s="35" t="s">
        <v>3599</v>
      </c>
      <c r="B868" s="35">
        <v>22.229876452475001</v>
      </c>
      <c r="C868" s="35">
        <v>4.1277263870202798</v>
      </c>
      <c r="D868" s="35">
        <v>0.95000471458448399</v>
      </c>
      <c r="E868" s="35">
        <v>4.3449535814416196</v>
      </c>
      <c r="F868" s="40">
        <v>1.39305117360364E-5</v>
      </c>
      <c r="G868" s="35">
        <v>1.44821667467939E-3</v>
      </c>
      <c r="H868" s="24" t="s">
        <v>10</v>
      </c>
      <c r="I868" s="24" t="s">
        <v>10</v>
      </c>
      <c r="J868" s="33" t="s">
        <v>10</v>
      </c>
      <c r="K868" s="33"/>
    </row>
    <row r="869" spans="1:11" x14ac:dyDescent="0.2">
      <c r="A869" s="35" t="s">
        <v>3600</v>
      </c>
      <c r="B869" s="35">
        <v>107.40137254075</v>
      </c>
      <c r="C869" s="35">
        <v>3.0207621678432699</v>
      </c>
      <c r="D869" s="35">
        <v>0.69572441680956998</v>
      </c>
      <c r="E869" s="35">
        <v>4.3418947141395199</v>
      </c>
      <c r="F869" s="40">
        <v>1.4125922571583299E-5</v>
      </c>
      <c r="G869" s="35">
        <v>1.4666568085380501E-3</v>
      </c>
      <c r="H869" s="24" t="s">
        <v>10</v>
      </c>
      <c r="I869" s="24" t="s">
        <v>10</v>
      </c>
      <c r="J869" s="33" t="s">
        <v>10</v>
      </c>
      <c r="K869" s="33"/>
    </row>
    <row r="870" spans="1:11" x14ac:dyDescent="0.2">
      <c r="A870" s="35" t="s">
        <v>3601</v>
      </c>
      <c r="B870" s="35">
        <v>54.636780205921902</v>
      </c>
      <c r="C870" s="35">
        <v>3.3179732334822898</v>
      </c>
      <c r="D870" s="35">
        <v>0.76452549774092904</v>
      </c>
      <c r="E870" s="35">
        <v>4.3399118058017203</v>
      </c>
      <c r="F870" s="40">
        <v>1.4253991189385899E-5</v>
      </c>
      <c r="G870" s="35">
        <v>1.4752915940520099E-3</v>
      </c>
      <c r="H870" s="24" t="s">
        <v>10</v>
      </c>
      <c r="I870" s="24" t="s">
        <v>10</v>
      </c>
      <c r="J870" s="33" t="s">
        <v>10</v>
      </c>
      <c r="K870" s="33"/>
    </row>
    <row r="871" spans="1:11" x14ac:dyDescent="0.2">
      <c r="A871" s="35" t="s">
        <v>3602</v>
      </c>
      <c r="B871" s="35">
        <v>142.18929271464401</v>
      </c>
      <c r="C871" s="35">
        <v>2.48967295703725</v>
      </c>
      <c r="D871" s="35">
        <v>0.57368058929460897</v>
      </c>
      <c r="E871" s="35">
        <v>4.3398242915949501</v>
      </c>
      <c r="F871" s="40">
        <v>1.42596688412056E-5</v>
      </c>
      <c r="G871" s="35">
        <v>1.4752915940520099E-3</v>
      </c>
      <c r="H871" s="24" t="s">
        <v>10</v>
      </c>
      <c r="I871" s="24" t="s">
        <v>10</v>
      </c>
      <c r="J871" s="33" t="s">
        <v>10</v>
      </c>
      <c r="K871" s="33"/>
    </row>
    <row r="872" spans="1:11" x14ac:dyDescent="0.2">
      <c r="A872" s="35" t="s">
        <v>3603</v>
      </c>
      <c r="B872" s="35">
        <v>7035.5615526438196</v>
      </c>
      <c r="C872" s="35">
        <v>2.1384384480808198</v>
      </c>
      <c r="D872" s="35">
        <v>0.49285723965904199</v>
      </c>
      <c r="E872" s="35">
        <v>4.3388597671004803</v>
      </c>
      <c r="F872" s="40">
        <v>1.4322387263545001E-5</v>
      </c>
      <c r="G872" s="35">
        <v>1.47999725235604E-3</v>
      </c>
      <c r="H872" s="24" t="s">
        <v>10</v>
      </c>
      <c r="I872" s="24" t="s">
        <v>10</v>
      </c>
      <c r="J872" s="33" t="s">
        <v>10</v>
      </c>
      <c r="K872" s="33"/>
    </row>
    <row r="873" spans="1:11" x14ac:dyDescent="0.2">
      <c r="A873" s="35" t="s">
        <v>3604</v>
      </c>
      <c r="B873" s="35">
        <v>24.516152886105601</v>
      </c>
      <c r="C873" s="35">
        <v>2.9168886241487599</v>
      </c>
      <c r="D873" s="35">
        <v>0.67307497174999897</v>
      </c>
      <c r="E873" s="35">
        <v>4.3336756625563302</v>
      </c>
      <c r="F873" s="40">
        <v>1.4664016969470001E-5</v>
      </c>
      <c r="G873" s="35">
        <v>1.50984868247645E-3</v>
      </c>
      <c r="H873" s="24" t="s">
        <v>10</v>
      </c>
      <c r="I873" s="24" t="s">
        <v>10</v>
      </c>
      <c r="J873" s="33" t="s">
        <v>10</v>
      </c>
      <c r="K873" s="33"/>
    </row>
    <row r="874" spans="1:11" x14ac:dyDescent="0.2">
      <c r="A874" s="35" t="s">
        <v>3605</v>
      </c>
      <c r="B874" s="35">
        <v>60.826737891782102</v>
      </c>
      <c r="C874" s="35">
        <v>3.2789972548598598</v>
      </c>
      <c r="D874" s="35">
        <v>0.75868415762615404</v>
      </c>
      <c r="E874" s="35">
        <v>4.3219529785879702</v>
      </c>
      <c r="F874" s="40">
        <v>1.54654152809234E-5</v>
      </c>
      <c r="G874" s="35">
        <v>1.58287327245313E-3</v>
      </c>
      <c r="H874" s="24" t="s">
        <v>3840</v>
      </c>
      <c r="I874" s="24" t="s">
        <v>3938</v>
      </c>
      <c r="J874" s="33" t="s">
        <v>10</v>
      </c>
      <c r="K874" s="33"/>
    </row>
    <row r="875" spans="1:11" x14ac:dyDescent="0.2">
      <c r="A875" s="35" t="s">
        <v>3606</v>
      </c>
      <c r="B875" s="35">
        <v>692.27319491664798</v>
      </c>
      <c r="C875" s="35">
        <v>2.7515473983743099</v>
      </c>
      <c r="D875" s="35">
        <v>0.638817701593829</v>
      </c>
      <c r="E875" s="35">
        <v>4.3072497701758898</v>
      </c>
      <c r="F875" s="40">
        <v>1.6529692409602701E-5</v>
      </c>
      <c r="G875" s="35">
        <v>1.6699073140058699E-3</v>
      </c>
      <c r="H875" s="24" t="s">
        <v>10</v>
      </c>
      <c r="I875" s="24" t="s">
        <v>10</v>
      </c>
      <c r="J875" s="33" t="s">
        <v>10</v>
      </c>
      <c r="K875" s="33"/>
    </row>
    <row r="876" spans="1:11" x14ac:dyDescent="0.2">
      <c r="A876" s="35" t="s">
        <v>3607</v>
      </c>
      <c r="B876" s="35">
        <v>63.512560689985499</v>
      </c>
      <c r="C876" s="35">
        <v>2.27006109065975</v>
      </c>
      <c r="D876" s="35">
        <v>0.52710636194216198</v>
      </c>
      <c r="E876" s="35">
        <v>4.3066471106429898</v>
      </c>
      <c r="F876" s="40">
        <v>1.6574771304425901E-5</v>
      </c>
      <c r="G876" s="35">
        <v>1.6724937563835E-3</v>
      </c>
      <c r="H876" s="24" t="s">
        <v>10</v>
      </c>
      <c r="I876" s="24" t="s">
        <v>10</v>
      </c>
      <c r="J876" s="33" t="s">
        <v>10</v>
      </c>
      <c r="K876" s="33"/>
    </row>
    <row r="877" spans="1:11" x14ac:dyDescent="0.2">
      <c r="A877" s="35" t="s">
        <v>3608</v>
      </c>
      <c r="B877" s="35">
        <v>394.75763543798701</v>
      </c>
      <c r="C877" s="35">
        <v>4.3130074317674598</v>
      </c>
      <c r="D877" s="35">
        <v>1.0026556336663801</v>
      </c>
      <c r="E877" s="35">
        <v>4.3015840004770398</v>
      </c>
      <c r="F877" s="40">
        <v>1.6958146264612698E-5</v>
      </c>
      <c r="G877" s="35">
        <v>1.70516742141517E-3</v>
      </c>
      <c r="H877" s="24" t="s">
        <v>10</v>
      </c>
      <c r="I877" s="24" t="s">
        <v>10</v>
      </c>
      <c r="J877" s="33" t="s">
        <v>10</v>
      </c>
      <c r="K877" s="33"/>
    </row>
    <row r="878" spans="1:11" x14ac:dyDescent="0.2">
      <c r="A878" s="35" t="s">
        <v>3609</v>
      </c>
      <c r="B878" s="35">
        <v>30.342139845204901</v>
      </c>
      <c r="C878" s="35">
        <v>4.2858590277868203</v>
      </c>
      <c r="D878" s="35">
        <v>0.99645740963301099</v>
      </c>
      <c r="E878" s="35">
        <v>4.3010960492182804</v>
      </c>
      <c r="F878" s="40">
        <v>1.6995536762934399E-5</v>
      </c>
      <c r="G878" s="35">
        <v>1.7069283478010999E-3</v>
      </c>
      <c r="H878" s="24" t="s">
        <v>10</v>
      </c>
      <c r="I878" s="24" t="s">
        <v>10</v>
      </c>
      <c r="J878" s="33" t="s">
        <v>10</v>
      </c>
      <c r="K878" s="33"/>
    </row>
    <row r="879" spans="1:11" x14ac:dyDescent="0.2">
      <c r="A879" s="35" t="s">
        <v>3610</v>
      </c>
      <c r="B879" s="35">
        <v>26.774559678798301</v>
      </c>
      <c r="C879" s="35">
        <v>6.5134047114326501</v>
      </c>
      <c r="D879" s="35">
        <v>1.51519073377545</v>
      </c>
      <c r="E879" s="35">
        <v>4.2987358398127196</v>
      </c>
      <c r="F879" s="40">
        <v>1.7177505526945701E-5</v>
      </c>
      <c r="G879" s="35">
        <v>1.7210431670537901E-3</v>
      </c>
      <c r="H879" s="24" t="s">
        <v>10</v>
      </c>
      <c r="I879" s="24" t="s">
        <v>10</v>
      </c>
      <c r="J879" s="33" t="s">
        <v>10</v>
      </c>
      <c r="K879" s="33"/>
    </row>
    <row r="880" spans="1:11" x14ac:dyDescent="0.2">
      <c r="A880" s="35" t="s">
        <v>3611</v>
      </c>
      <c r="B880" s="35">
        <v>423.58876050265599</v>
      </c>
      <c r="C880" s="35">
        <v>2.22057421245316</v>
      </c>
      <c r="D880" s="35">
        <v>0.51691510638249105</v>
      </c>
      <c r="E880" s="35">
        <v>4.2958199229140899</v>
      </c>
      <c r="F880" s="40">
        <v>1.7404882909149299E-5</v>
      </c>
      <c r="G880" s="35">
        <v>1.73585911764409E-3</v>
      </c>
      <c r="H880" s="24" t="s">
        <v>3863</v>
      </c>
      <c r="I880" s="24" t="s">
        <v>3995</v>
      </c>
      <c r="J880" s="33" t="s">
        <v>10</v>
      </c>
      <c r="K880" s="33"/>
    </row>
    <row r="881" spans="1:11" x14ac:dyDescent="0.2">
      <c r="A881" s="35" t="s">
        <v>3612</v>
      </c>
      <c r="B881" s="35">
        <v>35.587677576072302</v>
      </c>
      <c r="C881" s="35">
        <v>2.5290040518780001</v>
      </c>
      <c r="D881" s="35">
        <v>0.58984292775623903</v>
      </c>
      <c r="E881" s="35">
        <v>4.2875890052599797</v>
      </c>
      <c r="F881" s="40">
        <v>1.80622892331382E-5</v>
      </c>
      <c r="G881" s="35">
        <v>1.79102406320879E-3</v>
      </c>
      <c r="H881" s="24" t="s">
        <v>10</v>
      </c>
      <c r="I881" s="24" t="s">
        <v>10</v>
      </c>
      <c r="J881" s="33" t="s">
        <v>10</v>
      </c>
      <c r="K881" s="33"/>
    </row>
    <row r="882" spans="1:11" x14ac:dyDescent="0.2">
      <c r="A882" s="35" t="s">
        <v>3613</v>
      </c>
      <c r="B882" s="35">
        <v>1916.71735045644</v>
      </c>
      <c r="C882" s="35">
        <v>2.65778407446951</v>
      </c>
      <c r="D882" s="35">
        <v>0.62062937730218604</v>
      </c>
      <c r="E882" s="35">
        <v>4.2824013359190802</v>
      </c>
      <c r="F882" s="40">
        <v>1.84887120559733E-5</v>
      </c>
      <c r="G882" s="35">
        <v>1.8248783827108999E-3</v>
      </c>
      <c r="H882" s="24" t="s">
        <v>3854</v>
      </c>
      <c r="I882" s="24" t="s">
        <v>3970</v>
      </c>
      <c r="J882" s="33" t="s">
        <v>10</v>
      </c>
      <c r="K882" s="33"/>
    </row>
    <row r="883" spans="1:11" x14ac:dyDescent="0.2">
      <c r="A883" s="35" t="s">
        <v>3614</v>
      </c>
      <c r="B883" s="35">
        <v>706.55051659094704</v>
      </c>
      <c r="C883" s="35">
        <v>3.0487467688890901</v>
      </c>
      <c r="D883" s="35">
        <v>0.71256291262219695</v>
      </c>
      <c r="E883" s="35">
        <v>4.2785650430077098</v>
      </c>
      <c r="F883" s="40">
        <v>1.8810202613351201E-5</v>
      </c>
      <c r="G883" s="35">
        <v>1.8491234708172999E-3</v>
      </c>
      <c r="H883" s="24" t="s">
        <v>3852</v>
      </c>
      <c r="I883" s="24" t="s">
        <v>3964</v>
      </c>
      <c r="J883" s="33" t="s">
        <v>4074</v>
      </c>
      <c r="K883" s="33"/>
    </row>
    <row r="884" spans="1:11" x14ac:dyDescent="0.2">
      <c r="A884" s="35" t="s">
        <v>3615</v>
      </c>
      <c r="B884" s="35">
        <v>32.6222094920725</v>
      </c>
      <c r="C884" s="35">
        <v>4.2723367650338098</v>
      </c>
      <c r="D884" s="35">
        <v>0.99928360550815098</v>
      </c>
      <c r="E884" s="35">
        <v>4.2753996377847701</v>
      </c>
      <c r="F884" s="40">
        <v>1.9079473674550001E-5</v>
      </c>
      <c r="G884" s="35">
        <v>1.87242683875118E-3</v>
      </c>
      <c r="H884" s="24" t="s">
        <v>10</v>
      </c>
      <c r="I884" s="24" t="s">
        <v>10</v>
      </c>
      <c r="J884" s="33" t="s">
        <v>10</v>
      </c>
      <c r="K884" s="33"/>
    </row>
    <row r="885" spans="1:11" x14ac:dyDescent="0.2">
      <c r="A885" s="35" t="s">
        <v>3616</v>
      </c>
      <c r="B885" s="35">
        <v>40.606037483009203</v>
      </c>
      <c r="C885" s="35">
        <v>8.9399148795264995</v>
      </c>
      <c r="D885" s="35">
        <v>2.09254926121059</v>
      </c>
      <c r="E885" s="35">
        <v>4.2722601781687803</v>
      </c>
      <c r="F885" s="40">
        <v>1.9350161424672999E-5</v>
      </c>
      <c r="G885" s="35">
        <v>1.8966178148611299E-3</v>
      </c>
      <c r="H885" s="24" t="s">
        <v>10</v>
      </c>
      <c r="I885" s="24" t="s">
        <v>10</v>
      </c>
      <c r="J885" s="33" t="s">
        <v>10</v>
      </c>
      <c r="K885" s="33"/>
    </row>
    <row r="886" spans="1:11" x14ac:dyDescent="0.2">
      <c r="A886" s="35" t="s">
        <v>3617</v>
      </c>
      <c r="B886" s="35">
        <v>1074.9456765827999</v>
      </c>
      <c r="C886" s="35">
        <v>2.2876937838881499</v>
      </c>
      <c r="D886" s="35">
        <v>0.53559828628433903</v>
      </c>
      <c r="E886" s="35">
        <v>4.2712866013048698</v>
      </c>
      <c r="F886" s="40">
        <v>1.9434844641945799E-5</v>
      </c>
      <c r="G886" s="35">
        <v>1.8966178148611299E-3</v>
      </c>
      <c r="H886" s="24" t="s">
        <v>10</v>
      </c>
      <c r="I886" s="24" t="s">
        <v>10</v>
      </c>
      <c r="J886" s="33" t="s">
        <v>10</v>
      </c>
      <c r="K886" s="33"/>
    </row>
    <row r="887" spans="1:11" x14ac:dyDescent="0.2">
      <c r="A887" s="35" t="s">
        <v>3618</v>
      </c>
      <c r="B887" s="35">
        <v>588.80595666687998</v>
      </c>
      <c r="C887" s="35">
        <v>2.8646813715529098</v>
      </c>
      <c r="D887" s="35">
        <v>0.67099036097164799</v>
      </c>
      <c r="E887" s="35">
        <v>4.2693331203813703</v>
      </c>
      <c r="F887" s="40">
        <v>1.96058272189068E-5</v>
      </c>
      <c r="G887" s="35">
        <v>1.90848168524103E-3</v>
      </c>
      <c r="H887" s="24" t="s">
        <v>3886</v>
      </c>
      <c r="I887" s="24" t="s">
        <v>1133</v>
      </c>
      <c r="J887" s="33" t="s">
        <v>10</v>
      </c>
      <c r="K887" s="33"/>
    </row>
    <row r="888" spans="1:11" x14ac:dyDescent="0.2">
      <c r="A888" s="35" t="s">
        <v>3619</v>
      </c>
      <c r="B888" s="35">
        <v>3247.78280421405</v>
      </c>
      <c r="C888" s="35">
        <v>4.1979049915900797</v>
      </c>
      <c r="D888" s="35">
        <v>0.98331882104988499</v>
      </c>
      <c r="E888" s="35">
        <v>4.2691189283939401</v>
      </c>
      <c r="F888" s="40">
        <v>1.96246617375811E-5</v>
      </c>
      <c r="G888" s="35">
        <v>1.90848168524103E-3</v>
      </c>
      <c r="H888" s="24" t="s">
        <v>3840</v>
      </c>
      <c r="I888" s="24" t="s">
        <v>3996</v>
      </c>
      <c r="J888" s="33" t="s">
        <v>10</v>
      </c>
      <c r="K888" s="33"/>
    </row>
    <row r="889" spans="1:11" x14ac:dyDescent="0.2">
      <c r="A889" s="35" t="s">
        <v>3620</v>
      </c>
      <c r="B889" s="35">
        <v>51.627902628839998</v>
      </c>
      <c r="C889" s="35">
        <v>3.77917267829578</v>
      </c>
      <c r="D889" s="35">
        <v>0.88555145171310301</v>
      </c>
      <c r="E889" s="35">
        <v>4.2675924374410501</v>
      </c>
      <c r="F889" s="40">
        <v>1.9759390335031301E-5</v>
      </c>
      <c r="G889" s="35">
        <v>1.91542576970352E-3</v>
      </c>
      <c r="H889" s="24" t="s">
        <v>10</v>
      </c>
      <c r="I889" s="24" t="s">
        <v>10</v>
      </c>
      <c r="J889" s="33" t="s">
        <v>10</v>
      </c>
      <c r="K889" s="33"/>
    </row>
    <row r="890" spans="1:11" x14ac:dyDescent="0.2">
      <c r="A890" s="35" t="s">
        <v>3621</v>
      </c>
      <c r="B890" s="35">
        <v>131.17724993007499</v>
      </c>
      <c r="C890" s="35">
        <v>6.2277564501490401</v>
      </c>
      <c r="D890" s="35">
        <v>1.4599097683553901</v>
      </c>
      <c r="E890" s="35">
        <v>4.2658502498854496</v>
      </c>
      <c r="F890" s="40">
        <v>1.9914232670452301E-5</v>
      </c>
      <c r="G890" s="35">
        <v>1.9279087639734E-3</v>
      </c>
      <c r="H890" s="24" t="s">
        <v>10</v>
      </c>
      <c r="I890" s="24" t="s">
        <v>10</v>
      </c>
      <c r="J890" s="33" t="s">
        <v>10</v>
      </c>
      <c r="K890" s="33"/>
    </row>
    <row r="891" spans="1:11" x14ac:dyDescent="0.2">
      <c r="A891" s="35" t="s">
        <v>3622</v>
      </c>
      <c r="B891" s="35">
        <v>9911.7690876348606</v>
      </c>
      <c r="C891" s="35">
        <v>2.0577997314677399</v>
      </c>
      <c r="D891" s="35">
        <v>0.48300709148802001</v>
      </c>
      <c r="E891" s="35">
        <v>4.2603923787706597</v>
      </c>
      <c r="F891" s="40">
        <v>2.04068327559102E-5</v>
      </c>
      <c r="G891" s="35">
        <v>1.9614731401523099E-3</v>
      </c>
      <c r="H891" s="24" t="s">
        <v>10</v>
      </c>
      <c r="I891" s="24" t="s">
        <v>10</v>
      </c>
      <c r="J891" s="33" t="s">
        <v>10</v>
      </c>
      <c r="K891" s="33"/>
    </row>
    <row r="892" spans="1:11" x14ac:dyDescent="0.2">
      <c r="A892" s="35" t="s">
        <v>3623</v>
      </c>
      <c r="B892" s="35">
        <v>42.850270964520398</v>
      </c>
      <c r="C892" s="35">
        <v>2.9325612810611599</v>
      </c>
      <c r="D892" s="35">
        <v>0.68852056420472196</v>
      </c>
      <c r="E892" s="35">
        <v>4.2592210509332098</v>
      </c>
      <c r="F892" s="40">
        <v>2.05140526242708E-5</v>
      </c>
      <c r="G892" s="35">
        <v>1.9660292554673602E-3</v>
      </c>
      <c r="H892" s="29" t="s">
        <v>10</v>
      </c>
      <c r="I892" s="24" t="s">
        <v>3902</v>
      </c>
      <c r="J892" s="30" t="s">
        <v>10</v>
      </c>
      <c r="K892" s="33"/>
    </row>
    <row r="893" spans="1:11" x14ac:dyDescent="0.2">
      <c r="A893" s="35" t="s">
        <v>3624</v>
      </c>
      <c r="B893" s="35">
        <v>45.239457666889301</v>
      </c>
      <c r="C893" s="35">
        <v>3.1658823973288901</v>
      </c>
      <c r="D893" s="35">
        <v>0.74351238334999403</v>
      </c>
      <c r="E893" s="35">
        <v>4.2580089696214403</v>
      </c>
      <c r="F893" s="40">
        <v>2.0625567536698999E-5</v>
      </c>
      <c r="G893" s="35">
        <v>1.97231415361234E-3</v>
      </c>
      <c r="H893" s="24" t="s">
        <v>10</v>
      </c>
      <c r="I893" s="24" t="s">
        <v>10</v>
      </c>
      <c r="J893" s="33" t="s">
        <v>10</v>
      </c>
      <c r="K893" s="33"/>
    </row>
    <row r="894" spans="1:11" x14ac:dyDescent="0.2">
      <c r="A894" s="35" t="s">
        <v>3625</v>
      </c>
      <c r="B894" s="35">
        <v>60.510061180885401</v>
      </c>
      <c r="C894" s="35">
        <v>3.1114650409229498</v>
      </c>
      <c r="D894" s="35">
        <v>0.73088389105138296</v>
      </c>
      <c r="E894" s="35">
        <v>4.2571263083211104</v>
      </c>
      <c r="F894" s="40">
        <v>2.07071378126895E-5</v>
      </c>
      <c r="G894" s="35">
        <v>1.9779117142530102E-3</v>
      </c>
      <c r="H894" s="24" t="s">
        <v>10</v>
      </c>
      <c r="I894" s="24" t="s">
        <v>10</v>
      </c>
      <c r="J894" s="33" t="s">
        <v>10</v>
      </c>
      <c r="K894" s="33"/>
    </row>
    <row r="895" spans="1:11" x14ac:dyDescent="0.2">
      <c r="A895" s="35" t="s">
        <v>3626</v>
      </c>
      <c r="B895" s="35">
        <v>3135.3895523149199</v>
      </c>
      <c r="C895" s="35">
        <v>2.2645385960773998</v>
      </c>
      <c r="D895" s="35">
        <v>0.53203767588963002</v>
      </c>
      <c r="E895" s="35">
        <v>4.2563500644777204</v>
      </c>
      <c r="F895" s="40">
        <v>2.0779127369513102E-5</v>
      </c>
      <c r="G895" s="35">
        <v>1.98038229339341E-3</v>
      </c>
      <c r="H895" s="24" t="s">
        <v>10</v>
      </c>
      <c r="I895" s="24" t="s">
        <v>10</v>
      </c>
      <c r="J895" s="33" t="s">
        <v>10</v>
      </c>
      <c r="K895" s="33"/>
    </row>
    <row r="896" spans="1:11" x14ac:dyDescent="0.2">
      <c r="A896" s="35" t="s">
        <v>3627</v>
      </c>
      <c r="B896" s="35">
        <v>6233.25655162971</v>
      </c>
      <c r="C896" s="35">
        <v>2.0832841517114402</v>
      </c>
      <c r="D896" s="35">
        <v>0.490304840097529</v>
      </c>
      <c r="E896" s="35">
        <v>4.2489569372740403</v>
      </c>
      <c r="F896" s="40">
        <v>2.14768195672715E-5</v>
      </c>
      <c r="G896" s="35">
        <v>2.0333362437278601E-3</v>
      </c>
      <c r="H896" s="24" t="s">
        <v>3873</v>
      </c>
      <c r="I896" s="24" t="s">
        <v>4008</v>
      </c>
      <c r="J896" s="33" t="s">
        <v>4103</v>
      </c>
      <c r="K896" s="33"/>
    </row>
    <row r="897" spans="1:11" x14ac:dyDescent="0.2">
      <c r="A897" s="35" t="s">
        <v>3628</v>
      </c>
      <c r="B897" s="35">
        <v>96.321688687597103</v>
      </c>
      <c r="C897" s="35">
        <v>10.185979693381</v>
      </c>
      <c r="D897" s="35">
        <v>2.3979226941458802</v>
      </c>
      <c r="E897" s="35">
        <v>4.2478348940307002</v>
      </c>
      <c r="F897" s="40">
        <v>2.1584636801641101E-5</v>
      </c>
      <c r="G897" s="35">
        <v>2.0390012725332802E-3</v>
      </c>
      <c r="H897" s="24" t="s">
        <v>10</v>
      </c>
      <c r="I897" s="24" t="s">
        <v>10</v>
      </c>
      <c r="J897" s="33" t="s">
        <v>10</v>
      </c>
      <c r="K897" s="33"/>
    </row>
    <row r="898" spans="1:11" x14ac:dyDescent="0.2">
      <c r="A898" s="35" t="s">
        <v>3629</v>
      </c>
      <c r="B898" s="35">
        <v>46.172805198051698</v>
      </c>
      <c r="C898" s="35">
        <v>2.3859008184625901</v>
      </c>
      <c r="D898" s="35">
        <v>0.56173902524220298</v>
      </c>
      <c r="E898" s="35">
        <v>4.2473474536220204</v>
      </c>
      <c r="F898" s="40">
        <v>2.1631635351606701E-5</v>
      </c>
      <c r="G898" s="35">
        <v>2.0390012725332802E-3</v>
      </c>
      <c r="H898" s="29" t="s">
        <v>10</v>
      </c>
      <c r="I898" s="24" t="s">
        <v>3999</v>
      </c>
      <c r="J898" s="30" t="s">
        <v>10</v>
      </c>
      <c r="K898" s="33"/>
    </row>
    <row r="899" spans="1:11" x14ac:dyDescent="0.2">
      <c r="A899" s="35" t="s">
        <v>3630</v>
      </c>
      <c r="B899" s="35">
        <v>1523.09460095994</v>
      </c>
      <c r="C899" s="35">
        <v>2.2906252014427699</v>
      </c>
      <c r="D899" s="35">
        <v>0.53990614176512697</v>
      </c>
      <c r="E899" s="35">
        <v>4.2426359403024696</v>
      </c>
      <c r="F899" s="40">
        <v>2.20909644070466E-5</v>
      </c>
      <c r="G899" s="35">
        <v>2.07546302472374E-3</v>
      </c>
      <c r="H899" s="24" t="s">
        <v>10</v>
      </c>
      <c r="I899" s="24" t="s">
        <v>10</v>
      </c>
      <c r="J899" s="33" t="s">
        <v>10</v>
      </c>
      <c r="K899" s="33"/>
    </row>
    <row r="900" spans="1:11" x14ac:dyDescent="0.2">
      <c r="A900" s="35" t="s">
        <v>3631</v>
      </c>
      <c r="B900" s="35">
        <v>2917.2602643579498</v>
      </c>
      <c r="C900" s="35">
        <v>2.78183267173157</v>
      </c>
      <c r="D900" s="35">
        <v>0.65577302420675099</v>
      </c>
      <c r="E900" s="35">
        <v>4.2420663385728403</v>
      </c>
      <c r="F900" s="40">
        <v>2.2147120206319101E-5</v>
      </c>
      <c r="G900" s="35">
        <v>2.0784648734828702E-3</v>
      </c>
      <c r="H900" s="24" t="s">
        <v>10</v>
      </c>
      <c r="I900" s="24" t="s">
        <v>10</v>
      </c>
      <c r="J900" s="33" t="s">
        <v>10</v>
      </c>
      <c r="K900" s="33"/>
    </row>
    <row r="901" spans="1:11" x14ac:dyDescent="0.2">
      <c r="A901" s="35" t="s">
        <v>3632</v>
      </c>
      <c r="B901" s="35">
        <v>96.058146096360105</v>
      </c>
      <c r="C901" s="35">
        <v>2.2787081939898801</v>
      </c>
      <c r="D901" s="35">
        <v>0.53721968501667905</v>
      </c>
      <c r="E901" s="35">
        <v>4.2416692045064099</v>
      </c>
      <c r="F901" s="40">
        <v>2.2186353152785299E-5</v>
      </c>
      <c r="G901" s="35">
        <v>2.0798737244354E-3</v>
      </c>
      <c r="H901" s="29" t="s">
        <v>10</v>
      </c>
      <c r="I901" s="24" t="s">
        <v>4020</v>
      </c>
      <c r="J901" s="30" t="s">
        <v>10</v>
      </c>
      <c r="K901" s="33"/>
    </row>
    <row r="902" spans="1:11" x14ac:dyDescent="0.2">
      <c r="A902" s="35" t="s">
        <v>3633</v>
      </c>
      <c r="B902" s="35">
        <v>143.572254882636</v>
      </c>
      <c r="C902" s="35">
        <v>3.3031259154826902</v>
      </c>
      <c r="D902" s="35">
        <v>0.77891144505334398</v>
      </c>
      <c r="E902" s="35">
        <v>4.2406950577757501</v>
      </c>
      <c r="F902" s="40">
        <v>2.2282869616580099E-5</v>
      </c>
      <c r="G902" s="35">
        <v>2.0821026081015801E-3</v>
      </c>
      <c r="H902" s="24" t="s">
        <v>3875</v>
      </c>
      <c r="I902" s="24" t="s">
        <v>4010</v>
      </c>
      <c r="J902" s="33" t="s">
        <v>4105</v>
      </c>
      <c r="K902" s="33"/>
    </row>
    <row r="903" spans="1:11" x14ac:dyDescent="0.2">
      <c r="A903" s="35" t="s">
        <v>3634</v>
      </c>
      <c r="B903" s="35">
        <v>35.005334360756102</v>
      </c>
      <c r="C903" s="35">
        <v>2.28135369269337</v>
      </c>
      <c r="D903" s="35">
        <v>0.53819442909743598</v>
      </c>
      <c r="E903" s="35">
        <v>4.2389024660089003</v>
      </c>
      <c r="F903" s="40">
        <v>2.2461521154794501E-5</v>
      </c>
      <c r="G903" s="35">
        <v>2.09651443813409E-3</v>
      </c>
      <c r="H903" s="24" t="s">
        <v>10</v>
      </c>
      <c r="I903" s="24" t="s">
        <v>10</v>
      </c>
      <c r="J903" s="33" t="s">
        <v>10</v>
      </c>
      <c r="K903" s="33"/>
    </row>
    <row r="904" spans="1:11" x14ac:dyDescent="0.2">
      <c r="A904" s="35" t="s">
        <v>3635</v>
      </c>
      <c r="B904" s="35">
        <v>2045.41797304027</v>
      </c>
      <c r="C904" s="35">
        <v>2.4670614554142598</v>
      </c>
      <c r="D904" s="35">
        <v>0.582995390243504</v>
      </c>
      <c r="E904" s="35">
        <v>4.23169976418479</v>
      </c>
      <c r="F904" s="40">
        <v>2.3193187252503501E-5</v>
      </c>
      <c r="G904" s="35">
        <v>2.1554352625105301E-3</v>
      </c>
      <c r="H904" s="24" t="s">
        <v>2476</v>
      </c>
      <c r="I904" s="24" t="s">
        <v>3126</v>
      </c>
      <c r="J904" s="33" t="s">
        <v>10</v>
      </c>
      <c r="K904" s="33"/>
    </row>
    <row r="905" spans="1:11" x14ac:dyDescent="0.2">
      <c r="A905" s="35" t="s">
        <v>3636</v>
      </c>
      <c r="B905" s="35">
        <v>294.723112832384</v>
      </c>
      <c r="C905" s="35">
        <v>2.0085250770445202</v>
      </c>
      <c r="D905" s="35">
        <v>0.47482766157769901</v>
      </c>
      <c r="E905" s="35">
        <v>4.2300085685211304</v>
      </c>
      <c r="F905" s="40">
        <v>2.3368241078359099E-5</v>
      </c>
      <c r="G905" s="35">
        <v>2.1693559239348899E-3</v>
      </c>
      <c r="H905" s="24" t="s">
        <v>3877</v>
      </c>
      <c r="I905" s="24" t="s">
        <v>4011</v>
      </c>
      <c r="J905" s="33" t="s">
        <v>10</v>
      </c>
      <c r="K905" s="33"/>
    </row>
    <row r="906" spans="1:11" x14ac:dyDescent="0.2">
      <c r="A906" s="35" t="s">
        <v>3637</v>
      </c>
      <c r="B906" s="35">
        <v>849.17434422944496</v>
      </c>
      <c r="C906" s="35">
        <v>2.99461013966885</v>
      </c>
      <c r="D906" s="35">
        <v>0.70803306407855704</v>
      </c>
      <c r="E906" s="35">
        <v>4.2294778190423603</v>
      </c>
      <c r="F906" s="40">
        <v>2.34234370791068E-5</v>
      </c>
      <c r="G906" s="35">
        <v>2.1721317121166099E-3</v>
      </c>
      <c r="H906" s="24" t="s">
        <v>10</v>
      </c>
      <c r="I906" s="24" t="s">
        <v>10</v>
      </c>
      <c r="J906" s="33" t="s">
        <v>10</v>
      </c>
      <c r="K906" s="33"/>
    </row>
    <row r="907" spans="1:11" x14ac:dyDescent="0.2">
      <c r="A907" s="35" t="s">
        <v>3638</v>
      </c>
      <c r="B907" s="35">
        <v>129.52284073573401</v>
      </c>
      <c r="C907" s="35">
        <v>3.3204223656157001</v>
      </c>
      <c r="D907" s="35">
        <v>0.78570970364950599</v>
      </c>
      <c r="E907" s="35">
        <v>4.2260167466340599</v>
      </c>
      <c r="F907" s="40">
        <v>2.3786429723015099E-5</v>
      </c>
      <c r="G907" s="35">
        <v>2.1986700826103602E-3</v>
      </c>
      <c r="H907" s="24" t="s">
        <v>10</v>
      </c>
      <c r="I907" s="24" t="s">
        <v>10</v>
      </c>
      <c r="J907" s="33" t="s">
        <v>10</v>
      </c>
      <c r="K907" s="33"/>
    </row>
    <row r="908" spans="1:11" x14ac:dyDescent="0.2">
      <c r="A908" s="35" t="s">
        <v>3639</v>
      </c>
      <c r="B908" s="35">
        <v>76.337065118653598</v>
      </c>
      <c r="C908" s="35">
        <v>2.1010515720916501</v>
      </c>
      <c r="D908" s="35">
        <v>0.49771875936694199</v>
      </c>
      <c r="E908" s="35">
        <v>4.2213630339431401</v>
      </c>
      <c r="F908" s="40">
        <v>2.4282948640974299E-5</v>
      </c>
      <c r="G908" s="35">
        <v>2.2421517018807501E-3</v>
      </c>
      <c r="H908" s="24" t="s">
        <v>10</v>
      </c>
      <c r="I908" s="24" t="s">
        <v>10</v>
      </c>
      <c r="J908" s="33" t="s">
        <v>10</v>
      </c>
      <c r="K908" s="33"/>
    </row>
    <row r="909" spans="1:11" x14ac:dyDescent="0.2">
      <c r="A909" s="35" t="s">
        <v>3640</v>
      </c>
      <c r="B909" s="35">
        <v>118.721292984942</v>
      </c>
      <c r="C909" s="35">
        <v>2.2404449394055899</v>
      </c>
      <c r="D909" s="35">
        <v>0.53077654477045899</v>
      </c>
      <c r="E909" s="35">
        <v>4.2210699803520804</v>
      </c>
      <c r="F909" s="40">
        <v>2.4314543205065501E-5</v>
      </c>
      <c r="G909" s="35">
        <v>2.2426575075855902E-3</v>
      </c>
      <c r="H909" s="24" t="s">
        <v>10</v>
      </c>
      <c r="I909" s="24" t="s">
        <v>10</v>
      </c>
      <c r="J909" s="33" t="s">
        <v>10</v>
      </c>
      <c r="K909" s="33"/>
    </row>
    <row r="910" spans="1:11" x14ac:dyDescent="0.2">
      <c r="A910" s="35" t="s">
        <v>3641</v>
      </c>
      <c r="B910" s="35">
        <v>461.66556788425498</v>
      </c>
      <c r="C910" s="35">
        <v>4.1761028088632104</v>
      </c>
      <c r="D910" s="35">
        <v>0.98992043111260897</v>
      </c>
      <c r="E910" s="35">
        <v>4.2186247274132196</v>
      </c>
      <c r="F910" s="40">
        <v>2.4579698617628499E-5</v>
      </c>
      <c r="G910" s="35">
        <v>2.2622543408299901E-3</v>
      </c>
      <c r="H910" s="29" t="s">
        <v>10</v>
      </c>
      <c r="I910" s="24" t="s">
        <v>86</v>
      </c>
      <c r="J910" s="33" t="s">
        <v>10</v>
      </c>
      <c r="K910" s="33"/>
    </row>
    <row r="911" spans="1:11" x14ac:dyDescent="0.2">
      <c r="A911" s="35" t="s">
        <v>3642</v>
      </c>
      <c r="B911" s="35">
        <v>86.605413846293203</v>
      </c>
      <c r="C911" s="35">
        <v>5.3725144277759904</v>
      </c>
      <c r="D911" s="35">
        <v>1.2737012103954399</v>
      </c>
      <c r="E911" s="35">
        <v>4.2180335418759798</v>
      </c>
      <c r="F911" s="40">
        <v>2.46442165839572E-5</v>
      </c>
      <c r="G911" s="35">
        <v>2.2657639424849899E-3</v>
      </c>
      <c r="H911" s="29" t="s">
        <v>10</v>
      </c>
      <c r="I911" s="24" t="s">
        <v>10</v>
      </c>
      <c r="J911" s="33" t="s">
        <v>10</v>
      </c>
      <c r="K911" s="33"/>
    </row>
    <row r="912" spans="1:11" x14ac:dyDescent="0.2">
      <c r="A912" s="35" t="s">
        <v>3643</v>
      </c>
      <c r="B912" s="35">
        <v>168.62159553527101</v>
      </c>
      <c r="C912" s="35">
        <v>3.0730894357601</v>
      </c>
      <c r="D912" s="35">
        <v>0.72976167442856599</v>
      </c>
      <c r="E912" s="35">
        <v>4.2110863634575804</v>
      </c>
      <c r="F912" s="40">
        <v>2.54145556094523E-5</v>
      </c>
      <c r="G912" s="35">
        <v>2.3241462244294698E-3</v>
      </c>
      <c r="H912" s="29" t="s">
        <v>10</v>
      </c>
      <c r="I912" s="24" t="s">
        <v>10</v>
      </c>
      <c r="J912" s="33" t="s">
        <v>10</v>
      </c>
      <c r="K912" s="33"/>
    </row>
    <row r="913" spans="1:11" x14ac:dyDescent="0.2">
      <c r="A913" s="35" t="s">
        <v>3644</v>
      </c>
      <c r="B913" s="35">
        <v>70.972794040074305</v>
      </c>
      <c r="C913" s="35">
        <v>4.1318396851685799</v>
      </c>
      <c r="D913" s="35">
        <v>0.98164874543297498</v>
      </c>
      <c r="E913" s="35">
        <v>4.2090816133485198</v>
      </c>
      <c r="F913" s="40">
        <v>2.56410766489998E-5</v>
      </c>
      <c r="G913" s="35">
        <v>2.3398776757983602E-3</v>
      </c>
      <c r="H913" s="29" t="s">
        <v>10</v>
      </c>
      <c r="I913" s="24" t="s">
        <v>3925</v>
      </c>
      <c r="J913" s="33" t="s">
        <v>10</v>
      </c>
      <c r="K913" s="33"/>
    </row>
    <row r="914" spans="1:11" x14ac:dyDescent="0.2">
      <c r="A914" s="35" t="s">
        <v>3645</v>
      </c>
      <c r="B914" s="35">
        <v>44.793081986289998</v>
      </c>
      <c r="C914" s="35">
        <v>3.4451971553791001</v>
      </c>
      <c r="D914" s="35">
        <v>0.82047278234092003</v>
      </c>
      <c r="E914" s="35">
        <v>4.1990389316138996</v>
      </c>
      <c r="F914" s="40">
        <v>2.68050236205076E-5</v>
      </c>
      <c r="G914" s="35">
        <v>2.4331650986433502E-3</v>
      </c>
      <c r="H914" s="29" t="s">
        <v>10</v>
      </c>
      <c r="I914" s="24" t="s">
        <v>10</v>
      </c>
      <c r="J914" s="33" t="s">
        <v>10</v>
      </c>
      <c r="K914" s="33"/>
    </row>
    <row r="915" spans="1:11" x14ac:dyDescent="0.2">
      <c r="A915" s="35" t="s">
        <v>3646</v>
      </c>
      <c r="B915" s="35">
        <v>20.014479698176899</v>
      </c>
      <c r="C915" s="35">
        <v>4.16590832606484</v>
      </c>
      <c r="D915" s="35">
        <v>0.99425641722995795</v>
      </c>
      <c r="E915" s="35">
        <v>4.1899737873165996</v>
      </c>
      <c r="F915" s="40">
        <v>2.7898668130293901E-5</v>
      </c>
      <c r="G915" s="35">
        <v>2.5164774485467098E-3</v>
      </c>
      <c r="H915" s="29" t="s">
        <v>10</v>
      </c>
      <c r="I915" s="24" t="s">
        <v>10</v>
      </c>
      <c r="J915" s="33" t="s">
        <v>10</v>
      </c>
      <c r="K915" s="33"/>
    </row>
    <row r="916" spans="1:11" x14ac:dyDescent="0.2">
      <c r="A916" s="35" t="s">
        <v>3647</v>
      </c>
      <c r="B916" s="35">
        <v>103.5313819623</v>
      </c>
      <c r="C916" s="35">
        <v>3.5193962887942498</v>
      </c>
      <c r="D916" s="35">
        <v>0.84158477382764396</v>
      </c>
      <c r="E916" s="35">
        <v>4.1818678263243099</v>
      </c>
      <c r="F916" s="40">
        <v>2.8912403986725702E-5</v>
      </c>
      <c r="G916" s="35">
        <v>2.59700527483695E-3</v>
      </c>
      <c r="H916" s="29" t="s">
        <v>10</v>
      </c>
      <c r="I916" s="24" t="s">
        <v>10</v>
      </c>
      <c r="J916" s="33" t="s">
        <v>10</v>
      </c>
      <c r="K916" s="33"/>
    </row>
    <row r="917" spans="1:11" x14ac:dyDescent="0.2">
      <c r="A917" s="35" t="s">
        <v>3648</v>
      </c>
      <c r="B917" s="35">
        <v>6519.20410883772</v>
      </c>
      <c r="C917" s="35">
        <v>5.4547648993164399</v>
      </c>
      <c r="D917" s="35">
        <v>1.30457228340663</v>
      </c>
      <c r="E917" s="35">
        <v>4.1812668939067299</v>
      </c>
      <c r="F917" s="40">
        <v>2.89889348314867E-5</v>
      </c>
      <c r="G917" s="35">
        <v>2.6000533012221E-3</v>
      </c>
      <c r="H917" s="29" t="s">
        <v>10</v>
      </c>
      <c r="I917" s="24" t="s">
        <v>10</v>
      </c>
      <c r="J917" s="33" t="s">
        <v>10</v>
      </c>
      <c r="K917" s="33"/>
    </row>
    <row r="918" spans="1:11" x14ac:dyDescent="0.2">
      <c r="A918" s="35" t="s">
        <v>3649</v>
      </c>
      <c r="B918" s="35">
        <v>51.834040414421899</v>
      </c>
      <c r="C918" s="35">
        <v>2.3486910581304601</v>
      </c>
      <c r="D918" s="35">
        <v>0.56235331527255195</v>
      </c>
      <c r="E918" s="35">
        <v>4.17653989821709</v>
      </c>
      <c r="F918" s="40">
        <v>2.9597684771590398E-5</v>
      </c>
      <c r="G918" s="35">
        <v>2.6502427414194299E-3</v>
      </c>
      <c r="H918" s="29" t="s">
        <v>10</v>
      </c>
      <c r="I918" s="24" t="s">
        <v>10</v>
      </c>
      <c r="J918" s="33" t="s">
        <v>10</v>
      </c>
      <c r="K918" s="33"/>
    </row>
    <row r="919" spans="1:11" x14ac:dyDescent="0.2">
      <c r="A919" s="35" t="s">
        <v>3650</v>
      </c>
      <c r="B919" s="35">
        <v>50.885166907587802</v>
      </c>
      <c r="C919" s="35">
        <v>4.1243859663479503</v>
      </c>
      <c r="D919" s="35">
        <v>0.98812943886399296</v>
      </c>
      <c r="E919" s="35">
        <v>4.1739328919190699</v>
      </c>
      <c r="F919" s="40">
        <v>2.9938597641855299E-5</v>
      </c>
      <c r="G919" s="35">
        <v>2.6751897170694699E-3</v>
      </c>
      <c r="H919" s="29" t="s">
        <v>10</v>
      </c>
      <c r="I919" s="24" t="s">
        <v>10</v>
      </c>
      <c r="J919" s="33" t="s">
        <v>10</v>
      </c>
      <c r="K919" s="33"/>
    </row>
    <row r="920" spans="1:11" x14ac:dyDescent="0.2">
      <c r="A920" s="35" t="s">
        <v>3651</v>
      </c>
      <c r="B920" s="35">
        <v>863.637438987829</v>
      </c>
      <c r="C920" s="35">
        <v>3.2912828635112699</v>
      </c>
      <c r="D920" s="35">
        <v>0.78928720329410895</v>
      </c>
      <c r="E920" s="35">
        <v>4.1699432725819197</v>
      </c>
      <c r="F920" s="40">
        <v>3.0467546751598699E-5</v>
      </c>
      <c r="G920" s="35">
        <v>2.7196244356616698E-3</v>
      </c>
      <c r="H920" s="29" t="s">
        <v>10</v>
      </c>
      <c r="I920" s="24" t="s">
        <v>10</v>
      </c>
      <c r="J920" s="33" t="s">
        <v>10</v>
      </c>
      <c r="K920" s="33"/>
    </row>
    <row r="921" spans="1:11" x14ac:dyDescent="0.2">
      <c r="A921" s="35" t="s">
        <v>3652</v>
      </c>
      <c r="B921" s="35">
        <v>510.15106343856701</v>
      </c>
      <c r="C921" s="35">
        <v>2.37461812540869</v>
      </c>
      <c r="D921" s="35">
        <v>0.57021773767641604</v>
      </c>
      <c r="E921" s="35">
        <v>4.1644059251559504</v>
      </c>
      <c r="F921" s="40">
        <v>3.1216430398477397E-5</v>
      </c>
      <c r="G921" s="35">
        <v>2.77780942460897E-3</v>
      </c>
      <c r="H921" s="29" t="s">
        <v>10</v>
      </c>
      <c r="I921" s="24" t="s">
        <v>10</v>
      </c>
      <c r="J921" s="33" t="s">
        <v>10</v>
      </c>
      <c r="K921" s="33"/>
    </row>
    <row r="922" spans="1:11" x14ac:dyDescent="0.2">
      <c r="A922" s="35" t="s">
        <v>3653</v>
      </c>
      <c r="B922" s="35">
        <v>46.0671667736896</v>
      </c>
      <c r="C922" s="35">
        <v>2.1849005520553102</v>
      </c>
      <c r="D922" s="35">
        <v>0.52484840290036505</v>
      </c>
      <c r="E922" s="35">
        <v>4.1629174062097301</v>
      </c>
      <c r="F922" s="40">
        <v>3.14207045782847E-5</v>
      </c>
      <c r="G922" s="35">
        <v>2.7930924667100201E-3</v>
      </c>
      <c r="H922" s="29" t="s">
        <v>10</v>
      </c>
      <c r="I922" s="24" t="s">
        <v>4022</v>
      </c>
      <c r="J922" s="33" t="s">
        <v>10</v>
      </c>
      <c r="K922" s="33"/>
    </row>
    <row r="923" spans="1:11" x14ac:dyDescent="0.2">
      <c r="A923" s="35" t="s">
        <v>3654</v>
      </c>
      <c r="B923" s="35">
        <v>38.9601821807371</v>
      </c>
      <c r="C923" s="35">
        <v>2.3895416051443901</v>
      </c>
      <c r="D923" s="35">
        <v>0.57414914835223296</v>
      </c>
      <c r="E923" s="35">
        <v>4.16188304380875</v>
      </c>
      <c r="F923" s="40">
        <v>3.1563400695645903E-5</v>
      </c>
      <c r="G923" s="35">
        <v>2.8028756785272099E-3</v>
      </c>
      <c r="H923" s="24" t="s">
        <v>3861</v>
      </c>
      <c r="I923" s="24" t="s">
        <v>3990</v>
      </c>
      <c r="J923" s="33" t="s">
        <v>4086</v>
      </c>
      <c r="K923" s="33"/>
    </row>
    <row r="924" spans="1:11" x14ac:dyDescent="0.2">
      <c r="A924" s="35" t="s">
        <v>3655</v>
      </c>
      <c r="B924" s="35">
        <v>138.35770815297201</v>
      </c>
      <c r="C924" s="35">
        <v>2.0387535878668199</v>
      </c>
      <c r="D924" s="35">
        <v>0.49026594730465001</v>
      </c>
      <c r="E924" s="35">
        <v>4.1584646028861103</v>
      </c>
      <c r="F924" s="40">
        <v>3.2039386771609398E-5</v>
      </c>
      <c r="G924" s="35">
        <v>2.84220473291825E-3</v>
      </c>
      <c r="H924" s="24" t="s">
        <v>10</v>
      </c>
      <c r="I924" s="24" t="s">
        <v>10</v>
      </c>
      <c r="J924" s="33" t="s">
        <v>10</v>
      </c>
      <c r="K924" s="33"/>
    </row>
    <row r="925" spans="1:11" x14ac:dyDescent="0.2">
      <c r="A925" s="35" t="s">
        <v>3656</v>
      </c>
      <c r="B925" s="35">
        <v>29.480384619287999</v>
      </c>
      <c r="C925" s="35">
        <v>3.1504392061043598</v>
      </c>
      <c r="D925" s="35">
        <v>0.75833992049895005</v>
      </c>
      <c r="E925" s="35">
        <v>4.1543892401596496</v>
      </c>
      <c r="F925" s="40">
        <v>3.2615755636962397E-5</v>
      </c>
      <c r="G925" s="35">
        <v>2.8903483511884399E-3</v>
      </c>
      <c r="H925" s="24" t="s">
        <v>10</v>
      </c>
      <c r="I925" s="24" t="s">
        <v>10</v>
      </c>
      <c r="J925" s="33" t="s">
        <v>10</v>
      </c>
      <c r="K925" s="33"/>
    </row>
    <row r="926" spans="1:11" x14ac:dyDescent="0.2">
      <c r="A926" s="35" t="s">
        <v>3657</v>
      </c>
      <c r="B926" s="35">
        <v>163.84837236525499</v>
      </c>
      <c r="C926" s="35">
        <v>2.0875027847445198</v>
      </c>
      <c r="D926" s="35">
        <v>0.50300424024849</v>
      </c>
      <c r="E926" s="35">
        <v>4.1500699551027003</v>
      </c>
      <c r="F926" s="40">
        <v>3.32373678252981E-5</v>
      </c>
      <c r="G926" s="35">
        <v>2.9333258093794199E-3</v>
      </c>
      <c r="H926" s="29" t="s">
        <v>10</v>
      </c>
      <c r="I926" s="24" t="s">
        <v>3957</v>
      </c>
      <c r="J926" s="33" t="s">
        <v>4065</v>
      </c>
      <c r="K926" s="33"/>
    </row>
    <row r="927" spans="1:11" x14ac:dyDescent="0.2">
      <c r="A927" s="35" t="s">
        <v>3658</v>
      </c>
      <c r="B927" s="35">
        <v>31.469488964693401</v>
      </c>
      <c r="C927" s="35">
        <v>2.88264377646381</v>
      </c>
      <c r="D927" s="35">
        <v>0.69495532188229603</v>
      </c>
      <c r="E927" s="35">
        <v>4.1479555385749496</v>
      </c>
      <c r="F927" s="40">
        <v>3.3545752436019902E-5</v>
      </c>
      <c r="G927" s="35">
        <v>2.9575023690281998E-3</v>
      </c>
      <c r="H927" s="24" t="s">
        <v>10</v>
      </c>
      <c r="I927" s="24" t="s">
        <v>10</v>
      </c>
      <c r="J927" s="33" t="s">
        <v>10</v>
      </c>
      <c r="K927" s="33"/>
    </row>
    <row r="928" spans="1:11" x14ac:dyDescent="0.2">
      <c r="A928" s="35" t="s">
        <v>3659</v>
      </c>
      <c r="B928" s="35">
        <v>33.313595957148102</v>
      </c>
      <c r="C928" s="35">
        <v>2.8101414688420898</v>
      </c>
      <c r="D928" s="35">
        <v>0.67778108669519799</v>
      </c>
      <c r="E928" s="35">
        <v>4.1460901226148001</v>
      </c>
      <c r="F928" s="40">
        <v>3.3820075489250801E-5</v>
      </c>
      <c r="G928" s="35">
        <v>2.9726027654189799E-3</v>
      </c>
      <c r="H928" s="29" t="s">
        <v>10</v>
      </c>
      <c r="I928" s="24" t="s">
        <v>3894</v>
      </c>
      <c r="J928" s="30" t="s">
        <v>10</v>
      </c>
      <c r="K928" s="33"/>
    </row>
    <row r="929" spans="1:11" x14ac:dyDescent="0.2">
      <c r="A929" s="35" t="s">
        <v>3660</v>
      </c>
      <c r="B929" s="35">
        <v>18.4174078351245</v>
      </c>
      <c r="C929" s="35">
        <v>6.1060415754479003</v>
      </c>
      <c r="D929" s="35">
        <v>1.4734325495246401</v>
      </c>
      <c r="E929" s="35">
        <v>4.1440930413936199</v>
      </c>
      <c r="F929" s="40">
        <v>3.41161219807957E-5</v>
      </c>
      <c r="G929" s="35">
        <v>2.9893729700131702E-3</v>
      </c>
      <c r="H929" s="24" t="s">
        <v>10</v>
      </c>
      <c r="I929" s="24" t="s">
        <v>10</v>
      </c>
      <c r="J929" s="33" t="s">
        <v>10</v>
      </c>
      <c r="K929" s="33"/>
    </row>
    <row r="930" spans="1:11" x14ac:dyDescent="0.2">
      <c r="A930" s="35" t="s">
        <v>3661</v>
      </c>
      <c r="B930" s="35">
        <v>22.215764504501099</v>
      </c>
      <c r="C930" s="35">
        <v>2.78314234740454</v>
      </c>
      <c r="D930" s="35">
        <v>0.67165749240092498</v>
      </c>
      <c r="E930" s="35">
        <v>4.14369284775763</v>
      </c>
      <c r="F930" s="40">
        <v>3.4175741807771897E-5</v>
      </c>
      <c r="G930" s="35">
        <v>2.9915444696994699E-3</v>
      </c>
      <c r="H930" s="24" t="s">
        <v>10</v>
      </c>
      <c r="I930" s="24" t="s">
        <v>10</v>
      </c>
      <c r="J930" s="33" t="s">
        <v>10</v>
      </c>
      <c r="K930" s="33"/>
    </row>
    <row r="931" spans="1:11" x14ac:dyDescent="0.2">
      <c r="A931" s="35" t="s">
        <v>3662</v>
      </c>
      <c r="B931" s="35">
        <v>191.702071606034</v>
      </c>
      <c r="C931" s="35">
        <v>2.0831257231686502</v>
      </c>
      <c r="D931" s="35">
        <v>0.50280152767004604</v>
      </c>
      <c r="E931" s="35">
        <v>4.1430377764000399</v>
      </c>
      <c r="F931" s="40">
        <v>3.4273546282839198E-5</v>
      </c>
      <c r="G931" s="35">
        <v>2.9970506037206601E-3</v>
      </c>
      <c r="H931" s="24" t="s">
        <v>10</v>
      </c>
      <c r="I931" s="24" t="s">
        <v>10</v>
      </c>
      <c r="J931" s="33" t="s">
        <v>10</v>
      </c>
      <c r="K931" s="33"/>
    </row>
    <row r="932" spans="1:11" x14ac:dyDescent="0.2">
      <c r="A932" s="35" t="s">
        <v>3663</v>
      </c>
      <c r="B932" s="35">
        <v>1439.4259050082201</v>
      </c>
      <c r="C932" s="35">
        <v>2.4640968438552999</v>
      </c>
      <c r="D932" s="35">
        <v>0.59495912857245403</v>
      </c>
      <c r="E932" s="35">
        <v>4.1416237276124503</v>
      </c>
      <c r="F932" s="40">
        <v>3.4485575820212698E-5</v>
      </c>
      <c r="G932" s="35">
        <v>3.0094622777007002E-3</v>
      </c>
      <c r="H932" s="24" t="s">
        <v>3847</v>
      </c>
      <c r="I932" s="24" t="s">
        <v>3956</v>
      </c>
      <c r="J932" s="33" t="s">
        <v>4064</v>
      </c>
      <c r="K932" s="33"/>
    </row>
    <row r="933" spans="1:11" x14ac:dyDescent="0.2">
      <c r="A933" s="35" t="s">
        <v>3664</v>
      </c>
      <c r="B933" s="35">
        <v>264.17886414488498</v>
      </c>
      <c r="C933" s="35">
        <v>4.2217662959471696</v>
      </c>
      <c r="D933" s="35">
        <v>1.01985436230786</v>
      </c>
      <c r="E933" s="35">
        <v>4.1395776220377201</v>
      </c>
      <c r="F933" s="40">
        <v>3.47945857198792E-5</v>
      </c>
      <c r="G933" s="35">
        <v>3.0271994633756299E-3</v>
      </c>
      <c r="H933" s="24" t="s">
        <v>10</v>
      </c>
      <c r="I933" s="24" t="s">
        <v>10</v>
      </c>
      <c r="J933" s="33" t="s">
        <v>10</v>
      </c>
      <c r="K933" s="33"/>
    </row>
    <row r="934" spans="1:11" x14ac:dyDescent="0.2">
      <c r="A934" s="35" t="s">
        <v>3665</v>
      </c>
      <c r="B934" s="35">
        <v>29.700363948601598</v>
      </c>
      <c r="C934" s="35">
        <v>3.6695788090821702</v>
      </c>
      <c r="D934" s="35">
        <v>0.88695053533323898</v>
      </c>
      <c r="E934" s="35">
        <v>4.1372981501200101</v>
      </c>
      <c r="F934" s="40">
        <v>3.5141935550450899E-5</v>
      </c>
      <c r="G934" s="35">
        <v>3.05255372655592E-3</v>
      </c>
      <c r="H934" s="24" t="s">
        <v>10</v>
      </c>
      <c r="I934" s="24" t="s">
        <v>10</v>
      </c>
      <c r="J934" s="33" t="s">
        <v>10</v>
      </c>
      <c r="K934" s="33"/>
    </row>
    <row r="935" spans="1:11" x14ac:dyDescent="0.2">
      <c r="A935" s="35" t="s">
        <v>3666</v>
      </c>
      <c r="B935" s="35">
        <v>96.344778957035999</v>
      </c>
      <c r="C935" s="35">
        <v>3.2218013640062</v>
      </c>
      <c r="D935" s="35">
        <v>0.779169428156821</v>
      </c>
      <c r="E935" s="35">
        <v>4.13491757707639</v>
      </c>
      <c r="F935" s="40">
        <v>3.5508205310941303E-5</v>
      </c>
      <c r="G935" s="35">
        <v>3.07681644627229E-3</v>
      </c>
      <c r="H935" s="24" t="s">
        <v>10</v>
      </c>
      <c r="I935" s="24" t="s">
        <v>10</v>
      </c>
      <c r="J935" s="33" t="s">
        <v>10</v>
      </c>
      <c r="K935" s="33"/>
    </row>
    <row r="936" spans="1:11" x14ac:dyDescent="0.2">
      <c r="A936" s="35" t="s">
        <v>3667</v>
      </c>
      <c r="B936" s="35">
        <v>74.294119426415904</v>
      </c>
      <c r="C936" s="35">
        <v>2.78633558271695</v>
      </c>
      <c r="D936" s="35">
        <v>0.67469750450019905</v>
      </c>
      <c r="E936" s="35">
        <v>4.1297552816369203</v>
      </c>
      <c r="F936" s="40">
        <v>3.63149572274624E-5</v>
      </c>
      <c r="G936" s="35">
        <v>3.1403843827587301E-3</v>
      </c>
      <c r="H936" s="24" t="s">
        <v>3878</v>
      </c>
      <c r="I936" s="24" t="s">
        <v>4012</v>
      </c>
      <c r="J936" s="30" t="s">
        <v>10</v>
      </c>
      <c r="K936" s="33"/>
    </row>
    <row r="937" spans="1:11" x14ac:dyDescent="0.2">
      <c r="A937" s="35" t="s">
        <v>3668</v>
      </c>
      <c r="B937" s="35">
        <v>118.26404179732501</v>
      </c>
      <c r="C937" s="35">
        <v>2.09138082773568</v>
      </c>
      <c r="D937" s="35">
        <v>0.50702750012671205</v>
      </c>
      <c r="E937" s="35">
        <v>4.1247877624251501</v>
      </c>
      <c r="F937" s="40">
        <v>3.7107678080674003E-5</v>
      </c>
      <c r="G937" s="35">
        <v>3.2024858537342302E-3</v>
      </c>
      <c r="H937" s="24" t="s">
        <v>10</v>
      </c>
      <c r="I937" s="24" t="s">
        <v>10</v>
      </c>
      <c r="J937" s="33" t="s">
        <v>10</v>
      </c>
      <c r="K937" s="33"/>
    </row>
    <row r="938" spans="1:11" x14ac:dyDescent="0.2">
      <c r="A938" s="35" t="s">
        <v>3669</v>
      </c>
      <c r="B938" s="35">
        <v>24.738742388144001</v>
      </c>
      <c r="C938" s="35">
        <v>2.36155221137034</v>
      </c>
      <c r="D938" s="35">
        <v>0.57268792653709599</v>
      </c>
      <c r="E938" s="35">
        <v>4.1236284229878404</v>
      </c>
      <c r="F938" s="40">
        <v>3.7295036656439001E-5</v>
      </c>
      <c r="G938" s="35">
        <v>3.2154237878765802E-3</v>
      </c>
      <c r="H938" s="24" t="s">
        <v>10</v>
      </c>
      <c r="I938" s="24" t="s">
        <v>10</v>
      </c>
      <c r="J938" s="33" t="s">
        <v>10</v>
      </c>
      <c r="K938" s="33"/>
    </row>
    <row r="939" spans="1:11" x14ac:dyDescent="0.2">
      <c r="A939" s="35" t="s">
        <v>3670</v>
      </c>
      <c r="B939" s="35">
        <v>44.392384745830199</v>
      </c>
      <c r="C939" s="35">
        <v>2.2851419287778798</v>
      </c>
      <c r="D939" s="35">
        <v>0.55424057979012298</v>
      </c>
      <c r="E939" s="35">
        <v>4.1230144671889599</v>
      </c>
      <c r="F939" s="40">
        <v>3.7394620231767497E-5</v>
      </c>
      <c r="G939" s="35">
        <v>3.2207757612057299E-3</v>
      </c>
      <c r="H939" s="24" t="s">
        <v>10</v>
      </c>
      <c r="I939" s="24" t="s">
        <v>10</v>
      </c>
      <c r="J939" s="33" t="s">
        <v>10</v>
      </c>
      <c r="K939" s="33"/>
    </row>
    <row r="940" spans="1:11" x14ac:dyDescent="0.2">
      <c r="A940" s="35" t="s">
        <v>3671</v>
      </c>
      <c r="B940" s="35">
        <v>20.682754188159802</v>
      </c>
      <c r="C940" s="35">
        <v>2.5320428259977001</v>
      </c>
      <c r="D940" s="35">
        <v>0.61437413639359995</v>
      </c>
      <c r="E940" s="35">
        <v>4.1213369443917198</v>
      </c>
      <c r="F940" s="40">
        <v>3.7668003024859002E-5</v>
      </c>
      <c r="G940" s="35">
        <v>3.2410712302080799E-3</v>
      </c>
      <c r="H940" s="24" t="s">
        <v>10</v>
      </c>
      <c r="I940" s="24" t="s">
        <v>10</v>
      </c>
      <c r="J940" s="33" t="s">
        <v>10</v>
      </c>
      <c r="K940" s="33"/>
    </row>
    <row r="941" spans="1:11" x14ac:dyDescent="0.2">
      <c r="A941" s="35" t="s">
        <v>3672</v>
      </c>
      <c r="B941" s="35">
        <v>33.087867694376499</v>
      </c>
      <c r="C941" s="35">
        <v>2.6805337397336402</v>
      </c>
      <c r="D941" s="35">
        <v>0.65064402750365402</v>
      </c>
      <c r="E941" s="35">
        <v>4.1198160997775304</v>
      </c>
      <c r="F941" s="40">
        <v>3.7917491109193402E-5</v>
      </c>
      <c r="G941" s="35">
        <v>3.2560128790375502E-3</v>
      </c>
      <c r="H941" s="24" t="s">
        <v>10</v>
      </c>
      <c r="I941" s="24" t="s">
        <v>10</v>
      </c>
      <c r="J941" s="33" t="s">
        <v>10</v>
      </c>
      <c r="K941" s="33"/>
    </row>
    <row r="942" spans="1:11" x14ac:dyDescent="0.2">
      <c r="A942" s="35" t="s">
        <v>3673</v>
      </c>
      <c r="B942" s="35">
        <v>279.54129926695401</v>
      </c>
      <c r="C942" s="35">
        <v>3.87940155091832</v>
      </c>
      <c r="D942" s="35">
        <v>0.94173034738456796</v>
      </c>
      <c r="E942" s="35">
        <v>4.1194398818010196</v>
      </c>
      <c r="F942" s="40">
        <v>3.7979449641620097E-5</v>
      </c>
      <c r="G942" s="35">
        <v>3.2580752449306301E-3</v>
      </c>
      <c r="H942" s="24" t="s">
        <v>10</v>
      </c>
      <c r="I942" s="24" t="s">
        <v>10</v>
      </c>
      <c r="J942" s="33" t="s">
        <v>10</v>
      </c>
      <c r="K942" s="33"/>
    </row>
    <row r="943" spans="1:11" x14ac:dyDescent="0.2">
      <c r="A943" s="35" t="s">
        <v>3674</v>
      </c>
      <c r="B943" s="35">
        <v>25.4651280253659</v>
      </c>
      <c r="C943" s="35">
        <v>3.8622779627552699</v>
      </c>
      <c r="D943" s="35">
        <v>0.93855121083047499</v>
      </c>
      <c r="E943" s="35">
        <v>4.1151488785974104</v>
      </c>
      <c r="F943" s="40">
        <v>3.8692958954817601E-5</v>
      </c>
      <c r="G943" s="35">
        <v>3.3093656159453601E-3</v>
      </c>
      <c r="H943" s="24" t="s">
        <v>10</v>
      </c>
      <c r="I943" s="24" t="s">
        <v>10</v>
      </c>
      <c r="J943" s="33" t="s">
        <v>10</v>
      </c>
      <c r="K943" s="33"/>
    </row>
    <row r="944" spans="1:11" x14ac:dyDescent="0.2">
      <c r="A944" s="35" t="s">
        <v>3675</v>
      </c>
      <c r="B944" s="35">
        <v>63.617399102950401</v>
      </c>
      <c r="C944" s="35">
        <v>3.61256723505252</v>
      </c>
      <c r="D944" s="35">
        <v>0.878002663564317</v>
      </c>
      <c r="E944" s="35">
        <v>4.1145287878592898</v>
      </c>
      <c r="F944" s="40">
        <v>3.8797114008432497E-5</v>
      </c>
      <c r="G944" s="35">
        <v>3.3149721164359202E-3</v>
      </c>
      <c r="H944" s="24" t="s">
        <v>10</v>
      </c>
      <c r="I944" s="24" t="s">
        <v>10</v>
      </c>
      <c r="J944" s="33" t="s">
        <v>10</v>
      </c>
      <c r="K944" s="33"/>
    </row>
    <row r="945" spans="1:11" x14ac:dyDescent="0.2">
      <c r="A945" s="35" t="s">
        <v>3676</v>
      </c>
      <c r="B945" s="35">
        <v>16.717714001078299</v>
      </c>
      <c r="C945" s="35">
        <v>7.6584524397564699</v>
      </c>
      <c r="D945" s="35">
        <v>1.8635290656624499</v>
      </c>
      <c r="E945" s="35">
        <v>4.1096501154029701</v>
      </c>
      <c r="F945" s="40">
        <v>3.9625905246003199E-5</v>
      </c>
      <c r="G945" s="35">
        <v>3.3757104259717601E-3</v>
      </c>
      <c r="H945" s="24" t="s">
        <v>10</v>
      </c>
      <c r="I945" s="24" t="s">
        <v>10</v>
      </c>
      <c r="J945" s="33" t="s">
        <v>10</v>
      </c>
      <c r="K945" s="33"/>
    </row>
    <row r="946" spans="1:11" x14ac:dyDescent="0.2">
      <c r="A946" s="35" t="s">
        <v>3677</v>
      </c>
      <c r="B946" s="35">
        <v>265.86180285715398</v>
      </c>
      <c r="C946" s="35">
        <v>4.37262866853641</v>
      </c>
      <c r="D946" s="35">
        <v>1.0641978592695001</v>
      </c>
      <c r="E946" s="35">
        <v>4.10884933703767</v>
      </c>
      <c r="F946" s="40">
        <v>3.9763537032568499E-5</v>
      </c>
      <c r="G946" s="35">
        <v>3.3840779866438999E-3</v>
      </c>
      <c r="H946" s="24" t="s">
        <v>2021</v>
      </c>
      <c r="I946" s="24" t="s">
        <v>3906</v>
      </c>
      <c r="J946" s="30" t="s">
        <v>10</v>
      </c>
      <c r="K946" s="33"/>
    </row>
    <row r="947" spans="1:11" x14ac:dyDescent="0.2">
      <c r="A947" s="35" t="s">
        <v>3678</v>
      </c>
      <c r="B947" s="35">
        <v>52.557033158786702</v>
      </c>
      <c r="C947" s="35">
        <v>3.2863966269705398</v>
      </c>
      <c r="D947" s="35">
        <v>0.79992323210554706</v>
      </c>
      <c r="E947" s="35">
        <v>4.1083900242778704</v>
      </c>
      <c r="F947" s="40">
        <v>3.9842684880618E-5</v>
      </c>
      <c r="G947" s="35">
        <v>3.3874566271124302E-3</v>
      </c>
      <c r="H947" s="24" t="s">
        <v>10</v>
      </c>
      <c r="I947" s="24" t="s">
        <v>10</v>
      </c>
      <c r="J947" s="33" t="s">
        <v>10</v>
      </c>
      <c r="K947" s="33"/>
    </row>
    <row r="948" spans="1:11" x14ac:dyDescent="0.2">
      <c r="A948" s="35" t="s">
        <v>3679</v>
      </c>
      <c r="B948" s="35">
        <v>456.18015712996601</v>
      </c>
      <c r="C948" s="35">
        <v>4.5095547917867798</v>
      </c>
      <c r="D948" s="35">
        <v>1.0991943532970201</v>
      </c>
      <c r="E948" s="35">
        <v>4.1026000345256604</v>
      </c>
      <c r="F948" s="40">
        <v>4.0853312836910602E-5</v>
      </c>
      <c r="G948" s="35">
        <v>3.4599109680739201E-3</v>
      </c>
      <c r="H948" s="24" t="s">
        <v>10</v>
      </c>
      <c r="I948" s="24" t="s">
        <v>10</v>
      </c>
      <c r="J948" s="33" t="s">
        <v>10</v>
      </c>
      <c r="K948" s="33"/>
    </row>
    <row r="949" spans="1:11" x14ac:dyDescent="0.2">
      <c r="A949" s="35" t="s">
        <v>3680</v>
      </c>
      <c r="B949" s="35">
        <v>20.861833774736301</v>
      </c>
      <c r="C949" s="35">
        <v>2.8440961717740199</v>
      </c>
      <c r="D949" s="35">
        <v>0.69352151615728796</v>
      </c>
      <c r="E949" s="35">
        <v>4.1009487168224901</v>
      </c>
      <c r="F949" s="40">
        <v>4.11459747510098E-5</v>
      </c>
      <c r="G949" s="35">
        <v>3.4810305397477499E-3</v>
      </c>
      <c r="H949" s="24" t="s">
        <v>10</v>
      </c>
      <c r="I949" s="24" t="s">
        <v>10</v>
      </c>
      <c r="J949" s="33" t="s">
        <v>10</v>
      </c>
      <c r="K949" s="33"/>
    </row>
    <row r="950" spans="1:11" x14ac:dyDescent="0.2">
      <c r="A950" s="35" t="s">
        <v>3681</v>
      </c>
      <c r="B950" s="35">
        <v>52.805192502062603</v>
      </c>
      <c r="C950" s="35">
        <v>2.7828641887767498</v>
      </c>
      <c r="D950" s="35">
        <v>0.67991727033794402</v>
      </c>
      <c r="E950" s="35">
        <v>4.0929452893490401</v>
      </c>
      <c r="F950" s="40">
        <v>4.2592824442429197E-5</v>
      </c>
      <c r="G950" s="35">
        <v>3.5822609477922001E-3</v>
      </c>
      <c r="H950" s="24" t="s">
        <v>10</v>
      </c>
      <c r="I950" s="24" t="s">
        <v>10</v>
      </c>
      <c r="J950" s="33" t="s">
        <v>10</v>
      </c>
      <c r="K950" s="33"/>
    </row>
    <row r="951" spans="1:11" x14ac:dyDescent="0.2">
      <c r="A951" s="35" t="s">
        <v>3682</v>
      </c>
      <c r="B951" s="35">
        <v>122.081142350585</v>
      </c>
      <c r="C951" s="35">
        <v>3.2069222401634998</v>
      </c>
      <c r="D951" s="35">
        <v>0.78370683291573096</v>
      </c>
      <c r="E951" s="35">
        <v>4.0919921907945502</v>
      </c>
      <c r="F951" s="40">
        <v>4.2768305769972101E-5</v>
      </c>
      <c r="G951" s="35">
        <v>3.5935001807957702E-3</v>
      </c>
      <c r="H951" s="24" t="s">
        <v>10</v>
      </c>
      <c r="I951" s="24" t="s">
        <v>10</v>
      </c>
      <c r="J951" s="33" t="s">
        <v>10</v>
      </c>
      <c r="K951" s="33"/>
    </row>
    <row r="952" spans="1:11" x14ac:dyDescent="0.2">
      <c r="A952" s="35" t="s">
        <v>3683</v>
      </c>
      <c r="B952" s="35">
        <v>1045.3337344849101</v>
      </c>
      <c r="C952" s="35">
        <v>2.37879965795663</v>
      </c>
      <c r="D952" s="35">
        <v>0.58221367921089096</v>
      </c>
      <c r="E952" s="35">
        <v>4.0857845545311902</v>
      </c>
      <c r="F952" s="40">
        <v>4.3928126317036797E-5</v>
      </c>
      <c r="G952" s="35">
        <v>3.6622836261847301E-3</v>
      </c>
      <c r="H952" s="29" t="s">
        <v>10</v>
      </c>
      <c r="I952" s="24" t="s">
        <v>3957</v>
      </c>
      <c r="J952" s="33" t="s">
        <v>4065</v>
      </c>
      <c r="K952" s="33"/>
    </row>
    <row r="953" spans="1:11" x14ac:dyDescent="0.2">
      <c r="A953" s="35" t="s">
        <v>3684</v>
      </c>
      <c r="B953" s="35">
        <v>22.183211422850299</v>
      </c>
      <c r="C953" s="35">
        <v>3.8674163201171599</v>
      </c>
      <c r="D953" s="35">
        <v>0.94687591636770896</v>
      </c>
      <c r="E953" s="35">
        <v>4.0843961212498403</v>
      </c>
      <c r="F953" s="40">
        <v>4.4191589835037099E-5</v>
      </c>
      <c r="G953" s="35">
        <v>3.6771085375237101E-3</v>
      </c>
      <c r="H953" s="24" t="s">
        <v>313</v>
      </c>
      <c r="I953" s="24" t="s">
        <v>4005</v>
      </c>
      <c r="J953" s="33" t="s">
        <v>4102</v>
      </c>
      <c r="K953" s="33"/>
    </row>
    <row r="954" spans="1:11" x14ac:dyDescent="0.2">
      <c r="A954" s="45" t="s">
        <v>3685</v>
      </c>
      <c r="B954" s="45">
        <v>298.98120529770898</v>
      </c>
      <c r="C954" s="45">
        <v>2.0949227233882901</v>
      </c>
      <c r="D954" s="45">
        <v>0.51438778977716804</v>
      </c>
      <c r="E954" s="45">
        <v>4.0726525104645503</v>
      </c>
      <c r="F954" s="46">
        <v>4.6480744933413703E-5</v>
      </c>
      <c r="G954" s="45">
        <v>3.8341479809579E-3</v>
      </c>
      <c r="H954" s="47" t="s">
        <v>335</v>
      </c>
      <c r="I954" s="47" t="s">
        <v>3915</v>
      </c>
      <c r="J954" s="49" t="s">
        <v>10</v>
      </c>
      <c r="K954" s="33"/>
    </row>
    <row r="955" spans="1:11" x14ac:dyDescent="0.2">
      <c r="A955" s="35" t="s">
        <v>3686</v>
      </c>
      <c r="B955" s="35">
        <v>31.7463861574156</v>
      </c>
      <c r="C955" s="35">
        <v>4.11050253916987</v>
      </c>
      <c r="D955" s="35">
        <v>1.00974978650306</v>
      </c>
      <c r="E955" s="35">
        <v>4.0708129817043597</v>
      </c>
      <c r="F955" s="40">
        <v>4.6849350465808499E-5</v>
      </c>
      <c r="G955" s="35">
        <v>3.85714340733408E-3</v>
      </c>
      <c r="H955" s="24" t="s">
        <v>10</v>
      </c>
      <c r="I955" s="24" t="s">
        <v>10</v>
      </c>
      <c r="J955" s="33" t="s">
        <v>10</v>
      </c>
      <c r="K955" s="33"/>
    </row>
    <row r="956" spans="1:11" x14ac:dyDescent="0.2">
      <c r="A956" s="35" t="s">
        <v>3687</v>
      </c>
      <c r="B956" s="35">
        <v>30.370144696962001</v>
      </c>
      <c r="C956" s="35">
        <v>2.6090222414761999</v>
      </c>
      <c r="D956" s="35">
        <v>0.64199030083715602</v>
      </c>
      <c r="E956" s="35">
        <v>4.0639589695888398</v>
      </c>
      <c r="F956" s="40">
        <v>4.8247310708585902E-5</v>
      </c>
      <c r="G956" s="35">
        <v>3.9646361893368297E-3</v>
      </c>
      <c r="H956" s="24" t="s">
        <v>10</v>
      </c>
      <c r="I956" s="24" t="s">
        <v>10</v>
      </c>
      <c r="J956" s="33" t="s">
        <v>10</v>
      </c>
      <c r="K956" s="33"/>
    </row>
    <row r="957" spans="1:11" x14ac:dyDescent="0.2">
      <c r="A957" s="35" t="s">
        <v>3688</v>
      </c>
      <c r="B957" s="35">
        <v>348.339093603545</v>
      </c>
      <c r="C957" s="35">
        <v>3.9749325668489899</v>
      </c>
      <c r="D957" s="35">
        <v>0.97868361214155697</v>
      </c>
      <c r="E957" s="35">
        <v>4.0615092738204099</v>
      </c>
      <c r="F957" s="40">
        <v>4.8756481066168202E-5</v>
      </c>
      <c r="G957" s="35">
        <v>4.0026460665706703E-3</v>
      </c>
      <c r="H957" s="24" t="s">
        <v>10</v>
      </c>
      <c r="I957" s="24" t="s">
        <v>10</v>
      </c>
      <c r="J957" s="33" t="s">
        <v>10</v>
      </c>
      <c r="K957" s="33"/>
    </row>
    <row r="958" spans="1:11" x14ac:dyDescent="0.2">
      <c r="A958" s="35" t="s">
        <v>3689</v>
      </c>
      <c r="B958" s="35">
        <v>85.937581233971699</v>
      </c>
      <c r="C958" s="35">
        <v>3.0666637988181802</v>
      </c>
      <c r="D958" s="35">
        <v>0.75546120419445395</v>
      </c>
      <c r="E958" s="35">
        <v>4.0593266494579998</v>
      </c>
      <c r="F958" s="40">
        <v>4.9214427974408998E-5</v>
      </c>
      <c r="G958" s="35">
        <v>4.0210201185447002E-3</v>
      </c>
      <c r="H958" s="24" t="s">
        <v>10</v>
      </c>
      <c r="I958" s="24" t="s">
        <v>10</v>
      </c>
      <c r="J958" s="33" t="s">
        <v>10</v>
      </c>
      <c r="K958" s="33"/>
    </row>
    <row r="959" spans="1:11" x14ac:dyDescent="0.2">
      <c r="A959" s="35" t="s">
        <v>3690</v>
      </c>
      <c r="B959" s="35">
        <v>156.11597664312899</v>
      </c>
      <c r="C959" s="35">
        <v>3.0257697156971401</v>
      </c>
      <c r="D959" s="35">
        <v>0.74655918802788701</v>
      </c>
      <c r="E959" s="35">
        <v>4.0529535557522598</v>
      </c>
      <c r="F959" s="40">
        <v>5.0575045732555E-5</v>
      </c>
      <c r="G959" s="35">
        <v>4.1165210920381303E-3</v>
      </c>
      <c r="H959" s="24" t="s">
        <v>10</v>
      </c>
      <c r="I959" s="24" t="s">
        <v>10</v>
      </c>
      <c r="J959" s="33" t="s">
        <v>10</v>
      </c>
      <c r="K959" s="33"/>
    </row>
    <row r="960" spans="1:11" x14ac:dyDescent="0.2">
      <c r="A960" s="35" t="s">
        <v>3691</v>
      </c>
      <c r="B960" s="35">
        <v>24.3475048424264</v>
      </c>
      <c r="C960" s="35">
        <v>2.9926401996505998</v>
      </c>
      <c r="D960" s="35">
        <v>0.73857967575150696</v>
      </c>
      <c r="E960" s="35">
        <v>4.0518853928732597</v>
      </c>
      <c r="F960" s="40">
        <v>5.0806552331420802E-5</v>
      </c>
      <c r="G960" s="35">
        <v>4.1314483477759801E-3</v>
      </c>
      <c r="H960" s="24" t="s">
        <v>10</v>
      </c>
      <c r="I960" s="24" t="s">
        <v>10</v>
      </c>
      <c r="J960" s="33" t="s">
        <v>10</v>
      </c>
      <c r="K960" s="33"/>
    </row>
    <row r="961" spans="1:11" x14ac:dyDescent="0.2">
      <c r="A961" s="35" t="s">
        <v>3692</v>
      </c>
      <c r="B961" s="35">
        <v>34.130243355093697</v>
      </c>
      <c r="C961" s="35">
        <v>2.68310327974369</v>
      </c>
      <c r="D961" s="35">
        <v>0.66234248358786296</v>
      </c>
      <c r="E961" s="35">
        <v>4.0509303664314302</v>
      </c>
      <c r="F961" s="40">
        <v>5.1014388607669498E-5</v>
      </c>
      <c r="G961" s="35">
        <v>4.1426699938802202E-3</v>
      </c>
      <c r="H961" s="24" t="s">
        <v>10</v>
      </c>
      <c r="I961" s="24" t="s">
        <v>10</v>
      </c>
      <c r="J961" s="33" t="s">
        <v>10</v>
      </c>
      <c r="K961" s="33"/>
    </row>
    <row r="962" spans="1:11" x14ac:dyDescent="0.2">
      <c r="A962" s="35" t="s">
        <v>3693</v>
      </c>
      <c r="B962" s="35">
        <v>17.369731806620301</v>
      </c>
      <c r="C962" s="35">
        <v>6.0217852066431599</v>
      </c>
      <c r="D962" s="35">
        <v>1.4878392087910901</v>
      </c>
      <c r="E962" s="35">
        <v>4.04733600987438</v>
      </c>
      <c r="F962" s="40">
        <v>5.1803851394543698E-5</v>
      </c>
      <c r="G962" s="35">
        <v>4.1840765439956603E-3</v>
      </c>
      <c r="H962" s="24" t="s">
        <v>10</v>
      </c>
      <c r="I962" s="24" t="s">
        <v>10</v>
      </c>
      <c r="J962" s="33" t="s">
        <v>10</v>
      </c>
      <c r="K962" s="33"/>
    </row>
    <row r="963" spans="1:11" x14ac:dyDescent="0.2">
      <c r="A963" s="35" t="s">
        <v>3694</v>
      </c>
      <c r="B963" s="35">
        <v>10639.396759364799</v>
      </c>
      <c r="C963" s="35">
        <v>3.9648167764625799</v>
      </c>
      <c r="D963" s="35">
        <v>0.98021229570893398</v>
      </c>
      <c r="E963" s="35">
        <v>4.0448551745568997</v>
      </c>
      <c r="F963" s="40">
        <v>5.2355479281634802E-5</v>
      </c>
      <c r="G963" s="35">
        <v>4.2174646917385204E-3</v>
      </c>
      <c r="H963" s="24" t="s">
        <v>10</v>
      </c>
      <c r="I963" s="24" t="s">
        <v>10</v>
      </c>
      <c r="J963" s="33" t="s">
        <v>10</v>
      </c>
      <c r="K963" s="33"/>
    </row>
    <row r="964" spans="1:11" x14ac:dyDescent="0.2">
      <c r="A964" s="35" t="s">
        <v>3695</v>
      </c>
      <c r="B964" s="35">
        <v>561.57925777478602</v>
      </c>
      <c r="C964" s="35">
        <v>4.2641951691762996</v>
      </c>
      <c r="D964" s="35">
        <v>1.0543514168277901</v>
      </c>
      <c r="E964" s="35">
        <v>4.0443775207377399</v>
      </c>
      <c r="F964" s="40">
        <v>5.24623253959105E-5</v>
      </c>
      <c r="G964" s="35">
        <v>4.2221109129074296E-3</v>
      </c>
      <c r="H964" s="24" t="s">
        <v>10</v>
      </c>
      <c r="I964" s="24" t="s">
        <v>10</v>
      </c>
      <c r="J964" s="33" t="s">
        <v>10</v>
      </c>
      <c r="K964" s="33"/>
    </row>
    <row r="965" spans="1:11" x14ac:dyDescent="0.2">
      <c r="A965" s="35" t="s">
        <v>3696</v>
      </c>
      <c r="B965" s="35">
        <v>796.40238140715496</v>
      </c>
      <c r="C965" s="35">
        <v>2.0500118441625701</v>
      </c>
      <c r="D965" s="35">
        <v>0.50699247722344398</v>
      </c>
      <c r="E965" s="35">
        <v>4.0434758625798697</v>
      </c>
      <c r="F965" s="40">
        <v>5.2664580212055501E-5</v>
      </c>
      <c r="G965" s="35">
        <v>4.2304585288956203E-3</v>
      </c>
      <c r="H965" s="24" t="s">
        <v>10</v>
      </c>
      <c r="I965" s="24" t="s">
        <v>10</v>
      </c>
      <c r="J965" s="33" t="s">
        <v>10</v>
      </c>
      <c r="K965" s="33"/>
    </row>
    <row r="966" spans="1:11" x14ac:dyDescent="0.2">
      <c r="A966" s="35" t="s">
        <v>3697</v>
      </c>
      <c r="B966" s="35">
        <v>219.77486274837199</v>
      </c>
      <c r="C966" s="35">
        <v>2.7933929527082602</v>
      </c>
      <c r="D966" s="35">
        <v>0.69100049833463095</v>
      </c>
      <c r="E966" s="35">
        <v>4.04253391920928</v>
      </c>
      <c r="F966" s="40">
        <v>5.2876660596855897E-5</v>
      </c>
      <c r="G966" s="35">
        <v>4.2395627657447399E-3</v>
      </c>
      <c r="H966" s="24" t="s">
        <v>10</v>
      </c>
      <c r="I966" s="24" t="s">
        <v>10</v>
      </c>
      <c r="J966" s="33" t="s">
        <v>10</v>
      </c>
      <c r="K966" s="33"/>
    </row>
    <row r="967" spans="1:11" x14ac:dyDescent="0.2">
      <c r="A967" s="35" t="s">
        <v>3698</v>
      </c>
      <c r="B967" s="35">
        <v>354.038385845243</v>
      </c>
      <c r="C967" s="35">
        <v>3.3699405972642902</v>
      </c>
      <c r="D967" s="35">
        <v>0.83464062955117302</v>
      </c>
      <c r="E967" s="35">
        <v>4.0375947179524099</v>
      </c>
      <c r="F967" s="40">
        <v>5.4002043438125502E-5</v>
      </c>
      <c r="G967" s="35">
        <v>4.3136832298374603E-3</v>
      </c>
      <c r="H967" s="24" t="s">
        <v>10</v>
      </c>
      <c r="I967" s="24" t="s">
        <v>10</v>
      </c>
      <c r="J967" s="33" t="s">
        <v>10</v>
      </c>
      <c r="K967" s="33"/>
    </row>
    <row r="968" spans="1:11" x14ac:dyDescent="0.2">
      <c r="A968" s="35" t="s">
        <v>3699</v>
      </c>
      <c r="B968" s="35">
        <v>1107.9769277166099</v>
      </c>
      <c r="C968" s="35">
        <v>2.6094694378104899</v>
      </c>
      <c r="D968" s="35">
        <v>0.64665665706868602</v>
      </c>
      <c r="E968" s="35">
        <v>4.0353244790509004</v>
      </c>
      <c r="F968" s="40">
        <v>5.4526889242354298E-5</v>
      </c>
      <c r="G968" s="35">
        <v>4.3434865548517701E-3</v>
      </c>
      <c r="H968" s="29" t="s">
        <v>10</v>
      </c>
      <c r="I968" s="24" t="s">
        <v>3979</v>
      </c>
      <c r="J968" s="30" t="s">
        <v>10</v>
      </c>
      <c r="K968" s="33"/>
    </row>
    <row r="969" spans="1:11" x14ac:dyDescent="0.2">
      <c r="A969" s="35" t="s">
        <v>3700</v>
      </c>
      <c r="B969" s="35">
        <v>372.14373415927503</v>
      </c>
      <c r="C969" s="35">
        <v>4.0337514004547002</v>
      </c>
      <c r="D969" s="35">
        <v>1.00009520935386</v>
      </c>
      <c r="E969" s="35">
        <v>4.0333673861519701</v>
      </c>
      <c r="F969" s="40">
        <v>5.4983215599330501E-5</v>
      </c>
      <c r="G969" s="35">
        <v>4.37172565437973E-3</v>
      </c>
      <c r="H969" s="24" t="s">
        <v>10</v>
      </c>
      <c r="I969" s="24" t="s">
        <v>10</v>
      </c>
      <c r="J969" s="33" t="s">
        <v>10</v>
      </c>
      <c r="K969" s="33"/>
    </row>
    <row r="970" spans="1:11" x14ac:dyDescent="0.2">
      <c r="A970" s="35" t="s">
        <v>3701</v>
      </c>
      <c r="B970" s="35">
        <v>2172.0039693765402</v>
      </c>
      <c r="C970" s="35">
        <v>2.24194762068463</v>
      </c>
      <c r="D970" s="35">
        <v>0.55743157161493695</v>
      </c>
      <c r="E970" s="35">
        <v>4.0219243667693103</v>
      </c>
      <c r="F970" s="40">
        <v>5.7724594944886499E-5</v>
      </c>
      <c r="G970" s="35">
        <v>4.5601367916396898E-3</v>
      </c>
      <c r="H970" s="24" t="s">
        <v>3880</v>
      </c>
      <c r="I970" s="24" t="s">
        <v>4013</v>
      </c>
      <c r="J970" s="30" t="s">
        <v>10</v>
      </c>
      <c r="K970" s="33"/>
    </row>
    <row r="971" spans="1:11" x14ac:dyDescent="0.2">
      <c r="A971" s="35" t="s">
        <v>3702</v>
      </c>
      <c r="B971" s="35">
        <v>43.601312688986297</v>
      </c>
      <c r="C971" s="35">
        <v>2.5424621929457301</v>
      </c>
      <c r="D971" s="35">
        <v>0.63268422787799505</v>
      </c>
      <c r="E971" s="35">
        <v>4.01853259638394</v>
      </c>
      <c r="F971" s="40">
        <v>5.8561708703640597E-5</v>
      </c>
      <c r="G971" s="35">
        <v>4.6177708797890899E-3</v>
      </c>
      <c r="H971" s="24" t="s">
        <v>10</v>
      </c>
      <c r="I971" s="24" t="s">
        <v>10</v>
      </c>
      <c r="J971" s="33" t="s">
        <v>10</v>
      </c>
      <c r="K971" s="33"/>
    </row>
    <row r="972" spans="1:11" x14ac:dyDescent="0.2">
      <c r="A972" s="35" t="s">
        <v>3703</v>
      </c>
      <c r="B972" s="35">
        <v>103.663353105073</v>
      </c>
      <c r="C972" s="35">
        <v>4.6119636756722899</v>
      </c>
      <c r="D972" s="35">
        <v>1.14775998568979</v>
      </c>
      <c r="E972" s="35">
        <v>4.01823005957168</v>
      </c>
      <c r="F972" s="40">
        <v>5.8636932881928802E-5</v>
      </c>
      <c r="G972" s="35">
        <v>4.6194606087193698E-3</v>
      </c>
      <c r="H972" s="24" t="s">
        <v>10</v>
      </c>
      <c r="I972" s="24" t="s">
        <v>10</v>
      </c>
      <c r="J972" s="33" t="s">
        <v>10</v>
      </c>
      <c r="K972" s="33"/>
    </row>
    <row r="973" spans="1:11" x14ac:dyDescent="0.2">
      <c r="A973" s="35" t="s">
        <v>3704</v>
      </c>
      <c r="B973" s="35">
        <v>38.127336579956797</v>
      </c>
      <c r="C973" s="35">
        <v>2.7329314781060798</v>
      </c>
      <c r="D973" s="35">
        <v>0.68038634223820305</v>
      </c>
      <c r="E973" s="35">
        <v>4.0167347703009701</v>
      </c>
      <c r="F973" s="40">
        <v>5.9010074424694502E-5</v>
      </c>
      <c r="G973" s="35">
        <v>4.6405485649808603E-3</v>
      </c>
      <c r="H973" s="24" t="s">
        <v>10</v>
      </c>
      <c r="I973" s="24" t="s">
        <v>10</v>
      </c>
      <c r="J973" s="33" t="s">
        <v>10</v>
      </c>
      <c r="K973" s="33"/>
    </row>
    <row r="974" spans="1:11" x14ac:dyDescent="0.2">
      <c r="A974" s="35" t="s">
        <v>3705</v>
      </c>
      <c r="B974" s="35">
        <v>139.088269719945</v>
      </c>
      <c r="C974" s="35">
        <v>4.7432577629506403</v>
      </c>
      <c r="D974" s="35">
        <v>1.1808771034680201</v>
      </c>
      <c r="E974" s="35">
        <v>4.0167243051970303</v>
      </c>
      <c r="F974" s="40">
        <v>5.9012693842613901E-5</v>
      </c>
      <c r="G974" s="35">
        <v>4.6405485649808603E-3</v>
      </c>
      <c r="H974" s="24" t="s">
        <v>10</v>
      </c>
      <c r="I974" s="24" t="s">
        <v>10</v>
      </c>
      <c r="J974" s="33" t="s">
        <v>10</v>
      </c>
      <c r="K974" s="33"/>
    </row>
    <row r="975" spans="1:11" x14ac:dyDescent="0.2">
      <c r="A975" s="35" t="s">
        <v>3706</v>
      </c>
      <c r="B975" s="35">
        <v>47.798574268308499</v>
      </c>
      <c r="C975" s="35">
        <v>3.0597111155033998</v>
      </c>
      <c r="D975" s="35">
        <v>0.76284970304213395</v>
      </c>
      <c r="E975" s="35">
        <v>4.0108963840474896</v>
      </c>
      <c r="F975" s="40">
        <v>6.0488654289179098E-5</v>
      </c>
      <c r="G975" s="35">
        <v>4.7413741674796096E-3</v>
      </c>
      <c r="H975" s="24" t="s">
        <v>10</v>
      </c>
      <c r="I975" s="24" t="s">
        <v>10</v>
      </c>
      <c r="J975" s="33" t="s">
        <v>10</v>
      </c>
      <c r="K975" s="33"/>
    </row>
    <row r="976" spans="1:11" x14ac:dyDescent="0.2">
      <c r="A976" s="35" t="s">
        <v>3707</v>
      </c>
      <c r="B976" s="35">
        <v>119.68034976695699</v>
      </c>
      <c r="C976" s="35">
        <v>2.82956098395301</v>
      </c>
      <c r="D976" s="35">
        <v>0.70651534614552902</v>
      </c>
      <c r="E976" s="35">
        <v>4.0049533239298896</v>
      </c>
      <c r="F976" s="40">
        <v>6.2029728093526901E-5</v>
      </c>
      <c r="G976" s="35">
        <v>4.8291521134353997E-3</v>
      </c>
      <c r="H976" s="29" t="s">
        <v>10</v>
      </c>
      <c r="I976" s="24" t="s">
        <v>3901</v>
      </c>
      <c r="J976" s="30" t="s">
        <v>10</v>
      </c>
      <c r="K976" s="33"/>
    </row>
    <row r="977" spans="1:11" x14ac:dyDescent="0.2">
      <c r="A977" s="35" t="s">
        <v>3708</v>
      </c>
      <c r="B977" s="35">
        <v>379.30925402893598</v>
      </c>
      <c r="C977" s="35">
        <v>2.89740417033047</v>
      </c>
      <c r="D977" s="35">
        <v>0.72472640162251301</v>
      </c>
      <c r="E977" s="35">
        <v>3.9979282717502498</v>
      </c>
      <c r="F977" s="40">
        <v>6.3899306974122099E-5</v>
      </c>
      <c r="G977" s="35">
        <v>4.9433309812385896E-3</v>
      </c>
      <c r="H977" s="24" t="s">
        <v>10</v>
      </c>
      <c r="I977" s="24" t="s">
        <v>10</v>
      </c>
      <c r="J977" s="33" t="s">
        <v>10</v>
      </c>
      <c r="K977" s="33"/>
    </row>
    <row r="978" spans="1:11" x14ac:dyDescent="0.2">
      <c r="A978" s="35" t="s">
        <v>3709</v>
      </c>
      <c r="B978" s="35">
        <v>74.122294308508998</v>
      </c>
      <c r="C978" s="35">
        <v>4.4740938040180502</v>
      </c>
      <c r="D978" s="35">
        <v>1.11976662748828</v>
      </c>
      <c r="E978" s="35">
        <v>3.99555915865592</v>
      </c>
      <c r="F978" s="40">
        <v>6.4541737196751402E-5</v>
      </c>
      <c r="G978" s="35">
        <v>4.9751018984041696E-3</v>
      </c>
      <c r="H978" s="24" t="s">
        <v>10</v>
      </c>
      <c r="I978" s="24" t="s">
        <v>10</v>
      </c>
      <c r="J978" s="33" t="s">
        <v>10</v>
      </c>
      <c r="K978" s="33"/>
    </row>
    <row r="979" spans="1:11" x14ac:dyDescent="0.2">
      <c r="A979" s="35" t="s">
        <v>3710</v>
      </c>
      <c r="B979" s="35">
        <v>33.711698650033803</v>
      </c>
      <c r="C979" s="35">
        <v>3.0484526020746499</v>
      </c>
      <c r="D979" s="35">
        <v>0.76302452327610404</v>
      </c>
      <c r="E979" s="35">
        <v>3.9952223147244199</v>
      </c>
      <c r="F979" s="40">
        <v>6.4633573725898295E-5</v>
      </c>
      <c r="G979" s="35">
        <v>4.9777126541853001E-3</v>
      </c>
      <c r="H979" s="24" t="s">
        <v>10</v>
      </c>
      <c r="I979" s="24" t="s">
        <v>10</v>
      </c>
      <c r="J979" s="33" t="s">
        <v>10</v>
      </c>
      <c r="K979" s="33"/>
    </row>
    <row r="980" spans="1:11" x14ac:dyDescent="0.2">
      <c r="A980" s="35" t="s">
        <v>3711</v>
      </c>
      <c r="B980" s="35">
        <v>96.571630889093498</v>
      </c>
      <c r="C980" s="35">
        <v>4.53823058872449</v>
      </c>
      <c r="D980" s="35">
        <v>1.1383215242767799</v>
      </c>
      <c r="E980" s="35">
        <v>3.9867739403485301</v>
      </c>
      <c r="F980" s="40">
        <v>6.6977785782730597E-5</v>
      </c>
      <c r="G980" s="35">
        <v>5.1208013894264003E-3</v>
      </c>
      <c r="H980" s="24" t="s">
        <v>10</v>
      </c>
      <c r="I980" s="24" t="s">
        <v>10</v>
      </c>
      <c r="J980" s="33" t="s">
        <v>10</v>
      </c>
      <c r="K980" s="33"/>
    </row>
    <row r="981" spans="1:11" x14ac:dyDescent="0.2">
      <c r="A981" s="35" t="s">
        <v>3712</v>
      </c>
      <c r="B981" s="35">
        <v>43.225264061352803</v>
      </c>
      <c r="C981" s="35">
        <v>3.0662559597499799</v>
      </c>
      <c r="D981" s="35">
        <v>0.76912903787411302</v>
      </c>
      <c r="E981" s="35">
        <v>3.9866599865026102</v>
      </c>
      <c r="F981" s="40">
        <v>6.7009948288829197E-5</v>
      </c>
      <c r="G981" s="35">
        <v>5.1208013894264003E-3</v>
      </c>
      <c r="H981" s="24" t="s">
        <v>10</v>
      </c>
      <c r="I981" s="24" t="s">
        <v>10</v>
      </c>
      <c r="J981" s="33" t="s">
        <v>10</v>
      </c>
      <c r="K981" s="33"/>
    </row>
    <row r="982" spans="1:11" x14ac:dyDescent="0.2">
      <c r="A982" s="35" t="s">
        <v>3713</v>
      </c>
      <c r="B982" s="35">
        <v>1256.1110825978999</v>
      </c>
      <c r="C982" s="35">
        <v>2.0095945681960101</v>
      </c>
      <c r="D982" s="35">
        <v>0.50437136463796395</v>
      </c>
      <c r="E982" s="35">
        <v>3.9843549992940002</v>
      </c>
      <c r="F982" s="40">
        <v>6.7663657511772004E-5</v>
      </c>
      <c r="G982" s="35">
        <v>5.1557181995849997E-3</v>
      </c>
      <c r="H982" s="29" t="s">
        <v>10</v>
      </c>
      <c r="I982" s="24" t="s">
        <v>3912</v>
      </c>
      <c r="J982" s="30" t="s">
        <v>10</v>
      </c>
      <c r="K982" s="33"/>
    </row>
    <row r="983" spans="1:11" x14ac:dyDescent="0.2">
      <c r="A983" s="35" t="s">
        <v>3714</v>
      </c>
      <c r="B983" s="35">
        <v>42.0519077356659</v>
      </c>
      <c r="C983" s="35">
        <v>2.3460368094469399</v>
      </c>
      <c r="D983" s="35">
        <v>0.58881309100400003</v>
      </c>
      <c r="E983" s="35">
        <v>3.9843489305692099</v>
      </c>
      <c r="F983" s="40">
        <v>6.7665386579081297E-5</v>
      </c>
      <c r="G983" s="35">
        <v>5.1557181995849997E-3</v>
      </c>
      <c r="H983" s="24" t="s">
        <v>10</v>
      </c>
      <c r="I983" s="24" t="s">
        <v>10</v>
      </c>
      <c r="J983" s="33" t="s">
        <v>10</v>
      </c>
      <c r="K983" s="33"/>
    </row>
    <row r="984" spans="1:11" x14ac:dyDescent="0.2">
      <c r="A984" s="35" t="s">
        <v>3715</v>
      </c>
      <c r="B984" s="35">
        <v>24.117286897053098</v>
      </c>
      <c r="C984" s="35">
        <v>2.5941403918669601</v>
      </c>
      <c r="D984" s="35">
        <v>0.65118359406452198</v>
      </c>
      <c r="E984" s="35">
        <v>3.9837311865844098</v>
      </c>
      <c r="F984" s="40">
        <v>6.7841609656217101E-5</v>
      </c>
      <c r="G984" s="35">
        <v>5.1606664767483504E-3</v>
      </c>
      <c r="H984" s="24" t="s">
        <v>10</v>
      </c>
      <c r="I984" s="24" t="s">
        <v>10</v>
      </c>
      <c r="J984" s="33" t="s">
        <v>10</v>
      </c>
      <c r="K984" s="33"/>
    </row>
    <row r="985" spans="1:11" x14ac:dyDescent="0.2">
      <c r="A985" s="35" t="s">
        <v>3716</v>
      </c>
      <c r="B985" s="35">
        <v>201.37012958854001</v>
      </c>
      <c r="C985" s="35">
        <v>2.4631911003325802</v>
      </c>
      <c r="D985" s="35">
        <v>0.61837538190389596</v>
      </c>
      <c r="E985" s="35">
        <v>3.9833265883721598</v>
      </c>
      <c r="F985" s="40">
        <v>6.7957264160473199E-5</v>
      </c>
      <c r="G985" s="35">
        <v>5.1642108236495503E-3</v>
      </c>
      <c r="H985" s="24" t="s">
        <v>10</v>
      </c>
      <c r="I985" s="24" t="s">
        <v>10</v>
      </c>
      <c r="J985" s="33" t="s">
        <v>10</v>
      </c>
      <c r="K985" s="33"/>
    </row>
    <row r="986" spans="1:11" x14ac:dyDescent="0.2">
      <c r="A986" s="35" t="s">
        <v>3717</v>
      </c>
      <c r="B986" s="35">
        <v>79.731459544498193</v>
      </c>
      <c r="C986" s="35">
        <v>2.2141353510336601</v>
      </c>
      <c r="D986" s="35">
        <v>0.55607328862717798</v>
      </c>
      <c r="E986" s="35">
        <v>3.9817329771402301</v>
      </c>
      <c r="F986" s="40">
        <v>6.8414615411971396E-5</v>
      </c>
      <c r="G986" s="35">
        <v>5.1897804240648403E-3</v>
      </c>
      <c r="H986" s="24" t="s">
        <v>10</v>
      </c>
      <c r="I986" s="24" t="s">
        <v>10</v>
      </c>
      <c r="J986" s="33" t="s">
        <v>10</v>
      </c>
      <c r="K986" s="33"/>
    </row>
    <row r="987" spans="1:11" x14ac:dyDescent="0.2">
      <c r="A987" s="35" t="s">
        <v>3718</v>
      </c>
      <c r="B987" s="35">
        <v>586.17327795449899</v>
      </c>
      <c r="C987" s="35">
        <v>2.1086055648709898</v>
      </c>
      <c r="D987" s="35">
        <v>0.52990715787159803</v>
      </c>
      <c r="E987" s="35">
        <v>3.9791981171575799</v>
      </c>
      <c r="F987" s="40">
        <v>6.9148101473969997E-5</v>
      </c>
      <c r="G987" s="35">
        <v>5.2407913695245202E-3</v>
      </c>
      <c r="H987" s="29" t="s">
        <v>10</v>
      </c>
      <c r="I987" s="24" t="s">
        <v>862</v>
      </c>
      <c r="J987" s="33" t="s">
        <v>3064</v>
      </c>
      <c r="K987" s="33"/>
    </row>
    <row r="988" spans="1:11" x14ac:dyDescent="0.2">
      <c r="A988" s="35" t="s">
        <v>3719</v>
      </c>
      <c r="B988" s="35">
        <v>49.890140095708603</v>
      </c>
      <c r="C988" s="35">
        <v>2.1670965422568602</v>
      </c>
      <c r="D988" s="35">
        <v>0.54513470764091998</v>
      </c>
      <c r="E988" s="35">
        <v>3.9753413456923399</v>
      </c>
      <c r="F988" s="40">
        <v>7.0278382477927999E-5</v>
      </c>
      <c r="G988" s="35">
        <v>5.3217592431765099E-3</v>
      </c>
      <c r="H988" s="29" t="s">
        <v>10</v>
      </c>
      <c r="I988" s="24" t="s">
        <v>3140</v>
      </c>
      <c r="J988" s="30" t="s">
        <v>10</v>
      </c>
      <c r="K988" s="33"/>
    </row>
    <row r="989" spans="1:11" x14ac:dyDescent="0.2">
      <c r="A989" s="35" t="s">
        <v>3720</v>
      </c>
      <c r="B989" s="35">
        <v>73.9556988356792</v>
      </c>
      <c r="C989" s="35">
        <v>2.6211009207521601</v>
      </c>
      <c r="D989" s="35">
        <v>0.65982481837366103</v>
      </c>
      <c r="E989" s="35">
        <v>3.9724194176458298</v>
      </c>
      <c r="F989" s="40">
        <v>7.1146307656931303E-5</v>
      </c>
      <c r="G989" s="35">
        <v>5.3732670051084798E-3</v>
      </c>
      <c r="H989" s="24" t="s">
        <v>10</v>
      </c>
      <c r="I989" s="24" t="s">
        <v>10</v>
      </c>
      <c r="J989" s="33" t="s">
        <v>10</v>
      </c>
      <c r="K989" s="33"/>
    </row>
    <row r="990" spans="1:11" x14ac:dyDescent="0.2">
      <c r="A990" s="35" t="s">
        <v>3721</v>
      </c>
      <c r="B990" s="35">
        <v>132.56176451658499</v>
      </c>
      <c r="C990" s="35">
        <v>5.8096521758719799</v>
      </c>
      <c r="D990" s="35">
        <v>1.4634301412491</v>
      </c>
      <c r="E990" s="35">
        <v>3.9698869198588498</v>
      </c>
      <c r="F990" s="40">
        <v>7.1906750149396904E-5</v>
      </c>
      <c r="G990" s="35">
        <v>5.4259266626352004E-3</v>
      </c>
      <c r="H990" s="24" t="s">
        <v>10</v>
      </c>
      <c r="I990" s="24" t="s">
        <v>10</v>
      </c>
      <c r="J990" s="33" t="s">
        <v>10</v>
      </c>
      <c r="K990" s="33"/>
    </row>
    <row r="991" spans="1:11" x14ac:dyDescent="0.2">
      <c r="A991" s="35" t="s">
        <v>3722</v>
      </c>
      <c r="B991" s="35">
        <v>16.802402761735799</v>
      </c>
      <c r="C991" s="35">
        <v>6.6963851018668699</v>
      </c>
      <c r="D991" s="35">
        <v>1.6874275097282001</v>
      </c>
      <c r="E991" s="35">
        <v>3.96839867980193</v>
      </c>
      <c r="F991" s="40">
        <v>7.23572093625735E-5</v>
      </c>
      <c r="G991" s="35">
        <v>5.45512372710584E-3</v>
      </c>
      <c r="H991" s="24" t="s">
        <v>10</v>
      </c>
      <c r="I991" s="24" t="s">
        <v>10</v>
      </c>
      <c r="J991" s="33" t="s">
        <v>10</v>
      </c>
      <c r="K991" s="33"/>
    </row>
    <row r="992" spans="1:11" x14ac:dyDescent="0.2">
      <c r="A992" s="35" t="s">
        <v>3723</v>
      </c>
      <c r="B992" s="35">
        <v>2111.98067620657</v>
      </c>
      <c r="C992" s="35">
        <v>2.55520974563471</v>
      </c>
      <c r="D992" s="35">
        <v>0.64394374024896095</v>
      </c>
      <c r="E992" s="35">
        <v>3.9680636458191398</v>
      </c>
      <c r="F992" s="40">
        <v>7.2458984585258799E-5</v>
      </c>
      <c r="G992" s="35">
        <v>5.4580047941410201E-3</v>
      </c>
      <c r="H992" s="24" t="s">
        <v>10</v>
      </c>
      <c r="I992" s="24" t="s">
        <v>10</v>
      </c>
      <c r="J992" s="33" t="s">
        <v>10</v>
      </c>
      <c r="K992" s="33"/>
    </row>
    <row r="993" spans="1:11" x14ac:dyDescent="0.2">
      <c r="A993" s="35" t="s">
        <v>3724</v>
      </c>
      <c r="B993" s="35">
        <v>32.812107465867399</v>
      </c>
      <c r="C993" s="35">
        <v>2.40212574723442</v>
      </c>
      <c r="D993" s="35">
        <v>0.60610155075369498</v>
      </c>
      <c r="E993" s="35">
        <v>3.9632397314399501</v>
      </c>
      <c r="F993" s="40">
        <v>7.3939465914576395E-5</v>
      </c>
      <c r="G993" s="35">
        <v>5.5549045297905398E-3</v>
      </c>
      <c r="H993" s="24" t="s">
        <v>10</v>
      </c>
      <c r="I993" s="24" t="s">
        <v>10</v>
      </c>
      <c r="J993" s="33" t="s">
        <v>10</v>
      </c>
      <c r="K993" s="33"/>
    </row>
    <row r="994" spans="1:11" x14ac:dyDescent="0.2">
      <c r="A994" s="35" t="s">
        <v>3725</v>
      </c>
      <c r="B994" s="35">
        <v>198.58545431491501</v>
      </c>
      <c r="C994" s="35">
        <v>2.6054683723061101</v>
      </c>
      <c r="D994" s="35">
        <v>0.65752734483686903</v>
      </c>
      <c r="E994" s="35">
        <v>3.9625247417695202</v>
      </c>
      <c r="F994" s="40">
        <v>7.4161318809021605E-5</v>
      </c>
      <c r="G994" s="35">
        <v>5.5667015799383702E-3</v>
      </c>
      <c r="H994" s="24" t="s">
        <v>10</v>
      </c>
      <c r="I994" s="24" t="s">
        <v>10</v>
      </c>
      <c r="J994" s="33" t="s">
        <v>10</v>
      </c>
      <c r="K994" s="33"/>
    </row>
    <row r="995" spans="1:11" x14ac:dyDescent="0.2">
      <c r="A995" s="35" t="s">
        <v>3726</v>
      </c>
      <c r="B995" s="35">
        <v>96.143356771231197</v>
      </c>
      <c r="C995" s="35">
        <v>2.9539694499234801</v>
      </c>
      <c r="D995" s="35">
        <v>0.74715231516402703</v>
      </c>
      <c r="E995" s="35">
        <v>3.9536375515011</v>
      </c>
      <c r="F995" s="40">
        <v>7.6971980560273405E-5</v>
      </c>
      <c r="G995" s="35">
        <v>5.7325767065839004E-3</v>
      </c>
      <c r="H995" s="24" t="s">
        <v>10</v>
      </c>
      <c r="I995" s="24" t="s">
        <v>10</v>
      </c>
      <c r="J995" s="33" t="s">
        <v>10</v>
      </c>
      <c r="K995" s="33"/>
    </row>
    <row r="996" spans="1:11" x14ac:dyDescent="0.2">
      <c r="A996" s="35" t="s">
        <v>3727</v>
      </c>
      <c r="B996" s="35">
        <v>116.18688762556199</v>
      </c>
      <c r="C996" s="35">
        <v>4.0318444648704803</v>
      </c>
      <c r="D996" s="35">
        <v>1.0202190793797099</v>
      </c>
      <c r="E996" s="35">
        <v>3.95193987875804</v>
      </c>
      <c r="F996" s="40">
        <v>7.7520218827575394E-5</v>
      </c>
      <c r="G996" s="35">
        <v>5.75941567374578E-3</v>
      </c>
      <c r="H996" s="24" t="s">
        <v>10</v>
      </c>
      <c r="I996" s="24" t="s">
        <v>10</v>
      </c>
      <c r="J996" s="33" t="s">
        <v>10</v>
      </c>
      <c r="K996" s="33"/>
    </row>
    <row r="997" spans="1:11" x14ac:dyDescent="0.2">
      <c r="A997" s="35" t="s">
        <v>3728</v>
      </c>
      <c r="B997" s="35">
        <v>28.206822873917499</v>
      </c>
      <c r="C997" s="35">
        <v>2.8965876498449399</v>
      </c>
      <c r="D997" s="35">
        <v>0.73301507086180395</v>
      </c>
      <c r="E997" s="35">
        <v>3.9516072247183498</v>
      </c>
      <c r="F997" s="40">
        <v>7.7628076220826196E-5</v>
      </c>
      <c r="G997" s="35">
        <v>5.75941567374578E-3</v>
      </c>
      <c r="H997" s="24" t="s">
        <v>10</v>
      </c>
      <c r="I997" s="24" t="s">
        <v>10</v>
      </c>
      <c r="J997" s="33" t="s">
        <v>10</v>
      </c>
      <c r="K997" s="33"/>
    </row>
    <row r="998" spans="1:11" x14ac:dyDescent="0.2">
      <c r="A998" s="35" t="s">
        <v>3729</v>
      </c>
      <c r="B998" s="35">
        <v>1497.8227936373601</v>
      </c>
      <c r="C998" s="35">
        <v>2.52027968362095</v>
      </c>
      <c r="D998" s="35">
        <v>0.63815576306336597</v>
      </c>
      <c r="E998" s="35">
        <v>3.94931743861836</v>
      </c>
      <c r="F998" s="40">
        <v>7.8374358923441904E-5</v>
      </c>
      <c r="G998" s="35">
        <v>5.7967998063005004E-3</v>
      </c>
      <c r="H998" s="24" t="s">
        <v>10</v>
      </c>
      <c r="I998" s="24" t="s">
        <v>10</v>
      </c>
      <c r="J998" s="33" t="s">
        <v>10</v>
      </c>
      <c r="K998" s="33"/>
    </row>
    <row r="999" spans="1:11" x14ac:dyDescent="0.2">
      <c r="A999" s="35" t="s">
        <v>3730</v>
      </c>
      <c r="B999" s="35">
        <v>116.808239000361</v>
      </c>
      <c r="C999" s="35">
        <v>2.1306888813212099</v>
      </c>
      <c r="D999" s="35">
        <v>0.53962799394293604</v>
      </c>
      <c r="E999" s="35">
        <v>3.94844023148756</v>
      </c>
      <c r="F999" s="40">
        <v>7.8662049499198997E-5</v>
      </c>
      <c r="G999" s="35">
        <v>5.8110664719819502E-3</v>
      </c>
      <c r="H999" s="24" t="s">
        <v>10</v>
      </c>
      <c r="I999" s="24" t="s">
        <v>10</v>
      </c>
      <c r="J999" s="33" t="s">
        <v>10</v>
      </c>
      <c r="K999" s="33"/>
    </row>
    <row r="1000" spans="1:11" x14ac:dyDescent="0.2">
      <c r="A1000" s="35" t="s">
        <v>3731</v>
      </c>
      <c r="B1000" s="35">
        <v>26.203303289993499</v>
      </c>
      <c r="C1000" s="35">
        <v>3.4750485915987501</v>
      </c>
      <c r="D1000" s="35">
        <v>0.88117310191639098</v>
      </c>
      <c r="E1000" s="35">
        <v>3.9436616756017102</v>
      </c>
      <c r="F1000" s="40">
        <v>8.0246847747326294E-5</v>
      </c>
      <c r="G1000" s="35">
        <v>5.8946767005223803E-3</v>
      </c>
      <c r="H1000" s="24" t="s">
        <v>10</v>
      </c>
      <c r="I1000" s="24" t="s">
        <v>10</v>
      </c>
      <c r="J1000" s="33" t="s">
        <v>10</v>
      </c>
      <c r="K1000" s="33"/>
    </row>
    <row r="1001" spans="1:11" x14ac:dyDescent="0.2">
      <c r="A1001" s="35" t="s">
        <v>3732</v>
      </c>
      <c r="B1001" s="35">
        <v>920.70046270805403</v>
      </c>
      <c r="C1001" s="35">
        <v>3.2518707143336201</v>
      </c>
      <c r="D1001" s="35">
        <v>0.82524001877020203</v>
      </c>
      <c r="E1001" s="35">
        <v>3.9405150506147901</v>
      </c>
      <c r="F1001" s="40">
        <v>8.1306848946373998E-5</v>
      </c>
      <c r="G1001" s="35">
        <v>5.9471042809830302E-3</v>
      </c>
      <c r="H1001" s="24" t="s">
        <v>10</v>
      </c>
      <c r="I1001" s="24" t="s">
        <v>10</v>
      </c>
      <c r="J1001" s="33" t="s">
        <v>10</v>
      </c>
      <c r="K1001" s="33"/>
    </row>
    <row r="1002" spans="1:11" x14ac:dyDescent="0.2">
      <c r="A1002" s="35" t="s">
        <v>3733</v>
      </c>
      <c r="B1002" s="35">
        <v>526.15504484095902</v>
      </c>
      <c r="C1002" s="35">
        <v>3.7798458371295101</v>
      </c>
      <c r="D1002" s="35">
        <v>0.959305799326018</v>
      </c>
      <c r="E1002" s="35">
        <v>3.9401886653714899</v>
      </c>
      <c r="F1002" s="40">
        <v>8.1417552508790994E-5</v>
      </c>
      <c r="G1002" s="35">
        <v>5.9501333204105399E-3</v>
      </c>
      <c r="H1002" s="24" t="s">
        <v>10</v>
      </c>
      <c r="I1002" s="24" t="s">
        <v>10</v>
      </c>
      <c r="J1002" s="33" t="s">
        <v>10</v>
      </c>
      <c r="K1002" s="33"/>
    </row>
    <row r="1003" spans="1:11" x14ac:dyDescent="0.2">
      <c r="A1003" s="35" t="s">
        <v>3734</v>
      </c>
      <c r="B1003" s="35">
        <v>99.443158160593896</v>
      </c>
      <c r="C1003" s="35">
        <v>3.7339201482926998</v>
      </c>
      <c r="D1003" s="35">
        <v>0.94805614129475801</v>
      </c>
      <c r="E1003" s="35">
        <v>3.9385010925548101</v>
      </c>
      <c r="F1003" s="40">
        <v>8.1992220911708601E-5</v>
      </c>
      <c r="G1003" s="35">
        <v>5.98382492735486E-3</v>
      </c>
      <c r="H1003" s="24" t="s">
        <v>10</v>
      </c>
      <c r="I1003" s="24" t="s">
        <v>10</v>
      </c>
      <c r="J1003" s="33" t="s">
        <v>10</v>
      </c>
      <c r="K1003" s="33"/>
    </row>
    <row r="1004" spans="1:11" x14ac:dyDescent="0.2">
      <c r="A1004" s="35" t="s">
        <v>3735</v>
      </c>
      <c r="B1004" s="35">
        <v>526.46085089994904</v>
      </c>
      <c r="C1004" s="35">
        <v>2.0835505953887301</v>
      </c>
      <c r="D1004" s="35">
        <v>0.52917097455519002</v>
      </c>
      <c r="E1004" s="35">
        <v>3.93738639414248</v>
      </c>
      <c r="F1004" s="40">
        <v>8.2373908857764105E-5</v>
      </c>
      <c r="G1004" s="35">
        <v>5.9996012956107401E-3</v>
      </c>
      <c r="H1004" s="24" t="s">
        <v>3827</v>
      </c>
      <c r="I1004" s="24" t="s">
        <v>3913</v>
      </c>
      <c r="J1004" s="30" t="s">
        <v>10</v>
      </c>
      <c r="K1004" s="33"/>
    </row>
    <row r="1005" spans="1:11" x14ac:dyDescent="0.2">
      <c r="A1005" s="35" t="s">
        <v>3736</v>
      </c>
      <c r="B1005" s="35">
        <v>359.904755515256</v>
      </c>
      <c r="C1005" s="35">
        <v>3.8954874174194498</v>
      </c>
      <c r="D1005" s="35">
        <v>0.98943112235862396</v>
      </c>
      <c r="E1005" s="35">
        <v>3.9370981257728301</v>
      </c>
      <c r="F1005" s="40">
        <v>8.2472888832577302E-5</v>
      </c>
      <c r="G1005" s="35">
        <v>6.0017198618154697E-3</v>
      </c>
      <c r="H1005" s="24" t="s">
        <v>2021</v>
      </c>
      <c r="I1005" s="24" t="s">
        <v>3906</v>
      </c>
      <c r="J1005" s="30" t="s">
        <v>10</v>
      </c>
      <c r="K1005" s="33"/>
    </row>
    <row r="1006" spans="1:11" x14ac:dyDescent="0.2">
      <c r="A1006" s="35" t="s">
        <v>3737</v>
      </c>
      <c r="B1006" s="35">
        <v>23.2571752646361</v>
      </c>
      <c r="C1006" s="35">
        <v>6.4819568241470398</v>
      </c>
      <c r="D1006" s="35">
        <v>1.6470527638577399</v>
      </c>
      <c r="E1006" s="35">
        <v>3.9354882650905201</v>
      </c>
      <c r="F1006" s="40">
        <v>8.3027721380534805E-5</v>
      </c>
      <c r="G1006" s="35">
        <v>6.0216836677938401E-3</v>
      </c>
      <c r="H1006" s="24" t="s">
        <v>10</v>
      </c>
      <c r="I1006" s="24" t="s">
        <v>10</v>
      </c>
      <c r="J1006" s="33" t="s">
        <v>10</v>
      </c>
      <c r="K1006" s="33"/>
    </row>
    <row r="1007" spans="1:11" x14ac:dyDescent="0.2">
      <c r="A1007" s="35" t="s">
        <v>3738</v>
      </c>
      <c r="B1007" s="35">
        <v>188.804184221258</v>
      </c>
      <c r="C1007" s="35">
        <v>2.5374563700376802</v>
      </c>
      <c r="D1007" s="35">
        <v>0.64483744343975302</v>
      </c>
      <c r="E1007" s="35">
        <v>3.9350326130290099</v>
      </c>
      <c r="F1007" s="40">
        <v>8.3185399570767394E-5</v>
      </c>
      <c r="G1007" s="35">
        <v>6.0280282249294201E-3</v>
      </c>
      <c r="H1007" s="24" t="s">
        <v>10</v>
      </c>
      <c r="I1007" s="24" t="s">
        <v>10</v>
      </c>
      <c r="J1007" s="33" t="s">
        <v>10</v>
      </c>
      <c r="K1007" s="33"/>
    </row>
    <row r="1008" spans="1:11" x14ac:dyDescent="0.2">
      <c r="A1008" s="35" t="s">
        <v>3739</v>
      </c>
      <c r="B1008" s="35">
        <v>735.53236329322397</v>
      </c>
      <c r="C1008" s="35">
        <v>2.9965697788047101</v>
      </c>
      <c r="D1008" s="35">
        <v>0.76157054712776096</v>
      </c>
      <c r="E1008" s="35">
        <v>3.9347238284177002</v>
      </c>
      <c r="F1008" s="40">
        <v>8.3292415175341305E-5</v>
      </c>
      <c r="G1008" s="35">
        <v>6.0306939152797098E-3</v>
      </c>
      <c r="H1008" s="24" t="s">
        <v>10</v>
      </c>
      <c r="I1008" s="24" t="s">
        <v>10</v>
      </c>
      <c r="J1008" s="33" t="s">
        <v>10</v>
      </c>
      <c r="K1008" s="33"/>
    </row>
    <row r="1009" spans="1:11" x14ac:dyDescent="0.2">
      <c r="A1009" s="35" t="s">
        <v>3740</v>
      </c>
      <c r="B1009" s="35">
        <v>411.77741851217098</v>
      </c>
      <c r="C1009" s="35">
        <v>4.3261709757108804</v>
      </c>
      <c r="D1009" s="35">
        <v>1.10057555267368</v>
      </c>
      <c r="E1009" s="35">
        <v>3.9308259802801402</v>
      </c>
      <c r="F1009" s="40">
        <v>8.4654529988442299E-5</v>
      </c>
      <c r="G1009" s="35">
        <v>6.10873874785107E-3</v>
      </c>
      <c r="H1009" s="24" t="s">
        <v>10</v>
      </c>
      <c r="I1009" s="24" t="s">
        <v>10</v>
      </c>
      <c r="J1009" s="33" t="s">
        <v>10</v>
      </c>
      <c r="K1009" s="33"/>
    </row>
    <row r="1010" spans="1:11" x14ac:dyDescent="0.2">
      <c r="A1010" s="35" t="s">
        <v>3741</v>
      </c>
      <c r="B1010" s="35">
        <v>35.673101873185502</v>
      </c>
      <c r="C1010" s="35">
        <v>3.0337818347160899</v>
      </c>
      <c r="D1010" s="35">
        <v>0.77185871871983502</v>
      </c>
      <c r="E1010" s="35">
        <v>3.93048852223599</v>
      </c>
      <c r="F1010" s="40">
        <v>8.4773440590837397E-5</v>
      </c>
      <c r="G1010" s="35">
        <v>6.1121579487622103E-3</v>
      </c>
      <c r="H1010" s="24" t="s">
        <v>10</v>
      </c>
      <c r="I1010" s="24" t="s">
        <v>10</v>
      </c>
      <c r="J1010" s="33" t="s">
        <v>10</v>
      </c>
      <c r="K1010" s="33"/>
    </row>
    <row r="1011" spans="1:11" x14ac:dyDescent="0.2">
      <c r="A1011" s="35" t="s">
        <v>3742</v>
      </c>
      <c r="B1011" s="35">
        <v>464.71474730219398</v>
      </c>
      <c r="C1011" s="35">
        <v>2.5039698076467198</v>
      </c>
      <c r="D1011" s="35">
        <v>0.63757857579035804</v>
      </c>
      <c r="E1011" s="35">
        <v>3.9273117114117801</v>
      </c>
      <c r="F1011" s="40">
        <v>8.5900621495504597E-5</v>
      </c>
      <c r="G1011" s="35">
        <v>6.1726964589460002E-3</v>
      </c>
      <c r="H1011" s="24" t="s">
        <v>825</v>
      </c>
      <c r="I1011" s="24" t="s">
        <v>4003</v>
      </c>
      <c r="J1011" s="33" t="s">
        <v>4100</v>
      </c>
      <c r="K1011" s="33"/>
    </row>
    <row r="1012" spans="1:11" x14ac:dyDescent="0.2">
      <c r="A1012" s="35" t="s">
        <v>3743</v>
      </c>
      <c r="B1012" s="35">
        <v>35.807698845641198</v>
      </c>
      <c r="C1012" s="35">
        <v>3.4514441738625701</v>
      </c>
      <c r="D1012" s="35">
        <v>0.88011886966783004</v>
      </c>
      <c r="E1012" s="35">
        <v>3.9215659302534802</v>
      </c>
      <c r="F1012" s="40">
        <v>8.7975369247491995E-5</v>
      </c>
      <c r="G1012" s="35">
        <v>6.30069468945069E-3</v>
      </c>
      <c r="H1012" s="24" t="s">
        <v>10</v>
      </c>
      <c r="I1012" s="24" t="s">
        <v>10</v>
      </c>
      <c r="J1012" s="33" t="s">
        <v>10</v>
      </c>
      <c r="K1012" s="33"/>
    </row>
    <row r="1013" spans="1:11" x14ac:dyDescent="0.2">
      <c r="A1013" s="35" t="s">
        <v>3744</v>
      </c>
      <c r="B1013" s="35">
        <v>183.99013915935799</v>
      </c>
      <c r="C1013" s="35">
        <v>2.10936388309789</v>
      </c>
      <c r="D1013" s="35">
        <v>0.53824450434602</v>
      </c>
      <c r="E1013" s="35">
        <v>3.9189696616797201</v>
      </c>
      <c r="F1013" s="40">
        <v>8.8928306152774396E-5</v>
      </c>
      <c r="G1013" s="35">
        <v>6.34776606620523E-3</v>
      </c>
      <c r="H1013" s="24" t="s">
        <v>3871</v>
      </c>
      <c r="I1013" s="24" t="s">
        <v>910</v>
      </c>
      <c r="J1013" s="33" t="s">
        <v>4101</v>
      </c>
      <c r="K1013" s="33"/>
    </row>
    <row r="1014" spans="1:11" x14ac:dyDescent="0.2">
      <c r="A1014" s="35" t="s">
        <v>3745</v>
      </c>
      <c r="B1014" s="35">
        <v>39.281302414748701</v>
      </c>
      <c r="C1014" s="35">
        <v>2.5952484094282</v>
      </c>
      <c r="D1014" s="35">
        <v>0.66234793825637595</v>
      </c>
      <c r="E1014" s="35">
        <v>3.918255435746</v>
      </c>
      <c r="F1014" s="40">
        <v>8.9192161605084494E-5</v>
      </c>
      <c r="G1014" s="35">
        <v>6.36131238304835E-3</v>
      </c>
      <c r="H1014" s="24" t="s">
        <v>10</v>
      </c>
      <c r="I1014" s="24" t="s">
        <v>10</v>
      </c>
      <c r="J1014" s="33" t="s">
        <v>10</v>
      </c>
      <c r="K1014" s="33"/>
    </row>
    <row r="1015" spans="1:11" x14ac:dyDescent="0.2">
      <c r="A1015" s="35" t="s">
        <v>3746</v>
      </c>
      <c r="B1015" s="35">
        <v>33.082139418438899</v>
      </c>
      <c r="C1015" s="35">
        <v>5.1957991700352704</v>
      </c>
      <c r="D1015" s="35">
        <v>1.32725148891525</v>
      </c>
      <c r="E1015" s="35">
        <v>3.91470585147488</v>
      </c>
      <c r="F1015" s="40">
        <v>9.0514486707026902E-5</v>
      </c>
      <c r="G1015" s="35">
        <v>6.4434290692143101E-3</v>
      </c>
      <c r="H1015" s="24" t="s">
        <v>10</v>
      </c>
      <c r="I1015" s="24" t="s">
        <v>10</v>
      </c>
      <c r="J1015" s="33" t="s">
        <v>10</v>
      </c>
      <c r="K1015" s="33"/>
    </row>
    <row r="1016" spans="1:11" x14ac:dyDescent="0.2">
      <c r="A1016" s="35" t="s">
        <v>3747</v>
      </c>
      <c r="B1016" s="35">
        <v>108.73346691159</v>
      </c>
      <c r="C1016" s="35">
        <v>3.8944611656374999</v>
      </c>
      <c r="D1016" s="35">
        <v>0.99573471340971897</v>
      </c>
      <c r="E1016" s="35">
        <v>3.91114331276209</v>
      </c>
      <c r="F1016" s="40">
        <v>9.1860242137684203E-5</v>
      </c>
      <c r="G1016" s="35">
        <v>6.5191164071116301E-3</v>
      </c>
      <c r="H1016" s="24" t="s">
        <v>10</v>
      </c>
      <c r="I1016" s="24" t="s">
        <v>10</v>
      </c>
      <c r="J1016" s="33" t="s">
        <v>10</v>
      </c>
      <c r="K1016" s="33"/>
    </row>
    <row r="1017" spans="1:11" x14ac:dyDescent="0.2">
      <c r="A1017" s="35" t="s">
        <v>3748</v>
      </c>
      <c r="B1017" s="35">
        <v>110.11392065588601</v>
      </c>
      <c r="C1017" s="35">
        <v>2.5513305665359098</v>
      </c>
      <c r="D1017" s="35">
        <v>0.652507576679763</v>
      </c>
      <c r="E1017" s="35">
        <v>3.91003975696063</v>
      </c>
      <c r="F1017" s="40">
        <v>9.2280931358167107E-5</v>
      </c>
      <c r="G1017" s="35">
        <v>6.5435638783296196E-3</v>
      </c>
      <c r="H1017" s="24" t="s">
        <v>3835</v>
      </c>
      <c r="I1017" s="24" t="s">
        <v>3930</v>
      </c>
      <c r="J1017" s="33" t="s">
        <v>4050</v>
      </c>
      <c r="K1017" s="33"/>
    </row>
    <row r="1018" spans="1:11" x14ac:dyDescent="0.2">
      <c r="A1018" s="35" t="s">
        <v>3749</v>
      </c>
      <c r="B1018" s="35">
        <v>25.517014540604698</v>
      </c>
      <c r="C1018" s="35">
        <v>3.0880391034155399</v>
      </c>
      <c r="D1018" s="35">
        <v>0.79176883220209304</v>
      </c>
      <c r="E1018" s="35">
        <v>3.9001776501191499</v>
      </c>
      <c r="F1018" s="40">
        <v>9.6122130144579398E-5</v>
      </c>
      <c r="G1018" s="35">
        <v>6.7648772785116598E-3</v>
      </c>
      <c r="H1018" s="29" t="s">
        <v>10</v>
      </c>
      <c r="I1018" s="24" t="s">
        <v>3140</v>
      </c>
      <c r="J1018" s="30" t="s">
        <v>10</v>
      </c>
      <c r="K1018" s="33"/>
    </row>
    <row r="1019" spans="1:11" x14ac:dyDescent="0.2">
      <c r="A1019" s="35" t="s">
        <v>3750</v>
      </c>
      <c r="B1019" s="35">
        <v>984.82340350670404</v>
      </c>
      <c r="C1019" s="35">
        <v>6.69350335295871</v>
      </c>
      <c r="D1019" s="35">
        <v>1.71637136797431</v>
      </c>
      <c r="E1019" s="35">
        <v>3.8997990049545699</v>
      </c>
      <c r="F1019" s="40">
        <v>9.6272576873231397E-5</v>
      </c>
      <c r="G1019" s="35">
        <v>6.7651574866458702E-3</v>
      </c>
      <c r="H1019" s="24" t="s">
        <v>10</v>
      </c>
      <c r="I1019" s="24" t="s">
        <v>10</v>
      </c>
      <c r="J1019" s="30" t="s">
        <v>10</v>
      </c>
      <c r="K1019" s="33"/>
    </row>
    <row r="1020" spans="1:11" x14ac:dyDescent="0.2">
      <c r="A1020" s="35" t="s">
        <v>3751</v>
      </c>
      <c r="B1020" s="35">
        <v>45.534979805890302</v>
      </c>
      <c r="C1020" s="35">
        <v>4.4403949817504103</v>
      </c>
      <c r="D1020" s="35">
        <v>1.1391302858893899</v>
      </c>
      <c r="E1020" s="35">
        <v>3.8980571728751201</v>
      </c>
      <c r="F1020" s="40">
        <v>9.6967525801169797E-5</v>
      </c>
      <c r="G1020" s="35">
        <v>6.8028581765296097E-3</v>
      </c>
      <c r="H1020" s="24" t="s">
        <v>10</v>
      </c>
      <c r="I1020" s="24" t="s">
        <v>10</v>
      </c>
      <c r="J1020" s="30" t="s">
        <v>10</v>
      </c>
      <c r="K1020" s="33"/>
    </row>
    <row r="1021" spans="1:11" x14ac:dyDescent="0.2">
      <c r="A1021" s="35" t="s">
        <v>3752</v>
      </c>
      <c r="B1021" s="35">
        <v>228.38820181452601</v>
      </c>
      <c r="C1021" s="35">
        <v>2.1397052305665798</v>
      </c>
      <c r="D1021" s="35">
        <v>0.54932771399207403</v>
      </c>
      <c r="E1021" s="35">
        <v>3.8951343179409399</v>
      </c>
      <c r="F1021" s="40">
        <v>9.8144327847670006E-5</v>
      </c>
      <c r="G1021" s="35">
        <v>6.8685831920189703E-3</v>
      </c>
      <c r="H1021" s="24" t="s">
        <v>10</v>
      </c>
      <c r="I1021" s="24" t="s">
        <v>10</v>
      </c>
      <c r="J1021" s="30" t="s">
        <v>10</v>
      </c>
      <c r="K1021" s="33"/>
    </row>
    <row r="1022" spans="1:11" x14ac:dyDescent="0.2">
      <c r="A1022" s="35" t="s">
        <v>3753</v>
      </c>
      <c r="B1022" s="35">
        <v>38.798463449255202</v>
      </c>
      <c r="C1022" s="35">
        <v>4.74032522220896</v>
      </c>
      <c r="D1022" s="35">
        <v>1.2177788735087001</v>
      </c>
      <c r="E1022" s="35">
        <v>3.89259932597695</v>
      </c>
      <c r="F1022" s="40">
        <v>9.9175873975606497E-5</v>
      </c>
      <c r="G1022" s="35">
        <v>6.9351233502925897E-3</v>
      </c>
      <c r="H1022" s="24" t="s">
        <v>3876</v>
      </c>
      <c r="I1022" s="24" t="s">
        <v>3996</v>
      </c>
      <c r="J1022" s="30" t="s">
        <v>10</v>
      </c>
      <c r="K1022" s="33"/>
    </row>
    <row r="1023" spans="1:11" x14ac:dyDescent="0.2">
      <c r="A1023" s="35" t="s">
        <v>3754</v>
      </c>
      <c r="B1023" s="35">
        <v>20.082899044160101</v>
      </c>
      <c r="C1023" s="35">
        <v>2.9378575297855098</v>
      </c>
      <c r="D1023" s="35">
        <v>0.75682640397536804</v>
      </c>
      <c r="E1023" s="35">
        <v>3.8818116206753301</v>
      </c>
      <c r="F1023" s="35">
        <v>1.0368118188486E-4</v>
      </c>
      <c r="G1023" s="35">
        <v>7.2032417230055304E-3</v>
      </c>
      <c r="H1023" s="24" t="s">
        <v>10</v>
      </c>
      <c r="I1023" s="24" t="s">
        <v>10</v>
      </c>
      <c r="J1023" s="30" t="s">
        <v>10</v>
      </c>
      <c r="K1023" s="33"/>
    </row>
    <row r="1024" spans="1:11" x14ac:dyDescent="0.2">
      <c r="A1024" s="35" t="s">
        <v>3755</v>
      </c>
      <c r="B1024" s="35">
        <v>26.742484348879799</v>
      </c>
      <c r="C1024" s="35">
        <v>2.5628903482804199</v>
      </c>
      <c r="D1024" s="35">
        <v>0.66060298647776206</v>
      </c>
      <c r="E1024" s="35">
        <v>3.87962270946635</v>
      </c>
      <c r="F1024" s="35">
        <v>1.04618613123728E-4</v>
      </c>
      <c r="G1024" s="35">
        <v>7.2390853566056601E-3</v>
      </c>
      <c r="H1024" s="24" t="s">
        <v>10</v>
      </c>
      <c r="I1024" s="24" t="s">
        <v>10</v>
      </c>
      <c r="J1024" s="30" t="s">
        <v>10</v>
      </c>
      <c r="K1024" s="33"/>
    </row>
    <row r="1025" spans="1:11" x14ac:dyDescent="0.2">
      <c r="A1025" s="35" t="s">
        <v>3756</v>
      </c>
      <c r="B1025" s="35">
        <v>310.768843343436</v>
      </c>
      <c r="C1025" s="35">
        <v>2.0101881542317299</v>
      </c>
      <c r="D1025" s="35">
        <v>0.51829923697068103</v>
      </c>
      <c r="E1025" s="35">
        <v>3.8784316295364998</v>
      </c>
      <c r="F1025" s="35">
        <v>1.05132064094562E-4</v>
      </c>
      <c r="G1025" s="35">
        <v>7.2512413460755799E-3</v>
      </c>
      <c r="H1025" s="24" t="s">
        <v>10</v>
      </c>
      <c r="I1025" s="24" t="s">
        <v>10</v>
      </c>
      <c r="J1025" s="30" t="s">
        <v>10</v>
      </c>
      <c r="K1025" s="33"/>
    </row>
    <row r="1026" spans="1:11" x14ac:dyDescent="0.2">
      <c r="A1026" s="35" t="s">
        <v>3757</v>
      </c>
      <c r="B1026" s="35">
        <v>2548.3053634077601</v>
      </c>
      <c r="C1026" s="35">
        <v>3.7629346183967498</v>
      </c>
      <c r="D1026" s="35">
        <v>0.97080668934623304</v>
      </c>
      <c r="E1026" s="35">
        <v>3.87609053346223</v>
      </c>
      <c r="F1026" s="35">
        <v>1.06148202546487E-4</v>
      </c>
      <c r="G1026" s="35">
        <v>7.3095848443218998E-3</v>
      </c>
      <c r="H1026" s="24" t="s">
        <v>10</v>
      </c>
      <c r="I1026" s="24" t="s">
        <v>10</v>
      </c>
      <c r="J1026" s="30" t="s">
        <v>10</v>
      </c>
      <c r="K1026" s="33"/>
    </row>
    <row r="1027" spans="1:11" x14ac:dyDescent="0.2">
      <c r="A1027" s="35" t="s">
        <v>3758</v>
      </c>
      <c r="B1027" s="35">
        <v>1145.42071453417</v>
      </c>
      <c r="C1027" s="35">
        <v>2.1496015292894501</v>
      </c>
      <c r="D1027" s="35">
        <v>0.55482794085431197</v>
      </c>
      <c r="E1027" s="35">
        <v>3.8743570231512399</v>
      </c>
      <c r="F1027" s="35">
        <v>1.0690658645168499E-4</v>
      </c>
      <c r="G1027" s="35">
        <v>7.3496907326879102E-3</v>
      </c>
      <c r="H1027" s="29" t="s">
        <v>10</v>
      </c>
      <c r="I1027" s="24" t="s">
        <v>3987</v>
      </c>
      <c r="J1027" s="30" t="s">
        <v>10</v>
      </c>
      <c r="K1027" s="33"/>
    </row>
    <row r="1028" spans="1:11" x14ac:dyDescent="0.2">
      <c r="A1028" s="35" t="s">
        <v>3759</v>
      </c>
      <c r="B1028" s="35">
        <v>29.419106869038501</v>
      </c>
      <c r="C1028" s="35">
        <v>2.08755632640207</v>
      </c>
      <c r="D1028" s="35">
        <v>0.53883920819143705</v>
      </c>
      <c r="E1028" s="35">
        <v>3.8741730272538102</v>
      </c>
      <c r="F1028" s="35">
        <v>1.06987381256302E-4</v>
      </c>
      <c r="G1028" s="35">
        <v>7.3496907326879102E-3</v>
      </c>
      <c r="H1028" s="24" t="s">
        <v>10</v>
      </c>
      <c r="I1028" s="24" t="s">
        <v>10</v>
      </c>
      <c r="J1028" s="30" t="s">
        <v>10</v>
      </c>
      <c r="K1028" s="33"/>
    </row>
    <row r="1029" spans="1:11" x14ac:dyDescent="0.2">
      <c r="A1029" s="35" t="s">
        <v>3760</v>
      </c>
      <c r="B1029" s="35">
        <v>40.9143270906373</v>
      </c>
      <c r="C1029" s="35">
        <v>3.73683056611628</v>
      </c>
      <c r="D1029" s="35">
        <v>0.965171042815963</v>
      </c>
      <c r="E1029" s="35">
        <v>3.8716770399718801</v>
      </c>
      <c r="F1029" s="35">
        <v>1.08089106943962E-4</v>
      </c>
      <c r="G1029" s="35">
        <v>7.3957925915417999E-3</v>
      </c>
      <c r="H1029" s="24" t="s">
        <v>10</v>
      </c>
      <c r="I1029" s="24" t="s">
        <v>10</v>
      </c>
      <c r="J1029" s="30" t="s">
        <v>10</v>
      </c>
      <c r="K1029" s="33"/>
    </row>
    <row r="1030" spans="1:11" x14ac:dyDescent="0.2">
      <c r="A1030" s="35" t="s">
        <v>3761</v>
      </c>
      <c r="B1030" s="35">
        <v>39.566376820797601</v>
      </c>
      <c r="C1030" s="35">
        <v>3.5591384720347201</v>
      </c>
      <c r="D1030" s="35">
        <v>0.91985764931812197</v>
      </c>
      <c r="E1030" s="35">
        <v>3.8692274556536601</v>
      </c>
      <c r="F1030" s="35">
        <v>1.09180751651007E-4</v>
      </c>
      <c r="G1030" s="35">
        <v>7.4526711645656997E-3</v>
      </c>
      <c r="H1030" s="24" t="s">
        <v>10</v>
      </c>
      <c r="I1030" s="24" t="s">
        <v>10</v>
      </c>
      <c r="J1030" s="30" t="s">
        <v>10</v>
      </c>
      <c r="K1030" s="33"/>
    </row>
    <row r="1031" spans="1:11" x14ac:dyDescent="0.2">
      <c r="A1031" s="35" t="s">
        <v>3762</v>
      </c>
      <c r="B1031" s="35">
        <v>448.89483896554202</v>
      </c>
      <c r="C1031" s="35">
        <v>4.5068534776447198</v>
      </c>
      <c r="D1031" s="35">
        <v>1.1649204121808501</v>
      </c>
      <c r="E1031" s="35">
        <v>3.8688080580607398</v>
      </c>
      <c r="F1031" s="35">
        <v>1.0936869380169899E-4</v>
      </c>
      <c r="G1031" s="35">
        <v>7.4571683575003203E-3</v>
      </c>
      <c r="H1031" s="24" t="s">
        <v>10</v>
      </c>
      <c r="I1031" s="24" t="s">
        <v>10</v>
      </c>
      <c r="J1031" s="30" t="s">
        <v>10</v>
      </c>
      <c r="K1031" s="33"/>
    </row>
    <row r="1032" spans="1:11" x14ac:dyDescent="0.2">
      <c r="A1032" s="35" t="s">
        <v>3763</v>
      </c>
      <c r="B1032" s="35">
        <v>550.17812078893905</v>
      </c>
      <c r="C1032" s="35">
        <v>2.1950812288920498</v>
      </c>
      <c r="D1032" s="35">
        <v>0.56739607984588702</v>
      </c>
      <c r="E1032" s="35">
        <v>3.86869297632134</v>
      </c>
      <c r="F1032" s="35">
        <v>1.09420318040437E-4</v>
      </c>
      <c r="G1032" s="35">
        <v>7.4571683575003203E-3</v>
      </c>
      <c r="H1032" s="24" t="s">
        <v>10</v>
      </c>
      <c r="I1032" s="24" t="s">
        <v>10</v>
      </c>
      <c r="J1032" s="30" t="s">
        <v>10</v>
      </c>
      <c r="K1032" s="33"/>
    </row>
    <row r="1033" spans="1:11" x14ac:dyDescent="0.2">
      <c r="A1033" s="45" t="s">
        <v>3764</v>
      </c>
      <c r="B1033" s="45">
        <v>171.23702148227099</v>
      </c>
      <c r="C1033" s="45">
        <v>4.7761528828700897</v>
      </c>
      <c r="D1033" s="45">
        <v>1.2346554099917499</v>
      </c>
      <c r="E1033" s="45">
        <v>3.8684096341520902</v>
      </c>
      <c r="F1033" s="45">
        <v>1.09547519817108E-4</v>
      </c>
      <c r="G1033" s="45">
        <v>7.4599167916057797E-3</v>
      </c>
      <c r="H1033" s="47" t="s">
        <v>164</v>
      </c>
      <c r="I1033" s="47" t="s">
        <v>3936</v>
      </c>
      <c r="J1033" s="49" t="s">
        <v>10</v>
      </c>
      <c r="K1033" s="33"/>
    </row>
    <row r="1034" spans="1:11" x14ac:dyDescent="0.2">
      <c r="A1034" s="35" t="s">
        <v>3765</v>
      </c>
      <c r="B1034" s="35">
        <v>32.180268937959397</v>
      </c>
      <c r="C1034" s="35">
        <v>3.3909942925402099</v>
      </c>
      <c r="D1034" s="35">
        <v>0.87800752619647504</v>
      </c>
      <c r="E1034" s="35">
        <v>3.8621471813914701</v>
      </c>
      <c r="F1034" s="35">
        <v>1.12394816593001E-4</v>
      </c>
      <c r="G1034" s="35">
        <v>7.5995710989429904E-3</v>
      </c>
      <c r="H1034" s="24" t="s">
        <v>10</v>
      </c>
      <c r="I1034" s="24" t="s">
        <v>10</v>
      </c>
      <c r="J1034" s="30" t="s">
        <v>10</v>
      </c>
      <c r="K1034" s="33"/>
    </row>
    <row r="1035" spans="1:11" x14ac:dyDescent="0.2">
      <c r="A1035" s="35" t="s">
        <v>3766</v>
      </c>
      <c r="B1035" s="35">
        <v>11530.607541326601</v>
      </c>
      <c r="C1035" s="35">
        <v>3.9765886730097399</v>
      </c>
      <c r="D1035" s="35">
        <v>1.0297897410568499</v>
      </c>
      <c r="E1035" s="35">
        <v>3.8615539798723</v>
      </c>
      <c r="F1035" s="35">
        <v>1.1266811201665301E-4</v>
      </c>
      <c r="G1035" s="35">
        <v>7.6076973483620797E-3</v>
      </c>
      <c r="H1035" s="29" t="s">
        <v>10</v>
      </c>
      <c r="I1035" s="24" t="s">
        <v>3993</v>
      </c>
      <c r="J1035" s="33" t="s">
        <v>4088</v>
      </c>
      <c r="K1035" s="33"/>
    </row>
    <row r="1036" spans="1:11" x14ac:dyDescent="0.2">
      <c r="A1036" s="35" t="s">
        <v>3767</v>
      </c>
      <c r="B1036" s="35">
        <v>64.3219136030079</v>
      </c>
      <c r="C1036" s="35">
        <v>4.5441858658403698</v>
      </c>
      <c r="D1036" s="35">
        <v>1.1767923779976901</v>
      </c>
      <c r="E1036" s="35">
        <v>3.8615017829842699</v>
      </c>
      <c r="F1036" s="35">
        <v>1.12692189762744E-4</v>
      </c>
      <c r="G1036" s="35">
        <v>7.6076973483620797E-3</v>
      </c>
      <c r="H1036" s="24" t="s">
        <v>10</v>
      </c>
      <c r="I1036" s="24" t="s">
        <v>10</v>
      </c>
      <c r="J1036" s="33" t="s">
        <v>10</v>
      </c>
      <c r="K1036" s="33"/>
    </row>
    <row r="1037" spans="1:11" x14ac:dyDescent="0.2">
      <c r="A1037" s="35" t="s">
        <v>3768</v>
      </c>
      <c r="B1037" s="35">
        <v>620.81028801792695</v>
      </c>
      <c r="C1037" s="35">
        <v>5.82323025272244</v>
      </c>
      <c r="D1037" s="35">
        <v>1.50815892065788</v>
      </c>
      <c r="E1037" s="35">
        <v>3.8611516153631098</v>
      </c>
      <c r="F1037" s="35">
        <v>1.1285384307851E-4</v>
      </c>
      <c r="G1037" s="35">
        <v>7.6126255765866097E-3</v>
      </c>
      <c r="H1037" s="29" t="s">
        <v>10</v>
      </c>
      <c r="I1037" s="29" t="s">
        <v>10</v>
      </c>
      <c r="J1037" s="33" t="s">
        <v>10</v>
      </c>
      <c r="K1037" s="33"/>
    </row>
    <row r="1038" spans="1:11" x14ac:dyDescent="0.2">
      <c r="A1038" s="35" t="s">
        <v>3769</v>
      </c>
      <c r="B1038" s="35">
        <v>291.10413562793298</v>
      </c>
      <c r="C1038" s="35">
        <v>2.1513012510335798</v>
      </c>
      <c r="D1038" s="35">
        <v>0.55728167353801195</v>
      </c>
      <c r="E1038" s="35">
        <v>3.86034810255939</v>
      </c>
      <c r="F1038" s="35">
        <v>1.13225608357126E-4</v>
      </c>
      <c r="G1038" s="35">
        <v>7.6310818863724204E-3</v>
      </c>
      <c r="H1038" s="24" t="s">
        <v>10</v>
      </c>
      <c r="I1038" s="24" t="s">
        <v>10</v>
      </c>
      <c r="J1038" s="33" t="s">
        <v>10</v>
      </c>
      <c r="K1038" s="33"/>
    </row>
    <row r="1039" spans="1:11" x14ac:dyDescent="0.2">
      <c r="A1039" s="35" t="s">
        <v>3770</v>
      </c>
      <c r="B1039" s="35">
        <v>878.94680660888605</v>
      </c>
      <c r="C1039" s="35">
        <v>2.2437677075145901</v>
      </c>
      <c r="D1039" s="35">
        <v>0.58135118197615099</v>
      </c>
      <c r="E1039" s="35">
        <v>3.8595736571610502</v>
      </c>
      <c r="F1039" s="35">
        <v>1.13585017867133E-4</v>
      </c>
      <c r="G1039" s="35">
        <v>7.6379475875243304E-3</v>
      </c>
      <c r="H1039" s="24" t="s">
        <v>10</v>
      </c>
      <c r="I1039" s="24" t="s">
        <v>10</v>
      </c>
      <c r="J1039" s="33" t="s">
        <v>10</v>
      </c>
      <c r="K1039" s="33"/>
    </row>
    <row r="1040" spans="1:11" x14ac:dyDescent="0.2">
      <c r="A1040" s="35" t="s">
        <v>3771</v>
      </c>
      <c r="B1040" s="35">
        <v>496.75749717810697</v>
      </c>
      <c r="C1040" s="35">
        <v>2.8026315493223599</v>
      </c>
      <c r="D1040" s="35">
        <v>0.72641274880118201</v>
      </c>
      <c r="E1040" s="35">
        <v>3.8581805646274998</v>
      </c>
      <c r="F1040" s="35">
        <v>1.14234243403637E-4</v>
      </c>
      <c r="G1040" s="35">
        <v>7.6695924279231798E-3</v>
      </c>
      <c r="H1040" s="24" t="s">
        <v>10</v>
      </c>
      <c r="I1040" s="24" t="s">
        <v>10</v>
      </c>
      <c r="J1040" s="33" t="s">
        <v>10</v>
      </c>
      <c r="K1040" s="33"/>
    </row>
    <row r="1041" spans="1:11" x14ac:dyDescent="0.2">
      <c r="A1041" s="35" t="s">
        <v>3772</v>
      </c>
      <c r="B1041" s="35">
        <v>16.653724486986199</v>
      </c>
      <c r="C1041" s="35">
        <v>4.2378940576810296</v>
      </c>
      <c r="D1041" s="35">
        <v>1.09873956574896</v>
      </c>
      <c r="E1041" s="35">
        <v>3.8570505602865501</v>
      </c>
      <c r="F1041" s="35">
        <v>1.14763430741108E-4</v>
      </c>
      <c r="G1041" s="35">
        <v>7.6991020009138404E-3</v>
      </c>
      <c r="H1041" s="24" t="s">
        <v>10</v>
      </c>
      <c r="I1041" s="24" t="s">
        <v>10</v>
      </c>
      <c r="J1041" s="33" t="s">
        <v>10</v>
      </c>
      <c r="K1041" s="33"/>
    </row>
    <row r="1042" spans="1:11" x14ac:dyDescent="0.2">
      <c r="A1042" s="35" t="s">
        <v>3773</v>
      </c>
      <c r="B1042" s="35">
        <v>52.832682144138602</v>
      </c>
      <c r="C1042" s="35">
        <v>3.0318818546000199</v>
      </c>
      <c r="D1042" s="35">
        <v>0.78619044386481696</v>
      </c>
      <c r="E1042" s="35">
        <v>3.8564216574493799</v>
      </c>
      <c r="F1042" s="35">
        <v>1.15058950062795E-4</v>
      </c>
      <c r="G1042" s="35">
        <v>7.7129017180657599E-3</v>
      </c>
      <c r="H1042" s="24" t="s">
        <v>10</v>
      </c>
      <c r="I1042" s="24" t="s">
        <v>10</v>
      </c>
      <c r="J1042" s="33" t="s">
        <v>10</v>
      </c>
      <c r="K1042" s="33"/>
    </row>
    <row r="1043" spans="1:11" x14ac:dyDescent="0.2">
      <c r="A1043" s="35" t="s">
        <v>3774</v>
      </c>
      <c r="B1043" s="35">
        <v>1649.1245600445</v>
      </c>
      <c r="C1043" s="35">
        <v>2.5329013259800601</v>
      </c>
      <c r="D1043" s="35">
        <v>0.65689961482537196</v>
      </c>
      <c r="E1043" s="35">
        <v>3.85584230651954</v>
      </c>
      <c r="F1043" s="35">
        <v>1.15331820086858E-4</v>
      </c>
      <c r="G1043" s="35">
        <v>7.7251628102016998E-3</v>
      </c>
      <c r="H1043" s="24" t="s">
        <v>3854</v>
      </c>
      <c r="I1043" s="24" t="s">
        <v>3970</v>
      </c>
      <c r="J1043" s="33" t="s">
        <v>10</v>
      </c>
      <c r="K1043" s="33"/>
    </row>
    <row r="1044" spans="1:11" x14ac:dyDescent="0.2">
      <c r="A1044" s="35" t="s">
        <v>3775</v>
      </c>
      <c r="B1044" s="35">
        <v>11542.642280799801</v>
      </c>
      <c r="C1044" s="35">
        <v>4.2789289270418198</v>
      </c>
      <c r="D1044" s="35">
        <v>1.1099888924092101</v>
      </c>
      <c r="E1044" s="35">
        <v>3.8549295009200502</v>
      </c>
      <c r="F1044" s="35">
        <v>1.15762983474227E-4</v>
      </c>
      <c r="G1044" s="35">
        <v>7.7479993405419403E-3</v>
      </c>
      <c r="H1044" s="24" t="s">
        <v>10</v>
      </c>
      <c r="I1044" s="24" t="s">
        <v>10</v>
      </c>
      <c r="J1044" s="33" t="s">
        <v>10</v>
      </c>
      <c r="K1044" s="33"/>
    </row>
    <row r="1045" spans="1:11" x14ac:dyDescent="0.2">
      <c r="A1045" s="35" t="s">
        <v>3776</v>
      </c>
      <c r="B1045" s="35">
        <v>260.01133329805498</v>
      </c>
      <c r="C1045" s="35">
        <v>3.4637377068541699</v>
      </c>
      <c r="D1045" s="35">
        <v>0.89920593454484599</v>
      </c>
      <c r="E1045" s="35">
        <v>3.8519960487220599</v>
      </c>
      <c r="F1045" s="35">
        <v>1.1715891390371799E-4</v>
      </c>
      <c r="G1045" s="35">
        <v>7.8231361553858392E-3</v>
      </c>
      <c r="H1045" s="24" t="s">
        <v>10</v>
      </c>
      <c r="I1045" s="24" t="s">
        <v>10</v>
      </c>
      <c r="J1045" s="33" t="s">
        <v>10</v>
      </c>
      <c r="K1045" s="33"/>
    </row>
    <row r="1046" spans="1:11" x14ac:dyDescent="0.2">
      <c r="A1046" s="35" t="s">
        <v>3777</v>
      </c>
      <c r="B1046" s="35">
        <v>701.26934273058498</v>
      </c>
      <c r="C1046" s="35">
        <v>2.4960739668300902</v>
      </c>
      <c r="D1046" s="35">
        <v>0.64811997739705696</v>
      </c>
      <c r="E1046" s="35">
        <v>3.8512529375420299</v>
      </c>
      <c r="F1046" s="35">
        <v>1.17515046918035E-4</v>
      </c>
      <c r="G1046" s="35">
        <v>7.8347318275610502E-3</v>
      </c>
      <c r="H1046" s="24" t="s">
        <v>10</v>
      </c>
      <c r="I1046" s="24" t="s">
        <v>10</v>
      </c>
      <c r="J1046" s="33" t="s">
        <v>10</v>
      </c>
      <c r="K1046" s="33"/>
    </row>
    <row r="1047" spans="1:11" x14ac:dyDescent="0.2">
      <c r="A1047" s="35" t="s">
        <v>3778</v>
      </c>
      <c r="B1047" s="35">
        <v>388.15052667128998</v>
      </c>
      <c r="C1047" s="35">
        <v>3.31186764515224</v>
      </c>
      <c r="D1047" s="35">
        <v>0.86089043630159001</v>
      </c>
      <c r="E1047" s="35">
        <v>3.8470257137250998</v>
      </c>
      <c r="F1047" s="35">
        <v>1.1956042552147101E-4</v>
      </c>
      <c r="G1047" s="35">
        <v>7.9464189628128505E-3</v>
      </c>
      <c r="H1047" s="24" t="s">
        <v>3828</v>
      </c>
      <c r="I1047" s="24" t="s">
        <v>3983</v>
      </c>
      <c r="J1047" s="33" t="s">
        <v>4044</v>
      </c>
      <c r="K1047" s="33"/>
    </row>
    <row r="1048" spans="1:11" x14ac:dyDescent="0.2">
      <c r="A1048" s="35" t="s">
        <v>3779</v>
      </c>
      <c r="B1048" s="35">
        <v>1742.1995392366</v>
      </c>
      <c r="C1048" s="35">
        <v>2.1829286416673899</v>
      </c>
      <c r="D1048" s="35">
        <v>0.56746168445018896</v>
      </c>
      <c r="E1048" s="35">
        <v>3.8468300177525099</v>
      </c>
      <c r="F1048" s="35">
        <v>1.1965592294238E-4</v>
      </c>
      <c r="G1048" s="35">
        <v>7.9466154361833696E-3</v>
      </c>
      <c r="H1048" s="29" t="s">
        <v>10</v>
      </c>
      <c r="I1048" s="24" t="s">
        <v>3957</v>
      </c>
      <c r="J1048" s="33" t="s">
        <v>4065</v>
      </c>
      <c r="K1048" s="33"/>
    </row>
    <row r="1049" spans="1:11" x14ac:dyDescent="0.2">
      <c r="A1049" s="35" t="s">
        <v>3780</v>
      </c>
      <c r="B1049" s="35">
        <v>88.617032834932502</v>
      </c>
      <c r="C1049" s="35">
        <v>4.0193751292264901</v>
      </c>
      <c r="D1049" s="35">
        <v>1.04494238654167</v>
      </c>
      <c r="E1049" s="35">
        <v>3.84650405706001</v>
      </c>
      <c r="F1049" s="35">
        <v>1.19815147757963E-4</v>
      </c>
      <c r="G1049" s="35">
        <v>7.9510406129243098E-3</v>
      </c>
      <c r="H1049" s="24" t="s">
        <v>10</v>
      </c>
      <c r="I1049" s="24" t="s">
        <v>10</v>
      </c>
      <c r="J1049" s="33" t="s">
        <v>10</v>
      </c>
      <c r="K1049" s="33"/>
    </row>
    <row r="1050" spans="1:11" x14ac:dyDescent="0.2">
      <c r="A1050" s="35" t="s">
        <v>3781</v>
      </c>
      <c r="B1050" s="35">
        <v>69.450069110882396</v>
      </c>
      <c r="C1050" s="35">
        <v>2.39229536726025</v>
      </c>
      <c r="D1050" s="35">
        <v>0.62304660678871204</v>
      </c>
      <c r="E1050" s="35">
        <v>3.8396732141605598</v>
      </c>
      <c r="F1050" s="35">
        <v>1.23198184136134E-4</v>
      </c>
      <c r="G1050" s="35">
        <v>8.1419101125815695E-3</v>
      </c>
      <c r="H1050" s="24" t="s">
        <v>3881</v>
      </c>
      <c r="I1050" s="24" t="s">
        <v>4014</v>
      </c>
      <c r="J1050" s="30" t="s">
        <v>10</v>
      </c>
      <c r="K1050" s="33"/>
    </row>
    <row r="1051" spans="1:11" x14ac:dyDescent="0.2">
      <c r="A1051" s="35" t="s">
        <v>3782</v>
      </c>
      <c r="B1051" s="35">
        <v>22.351312545094899</v>
      </c>
      <c r="C1051" s="35">
        <v>2.3815111258375699</v>
      </c>
      <c r="D1051" s="35">
        <v>0.62032141600638502</v>
      </c>
      <c r="E1051" s="35">
        <v>3.8391567087425198</v>
      </c>
      <c r="F1051" s="35">
        <v>1.23457616553433E-4</v>
      </c>
      <c r="G1051" s="35">
        <v>8.1486771645348406E-3</v>
      </c>
      <c r="H1051" s="24" t="s">
        <v>10</v>
      </c>
      <c r="I1051" s="24" t="s">
        <v>10</v>
      </c>
      <c r="J1051" s="33" t="s">
        <v>10</v>
      </c>
      <c r="K1051" s="33"/>
    </row>
    <row r="1052" spans="1:11" x14ac:dyDescent="0.2">
      <c r="A1052" s="35" t="s">
        <v>3783</v>
      </c>
      <c r="B1052" s="35">
        <v>31.535075481373301</v>
      </c>
      <c r="C1052" s="35">
        <v>3.9993422087609001</v>
      </c>
      <c r="D1052" s="35">
        <v>1.0425491390089801</v>
      </c>
      <c r="E1052" s="35">
        <v>3.8361186625338202</v>
      </c>
      <c r="F1052" s="35">
        <v>1.2499403237723001E-4</v>
      </c>
      <c r="G1052" s="35">
        <v>8.2098047665852096E-3</v>
      </c>
      <c r="H1052" s="24" t="s">
        <v>10</v>
      </c>
      <c r="I1052" s="24" t="s">
        <v>10</v>
      </c>
      <c r="J1052" s="33" t="s">
        <v>10</v>
      </c>
      <c r="K1052" s="33"/>
    </row>
    <row r="1053" spans="1:11" x14ac:dyDescent="0.2">
      <c r="A1053" s="35" t="s">
        <v>3784</v>
      </c>
      <c r="B1053" s="35">
        <v>25.660780091648501</v>
      </c>
      <c r="C1053" s="35">
        <v>2.6501241969087901</v>
      </c>
      <c r="D1053" s="35">
        <v>0.69085564714639003</v>
      </c>
      <c r="E1053" s="35">
        <v>3.8360028000860198</v>
      </c>
      <c r="F1053" s="35">
        <v>1.2505298220229699E-4</v>
      </c>
      <c r="G1053" s="35">
        <v>8.2098047665852096E-3</v>
      </c>
      <c r="H1053" s="24" t="s">
        <v>10</v>
      </c>
      <c r="I1053" s="24" t="s">
        <v>10</v>
      </c>
      <c r="J1053" s="33" t="s">
        <v>10</v>
      </c>
      <c r="K1053" s="33"/>
    </row>
    <row r="1054" spans="1:11" x14ac:dyDescent="0.2">
      <c r="A1054" s="35" t="s">
        <v>3785</v>
      </c>
      <c r="B1054" s="35">
        <v>60.732545085453602</v>
      </c>
      <c r="C1054" s="35">
        <v>2.8715513604323601</v>
      </c>
      <c r="D1054" s="35">
        <v>0.74881109172047999</v>
      </c>
      <c r="E1054" s="35">
        <v>3.83481413694693</v>
      </c>
      <c r="F1054" s="35">
        <v>1.2565927935408999E-4</v>
      </c>
      <c r="G1054" s="35">
        <v>8.2333191871487594E-3</v>
      </c>
      <c r="H1054" s="24" t="s">
        <v>10</v>
      </c>
      <c r="I1054" s="24" t="s">
        <v>10</v>
      </c>
      <c r="J1054" s="33" t="s">
        <v>10</v>
      </c>
      <c r="K1054" s="33"/>
    </row>
    <row r="1055" spans="1:11" x14ac:dyDescent="0.2">
      <c r="A1055" s="35" t="s">
        <v>3786</v>
      </c>
      <c r="B1055" s="35">
        <v>60.917751073604201</v>
      </c>
      <c r="C1055" s="35">
        <v>3.9215036506093099</v>
      </c>
      <c r="D1055" s="35">
        <v>1.0228198200115199</v>
      </c>
      <c r="E1055" s="35">
        <v>3.83401218267859</v>
      </c>
      <c r="F1055" s="35">
        <v>1.2606989341044101E-4</v>
      </c>
      <c r="G1055" s="35">
        <v>8.2462363180103304E-3</v>
      </c>
      <c r="H1055" s="24" t="s">
        <v>10</v>
      </c>
      <c r="I1055" s="24" t="s">
        <v>10</v>
      </c>
      <c r="J1055" s="33" t="s">
        <v>10</v>
      </c>
      <c r="K1055" s="33"/>
    </row>
    <row r="1056" spans="1:11" x14ac:dyDescent="0.2">
      <c r="A1056" s="35" t="s">
        <v>3787</v>
      </c>
      <c r="B1056" s="35">
        <v>186.05208201391201</v>
      </c>
      <c r="C1056" s="35">
        <v>3.73094801697053</v>
      </c>
      <c r="D1056" s="35">
        <v>0.97312745019037405</v>
      </c>
      <c r="E1056" s="35">
        <v>3.8339767481028701</v>
      </c>
      <c r="F1056" s="35">
        <v>1.2608806565135599E-4</v>
      </c>
      <c r="G1056" s="35">
        <v>8.2462363180103304E-3</v>
      </c>
      <c r="H1056" s="24" t="s">
        <v>10</v>
      </c>
      <c r="I1056" s="24" t="s">
        <v>10</v>
      </c>
      <c r="J1056" s="33" t="s">
        <v>10</v>
      </c>
      <c r="K1056" s="33"/>
    </row>
    <row r="1057" spans="1:11" x14ac:dyDescent="0.2">
      <c r="A1057" s="35" t="s">
        <v>3788</v>
      </c>
      <c r="B1057" s="35">
        <v>63.8487397455173</v>
      </c>
      <c r="C1057" s="35">
        <v>2.6955949422401702</v>
      </c>
      <c r="D1057" s="35">
        <v>0.703428400348039</v>
      </c>
      <c r="E1057" s="35">
        <v>3.83208147539459</v>
      </c>
      <c r="F1057" s="35">
        <v>1.2706364149586699E-4</v>
      </c>
      <c r="G1057" s="35">
        <v>8.2974007291951399E-3</v>
      </c>
      <c r="H1057" s="24" t="s">
        <v>10</v>
      </c>
      <c r="I1057" s="24" t="s">
        <v>10</v>
      </c>
      <c r="J1057" s="33" t="s">
        <v>10</v>
      </c>
      <c r="K1057" s="33"/>
    </row>
    <row r="1058" spans="1:11" x14ac:dyDescent="0.2">
      <c r="A1058" s="35" t="s">
        <v>3789</v>
      </c>
      <c r="B1058" s="35">
        <v>50.002801770368102</v>
      </c>
      <c r="C1058" s="35">
        <v>3.1335797693299501</v>
      </c>
      <c r="D1058" s="35">
        <v>0.81838878222830203</v>
      </c>
      <c r="E1058" s="35">
        <v>3.8289622699835402</v>
      </c>
      <c r="F1058" s="35">
        <v>1.2868473164436299E-4</v>
      </c>
      <c r="G1058" s="35">
        <v>8.3714292356311601E-3</v>
      </c>
      <c r="H1058" s="24" t="s">
        <v>10</v>
      </c>
      <c r="I1058" s="24" t="s">
        <v>10</v>
      </c>
      <c r="J1058" s="33" t="s">
        <v>10</v>
      </c>
      <c r="K1058" s="33"/>
    </row>
    <row r="1059" spans="1:11" x14ac:dyDescent="0.2">
      <c r="A1059" s="35" t="s">
        <v>3790</v>
      </c>
      <c r="B1059" s="35">
        <v>105.75320251391599</v>
      </c>
      <c r="C1059" s="35">
        <v>2.8031333639745801</v>
      </c>
      <c r="D1059" s="35">
        <v>0.73225058818691702</v>
      </c>
      <c r="E1059" s="35">
        <v>3.82810667440399</v>
      </c>
      <c r="F1059" s="35">
        <v>1.2913279025502999E-4</v>
      </c>
      <c r="G1059" s="35">
        <v>8.3892283431499202E-3</v>
      </c>
      <c r="H1059" s="24" t="s">
        <v>10</v>
      </c>
      <c r="I1059" s="24" t="s">
        <v>10</v>
      </c>
      <c r="J1059" s="33" t="s">
        <v>10</v>
      </c>
      <c r="K1059" s="33"/>
    </row>
    <row r="1060" spans="1:11" x14ac:dyDescent="0.2">
      <c r="A1060" s="35" t="s">
        <v>3791</v>
      </c>
      <c r="B1060" s="35">
        <v>81.125717695616601</v>
      </c>
      <c r="C1060" s="35">
        <v>4.0599051826943802</v>
      </c>
      <c r="D1060" s="35">
        <v>1.0606953846600899</v>
      </c>
      <c r="E1060" s="35">
        <v>3.8275882420242899</v>
      </c>
      <c r="F1060" s="35">
        <v>1.29404998015903E-4</v>
      </c>
      <c r="G1060" s="35">
        <v>8.3948895298529697E-3</v>
      </c>
      <c r="H1060" s="24" t="s">
        <v>10</v>
      </c>
      <c r="I1060" s="24" t="s">
        <v>10</v>
      </c>
      <c r="J1060" s="33" t="s">
        <v>10</v>
      </c>
      <c r="K1060" s="33"/>
    </row>
    <row r="1061" spans="1:11" x14ac:dyDescent="0.2">
      <c r="A1061" s="35" t="s">
        <v>3792</v>
      </c>
      <c r="B1061" s="35">
        <v>49.157662410559702</v>
      </c>
      <c r="C1061" s="35">
        <v>2.50445882250547</v>
      </c>
      <c r="D1061" s="35">
        <v>0.65432793789175903</v>
      </c>
      <c r="E1061" s="35">
        <v>3.8275284875880802</v>
      </c>
      <c r="F1061" s="35">
        <v>1.29436407372982E-4</v>
      </c>
      <c r="G1061" s="35">
        <v>8.3948895298529697E-3</v>
      </c>
      <c r="H1061" s="24" t="s">
        <v>10</v>
      </c>
      <c r="I1061" s="24" t="s">
        <v>10</v>
      </c>
      <c r="J1061" s="33" t="s">
        <v>10</v>
      </c>
      <c r="K1061" s="33"/>
    </row>
    <row r="1062" spans="1:11" x14ac:dyDescent="0.2">
      <c r="A1062" s="35" t="s">
        <v>3793</v>
      </c>
      <c r="B1062" s="35">
        <v>2316.5882774844199</v>
      </c>
      <c r="C1062" s="35">
        <v>3.2535486520054699</v>
      </c>
      <c r="D1062" s="35">
        <v>0.85091173479043902</v>
      </c>
      <c r="E1062" s="35">
        <v>3.8236029883954399</v>
      </c>
      <c r="F1062" s="35">
        <v>1.3151562066873E-4</v>
      </c>
      <c r="G1062" s="35">
        <v>8.5104580726786203E-3</v>
      </c>
      <c r="H1062" s="24" t="s">
        <v>10</v>
      </c>
      <c r="I1062" s="24" t="s">
        <v>10</v>
      </c>
      <c r="J1062" s="33" t="s">
        <v>10</v>
      </c>
      <c r="K1062" s="33"/>
    </row>
    <row r="1063" spans="1:11" x14ac:dyDescent="0.2">
      <c r="A1063" s="35" t="s">
        <v>3794</v>
      </c>
      <c r="B1063" s="35">
        <v>68.327527165122902</v>
      </c>
      <c r="C1063" s="35">
        <v>3.7519672488440801</v>
      </c>
      <c r="D1063" s="35">
        <v>0.98239929040579699</v>
      </c>
      <c r="E1063" s="35">
        <v>3.8191876617645701</v>
      </c>
      <c r="F1063" s="35">
        <v>1.3389187556219899E-4</v>
      </c>
      <c r="G1063" s="35">
        <v>8.62522824186167E-3</v>
      </c>
      <c r="H1063" s="24" t="s">
        <v>10</v>
      </c>
      <c r="I1063" s="24" t="s">
        <v>10</v>
      </c>
      <c r="J1063" s="33" t="s">
        <v>10</v>
      </c>
      <c r="K1063" s="33"/>
    </row>
    <row r="1064" spans="1:11" x14ac:dyDescent="0.2">
      <c r="A1064" s="35" t="s">
        <v>3795</v>
      </c>
      <c r="B1064" s="35">
        <v>23.750723829635799</v>
      </c>
      <c r="C1064" s="35">
        <v>8.1676026123857497</v>
      </c>
      <c r="D1064" s="35">
        <v>2.1388387451924999</v>
      </c>
      <c r="E1064" s="35">
        <v>3.8187089282650102</v>
      </c>
      <c r="F1064" s="35">
        <v>1.34151938869314E-4</v>
      </c>
      <c r="G1064" s="35">
        <v>8.6352810859717504E-3</v>
      </c>
      <c r="H1064" s="24" t="s">
        <v>10</v>
      </c>
      <c r="I1064" s="24" t="s">
        <v>10</v>
      </c>
      <c r="J1064" s="33" t="s">
        <v>10</v>
      </c>
      <c r="K1064" s="33"/>
    </row>
    <row r="1065" spans="1:11" x14ac:dyDescent="0.2">
      <c r="A1065" s="35" t="s">
        <v>3796</v>
      </c>
      <c r="B1065" s="35">
        <v>2391.9655479039202</v>
      </c>
      <c r="C1065" s="35">
        <v>2.0151999617760699</v>
      </c>
      <c r="D1065" s="35">
        <v>0.52803973515647895</v>
      </c>
      <c r="E1065" s="35">
        <v>3.81637938890885</v>
      </c>
      <c r="F1065" s="35">
        <v>1.3542422557995999E-4</v>
      </c>
      <c r="G1065" s="35">
        <v>8.69134056410816E-3</v>
      </c>
      <c r="H1065" s="24" t="s">
        <v>10</v>
      </c>
      <c r="I1065" s="24" t="s">
        <v>10</v>
      </c>
      <c r="J1065" s="33" t="s">
        <v>10</v>
      </c>
      <c r="K1065" s="33"/>
    </row>
    <row r="1066" spans="1:11" x14ac:dyDescent="0.2">
      <c r="A1066" s="35" t="s">
        <v>3797</v>
      </c>
      <c r="B1066" s="35">
        <v>50.232210477958098</v>
      </c>
      <c r="C1066" s="35">
        <v>2.45749822831085</v>
      </c>
      <c r="D1066" s="35">
        <v>0.64422085432256304</v>
      </c>
      <c r="E1066" s="35">
        <v>3.8146828247201898</v>
      </c>
      <c r="F1066" s="35">
        <v>1.3635795543157301E-4</v>
      </c>
      <c r="G1066" s="35">
        <v>8.7447303889951998E-3</v>
      </c>
      <c r="H1066" s="29" t="s">
        <v>10</v>
      </c>
      <c r="I1066" s="29" t="s">
        <v>10</v>
      </c>
      <c r="J1066" s="29" t="s">
        <v>10</v>
      </c>
      <c r="K1066" s="33"/>
    </row>
    <row r="1067" spans="1:11" x14ac:dyDescent="0.2">
      <c r="A1067" s="35" t="s">
        <v>3798</v>
      </c>
      <c r="B1067" s="35">
        <v>32.703036973207503</v>
      </c>
      <c r="C1067" s="35">
        <v>2.6720607652522301</v>
      </c>
      <c r="D1067" s="35">
        <v>0.70067344660016295</v>
      </c>
      <c r="E1067" s="35">
        <v>3.8135607653147399</v>
      </c>
      <c r="F1067" s="35">
        <v>1.3697882630941399E-4</v>
      </c>
      <c r="G1067" s="35">
        <v>8.7779916373251204E-3</v>
      </c>
      <c r="H1067" s="24" t="s">
        <v>10</v>
      </c>
      <c r="I1067" s="24" t="s">
        <v>10</v>
      </c>
      <c r="J1067" s="33" t="s">
        <v>10</v>
      </c>
      <c r="K1067" s="33"/>
    </row>
    <row r="1068" spans="1:11" x14ac:dyDescent="0.2">
      <c r="A1068" s="35" t="s">
        <v>3799</v>
      </c>
      <c r="B1068" s="35">
        <v>36.3929052847148</v>
      </c>
      <c r="C1068" s="35">
        <v>2.2695441937074898</v>
      </c>
      <c r="D1068" s="35">
        <v>0.59550269694438895</v>
      </c>
      <c r="E1068" s="35">
        <v>3.8111400760279501</v>
      </c>
      <c r="F1068" s="35">
        <v>1.3832735170326999E-4</v>
      </c>
      <c r="G1068" s="35">
        <v>8.8446076084225597E-3</v>
      </c>
      <c r="H1068" s="24" t="s">
        <v>10</v>
      </c>
      <c r="I1068" s="24" t="s">
        <v>10</v>
      </c>
      <c r="J1068" s="33" t="s">
        <v>10</v>
      </c>
      <c r="K1068" s="33"/>
    </row>
    <row r="1069" spans="1:11" x14ac:dyDescent="0.2">
      <c r="A1069" s="35" t="s">
        <v>3800</v>
      </c>
      <c r="B1069" s="35">
        <v>34.543029925420903</v>
      </c>
      <c r="C1069" s="35">
        <v>3.6796266781886202</v>
      </c>
      <c r="D1069" s="35">
        <v>0.96593568092234505</v>
      </c>
      <c r="E1069" s="35">
        <v>3.8093909883058101</v>
      </c>
      <c r="F1069" s="35">
        <v>1.3930951105325999E-4</v>
      </c>
      <c r="G1069" s="35">
        <v>8.8941613558769696E-3</v>
      </c>
      <c r="H1069" s="24" t="s">
        <v>10</v>
      </c>
      <c r="I1069" s="24" t="s">
        <v>10</v>
      </c>
      <c r="J1069" s="33" t="s">
        <v>10</v>
      </c>
      <c r="K1069" s="33"/>
    </row>
    <row r="1070" spans="1:11" x14ac:dyDescent="0.2">
      <c r="A1070" s="35" t="s">
        <v>3801</v>
      </c>
      <c r="B1070" s="35">
        <v>72.102597665158896</v>
      </c>
      <c r="C1070" s="35">
        <v>3.6453599891774902</v>
      </c>
      <c r="D1070" s="35">
        <v>0.95706441345305004</v>
      </c>
      <c r="E1070" s="35">
        <v>3.8088972256581699</v>
      </c>
      <c r="F1070" s="35">
        <v>1.3958795856699999E-4</v>
      </c>
      <c r="G1070" s="35">
        <v>8.9053176746707596E-3</v>
      </c>
      <c r="H1070" s="24" t="s">
        <v>10</v>
      </c>
      <c r="I1070" s="24" t="s">
        <v>10</v>
      </c>
      <c r="J1070" s="33" t="s">
        <v>10</v>
      </c>
      <c r="K1070" s="33"/>
    </row>
    <row r="1071" spans="1:11" x14ac:dyDescent="0.2">
      <c r="A1071" s="35" t="s">
        <v>3802</v>
      </c>
      <c r="B1071" s="35">
        <v>94.048469832419201</v>
      </c>
      <c r="C1071" s="35">
        <v>4.2675199979705303</v>
      </c>
      <c r="D1071" s="35">
        <v>1.1205613901279601</v>
      </c>
      <c r="E1071" s="35">
        <v>3.8083767971723699</v>
      </c>
      <c r="F1071" s="35">
        <v>1.39882011154328E-4</v>
      </c>
      <c r="G1071" s="35">
        <v>8.9174522493194498E-3</v>
      </c>
      <c r="H1071" s="24" t="s">
        <v>10</v>
      </c>
      <c r="I1071" s="24" t="s">
        <v>10</v>
      </c>
      <c r="J1071" s="33" t="s">
        <v>10</v>
      </c>
      <c r="K1071" s="33"/>
    </row>
    <row r="1072" spans="1:11" x14ac:dyDescent="0.2">
      <c r="A1072" s="35" t="s">
        <v>3803</v>
      </c>
      <c r="B1072" s="35">
        <v>73.656107888300696</v>
      </c>
      <c r="C1072" s="35">
        <v>4.6453380835372897</v>
      </c>
      <c r="D1072" s="35">
        <v>1.2218063280933</v>
      </c>
      <c r="E1072" s="35">
        <v>3.8020249009403999</v>
      </c>
      <c r="F1072" s="35">
        <v>1.4351829858115899E-4</v>
      </c>
      <c r="G1072" s="35">
        <v>9.1221760306904008E-3</v>
      </c>
      <c r="H1072" s="24" t="s">
        <v>10</v>
      </c>
      <c r="I1072" s="24" t="s">
        <v>10</v>
      </c>
      <c r="J1072" s="33" t="s">
        <v>10</v>
      </c>
      <c r="K1072" s="33"/>
    </row>
    <row r="1073" spans="1:11" x14ac:dyDescent="0.2">
      <c r="A1073" s="35" t="s">
        <v>3804</v>
      </c>
      <c r="B1073" s="35">
        <v>24.305775404596101</v>
      </c>
      <c r="C1073" s="35">
        <v>2.5933541543473102</v>
      </c>
      <c r="D1073" s="35">
        <v>0.68217625490186495</v>
      </c>
      <c r="E1073" s="35">
        <v>3.8015895975745702</v>
      </c>
      <c r="F1073" s="35">
        <v>1.4377072960362601E-4</v>
      </c>
      <c r="G1073" s="35">
        <v>9.1289259144954702E-3</v>
      </c>
      <c r="H1073" s="24" t="s">
        <v>10</v>
      </c>
      <c r="I1073" s="24" t="s">
        <v>10</v>
      </c>
      <c r="J1073" s="33" t="s">
        <v>10</v>
      </c>
      <c r="K1073" s="33"/>
    </row>
    <row r="1074" spans="1:11" x14ac:dyDescent="0.2">
      <c r="A1074" s="35" t="s">
        <v>3805</v>
      </c>
      <c r="B1074" s="35">
        <v>776.09138802756399</v>
      </c>
      <c r="C1074" s="35">
        <v>2.3852780126539099</v>
      </c>
      <c r="D1074" s="35">
        <v>0.62763319241736504</v>
      </c>
      <c r="E1074" s="35">
        <v>3.8004331852923001</v>
      </c>
      <c r="F1074" s="35">
        <v>1.44443361693225E-4</v>
      </c>
      <c r="G1074" s="35">
        <v>9.1538715217408997E-3</v>
      </c>
      <c r="H1074" s="24" t="s">
        <v>10</v>
      </c>
      <c r="I1074" s="24" t="s">
        <v>10</v>
      </c>
      <c r="J1074" s="33" t="s">
        <v>10</v>
      </c>
      <c r="K1074" s="33"/>
    </row>
    <row r="1075" spans="1:11" x14ac:dyDescent="0.2">
      <c r="A1075" s="35" t="s">
        <v>3806</v>
      </c>
      <c r="B1075" s="35">
        <v>55.341251762412298</v>
      </c>
      <c r="C1075" s="35">
        <v>2.94491913737015</v>
      </c>
      <c r="D1075" s="35">
        <v>0.77500134299902201</v>
      </c>
      <c r="E1075" s="35">
        <v>3.7998890762875202</v>
      </c>
      <c r="F1075" s="35">
        <v>1.4476086917584899E-4</v>
      </c>
      <c r="G1075" s="35">
        <v>9.1644500426435495E-3</v>
      </c>
      <c r="H1075" s="24" t="s">
        <v>10</v>
      </c>
      <c r="I1075" s="24" t="s">
        <v>10</v>
      </c>
      <c r="J1075" s="33" t="s">
        <v>10</v>
      </c>
      <c r="K1075" s="33"/>
    </row>
    <row r="1076" spans="1:11" x14ac:dyDescent="0.2">
      <c r="A1076" s="35" t="s">
        <v>3807</v>
      </c>
      <c r="B1076" s="35">
        <v>467.93455941224198</v>
      </c>
      <c r="C1076" s="35">
        <v>2.0679913441618201</v>
      </c>
      <c r="D1076" s="35">
        <v>0.54459332780403402</v>
      </c>
      <c r="E1076" s="35">
        <v>3.7973130381537898</v>
      </c>
      <c r="F1076" s="35">
        <v>1.46273023373574E-4</v>
      </c>
      <c r="G1076" s="35">
        <v>9.2289572300604007E-3</v>
      </c>
      <c r="H1076" s="24" t="s">
        <v>10</v>
      </c>
      <c r="I1076" s="24" t="s">
        <v>3984</v>
      </c>
      <c r="J1076" s="33" t="s">
        <v>10</v>
      </c>
      <c r="K1076" s="33"/>
    </row>
    <row r="1077" spans="1:11" x14ac:dyDescent="0.2">
      <c r="A1077" s="35" t="s">
        <v>3808</v>
      </c>
      <c r="B1077" s="35">
        <v>18.837060716795701</v>
      </c>
      <c r="C1077" s="35">
        <v>2.3503242074016599</v>
      </c>
      <c r="D1077" s="35">
        <v>0.61899250439351705</v>
      </c>
      <c r="E1077" s="35">
        <v>3.7970156192836</v>
      </c>
      <c r="F1077" s="35">
        <v>1.46448565138031E-4</v>
      </c>
      <c r="G1077" s="35">
        <v>9.2332487055564096E-3</v>
      </c>
      <c r="H1077" s="24" t="s">
        <v>10</v>
      </c>
      <c r="I1077" s="29" t="s">
        <v>10</v>
      </c>
      <c r="J1077" s="33" t="s">
        <v>10</v>
      </c>
      <c r="K1077" s="33"/>
    </row>
    <row r="1078" spans="1:11" x14ac:dyDescent="0.2">
      <c r="A1078" s="35" t="s">
        <v>3809</v>
      </c>
      <c r="B1078" s="35">
        <v>48.725927261364802</v>
      </c>
      <c r="C1078" s="35">
        <v>2.1248344163841599</v>
      </c>
      <c r="D1078" s="35">
        <v>0.55999585996957202</v>
      </c>
      <c r="E1078" s="35">
        <v>3.7943752235947099</v>
      </c>
      <c r="F1078" s="35">
        <v>1.4801569329178199E-4</v>
      </c>
      <c r="G1078" s="35">
        <v>9.3063607546595203E-3</v>
      </c>
      <c r="H1078" s="24" t="s">
        <v>10</v>
      </c>
      <c r="I1078" s="24" t="s">
        <v>3049</v>
      </c>
      <c r="J1078" s="33" t="s">
        <v>10</v>
      </c>
      <c r="K1078" s="33"/>
    </row>
    <row r="1079" spans="1:11" x14ac:dyDescent="0.2">
      <c r="A1079" s="35" t="s">
        <v>3810</v>
      </c>
      <c r="B1079" s="35">
        <v>109.80424374924699</v>
      </c>
      <c r="C1079" s="35">
        <v>3.5814873930317401</v>
      </c>
      <c r="D1079" s="35">
        <v>0.94394985975573198</v>
      </c>
      <c r="E1079" s="35">
        <v>3.7941500345776098</v>
      </c>
      <c r="F1079" s="35">
        <v>1.4815007571379799E-4</v>
      </c>
      <c r="G1079" s="35">
        <v>9.3063607546595203E-3</v>
      </c>
      <c r="H1079" s="24" t="s">
        <v>10</v>
      </c>
      <c r="I1079" s="24" t="s">
        <v>10</v>
      </c>
      <c r="J1079" s="33" t="s">
        <v>10</v>
      </c>
      <c r="K1079" s="33"/>
    </row>
    <row r="1080" spans="1:11" x14ac:dyDescent="0.2">
      <c r="A1080" s="35" t="s">
        <v>3811</v>
      </c>
      <c r="B1080" s="35">
        <v>751.92605251975897</v>
      </c>
      <c r="C1080" s="35">
        <v>2.6944605849322198</v>
      </c>
      <c r="D1080" s="35">
        <v>0.71034539893835902</v>
      </c>
      <c r="E1080" s="35">
        <v>3.7931696171456899</v>
      </c>
      <c r="F1080" s="35">
        <v>1.48736483516983E-4</v>
      </c>
      <c r="G1080" s="35">
        <v>9.3295475354907495E-3</v>
      </c>
      <c r="H1080" s="24" t="s">
        <v>10</v>
      </c>
      <c r="I1080" s="24" t="s">
        <v>10</v>
      </c>
      <c r="J1080" s="33" t="s">
        <v>10</v>
      </c>
      <c r="K1080" s="33"/>
    </row>
    <row r="1081" spans="1:11" x14ac:dyDescent="0.2">
      <c r="A1081" s="35" t="s">
        <v>3812</v>
      </c>
      <c r="B1081" s="35">
        <v>3375.36299577714</v>
      </c>
      <c r="C1081" s="35">
        <v>2.1430607388498402</v>
      </c>
      <c r="D1081" s="35">
        <v>0.56542225823731196</v>
      </c>
      <c r="E1081" s="35">
        <v>3.7901952171652602</v>
      </c>
      <c r="F1081" s="35">
        <v>1.5052893354105401E-4</v>
      </c>
      <c r="G1081" s="35">
        <v>9.4268414973869598E-3</v>
      </c>
      <c r="H1081" s="29" t="s">
        <v>10</v>
      </c>
      <c r="I1081" s="24" t="s">
        <v>3957</v>
      </c>
      <c r="J1081" s="33" t="s">
        <v>4065</v>
      </c>
      <c r="K1081" s="33"/>
    </row>
    <row r="1082" spans="1:11" x14ac:dyDescent="0.2">
      <c r="A1082" s="35" t="s">
        <v>3813</v>
      </c>
      <c r="B1082" s="35">
        <v>370.32986270773603</v>
      </c>
      <c r="C1082" s="35">
        <v>2.1806873628842198</v>
      </c>
      <c r="D1082" s="35">
        <v>0.57538795968894796</v>
      </c>
      <c r="E1082" s="35">
        <v>3.7899426398548299</v>
      </c>
      <c r="F1082" s="35">
        <v>1.5068207623121101E-4</v>
      </c>
      <c r="G1082" s="35">
        <v>9.4268414973869598E-3</v>
      </c>
      <c r="H1082" s="29" t="s">
        <v>10</v>
      </c>
      <c r="I1082" s="24" t="s">
        <v>3999</v>
      </c>
      <c r="J1082" s="30" t="s">
        <v>10</v>
      </c>
      <c r="K1082" s="33"/>
    </row>
    <row r="1083" spans="1:11" x14ac:dyDescent="0.2">
      <c r="A1083" s="35" t="s">
        <v>3814</v>
      </c>
      <c r="B1083" s="35">
        <v>146.51075017575201</v>
      </c>
      <c r="C1083" s="35">
        <v>3.15110179433441</v>
      </c>
      <c r="D1083" s="35">
        <v>0.83145399911545304</v>
      </c>
      <c r="E1083" s="35">
        <v>3.7898690699506301</v>
      </c>
      <c r="F1083" s="35">
        <v>1.50726710716217E-4</v>
      </c>
      <c r="G1083" s="35">
        <v>9.4268414973869598E-3</v>
      </c>
      <c r="H1083" s="24" t="s">
        <v>10</v>
      </c>
      <c r="I1083" s="24" t="s">
        <v>10</v>
      </c>
      <c r="J1083" s="33" t="s">
        <v>10</v>
      </c>
      <c r="K1083" s="33"/>
    </row>
    <row r="1084" spans="1:11" x14ac:dyDescent="0.2">
      <c r="A1084" s="35" t="s">
        <v>3815</v>
      </c>
      <c r="B1084" s="35">
        <v>451.591856853411</v>
      </c>
      <c r="C1084" s="35">
        <v>2.3458651204267098</v>
      </c>
      <c r="D1084" s="35">
        <v>0.61943595759810099</v>
      </c>
      <c r="E1084" s="35">
        <v>3.7870987172313</v>
      </c>
      <c r="F1084" s="35">
        <v>1.52416557286328E-4</v>
      </c>
      <c r="G1084" s="35">
        <v>9.5048381922543702E-3</v>
      </c>
      <c r="H1084" s="24" t="s">
        <v>328</v>
      </c>
      <c r="I1084" s="24" t="s">
        <v>3893</v>
      </c>
      <c r="J1084" s="33" t="s">
        <v>4031</v>
      </c>
      <c r="K1084" s="33"/>
    </row>
    <row r="1085" spans="1:11" x14ac:dyDescent="0.2">
      <c r="A1085" s="35" t="s">
        <v>3816</v>
      </c>
      <c r="B1085" s="35">
        <v>730.673097995734</v>
      </c>
      <c r="C1085" s="35">
        <v>2.0587818775981601</v>
      </c>
      <c r="D1085" s="35">
        <v>0.54437268866433097</v>
      </c>
      <c r="E1085" s="35">
        <v>3.78193454680757</v>
      </c>
      <c r="F1085" s="35">
        <v>1.5561428393780601E-4</v>
      </c>
      <c r="G1085" s="35">
        <v>9.6901770674571001E-3</v>
      </c>
      <c r="H1085" s="24" t="s">
        <v>3862</v>
      </c>
      <c r="I1085" s="24" t="s">
        <v>3994</v>
      </c>
      <c r="J1085" s="33" t="s">
        <v>4090</v>
      </c>
      <c r="K1085" s="33"/>
    </row>
    <row r="1086" spans="1:11" x14ac:dyDescent="0.2">
      <c r="A1086" s="35" t="s">
        <v>3817</v>
      </c>
      <c r="B1086" s="35">
        <v>116.407207413465</v>
      </c>
      <c r="C1086" s="35">
        <v>2.1223580467751701</v>
      </c>
      <c r="D1086" s="35">
        <v>0.56189971875452105</v>
      </c>
      <c r="E1086" s="35">
        <v>3.7771117798020701</v>
      </c>
      <c r="F1086" s="35">
        <v>1.5865753679102001E-4</v>
      </c>
      <c r="G1086" s="35">
        <v>9.8511072608689007E-3</v>
      </c>
      <c r="H1086" s="24" t="s">
        <v>10</v>
      </c>
      <c r="I1086" s="24" t="s">
        <v>10</v>
      </c>
      <c r="J1086" s="33" t="s">
        <v>10</v>
      </c>
      <c r="K1086" s="33"/>
    </row>
    <row r="1087" spans="1:11" x14ac:dyDescent="0.2">
      <c r="H1087" s="24"/>
      <c r="I1087" s="24"/>
      <c r="J1087" s="33"/>
      <c r="K1087" s="33"/>
    </row>
    <row r="1088" spans="1:11" x14ac:dyDescent="0.2">
      <c r="J1088" s="33"/>
    </row>
    <row r="1089" spans="10:10" x14ac:dyDescent="0.2">
      <c r="J1089" s="33"/>
    </row>
    <row r="1090" spans="10:10" x14ac:dyDescent="0.2">
      <c r="J1090" s="33"/>
    </row>
    <row r="1091" spans="10:10" x14ac:dyDescent="0.2">
      <c r="J1091" s="33"/>
    </row>
    <row r="1092" spans="10:10" x14ac:dyDescent="0.2">
      <c r="J1092" s="33"/>
    </row>
    <row r="1093" spans="10:10" x14ac:dyDescent="0.2">
      <c r="J1093" s="33"/>
    </row>
    <row r="1094" spans="10:10" x14ac:dyDescent="0.2">
      <c r="J1094" s="33"/>
    </row>
    <row r="1095" spans="10:10" x14ac:dyDescent="0.2">
      <c r="J1095" s="33"/>
    </row>
    <row r="1096" spans="10:10" x14ac:dyDescent="0.2">
      <c r="J1096" s="33"/>
    </row>
    <row r="1097" spans="10:10" x14ac:dyDescent="0.2">
      <c r="J1097" s="33"/>
    </row>
    <row r="1098" spans="10:10" x14ac:dyDescent="0.2">
      <c r="J1098" s="33"/>
    </row>
    <row r="1099" spans="10:10" x14ac:dyDescent="0.2">
      <c r="J1099" s="33"/>
    </row>
    <row r="1100" spans="10:10" x14ac:dyDescent="0.2">
      <c r="J1100" s="33"/>
    </row>
    <row r="1101" spans="10:10" x14ac:dyDescent="0.2">
      <c r="J1101" s="33"/>
    </row>
    <row r="1102" spans="10:10" x14ac:dyDescent="0.2">
      <c r="J1102" s="33"/>
    </row>
    <row r="1103" spans="10:10" x14ac:dyDescent="0.2">
      <c r="J1103" s="33"/>
    </row>
    <row r="1104" spans="10:10" x14ac:dyDescent="0.2">
      <c r="J1104" s="33"/>
    </row>
    <row r="1105" spans="10:10" x14ac:dyDescent="0.2">
      <c r="J1105" s="33"/>
    </row>
    <row r="1106" spans="10:10" x14ac:dyDescent="0.2">
      <c r="J1106" s="33"/>
    </row>
    <row r="1107" spans="10:10" x14ac:dyDescent="0.2">
      <c r="J1107" s="33"/>
    </row>
    <row r="1108" spans="10:10" x14ac:dyDescent="0.2">
      <c r="J1108" s="33"/>
    </row>
    <row r="1109" spans="10:10" x14ac:dyDescent="0.2">
      <c r="J1109" s="33"/>
    </row>
    <row r="1110" spans="10:10" x14ac:dyDescent="0.2">
      <c r="J1110" s="33"/>
    </row>
    <row r="1111" spans="10:10" x14ac:dyDescent="0.2">
      <c r="J1111" s="33"/>
    </row>
    <row r="1112" spans="10:10" x14ac:dyDescent="0.2">
      <c r="J1112" s="33"/>
    </row>
    <row r="1113" spans="10:10" x14ac:dyDescent="0.2">
      <c r="J1113" s="33"/>
    </row>
    <row r="1114" spans="10:10" x14ac:dyDescent="0.2">
      <c r="J1114" s="33"/>
    </row>
    <row r="1115" spans="10:10" x14ac:dyDescent="0.2">
      <c r="J1115" s="33"/>
    </row>
    <row r="1116" spans="10:10" x14ac:dyDescent="0.2">
      <c r="J1116" s="33"/>
    </row>
    <row r="1117" spans="10:10" x14ac:dyDescent="0.2">
      <c r="J1117" s="33"/>
    </row>
    <row r="1118" spans="10:10" x14ac:dyDescent="0.2">
      <c r="J1118" s="33"/>
    </row>
    <row r="1119" spans="10:10" x14ac:dyDescent="0.2">
      <c r="J1119" s="33"/>
    </row>
    <row r="1120" spans="10:10" x14ac:dyDescent="0.2">
      <c r="J1120" s="33"/>
    </row>
    <row r="1121" spans="10:10" x14ac:dyDescent="0.2">
      <c r="J1121" s="33"/>
    </row>
    <row r="1122" spans="10:10" x14ac:dyDescent="0.2">
      <c r="J1122" s="33"/>
    </row>
    <row r="1123" spans="10:10" x14ac:dyDescent="0.2">
      <c r="J1123" s="33"/>
    </row>
    <row r="1124" spans="10:10" x14ac:dyDescent="0.2">
      <c r="J1124" s="33"/>
    </row>
    <row r="1125" spans="10:10" x14ac:dyDescent="0.2">
      <c r="J1125" s="33"/>
    </row>
    <row r="1126" spans="10:10" x14ac:dyDescent="0.2">
      <c r="J1126" s="33"/>
    </row>
    <row r="1127" spans="10:10" x14ac:dyDescent="0.2">
      <c r="J1127" s="33"/>
    </row>
    <row r="1128" spans="10:10" x14ac:dyDescent="0.2">
      <c r="J1128" s="33"/>
    </row>
    <row r="1129" spans="10:10" x14ac:dyDescent="0.2">
      <c r="J1129" s="33"/>
    </row>
    <row r="1130" spans="10:10" x14ac:dyDescent="0.2">
      <c r="J1130" s="33"/>
    </row>
    <row r="1131" spans="10:10" x14ac:dyDescent="0.2">
      <c r="J1131" s="33"/>
    </row>
    <row r="1132" spans="10:10" x14ac:dyDescent="0.2">
      <c r="J1132" s="33"/>
    </row>
    <row r="1133" spans="10:10" x14ac:dyDescent="0.2">
      <c r="J1133" s="33"/>
    </row>
    <row r="1134" spans="10:10" x14ac:dyDescent="0.2">
      <c r="J1134" s="33"/>
    </row>
    <row r="1135" spans="10:10" x14ac:dyDescent="0.2">
      <c r="J1135" s="33"/>
    </row>
    <row r="1136" spans="10:10" x14ac:dyDescent="0.2">
      <c r="J1136" s="33"/>
    </row>
    <row r="1137" spans="10:10" x14ac:dyDescent="0.2">
      <c r="J1137" s="33"/>
    </row>
    <row r="1138" spans="10:10" x14ac:dyDescent="0.2">
      <c r="J1138" s="33"/>
    </row>
    <row r="1139" spans="10:10" x14ac:dyDescent="0.2">
      <c r="J1139" s="33"/>
    </row>
    <row r="1140" spans="10:10" x14ac:dyDescent="0.2">
      <c r="J1140" s="33"/>
    </row>
    <row r="1141" spans="10:10" x14ac:dyDescent="0.2">
      <c r="J1141" s="33"/>
    </row>
    <row r="1142" spans="10:10" x14ac:dyDescent="0.2">
      <c r="J1142" s="33"/>
    </row>
    <row r="1143" spans="10:10" x14ac:dyDescent="0.2">
      <c r="J1143" s="33"/>
    </row>
    <row r="1144" spans="10:10" x14ac:dyDescent="0.2">
      <c r="J1144" s="33"/>
    </row>
    <row r="1145" spans="10:10" x14ac:dyDescent="0.2">
      <c r="J1145" s="33"/>
    </row>
    <row r="1146" spans="10:10" x14ac:dyDescent="0.2">
      <c r="J1146" s="33"/>
    </row>
    <row r="1147" spans="10:10" x14ac:dyDescent="0.2">
      <c r="J1147" s="33"/>
    </row>
    <row r="1148" spans="10:10" x14ac:dyDescent="0.2">
      <c r="J1148" s="33"/>
    </row>
    <row r="1149" spans="10:10" x14ac:dyDescent="0.2">
      <c r="J1149" s="33"/>
    </row>
    <row r="1150" spans="10:10" x14ac:dyDescent="0.2">
      <c r="J1150" s="33"/>
    </row>
    <row r="1151" spans="10:10" x14ac:dyDescent="0.2">
      <c r="J1151" s="33"/>
    </row>
    <row r="1152" spans="10:10" x14ac:dyDescent="0.2">
      <c r="J1152" s="33"/>
    </row>
    <row r="1153" spans="10:10" x14ac:dyDescent="0.2">
      <c r="J1153" s="33"/>
    </row>
    <row r="1154" spans="10:10" x14ac:dyDescent="0.2">
      <c r="J1154" s="33"/>
    </row>
    <row r="1155" spans="10:10" x14ac:dyDescent="0.2">
      <c r="J1155" s="33"/>
    </row>
    <row r="1156" spans="10:10" x14ac:dyDescent="0.2">
      <c r="J1156" s="33"/>
    </row>
    <row r="1157" spans="10:10" x14ac:dyDescent="0.2">
      <c r="J1157" s="33"/>
    </row>
    <row r="1158" spans="10:10" x14ac:dyDescent="0.2">
      <c r="J1158" s="33"/>
    </row>
    <row r="1159" spans="10:10" x14ac:dyDescent="0.2">
      <c r="J1159" s="33"/>
    </row>
    <row r="1160" spans="10:10" x14ac:dyDescent="0.2">
      <c r="J1160" s="33"/>
    </row>
    <row r="1161" spans="10:10" x14ac:dyDescent="0.2">
      <c r="J1161" s="33"/>
    </row>
    <row r="1162" spans="10:10" x14ac:dyDescent="0.2">
      <c r="J1162" s="33"/>
    </row>
    <row r="1163" spans="10:10" x14ac:dyDescent="0.2">
      <c r="J1163" s="33"/>
    </row>
    <row r="1164" spans="10:10" x14ac:dyDescent="0.2">
      <c r="J1164" s="33"/>
    </row>
    <row r="1165" spans="10:10" x14ac:dyDescent="0.2">
      <c r="J1165" s="33"/>
    </row>
    <row r="1166" spans="10:10" x14ac:dyDescent="0.2">
      <c r="J1166" s="33"/>
    </row>
  </sheetData>
  <mergeCells count="1">
    <mergeCell ref="A1:G1"/>
  </mergeCells>
  <phoneticPr fontId="1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00"/>
  <sheetViews>
    <sheetView workbookViewId="0">
      <selection sqref="A1:G1"/>
    </sheetView>
  </sheetViews>
  <sheetFormatPr baseColWidth="10" defaultColWidth="11.28515625" defaultRowHeight="15" customHeight="1" x14ac:dyDescent="0.2"/>
  <cols>
    <col min="1" max="1" width="26.7109375" customWidth="1"/>
    <col min="2" max="6" width="10.7109375" customWidth="1"/>
    <col min="7" max="7" width="14.28515625" customWidth="1"/>
    <col min="8" max="8" width="10.7109375" customWidth="1"/>
    <col min="9" max="9" width="39" customWidth="1"/>
    <col min="10" max="26" width="10.5703125" customWidth="1"/>
  </cols>
  <sheetData>
    <row r="1" spans="1:10" ht="27.25" customHeight="1" x14ac:dyDescent="0.2">
      <c r="A1" s="57" t="s">
        <v>5250</v>
      </c>
      <c r="B1" s="58"/>
      <c r="C1" s="58"/>
      <c r="D1" s="58"/>
      <c r="E1" s="58"/>
      <c r="F1" s="58"/>
      <c r="G1" s="58"/>
      <c r="H1" s="23"/>
      <c r="I1" s="23"/>
    </row>
    <row r="2" spans="1:10" ht="15.75" customHeight="1" x14ac:dyDescent="0.2">
      <c r="A2" s="24" t="s">
        <v>0</v>
      </c>
      <c r="B2" s="24" t="s">
        <v>1</v>
      </c>
      <c r="C2" s="24" t="s">
        <v>2</v>
      </c>
      <c r="D2" s="24" t="s">
        <v>3</v>
      </c>
      <c r="E2" s="24" t="s">
        <v>4</v>
      </c>
      <c r="F2" s="24" t="s">
        <v>5</v>
      </c>
      <c r="G2" s="24" t="s">
        <v>6</v>
      </c>
      <c r="H2" s="24" t="s">
        <v>7</v>
      </c>
      <c r="I2" s="25" t="s">
        <v>8</v>
      </c>
      <c r="J2" s="27" t="s">
        <v>3155</v>
      </c>
    </row>
    <row r="3" spans="1:10" ht="15.75" customHeight="1" x14ac:dyDescent="0.2">
      <c r="A3" s="24" t="s">
        <v>1372</v>
      </c>
      <c r="B3" s="24">
        <v>191.88144785037301</v>
      </c>
      <c r="C3" s="24">
        <v>2.0380169196426898</v>
      </c>
      <c r="D3" s="24">
        <v>0.261072453814511</v>
      </c>
      <c r="E3" s="24">
        <v>7.8063269022271999</v>
      </c>
      <c r="F3" s="26">
        <v>5.8878741730136498E-15</v>
      </c>
      <c r="G3" s="26">
        <v>7.5931707584947794E-12</v>
      </c>
      <c r="H3" s="24" t="s">
        <v>1375</v>
      </c>
      <c r="I3" s="24" t="s">
        <v>1376</v>
      </c>
      <c r="J3" t="s">
        <v>4366</v>
      </c>
    </row>
    <row r="4" spans="1:10" ht="15.75" customHeight="1" x14ac:dyDescent="0.2">
      <c r="A4" s="24" t="s">
        <v>1377</v>
      </c>
      <c r="B4" s="24">
        <v>393.14489349809401</v>
      </c>
      <c r="C4" s="24">
        <v>2.06756846744877</v>
      </c>
      <c r="D4" s="24">
        <v>0.26686395203693303</v>
      </c>
      <c r="E4" s="24">
        <v>7.7476498855215103</v>
      </c>
      <c r="F4" s="26">
        <v>9.3608810403687607E-15</v>
      </c>
      <c r="G4" s="26">
        <v>1.14195158788953E-11</v>
      </c>
      <c r="H4" s="24" t="s">
        <v>10</v>
      </c>
      <c r="I4" s="24" t="s">
        <v>10</v>
      </c>
      <c r="J4" s="34" t="s">
        <v>10</v>
      </c>
    </row>
    <row r="5" spans="1:10" ht="15.75" customHeight="1" x14ac:dyDescent="0.2">
      <c r="A5" s="24" t="s">
        <v>1383</v>
      </c>
      <c r="B5" s="24">
        <v>63.214874306498501</v>
      </c>
      <c r="C5" s="24">
        <v>2.13642572703331</v>
      </c>
      <c r="D5" s="24">
        <v>0.43431037974238601</v>
      </c>
      <c r="E5" s="24">
        <v>4.9191219613506503</v>
      </c>
      <c r="F5" s="26">
        <v>8.6933292516602903E-7</v>
      </c>
      <c r="G5" s="24">
        <v>1.56330996984936E-4</v>
      </c>
      <c r="H5" s="24" t="s">
        <v>10</v>
      </c>
      <c r="I5" s="24" t="s">
        <v>10</v>
      </c>
      <c r="J5" s="34" t="s">
        <v>10</v>
      </c>
    </row>
    <row r="6" spans="1:10" ht="15.75" customHeight="1" x14ac:dyDescent="0.2">
      <c r="A6" s="24" t="s">
        <v>1385</v>
      </c>
      <c r="B6" s="24">
        <v>129.243292761199</v>
      </c>
      <c r="C6" s="24">
        <v>2.1505311601646899</v>
      </c>
      <c r="D6" s="24">
        <v>0.36447916792342</v>
      </c>
      <c r="E6" s="24">
        <v>5.9002855291212102</v>
      </c>
      <c r="F6" s="26">
        <v>3.6287303793726201E-9</v>
      </c>
      <c r="G6" s="26">
        <v>1.4624107422655501E-6</v>
      </c>
      <c r="H6" s="24" t="s">
        <v>10</v>
      </c>
      <c r="I6" s="24" t="s">
        <v>10</v>
      </c>
      <c r="J6" s="34" t="s">
        <v>10</v>
      </c>
    </row>
    <row r="7" spans="1:10" ht="15.75" customHeight="1" x14ac:dyDescent="0.2">
      <c r="A7" s="24" t="s">
        <v>1387</v>
      </c>
      <c r="B7" s="24">
        <v>47.454230693167801</v>
      </c>
      <c r="C7" s="24">
        <v>2.1693068145827001</v>
      </c>
      <c r="D7" s="24">
        <v>0.46887589525819401</v>
      </c>
      <c r="E7" s="24">
        <v>4.6266119383000897</v>
      </c>
      <c r="F7" s="26">
        <v>3.7169601482331098E-6</v>
      </c>
      <c r="G7" s="24">
        <v>5.2265554582803101E-4</v>
      </c>
      <c r="H7" s="24" t="s">
        <v>4322</v>
      </c>
      <c r="I7" s="24" t="s">
        <v>1389</v>
      </c>
      <c r="J7" s="34" t="s">
        <v>10</v>
      </c>
    </row>
    <row r="8" spans="1:10" ht="15.75" customHeight="1" x14ac:dyDescent="0.2">
      <c r="A8" s="24" t="s">
        <v>1390</v>
      </c>
      <c r="B8" s="24">
        <v>85.674101007237795</v>
      </c>
      <c r="C8" s="24">
        <v>2.1830754932572698</v>
      </c>
      <c r="D8" s="24">
        <v>0.34783647687029201</v>
      </c>
      <c r="E8" s="24">
        <v>6.2761545680884296</v>
      </c>
      <c r="F8" s="26">
        <v>3.4704918395134999E-10</v>
      </c>
      <c r="G8" s="26">
        <v>1.93392086617433E-7</v>
      </c>
      <c r="H8" s="24" t="s">
        <v>10</v>
      </c>
      <c r="I8" s="24" t="s">
        <v>4400</v>
      </c>
      <c r="J8" s="34" t="s">
        <v>10</v>
      </c>
    </row>
    <row r="9" spans="1:10" ht="15.75" customHeight="1" x14ac:dyDescent="0.2">
      <c r="A9" s="24" t="s">
        <v>1392</v>
      </c>
      <c r="B9" s="24">
        <v>107.374496510716</v>
      </c>
      <c r="C9" s="24">
        <v>2.2055866407535198</v>
      </c>
      <c r="D9" s="24">
        <v>0.39640297835919702</v>
      </c>
      <c r="E9" s="24">
        <v>5.5640011835505003</v>
      </c>
      <c r="F9" s="26">
        <v>2.6365815554567201E-8</v>
      </c>
      <c r="G9" s="26">
        <v>7.7190067921804894E-6</v>
      </c>
      <c r="H9" s="24" t="s">
        <v>10</v>
      </c>
      <c r="I9" s="24" t="s">
        <v>10</v>
      </c>
      <c r="J9" s="34" t="s">
        <v>10</v>
      </c>
    </row>
    <row r="10" spans="1:10" ht="15.75" customHeight="1" x14ac:dyDescent="0.2">
      <c r="A10" s="24" t="s">
        <v>1394</v>
      </c>
      <c r="B10" s="24">
        <v>84.799043275345298</v>
      </c>
      <c r="C10" s="24">
        <v>2.21070025930362</v>
      </c>
      <c r="D10" s="24">
        <v>0.365916728962694</v>
      </c>
      <c r="E10" s="24">
        <v>6.0415391927298598</v>
      </c>
      <c r="F10" s="26">
        <v>1.5265091573756801E-9</v>
      </c>
      <c r="G10" s="26">
        <v>6.8219845382639595E-7</v>
      </c>
      <c r="H10" s="24" t="s">
        <v>10</v>
      </c>
      <c r="I10" s="24" t="s">
        <v>1396</v>
      </c>
      <c r="J10" s="34" t="s">
        <v>10</v>
      </c>
    </row>
    <row r="11" spans="1:10" ht="15.75" customHeight="1" x14ac:dyDescent="0.2">
      <c r="A11" s="24" t="s">
        <v>1397</v>
      </c>
      <c r="B11" s="24">
        <v>46.605366124315701</v>
      </c>
      <c r="C11" s="24">
        <v>2.2117489516429201</v>
      </c>
      <c r="D11" s="24">
        <v>0.485242049507632</v>
      </c>
      <c r="E11" s="24">
        <v>4.5580323343518003</v>
      </c>
      <c r="F11" s="26">
        <v>1.5265091573756801E-9</v>
      </c>
      <c r="G11" s="24">
        <v>6.7555160381871403E-4</v>
      </c>
      <c r="H11" s="24" t="s">
        <v>10</v>
      </c>
      <c r="I11" s="24" t="s">
        <v>10</v>
      </c>
      <c r="J11" s="34" t="s">
        <v>10</v>
      </c>
    </row>
    <row r="12" spans="1:10" ht="15.75" customHeight="1" x14ac:dyDescent="0.2">
      <c r="A12" s="24" t="s">
        <v>1399</v>
      </c>
      <c r="B12" s="24">
        <v>69.004338931698101</v>
      </c>
      <c r="C12" s="24">
        <v>2.2519867167516101</v>
      </c>
      <c r="D12" s="24">
        <v>0.37612261142706399</v>
      </c>
      <c r="E12" s="24">
        <v>5.9873739263035697</v>
      </c>
      <c r="F12" s="26">
        <v>1.5265091573756801E-9</v>
      </c>
      <c r="G12" s="26">
        <v>9.2555209356207999E-7</v>
      </c>
      <c r="H12" s="24" t="s">
        <v>1375</v>
      </c>
      <c r="I12" s="24" t="s">
        <v>1401</v>
      </c>
      <c r="J12" s="34" t="s">
        <v>10</v>
      </c>
    </row>
    <row r="13" spans="1:10" ht="15.75" customHeight="1" x14ac:dyDescent="0.2">
      <c r="A13" s="24" t="s">
        <v>1402</v>
      </c>
      <c r="B13" s="24">
        <v>130.16527229172701</v>
      </c>
      <c r="C13" s="24">
        <v>2.3524332785507398</v>
      </c>
      <c r="D13" s="24">
        <v>0.32165523243464</v>
      </c>
      <c r="E13" s="24">
        <v>7.3135240510311101</v>
      </c>
      <c r="F13" s="26">
        <v>1.5265091573756801E-9</v>
      </c>
      <c r="G13" s="26">
        <v>2.86483111840646E-10</v>
      </c>
      <c r="H13" s="24" t="s">
        <v>10</v>
      </c>
      <c r="I13" s="24" t="s">
        <v>10</v>
      </c>
      <c r="J13" s="34" t="s">
        <v>10</v>
      </c>
    </row>
    <row r="14" spans="1:10" ht="15.75" customHeight="1" x14ac:dyDescent="0.2">
      <c r="A14" s="24" t="s">
        <v>1406</v>
      </c>
      <c r="B14" s="24">
        <v>2673.5407526761901</v>
      </c>
      <c r="C14" s="24">
        <v>2.3802048823295601</v>
      </c>
      <c r="D14" s="24">
        <v>0.173772218869193</v>
      </c>
      <c r="E14" s="24">
        <v>13.697269320829999</v>
      </c>
      <c r="F14" s="26">
        <v>1.5265091573756801E-9</v>
      </c>
      <c r="G14" s="26">
        <v>1.1895257003278199E-38</v>
      </c>
      <c r="H14" s="24" t="s">
        <v>10</v>
      </c>
      <c r="I14" s="24" t="s">
        <v>10</v>
      </c>
      <c r="J14" s="34" t="s">
        <v>10</v>
      </c>
    </row>
    <row r="15" spans="1:10" ht="15.75" customHeight="1" x14ac:dyDescent="0.2">
      <c r="A15" s="24" t="s">
        <v>1408</v>
      </c>
      <c r="B15" s="24">
        <v>259.01634802557498</v>
      </c>
      <c r="C15" s="24">
        <v>2.43337490123873</v>
      </c>
      <c r="D15" s="24">
        <v>0.27046936914886099</v>
      </c>
      <c r="E15" s="24">
        <v>8.9968594554581394</v>
      </c>
      <c r="F15" s="26">
        <v>1.5265091573756801E-9</v>
      </c>
      <c r="G15" s="26">
        <v>6.1669515962512297E-16</v>
      </c>
      <c r="H15" s="24" t="s">
        <v>10</v>
      </c>
      <c r="I15" s="24" t="s">
        <v>10</v>
      </c>
      <c r="J15" s="34" t="s">
        <v>10</v>
      </c>
    </row>
    <row r="16" spans="1:10" ht="15.75" customHeight="1" x14ac:dyDescent="0.2">
      <c r="A16" s="24" t="s">
        <v>1410</v>
      </c>
      <c r="B16" s="24">
        <v>43.330649687450197</v>
      </c>
      <c r="C16" s="24">
        <v>2.4943553923040098</v>
      </c>
      <c r="D16" s="24">
        <v>0.45931736630627601</v>
      </c>
      <c r="E16" s="24">
        <v>5.430570614743</v>
      </c>
      <c r="F16" s="26">
        <v>1.5265091573756801E-9</v>
      </c>
      <c r="G16" s="26">
        <v>1.4656256791313401E-5</v>
      </c>
      <c r="H16" s="24" t="s">
        <v>10</v>
      </c>
      <c r="I16" s="24" t="s">
        <v>4410</v>
      </c>
      <c r="J16" s="34" t="s">
        <v>10</v>
      </c>
    </row>
    <row r="17" spans="1:10" ht="15.75" customHeight="1" x14ac:dyDescent="0.2">
      <c r="A17" s="24" t="s">
        <v>1412</v>
      </c>
      <c r="B17" s="24">
        <v>40.107479153628397</v>
      </c>
      <c r="C17" s="24">
        <v>2.5672285941821298</v>
      </c>
      <c r="D17" s="24">
        <v>0.55762721495827305</v>
      </c>
      <c r="E17" s="24">
        <v>4.6038437962075403</v>
      </c>
      <c r="F17" s="26">
        <v>1.5265091573756801E-9</v>
      </c>
      <c r="G17" s="24">
        <v>5.6730862807203599E-4</v>
      </c>
      <c r="H17" s="24" t="s">
        <v>1375</v>
      </c>
      <c r="I17" s="24" t="s">
        <v>1414</v>
      </c>
      <c r="J17" s="34" t="s">
        <v>10</v>
      </c>
    </row>
    <row r="18" spans="1:10" ht="15.75" customHeight="1" x14ac:dyDescent="0.2">
      <c r="A18" s="24" t="s">
        <v>1415</v>
      </c>
      <c r="B18" s="24">
        <v>150.70801625941499</v>
      </c>
      <c r="C18" s="24">
        <v>2.5735468589889199</v>
      </c>
      <c r="D18" s="24">
        <v>0.40353854999577998</v>
      </c>
      <c r="E18" s="24">
        <v>6.3774498347576296</v>
      </c>
      <c r="F18" s="26">
        <v>1.5265091573756801E-9</v>
      </c>
      <c r="G18" s="26">
        <v>1.04197608185534E-7</v>
      </c>
      <c r="H18" s="24" t="s">
        <v>10</v>
      </c>
      <c r="I18" s="24" t="s">
        <v>10</v>
      </c>
      <c r="J18" s="34" t="s">
        <v>10</v>
      </c>
    </row>
    <row r="19" spans="1:10" ht="15.75" customHeight="1" x14ac:dyDescent="0.2">
      <c r="A19" s="24" t="s">
        <v>1417</v>
      </c>
      <c r="B19" s="24">
        <v>44.178141954081802</v>
      </c>
      <c r="C19" s="24">
        <v>2.5750783859733399</v>
      </c>
      <c r="D19" s="24">
        <v>0.46111454690138298</v>
      </c>
      <c r="E19" s="24">
        <v>5.5844657325982601</v>
      </c>
      <c r="F19" s="26">
        <v>1.5265091573756801E-9</v>
      </c>
      <c r="G19" s="26">
        <v>7.0072870312366101E-6</v>
      </c>
      <c r="H19" s="24" t="s">
        <v>10</v>
      </c>
      <c r="I19" s="24" t="s">
        <v>10</v>
      </c>
      <c r="J19" s="34" t="s">
        <v>10</v>
      </c>
    </row>
    <row r="20" spans="1:10" ht="15.75" customHeight="1" x14ac:dyDescent="0.2">
      <c r="A20" s="24" t="s">
        <v>1419</v>
      </c>
      <c r="B20" s="24">
        <v>38.279898011304802</v>
      </c>
      <c r="C20" s="24">
        <v>2.6060449809428299</v>
      </c>
      <c r="D20" s="24">
        <v>0.51980562309742695</v>
      </c>
      <c r="E20" s="24">
        <v>5.0134990179865504</v>
      </c>
      <c r="F20" s="26">
        <v>1.5265091573756801E-9</v>
      </c>
      <c r="G20" s="24">
        <v>1.01794486667355E-4</v>
      </c>
      <c r="H20" s="24" t="s">
        <v>1421</v>
      </c>
      <c r="I20" s="24" t="s">
        <v>1422</v>
      </c>
      <c r="J20" s="34" t="s">
        <v>4370</v>
      </c>
    </row>
    <row r="21" spans="1:10" ht="15.75" customHeight="1" x14ac:dyDescent="0.2">
      <c r="A21" s="24" t="s">
        <v>1424</v>
      </c>
      <c r="B21" s="24">
        <v>41.892024880612098</v>
      </c>
      <c r="C21" s="24">
        <v>2.6081274395814198</v>
      </c>
      <c r="D21" s="24">
        <v>0.46648450444438999</v>
      </c>
      <c r="E21" s="24">
        <v>5.5910269574502802</v>
      </c>
      <c r="F21" s="26">
        <v>1.5265091573756801E-9</v>
      </c>
      <c r="G21" s="26">
        <v>6.8457990284496703E-6</v>
      </c>
      <c r="H21" s="24" t="s">
        <v>10</v>
      </c>
      <c r="I21" s="24" t="s">
        <v>10</v>
      </c>
      <c r="J21" s="34" t="s">
        <v>10</v>
      </c>
    </row>
    <row r="22" spans="1:10" ht="15.75" customHeight="1" x14ac:dyDescent="0.2">
      <c r="A22" s="24" t="s">
        <v>1426</v>
      </c>
      <c r="B22" s="24">
        <v>34.912154558284101</v>
      </c>
      <c r="C22" s="24">
        <v>2.64072484746058</v>
      </c>
      <c r="D22" s="24">
        <v>0.51814670830282095</v>
      </c>
      <c r="E22" s="24">
        <v>5.0964809872289303</v>
      </c>
      <c r="F22" s="26">
        <v>1.5265091573756801E-9</v>
      </c>
      <c r="G22" s="26">
        <v>7.0672144127690702E-5</v>
      </c>
      <c r="H22" s="24" t="s">
        <v>4327</v>
      </c>
      <c r="I22" s="24" t="s">
        <v>4393</v>
      </c>
      <c r="J22" s="34" t="s">
        <v>10</v>
      </c>
    </row>
    <row r="23" spans="1:10" ht="15.75" customHeight="1" x14ac:dyDescent="0.2">
      <c r="A23" s="24" t="s">
        <v>1429</v>
      </c>
      <c r="B23" s="24">
        <v>90.687630370085898</v>
      </c>
      <c r="C23" s="24">
        <v>2.6576737248723399</v>
      </c>
      <c r="D23" s="24">
        <v>0.38934227111889402</v>
      </c>
      <c r="E23" s="24">
        <v>6.8260600556798003</v>
      </c>
      <c r="F23" s="26">
        <v>1.5265091573756801E-9</v>
      </c>
      <c r="G23" s="26">
        <v>6.7922161243703604E-9</v>
      </c>
      <c r="H23" s="24" t="s">
        <v>10</v>
      </c>
      <c r="I23" s="24" t="s">
        <v>573</v>
      </c>
      <c r="J23" s="34" t="s">
        <v>10</v>
      </c>
    </row>
    <row r="24" spans="1:10" ht="15.75" customHeight="1" x14ac:dyDescent="0.2">
      <c r="A24" s="24" t="s">
        <v>1431</v>
      </c>
      <c r="B24" s="24">
        <v>123.733904728149</v>
      </c>
      <c r="C24" s="24">
        <v>2.6719571550794501</v>
      </c>
      <c r="D24" s="24">
        <v>0.33252339733637798</v>
      </c>
      <c r="E24" s="24">
        <v>8.0353959344897508</v>
      </c>
      <c r="F24" s="26">
        <v>1.5265091573756801E-9</v>
      </c>
      <c r="G24" s="26">
        <v>1.35814611619533E-12</v>
      </c>
      <c r="H24" s="24" t="s">
        <v>1375</v>
      </c>
      <c r="I24" s="24" t="s">
        <v>1433</v>
      </c>
      <c r="J24" s="34" t="s">
        <v>10</v>
      </c>
    </row>
    <row r="25" spans="1:10" ht="15.75" customHeight="1" x14ac:dyDescent="0.2">
      <c r="A25" s="24" t="s">
        <v>1434</v>
      </c>
      <c r="B25" s="24">
        <v>31.012535316240701</v>
      </c>
      <c r="C25" s="24">
        <v>2.7407278079579198</v>
      </c>
      <c r="D25" s="24">
        <v>0.56401395984225999</v>
      </c>
      <c r="E25" s="24">
        <v>4.8593261924304603</v>
      </c>
      <c r="F25" s="26">
        <v>1.5265091573756801E-9</v>
      </c>
      <c r="G25" s="24">
        <v>2.0291998810373601E-4</v>
      </c>
      <c r="H25" s="24" t="s">
        <v>1436</v>
      </c>
      <c r="I25" s="24" t="s">
        <v>1437</v>
      </c>
      <c r="J25" s="34" t="s">
        <v>10</v>
      </c>
    </row>
    <row r="26" spans="1:10" ht="15.75" customHeight="1" x14ac:dyDescent="0.2">
      <c r="A26" s="24" t="s">
        <v>1440</v>
      </c>
      <c r="B26" s="24">
        <v>36.847457151974602</v>
      </c>
      <c r="C26" s="24">
        <v>2.7447706925859401</v>
      </c>
      <c r="D26" s="24">
        <v>0.60189163025132197</v>
      </c>
      <c r="E26" s="24">
        <v>4.5602406722948698</v>
      </c>
      <c r="F26" s="26">
        <v>1.5265091573756801E-9</v>
      </c>
      <c r="G26" s="24">
        <v>6.70429131659338E-4</v>
      </c>
      <c r="H26" s="24" t="s">
        <v>10</v>
      </c>
      <c r="I26" s="24" t="s">
        <v>10</v>
      </c>
      <c r="J26" s="34" t="s">
        <v>10</v>
      </c>
    </row>
    <row r="27" spans="1:10" ht="15.75" customHeight="1" x14ac:dyDescent="0.2">
      <c r="A27" s="24" t="s">
        <v>1443</v>
      </c>
      <c r="B27" s="24">
        <v>51.0312528637306</v>
      </c>
      <c r="C27" s="24">
        <v>2.8184333634572298</v>
      </c>
      <c r="D27" s="24">
        <v>0.47269767489886699</v>
      </c>
      <c r="E27" s="24">
        <v>5.9624438898715297</v>
      </c>
      <c r="F27" s="26">
        <v>1.5265091573756801E-9</v>
      </c>
      <c r="G27" s="26">
        <v>1.04824563294192E-6</v>
      </c>
      <c r="H27" s="24" t="s">
        <v>10</v>
      </c>
      <c r="I27" s="24" t="s">
        <v>10</v>
      </c>
      <c r="J27" s="34" t="s">
        <v>10</v>
      </c>
    </row>
    <row r="28" spans="1:10" ht="15.75" customHeight="1" x14ac:dyDescent="0.2">
      <c r="A28" s="24" t="s">
        <v>1445</v>
      </c>
      <c r="B28" s="24">
        <v>49.478369348698301</v>
      </c>
      <c r="C28" s="24">
        <v>2.8253437150748102</v>
      </c>
      <c r="D28" s="24">
        <v>0.49152055013044499</v>
      </c>
      <c r="E28" s="24">
        <v>5.7481700700509704</v>
      </c>
      <c r="F28" s="26">
        <v>1.5265091573756801E-9</v>
      </c>
      <c r="G28" s="26">
        <v>3.1323159408535999E-6</v>
      </c>
      <c r="H28" s="24" t="s">
        <v>10</v>
      </c>
      <c r="I28" s="24" t="s">
        <v>10</v>
      </c>
      <c r="J28" s="34" t="s">
        <v>10</v>
      </c>
    </row>
    <row r="29" spans="1:10" ht="15.75" customHeight="1" x14ac:dyDescent="0.2">
      <c r="A29" s="24" t="s">
        <v>1447</v>
      </c>
      <c r="B29" s="24">
        <v>102.046937016291</v>
      </c>
      <c r="C29" s="24">
        <v>2.82691252043373</v>
      </c>
      <c r="D29" s="24">
        <v>0.33178076649951799</v>
      </c>
      <c r="E29" s="24">
        <v>8.5204231404349304</v>
      </c>
      <c r="F29" s="26">
        <v>1.5265091573756801E-9</v>
      </c>
      <c r="G29" s="26">
        <v>2.9897890615509698E-14</v>
      </c>
      <c r="H29" s="24" t="s">
        <v>10</v>
      </c>
      <c r="I29" s="24" t="s">
        <v>1449</v>
      </c>
      <c r="J29" s="34" t="s">
        <v>10</v>
      </c>
    </row>
    <row r="30" spans="1:10" ht="15.75" customHeight="1" x14ac:dyDescent="0.2">
      <c r="A30" s="24" t="s">
        <v>1451</v>
      </c>
      <c r="B30" s="24">
        <v>55.1691709692033</v>
      </c>
      <c r="C30" s="24">
        <v>2.84434818717305</v>
      </c>
      <c r="D30" s="24">
        <v>0.466338022268866</v>
      </c>
      <c r="E30" s="24">
        <v>6.0993272076218297</v>
      </c>
      <c r="F30" s="26">
        <v>1.5265091573756801E-9</v>
      </c>
      <c r="G30" s="26">
        <v>5.0081303240977801E-7</v>
      </c>
      <c r="H30" s="24" t="s">
        <v>10</v>
      </c>
      <c r="I30" s="24" t="s">
        <v>1449</v>
      </c>
      <c r="J30" s="34" t="s">
        <v>10</v>
      </c>
    </row>
    <row r="31" spans="1:10" ht="15.75" customHeight="1" x14ac:dyDescent="0.2">
      <c r="A31" s="24" t="s">
        <v>1452</v>
      </c>
      <c r="B31" s="24">
        <v>38.984727703285699</v>
      </c>
      <c r="C31" s="24">
        <v>2.87946796770068</v>
      </c>
      <c r="D31" s="24">
        <v>0.51366906512875699</v>
      </c>
      <c r="E31" s="24">
        <v>5.6056869357684702</v>
      </c>
      <c r="F31" s="26">
        <v>1.5265091573756801E-9</v>
      </c>
      <c r="G31" s="26">
        <v>6.5019410856754997E-6</v>
      </c>
      <c r="H31" s="24" t="s">
        <v>10</v>
      </c>
      <c r="I31" s="24" t="s">
        <v>10</v>
      </c>
      <c r="J31" s="34" t="s">
        <v>10</v>
      </c>
    </row>
    <row r="32" spans="1:10" ht="15.75" customHeight="1" x14ac:dyDescent="0.2">
      <c r="A32" s="24" t="s">
        <v>1454</v>
      </c>
      <c r="B32" s="24">
        <v>35.750842200943097</v>
      </c>
      <c r="C32" s="24">
        <v>2.9389103484352601</v>
      </c>
      <c r="D32" s="24">
        <v>0.64051359251176698</v>
      </c>
      <c r="E32" s="24">
        <v>4.5883653099544004</v>
      </c>
      <c r="F32" s="26">
        <v>1.5265091573756801E-9</v>
      </c>
      <c r="G32" s="24">
        <v>6.0012112228497502E-4</v>
      </c>
      <c r="H32" s="24" t="s">
        <v>10</v>
      </c>
      <c r="I32" s="24" t="s">
        <v>10</v>
      </c>
      <c r="J32" s="34" t="s">
        <v>10</v>
      </c>
    </row>
    <row r="33" spans="1:10" ht="15.75" customHeight="1" x14ac:dyDescent="0.2">
      <c r="A33" s="24" t="s">
        <v>1455</v>
      </c>
      <c r="B33" s="24">
        <v>60.706868675026598</v>
      </c>
      <c r="C33" s="24">
        <v>2.9637002074089498</v>
      </c>
      <c r="D33" s="24">
        <v>0.55132465773042605</v>
      </c>
      <c r="E33" s="24">
        <v>5.3755988705625297</v>
      </c>
      <c r="F33" s="26">
        <v>1.5265091573756801E-9</v>
      </c>
      <c r="G33" s="26">
        <v>1.9247161395708302E-5</v>
      </c>
      <c r="H33" s="24" t="s">
        <v>10</v>
      </c>
      <c r="I33" s="24" t="s">
        <v>10</v>
      </c>
      <c r="J33" s="34" t="s">
        <v>10</v>
      </c>
    </row>
    <row r="34" spans="1:10" ht="15.75" customHeight="1" x14ac:dyDescent="0.2">
      <c r="A34" s="24" t="s">
        <v>1457</v>
      </c>
      <c r="B34" s="24">
        <v>43.1272477996338</v>
      </c>
      <c r="C34" s="24">
        <v>3.0813144055831398</v>
      </c>
      <c r="D34" s="24">
        <v>0.53486070537494301</v>
      </c>
      <c r="E34" s="24">
        <v>5.7609661256066698</v>
      </c>
      <c r="F34" s="26">
        <v>1.5265091573756801E-9</v>
      </c>
      <c r="G34" s="26">
        <v>2.9492031043421601E-6</v>
      </c>
      <c r="H34" s="24" t="s">
        <v>10</v>
      </c>
      <c r="I34" s="24" t="s">
        <v>1459</v>
      </c>
      <c r="J34" s="34" t="s">
        <v>10</v>
      </c>
    </row>
    <row r="35" spans="1:10" ht="15.75" customHeight="1" x14ac:dyDescent="0.2">
      <c r="A35" s="24" t="s">
        <v>1461</v>
      </c>
      <c r="B35" s="24">
        <v>33.800853013083199</v>
      </c>
      <c r="C35" s="24">
        <v>3.1425469006438602</v>
      </c>
      <c r="D35" s="24">
        <v>0.56773536803110103</v>
      </c>
      <c r="E35" s="24">
        <v>5.5352318661107498</v>
      </c>
      <c r="F35" s="26">
        <v>1.5265091573756801E-9</v>
      </c>
      <c r="G35" s="26">
        <v>8.7138771340199501E-6</v>
      </c>
      <c r="H35" s="24" t="s">
        <v>10</v>
      </c>
      <c r="I35" s="24" t="s">
        <v>10</v>
      </c>
      <c r="J35" s="34" t="s">
        <v>10</v>
      </c>
    </row>
    <row r="36" spans="1:10" ht="15.75" customHeight="1" x14ac:dyDescent="0.2">
      <c r="A36" s="24" t="s">
        <v>1462</v>
      </c>
      <c r="B36" s="24">
        <v>21.581721675493402</v>
      </c>
      <c r="C36" s="24">
        <v>3.1935261385064102</v>
      </c>
      <c r="D36" s="24">
        <v>0.68118478454435405</v>
      </c>
      <c r="E36" s="24">
        <v>4.6881935870640001</v>
      </c>
      <c r="F36" s="26">
        <v>1.5265091573756801E-9</v>
      </c>
      <c r="G36" s="24">
        <v>4.1195317819668202E-4</v>
      </c>
      <c r="H36" s="24" t="s">
        <v>10</v>
      </c>
      <c r="I36" s="24" t="s">
        <v>10</v>
      </c>
      <c r="J36" s="34" t="s">
        <v>10</v>
      </c>
    </row>
    <row r="37" spans="1:10" ht="15.75" customHeight="1" x14ac:dyDescent="0.2">
      <c r="A37" s="24" t="s">
        <v>1464</v>
      </c>
      <c r="B37" s="24">
        <v>30.082410220726501</v>
      </c>
      <c r="C37" s="24">
        <v>3.23355423110113</v>
      </c>
      <c r="D37" s="24">
        <v>0.62598565499845005</v>
      </c>
      <c r="E37" s="24">
        <v>5.1655404645161296</v>
      </c>
      <c r="F37" s="26">
        <v>1.5265091573756801E-9</v>
      </c>
      <c r="G37" s="26">
        <v>5.2025850826246199E-5</v>
      </c>
      <c r="H37" s="24" t="s">
        <v>10</v>
      </c>
      <c r="I37" s="24" t="s">
        <v>10</v>
      </c>
      <c r="J37" s="34" t="s">
        <v>10</v>
      </c>
    </row>
    <row r="38" spans="1:10" ht="15.75" customHeight="1" x14ac:dyDescent="0.2">
      <c r="A38" s="24" t="s">
        <v>1466</v>
      </c>
      <c r="B38" s="24">
        <v>20.774033484957801</v>
      </c>
      <c r="C38" s="24">
        <v>3.2724401000016501</v>
      </c>
      <c r="D38" s="24">
        <v>0.69651527978746397</v>
      </c>
      <c r="E38" s="24">
        <v>4.6983033896976503</v>
      </c>
      <c r="F38" s="26">
        <v>1.5265091573756801E-9</v>
      </c>
      <c r="G38" s="24">
        <v>3.98682130906933E-4</v>
      </c>
      <c r="H38" s="24" t="s">
        <v>10</v>
      </c>
      <c r="I38" s="24" t="s">
        <v>10</v>
      </c>
      <c r="J38" s="34" t="s">
        <v>10</v>
      </c>
    </row>
    <row r="39" spans="1:10" ht="15.75" customHeight="1" x14ac:dyDescent="0.2">
      <c r="A39" s="24" t="s">
        <v>1468</v>
      </c>
      <c r="B39" s="24">
        <v>36.787928749249197</v>
      </c>
      <c r="C39" s="24">
        <v>3.2844199106195</v>
      </c>
      <c r="D39" s="24">
        <v>0.55194302127138795</v>
      </c>
      <c r="E39" s="24">
        <v>5.9506503099793102</v>
      </c>
      <c r="F39" s="26">
        <v>1.5265091573756801E-9</v>
      </c>
      <c r="G39" s="26">
        <v>1.1059772749360599E-6</v>
      </c>
      <c r="H39" s="24" t="s">
        <v>10</v>
      </c>
      <c r="I39" s="24" t="s">
        <v>10</v>
      </c>
      <c r="J39" s="34" t="s">
        <v>10</v>
      </c>
    </row>
    <row r="40" spans="1:10" ht="15.75" customHeight="1" x14ac:dyDescent="0.2">
      <c r="A40" s="24" t="s">
        <v>1471</v>
      </c>
      <c r="B40" s="24">
        <v>23.838552976189899</v>
      </c>
      <c r="C40" s="24">
        <v>3.2903046437019801</v>
      </c>
      <c r="D40" s="24">
        <v>0.65678128032294603</v>
      </c>
      <c r="E40" s="24">
        <v>5.0097418155464197</v>
      </c>
      <c r="F40" s="26">
        <v>1.5265091573756801E-9</v>
      </c>
      <c r="G40" s="24">
        <v>1.03365824753843E-4</v>
      </c>
      <c r="H40" s="24" t="s">
        <v>10</v>
      </c>
      <c r="I40" s="24" t="s">
        <v>10</v>
      </c>
      <c r="J40" s="34" t="s">
        <v>10</v>
      </c>
    </row>
    <row r="41" spans="1:10" ht="15.75" customHeight="1" x14ac:dyDescent="0.2">
      <c r="A41" s="24" t="s">
        <v>1472</v>
      </c>
      <c r="B41" s="24">
        <v>36.352878577793597</v>
      </c>
      <c r="C41" s="24">
        <v>3.2913747637120001</v>
      </c>
      <c r="D41" s="24">
        <v>0.58055523561279099</v>
      </c>
      <c r="E41" s="24">
        <v>5.66935678435122</v>
      </c>
      <c r="F41" s="26">
        <v>1.5265091573756801E-9</v>
      </c>
      <c r="G41" s="26">
        <v>4.72240444896505E-6</v>
      </c>
      <c r="H41" s="24" t="s">
        <v>10</v>
      </c>
      <c r="I41" s="24" t="s">
        <v>10</v>
      </c>
      <c r="J41" s="34" t="s">
        <v>10</v>
      </c>
    </row>
    <row r="42" spans="1:10" ht="15.75" customHeight="1" x14ac:dyDescent="0.2">
      <c r="A42" s="24" t="s">
        <v>1474</v>
      </c>
      <c r="B42" s="24">
        <v>98.802564360369402</v>
      </c>
      <c r="C42" s="24">
        <v>3.3078082628649401</v>
      </c>
      <c r="D42" s="24">
        <v>0.36233346476528999</v>
      </c>
      <c r="E42" s="24">
        <v>9.1291823265832104</v>
      </c>
      <c r="F42" s="26">
        <v>1.5265091573756801E-9</v>
      </c>
      <c r="G42" s="26">
        <v>1.9470577893381101E-16</v>
      </c>
      <c r="H42" s="24" t="s">
        <v>10</v>
      </c>
      <c r="I42" s="24" t="s">
        <v>10</v>
      </c>
      <c r="J42" s="34" t="s">
        <v>10</v>
      </c>
    </row>
    <row r="43" spans="1:10" ht="15.75" customHeight="1" x14ac:dyDescent="0.2">
      <c r="A43" s="24" t="s">
        <v>1475</v>
      </c>
      <c r="B43" s="24">
        <v>21.688264136858699</v>
      </c>
      <c r="C43" s="24">
        <v>3.3262802043661499</v>
      </c>
      <c r="D43" s="24">
        <v>0.679803607143313</v>
      </c>
      <c r="E43" s="24">
        <v>4.8930016984521902</v>
      </c>
      <c r="F43" s="26">
        <v>1.5265091573756801E-9</v>
      </c>
      <c r="G43" s="24">
        <v>1.7509902808996E-4</v>
      </c>
      <c r="H43" s="24" t="s">
        <v>10</v>
      </c>
      <c r="I43" s="24" t="s">
        <v>1478</v>
      </c>
      <c r="J43" s="34" t="s">
        <v>10</v>
      </c>
    </row>
    <row r="44" spans="1:10" ht="15.75" customHeight="1" x14ac:dyDescent="0.2">
      <c r="A44" s="24" t="s">
        <v>1480</v>
      </c>
      <c r="B44" s="24">
        <v>48.662619565053198</v>
      </c>
      <c r="C44" s="24">
        <v>3.3418604448740998</v>
      </c>
      <c r="D44" s="24">
        <v>0.48730560897074099</v>
      </c>
      <c r="E44" s="24">
        <v>6.8578329150214099</v>
      </c>
      <c r="F44" s="26">
        <v>1.5265091573756801E-9</v>
      </c>
      <c r="G44" s="26">
        <v>5.5362477977155003E-9</v>
      </c>
      <c r="H44" s="24" t="s">
        <v>1481</v>
      </c>
      <c r="I44" s="24" t="s">
        <v>4422</v>
      </c>
      <c r="J44" s="34" t="s">
        <v>3066</v>
      </c>
    </row>
    <row r="45" spans="1:10" ht="15.75" customHeight="1" x14ac:dyDescent="0.2">
      <c r="A45" s="24" t="s">
        <v>1483</v>
      </c>
      <c r="B45" s="24">
        <v>41.378823963164599</v>
      </c>
      <c r="C45" s="24">
        <v>3.40122830763337</v>
      </c>
      <c r="D45" s="24">
        <v>0.54862598505750404</v>
      </c>
      <c r="E45" s="24">
        <v>6.1995392129974896</v>
      </c>
      <c r="F45" s="26">
        <v>1.5265091573756801E-9</v>
      </c>
      <c r="G45" s="26">
        <v>2.8088461242297798E-7</v>
      </c>
      <c r="H45" s="24" t="s">
        <v>10</v>
      </c>
      <c r="I45" s="24" t="s">
        <v>10</v>
      </c>
      <c r="J45" s="34" t="s">
        <v>10</v>
      </c>
    </row>
    <row r="46" spans="1:10" ht="15.75" customHeight="1" x14ac:dyDescent="0.2">
      <c r="A46" s="24" t="s">
        <v>1484</v>
      </c>
      <c r="B46" s="24">
        <v>64.344454809779705</v>
      </c>
      <c r="C46" s="24">
        <v>3.4097680116206899</v>
      </c>
      <c r="D46" s="24">
        <v>0.42739341815885901</v>
      </c>
      <c r="E46" s="24">
        <v>7.9780545669360396</v>
      </c>
      <c r="F46" s="26">
        <v>1.5265091573756801E-9</v>
      </c>
      <c r="G46" s="26">
        <v>2.0333216933287801E-12</v>
      </c>
      <c r="H46" s="24" t="s">
        <v>4350</v>
      </c>
      <c r="I46" s="24" t="s">
        <v>1486</v>
      </c>
      <c r="J46" s="34" t="s">
        <v>4368</v>
      </c>
    </row>
    <row r="47" spans="1:10" ht="15.75" customHeight="1" x14ac:dyDescent="0.2">
      <c r="A47" s="24" t="s">
        <v>1488</v>
      </c>
      <c r="B47" s="24">
        <v>25.667128639153798</v>
      </c>
      <c r="C47" s="24">
        <v>3.4400857804977099</v>
      </c>
      <c r="D47" s="24">
        <v>0.66694716557130795</v>
      </c>
      <c r="E47" s="24">
        <v>5.1579584681957797</v>
      </c>
      <c r="F47" s="26">
        <v>1.5265091573756801E-9</v>
      </c>
      <c r="G47" s="26">
        <v>5.3522221583167403E-5</v>
      </c>
      <c r="H47" s="24" t="s">
        <v>10</v>
      </c>
      <c r="I47" s="24" t="s">
        <v>10</v>
      </c>
      <c r="J47" s="34" t="s">
        <v>10</v>
      </c>
    </row>
    <row r="48" spans="1:10" ht="15.75" customHeight="1" x14ac:dyDescent="0.2">
      <c r="A48" s="24" t="s">
        <v>1490</v>
      </c>
      <c r="B48" s="24">
        <v>47.015175756804503</v>
      </c>
      <c r="C48" s="24">
        <v>3.4575483733050798</v>
      </c>
      <c r="D48" s="24">
        <v>0.48370410498684802</v>
      </c>
      <c r="E48" s="24">
        <v>7.14806497951695</v>
      </c>
      <c r="F48" s="26">
        <v>1.5265091573756801E-9</v>
      </c>
      <c r="G48" s="26">
        <v>8.2760243573388602E-10</v>
      </c>
      <c r="H48" s="24" t="s">
        <v>4347</v>
      </c>
      <c r="I48" s="24" t="s">
        <v>4415</v>
      </c>
      <c r="J48" s="34" t="s">
        <v>10</v>
      </c>
    </row>
    <row r="49" spans="1:10" ht="15.75" customHeight="1" x14ac:dyDescent="0.2">
      <c r="A49" s="24" t="s">
        <v>1491</v>
      </c>
      <c r="B49" s="24">
        <v>44.179251365020903</v>
      </c>
      <c r="C49" s="24">
        <v>3.5477936973205901</v>
      </c>
      <c r="D49" s="24">
        <v>0.58532481564900896</v>
      </c>
      <c r="E49" s="24">
        <v>6.0612391657900098</v>
      </c>
      <c r="F49" s="26">
        <v>1.5265091573756801E-9</v>
      </c>
      <c r="G49" s="26">
        <v>6.1585470418386302E-7</v>
      </c>
      <c r="H49" s="24" t="s">
        <v>10</v>
      </c>
      <c r="I49" s="24" t="s">
        <v>1494</v>
      </c>
      <c r="J49" s="34" t="s">
        <v>10</v>
      </c>
    </row>
    <row r="50" spans="1:10" ht="15.75" customHeight="1" x14ac:dyDescent="0.2">
      <c r="A50" s="24" t="s">
        <v>1495</v>
      </c>
      <c r="B50" s="24">
        <v>25.480151141487099</v>
      </c>
      <c r="C50" s="24">
        <v>3.6438134231897998</v>
      </c>
      <c r="D50" s="24">
        <v>0.72264172556064399</v>
      </c>
      <c r="E50" s="24">
        <v>5.0423512707667602</v>
      </c>
      <c r="F50" s="26">
        <v>1.5265091573756801E-9</v>
      </c>
      <c r="G50" s="26">
        <v>9.0243805815601105E-5</v>
      </c>
      <c r="H50" s="24" t="s">
        <v>10</v>
      </c>
      <c r="I50" s="24" t="s">
        <v>1496</v>
      </c>
      <c r="J50" s="34" t="s">
        <v>10</v>
      </c>
    </row>
    <row r="51" spans="1:10" ht="15.75" customHeight="1" x14ac:dyDescent="0.2">
      <c r="A51" s="24" t="s">
        <v>1498</v>
      </c>
      <c r="B51" s="24">
        <v>27.633917751210699</v>
      </c>
      <c r="C51" s="24">
        <v>3.7064296964142902</v>
      </c>
      <c r="D51" s="24">
        <v>0.65566130441761605</v>
      </c>
      <c r="E51" s="24">
        <v>5.6529639181718698</v>
      </c>
      <c r="F51" s="26">
        <v>1.5265091573756801E-9</v>
      </c>
      <c r="G51" s="26">
        <v>5.12108236607153E-6</v>
      </c>
      <c r="H51" s="24" t="s">
        <v>10</v>
      </c>
      <c r="I51" s="24" t="s">
        <v>10</v>
      </c>
      <c r="J51" s="34" t="s">
        <v>10</v>
      </c>
    </row>
    <row r="52" spans="1:10" ht="15.75" customHeight="1" x14ac:dyDescent="0.2">
      <c r="A52" s="24" t="s">
        <v>1499</v>
      </c>
      <c r="B52" s="24">
        <v>82.717371864656897</v>
      </c>
      <c r="C52" s="24">
        <v>3.7185958577691798</v>
      </c>
      <c r="D52" s="24">
        <v>0.46834490521060101</v>
      </c>
      <c r="E52" s="24">
        <v>7.9398661465037996</v>
      </c>
      <c r="F52" s="26">
        <v>1.5265091573756801E-9</v>
      </c>
      <c r="G52" s="26">
        <v>2.68697315845272E-12</v>
      </c>
      <c r="H52" s="24" t="s">
        <v>10</v>
      </c>
      <c r="I52" s="24" t="s">
        <v>10</v>
      </c>
      <c r="J52" s="34" t="s">
        <v>10</v>
      </c>
    </row>
    <row r="53" spans="1:10" ht="15.75" customHeight="1" x14ac:dyDescent="0.2">
      <c r="A53" s="24" t="s">
        <v>1501</v>
      </c>
      <c r="B53" s="24">
        <v>29.5390822207406</v>
      </c>
      <c r="C53" s="24">
        <v>3.7398075169685998</v>
      </c>
      <c r="D53" s="24">
        <v>0.68517099650848401</v>
      </c>
      <c r="E53" s="24">
        <v>5.4582104847199204</v>
      </c>
      <c r="F53" s="26">
        <v>1.5265091573756801E-9</v>
      </c>
      <c r="G53" s="26">
        <v>1.2845544235830399E-5</v>
      </c>
      <c r="H53" s="24" t="s">
        <v>10</v>
      </c>
      <c r="I53" s="24" t="s">
        <v>10</v>
      </c>
      <c r="J53" s="34" t="s">
        <v>10</v>
      </c>
    </row>
    <row r="54" spans="1:10" ht="15.75" customHeight="1" x14ac:dyDescent="0.2">
      <c r="A54" s="24" t="s">
        <v>1503</v>
      </c>
      <c r="B54" s="24">
        <v>40.683652510739698</v>
      </c>
      <c r="C54" s="24">
        <v>3.7487934291906102</v>
      </c>
      <c r="D54" s="24">
        <v>0.58294098794903004</v>
      </c>
      <c r="E54" s="24">
        <v>6.4308283457302302</v>
      </c>
      <c r="F54" s="26">
        <v>1.5265091573756801E-9</v>
      </c>
      <c r="G54" s="26">
        <v>7.8470622774412002E-8</v>
      </c>
      <c r="H54" s="24" t="s">
        <v>1375</v>
      </c>
      <c r="I54" s="24" t="s">
        <v>1504</v>
      </c>
      <c r="J54" s="34" t="s">
        <v>10</v>
      </c>
    </row>
    <row r="55" spans="1:10" ht="15.75" customHeight="1" x14ac:dyDescent="0.2">
      <c r="A55" s="24" t="s">
        <v>1505</v>
      </c>
      <c r="B55" s="24">
        <v>25.722872654369599</v>
      </c>
      <c r="C55" s="24">
        <v>3.7638163961775599</v>
      </c>
      <c r="D55" s="24">
        <v>0.67290621906743797</v>
      </c>
      <c r="E55" s="24">
        <v>5.5933743655894999</v>
      </c>
      <c r="F55" s="26">
        <v>1.5265091573756801E-9</v>
      </c>
      <c r="G55" s="26">
        <v>6.8380524665689698E-6</v>
      </c>
      <c r="H55" s="24" t="s">
        <v>10</v>
      </c>
      <c r="I55" s="24" t="s">
        <v>1507</v>
      </c>
      <c r="J55" s="34" t="s">
        <v>10</v>
      </c>
    </row>
    <row r="56" spans="1:10" ht="15.75" customHeight="1" x14ac:dyDescent="0.2">
      <c r="A56" s="24" t="s">
        <v>1508</v>
      </c>
      <c r="B56" s="24">
        <v>132.27412978236799</v>
      </c>
      <c r="C56" s="24">
        <v>3.7648747545458301</v>
      </c>
      <c r="D56" s="24">
        <v>0.33016920816298101</v>
      </c>
      <c r="E56" s="24">
        <v>11.402864535712199</v>
      </c>
      <c r="F56" s="26">
        <v>1.5265091573756801E-9</v>
      </c>
      <c r="G56" s="26">
        <v>3.04361670879429E-26</v>
      </c>
      <c r="H56" s="24" t="s">
        <v>1375</v>
      </c>
      <c r="I56" s="24" t="s">
        <v>1511</v>
      </c>
      <c r="J56" s="34" t="s">
        <v>4361</v>
      </c>
    </row>
    <row r="57" spans="1:10" ht="15.75" customHeight="1" x14ac:dyDescent="0.2">
      <c r="A57" s="24" t="s">
        <v>1512</v>
      </c>
      <c r="B57" s="24">
        <v>57.856747618590802</v>
      </c>
      <c r="C57" s="24">
        <v>3.8071202713563999</v>
      </c>
      <c r="D57" s="24">
        <v>0.46493907553902097</v>
      </c>
      <c r="E57" s="24">
        <v>8.1884282729789106</v>
      </c>
      <c r="F57" s="26">
        <v>1.5265091573756801E-9</v>
      </c>
      <c r="G57" s="26">
        <v>4.26640701100326E-13</v>
      </c>
      <c r="H57" s="24" t="s">
        <v>10</v>
      </c>
      <c r="I57" s="24" t="s">
        <v>10</v>
      </c>
      <c r="J57" s="34" t="s">
        <v>10</v>
      </c>
    </row>
    <row r="58" spans="1:10" ht="15.75" customHeight="1" x14ac:dyDescent="0.2">
      <c r="A58" s="24" t="s">
        <v>1514</v>
      </c>
      <c r="B58" s="24">
        <v>16.515548848569399</v>
      </c>
      <c r="C58" s="24">
        <v>3.8556501693690901</v>
      </c>
      <c r="D58" s="24">
        <v>0.859447024507901</v>
      </c>
      <c r="E58" s="24">
        <v>4.48619875271166</v>
      </c>
      <c r="F58" s="26">
        <v>1.5265091573756801E-9</v>
      </c>
      <c r="G58" s="24">
        <v>8.9662004161680895E-4</v>
      </c>
      <c r="H58" s="24" t="s">
        <v>10</v>
      </c>
      <c r="I58" s="24" t="s">
        <v>10</v>
      </c>
      <c r="J58" s="34" t="s">
        <v>10</v>
      </c>
    </row>
    <row r="59" spans="1:10" ht="15.75" customHeight="1" x14ac:dyDescent="0.2">
      <c r="A59" s="24" t="s">
        <v>1517</v>
      </c>
      <c r="B59" s="24">
        <v>46.452979646353398</v>
      </c>
      <c r="C59" s="24">
        <v>3.8819611470072002</v>
      </c>
      <c r="D59" s="24">
        <v>0.61926114235370799</v>
      </c>
      <c r="E59" s="24">
        <v>6.26869810085695</v>
      </c>
      <c r="F59" s="26">
        <v>1.5265091573756801E-9</v>
      </c>
      <c r="G59" s="26">
        <v>2.00407854190456E-7</v>
      </c>
      <c r="H59" s="24" t="s">
        <v>1518</v>
      </c>
      <c r="I59" s="24" t="s">
        <v>1519</v>
      </c>
      <c r="J59" s="34" t="s">
        <v>4371</v>
      </c>
    </row>
    <row r="60" spans="1:10" ht="15.75" customHeight="1" x14ac:dyDescent="0.2">
      <c r="A60" s="24" t="s">
        <v>1521</v>
      </c>
      <c r="B60" s="24">
        <v>29.404633661546399</v>
      </c>
      <c r="C60" s="24">
        <v>3.88935117017206</v>
      </c>
      <c r="D60" s="24">
        <v>0.84871623802010598</v>
      </c>
      <c r="E60" s="24">
        <v>4.5826284403903701</v>
      </c>
      <c r="F60" s="26">
        <v>1.5265091573756801E-9</v>
      </c>
      <c r="G60" s="24">
        <v>6.1499832010547203E-4</v>
      </c>
      <c r="H60" s="24" t="s">
        <v>10</v>
      </c>
      <c r="I60" s="24" t="s">
        <v>10</v>
      </c>
      <c r="J60" s="34" t="s">
        <v>10</v>
      </c>
    </row>
    <row r="61" spans="1:10" ht="15.75" customHeight="1" x14ac:dyDescent="0.2">
      <c r="A61" s="24" t="s">
        <v>1523</v>
      </c>
      <c r="B61" s="24">
        <v>107.131190387133</v>
      </c>
      <c r="C61" s="24">
        <v>3.8909085951339</v>
      </c>
      <c r="D61" s="24">
        <v>0.39862302844594</v>
      </c>
      <c r="E61" s="24">
        <v>9.7608725976090494</v>
      </c>
      <c r="F61" s="26">
        <v>1.5265091573756801E-9</v>
      </c>
      <c r="G61" s="26">
        <v>5.34303100027903E-19</v>
      </c>
      <c r="H61" s="24" t="s">
        <v>10</v>
      </c>
      <c r="I61" s="24" t="s">
        <v>10</v>
      </c>
      <c r="J61" s="34" t="s">
        <v>10</v>
      </c>
    </row>
    <row r="62" spans="1:10" ht="15.75" customHeight="1" x14ac:dyDescent="0.2">
      <c r="A62" s="24" t="s">
        <v>1524</v>
      </c>
      <c r="B62" s="24">
        <v>84.427323442329396</v>
      </c>
      <c r="C62" s="24">
        <v>3.9439228104367801</v>
      </c>
      <c r="D62" s="24">
        <v>0.39328681708931701</v>
      </c>
      <c r="E62" s="24">
        <v>10.028108339927099</v>
      </c>
      <c r="F62" s="26">
        <v>1.5265091573756801E-9</v>
      </c>
      <c r="G62" s="26">
        <v>4.3140747558315299E-20</v>
      </c>
      <c r="H62" s="24" t="s">
        <v>10</v>
      </c>
      <c r="I62" s="24" t="s">
        <v>10</v>
      </c>
      <c r="J62" s="34" t="s">
        <v>10</v>
      </c>
    </row>
    <row r="63" spans="1:10" ht="15.75" customHeight="1" x14ac:dyDescent="0.2">
      <c r="A63" s="24" t="s">
        <v>1526</v>
      </c>
      <c r="B63" s="24">
        <v>23.9374503085137</v>
      </c>
      <c r="C63" s="24">
        <v>4.0212863975250404</v>
      </c>
      <c r="D63" s="24">
        <v>0.75931084266527904</v>
      </c>
      <c r="E63" s="24">
        <v>5.2959686225601699</v>
      </c>
      <c r="F63" s="26">
        <v>1.5265091573756801E-9</v>
      </c>
      <c r="G63" s="26">
        <v>2.7977180951468998E-5</v>
      </c>
      <c r="H63" s="24" t="s">
        <v>10</v>
      </c>
      <c r="I63" s="24" t="s">
        <v>10</v>
      </c>
      <c r="J63" s="34" t="s">
        <v>10</v>
      </c>
    </row>
    <row r="64" spans="1:10" ht="15.75" customHeight="1" x14ac:dyDescent="0.2">
      <c r="A64" s="24" t="s">
        <v>1527</v>
      </c>
      <c r="B64" s="24">
        <v>70.378593301152705</v>
      </c>
      <c r="C64" s="24">
        <v>4.0448592656376103</v>
      </c>
      <c r="D64" s="24">
        <v>0.46884387159920898</v>
      </c>
      <c r="E64" s="24">
        <v>8.6273054009232197</v>
      </c>
      <c r="F64" s="26">
        <v>1.5265091573756801E-9</v>
      </c>
      <c r="G64" s="26">
        <v>1.3321385845209701E-14</v>
      </c>
      <c r="H64" s="24" t="s">
        <v>10</v>
      </c>
      <c r="I64" s="24" t="s">
        <v>10</v>
      </c>
      <c r="J64" s="34" t="s">
        <v>10</v>
      </c>
    </row>
    <row r="65" spans="1:10" ht="15.75" customHeight="1" x14ac:dyDescent="0.2">
      <c r="A65" s="24" t="s">
        <v>1530</v>
      </c>
      <c r="B65" s="24">
        <v>31.373698259210201</v>
      </c>
      <c r="C65" s="24">
        <v>4.0794137163569104</v>
      </c>
      <c r="D65" s="24">
        <v>0.66109392011011603</v>
      </c>
      <c r="E65" s="24">
        <v>6.1707022138055896</v>
      </c>
      <c r="F65" s="26">
        <v>1.5265091573756801E-9</v>
      </c>
      <c r="G65" s="26">
        <v>3.2646229617759802E-7</v>
      </c>
      <c r="H65" s="24" t="s">
        <v>10</v>
      </c>
      <c r="I65" s="24" t="s">
        <v>10</v>
      </c>
      <c r="J65" s="34" t="s">
        <v>10</v>
      </c>
    </row>
    <row r="66" spans="1:10" ht="15.75" customHeight="1" x14ac:dyDescent="0.2">
      <c r="A66" s="24" t="s">
        <v>1533</v>
      </c>
      <c r="B66" s="24">
        <v>14.745392004698701</v>
      </c>
      <c r="C66" s="24">
        <v>4.13985326857002</v>
      </c>
      <c r="D66" s="24">
        <v>0.90207328245773899</v>
      </c>
      <c r="E66" s="24">
        <v>4.5892649179131002</v>
      </c>
      <c r="F66" s="26">
        <v>1.5265091573756801E-9</v>
      </c>
      <c r="G66" s="24">
        <v>5.9997125620528001E-4</v>
      </c>
      <c r="H66" s="24" t="s">
        <v>10</v>
      </c>
      <c r="I66" s="24" t="s">
        <v>10</v>
      </c>
      <c r="J66" s="34" t="s">
        <v>10</v>
      </c>
    </row>
    <row r="67" spans="1:10" ht="15.75" customHeight="1" x14ac:dyDescent="0.2">
      <c r="A67" s="24" t="s">
        <v>1535</v>
      </c>
      <c r="B67" s="24">
        <v>17.169345542965999</v>
      </c>
      <c r="C67" s="24">
        <v>4.2044840928316196</v>
      </c>
      <c r="D67" s="24">
        <v>0.89911490967503704</v>
      </c>
      <c r="E67" s="24">
        <v>4.6762477716571702</v>
      </c>
      <c r="F67" s="26">
        <v>1.5265091573756801E-9</v>
      </c>
      <c r="G67" s="24">
        <v>4.3238518206722401E-4</v>
      </c>
      <c r="H67" s="24" t="s">
        <v>10</v>
      </c>
      <c r="I67" s="24" t="s">
        <v>10</v>
      </c>
      <c r="J67" s="34" t="s">
        <v>10</v>
      </c>
    </row>
    <row r="68" spans="1:10" ht="15.75" customHeight="1" x14ac:dyDescent="0.2">
      <c r="A68" s="24" t="s">
        <v>1536</v>
      </c>
      <c r="B68" s="24">
        <v>18.707081527574601</v>
      </c>
      <c r="C68" s="24">
        <v>4.2177862483100403</v>
      </c>
      <c r="D68" s="24">
        <v>0.871671239575455</v>
      </c>
      <c r="E68" s="24">
        <v>4.83873512950169</v>
      </c>
      <c r="F68" s="26">
        <v>1.5265091573756801E-9</v>
      </c>
      <c r="G68" s="24">
        <v>2.2256466509022E-4</v>
      </c>
      <c r="H68" s="24" t="s">
        <v>10</v>
      </c>
      <c r="I68" s="24" t="s">
        <v>10</v>
      </c>
      <c r="J68" s="34" t="s">
        <v>10</v>
      </c>
    </row>
    <row r="69" spans="1:10" ht="15.75" customHeight="1" x14ac:dyDescent="0.2">
      <c r="A69" s="24" t="s">
        <v>1538</v>
      </c>
      <c r="B69" s="24">
        <v>43.6292764124454</v>
      </c>
      <c r="C69" s="24">
        <v>4.2337028396646099</v>
      </c>
      <c r="D69" s="24">
        <v>0.55676654176310802</v>
      </c>
      <c r="E69" s="24">
        <v>7.6040899050035797</v>
      </c>
      <c r="F69" s="26">
        <v>1.5265091573756801E-9</v>
      </c>
      <c r="G69" s="26">
        <v>3.3206451941079299E-11</v>
      </c>
      <c r="H69" s="24" t="s">
        <v>10</v>
      </c>
      <c r="I69" s="24" t="s">
        <v>10</v>
      </c>
      <c r="J69" s="34" t="s">
        <v>10</v>
      </c>
    </row>
    <row r="70" spans="1:10" ht="15.75" customHeight="1" x14ac:dyDescent="0.2">
      <c r="A70" s="24" t="s">
        <v>1540</v>
      </c>
      <c r="B70" s="24">
        <v>63.166167898755297</v>
      </c>
      <c r="C70" s="24">
        <v>4.2934940561390604</v>
      </c>
      <c r="D70" s="24">
        <v>0.50044712513697698</v>
      </c>
      <c r="E70" s="24">
        <v>8.5793160565442097</v>
      </c>
      <c r="F70" s="26">
        <v>1.5265091573756801E-9</v>
      </c>
      <c r="G70" s="26">
        <v>1.8729678054368099E-14</v>
      </c>
      <c r="H70" s="24" t="s">
        <v>10</v>
      </c>
      <c r="I70" s="24" t="s">
        <v>10</v>
      </c>
      <c r="J70" s="34" t="s">
        <v>10</v>
      </c>
    </row>
    <row r="71" spans="1:10" ht="15.75" customHeight="1" x14ac:dyDescent="0.2">
      <c r="A71" s="24" t="s">
        <v>1542</v>
      </c>
      <c r="B71" s="24">
        <v>77.180849924621697</v>
      </c>
      <c r="C71" s="24">
        <v>4.3012016276036098</v>
      </c>
      <c r="D71" s="24">
        <v>0.43308712061812998</v>
      </c>
      <c r="E71" s="24">
        <v>9.9314928171141403</v>
      </c>
      <c r="F71" s="26">
        <v>1.5265091573756801E-9</v>
      </c>
      <c r="G71" s="26">
        <v>1.05438176616791E-19</v>
      </c>
      <c r="H71" s="24" t="s">
        <v>10</v>
      </c>
      <c r="I71" s="24" t="s">
        <v>10</v>
      </c>
      <c r="J71" s="34" t="s">
        <v>10</v>
      </c>
    </row>
    <row r="72" spans="1:10" ht="15.75" customHeight="1" x14ac:dyDescent="0.2">
      <c r="A72" s="24" t="s">
        <v>1544</v>
      </c>
      <c r="B72" s="24">
        <v>30.439700444046</v>
      </c>
      <c r="C72" s="24">
        <v>4.3398394232613597</v>
      </c>
      <c r="D72" s="24">
        <v>0.66233669672392503</v>
      </c>
      <c r="E72" s="24">
        <v>6.5523161327572996</v>
      </c>
      <c r="F72" s="26">
        <v>1.5265091573756801E-9</v>
      </c>
      <c r="G72" s="26">
        <v>3.8165321573083498E-8</v>
      </c>
      <c r="H72" s="24" t="s">
        <v>10</v>
      </c>
      <c r="I72" s="24" t="s">
        <v>10</v>
      </c>
      <c r="J72" s="34" t="s">
        <v>10</v>
      </c>
    </row>
    <row r="73" spans="1:10" ht="15.75" customHeight="1" x14ac:dyDescent="0.2">
      <c r="A73" s="24" t="s">
        <v>1545</v>
      </c>
      <c r="B73" s="24">
        <v>21.108752688692402</v>
      </c>
      <c r="C73" s="24">
        <v>4.3626092366338902</v>
      </c>
      <c r="D73" s="24">
        <v>0.91153062915182104</v>
      </c>
      <c r="E73" s="24">
        <v>4.7860259404484298</v>
      </c>
      <c r="F73" s="26">
        <v>1.5265091573756801E-9</v>
      </c>
      <c r="G73" s="24">
        <v>2.76206096207102E-4</v>
      </c>
      <c r="H73" s="24" t="s">
        <v>1375</v>
      </c>
      <c r="I73" s="24" t="s">
        <v>1547</v>
      </c>
      <c r="J73" s="34" t="s">
        <v>3365</v>
      </c>
    </row>
    <row r="74" spans="1:10" ht="15.75" customHeight="1" x14ac:dyDescent="0.2">
      <c r="A74" s="24" t="s">
        <v>1548</v>
      </c>
      <c r="B74" s="24">
        <v>28.3252905308842</v>
      </c>
      <c r="C74" s="24">
        <v>4.4864193417146598</v>
      </c>
      <c r="D74" s="24">
        <v>0.78009167971328397</v>
      </c>
      <c r="E74" s="24">
        <v>5.7511436903975302</v>
      </c>
      <c r="F74" s="26">
        <v>1.5265091573756801E-9</v>
      </c>
      <c r="G74" s="26">
        <v>3.1015674173027998E-6</v>
      </c>
      <c r="H74" s="24" t="s">
        <v>1375</v>
      </c>
      <c r="I74" s="24" t="s">
        <v>1549</v>
      </c>
      <c r="J74" s="34" t="s">
        <v>10</v>
      </c>
    </row>
    <row r="75" spans="1:10" ht="15.75" customHeight="1" x14ac:dyDescent="0.2">
      <c r="A75" s="24" t="s">
        <v>1551</v>
      </c>
      <c r="B75" s="24">
        <v>67.370498373897505</v>
      </c>
      <c r="C75" s="24">
        <v>4.5352557294068401</v>
      </c>
      <c r="D75" s="24">
        <v>0.536446358746407</v>
      </c>
      <c r="E75" s="24">
        <v>8.45425764470661</v>
      </c>
      <c r="F75" s="26">
        <v>1.5265091573756801E-9</v>
      </c>
      <c r="G75" s="26">
        <v>5.0710249648942702E-14</v>
      </c>
      <c r="H75" s="24" t="s">
        <v>10</v>
      </c>
      <c r="I75" s="24" t="s">
        <v>10</v>
      </c>
      <c r="J75" s="34" t="s">
        <v>10</v>
      </c>
    </row>
    <row r="76" spans="1:10" ht="15.75" customHeight="1" x14ac:dyDescent="0.2">
      <c r="A76" s="24" t="s">
        <v>1554</v>
      </c>
      <c r="B76" s="24">
        <v>34.644277189903598</v>
      </c>
      <c r="C76" s="24">
        <v>4.6577996989266301</v>
      </c>
      <c r="D76" s="24">
        <v>0.66175230240400096</v>
      </c>
      <c r="E76" s="24">
        <v>7.03858480281197</v>
      </c>
      <c r="F76" s="26">
        <v>1.5265091573756801E-9</v>
      </c>
      <c r="G76" s="26">
        <v>1.6857115409132599E-9</v>
      </c>
      <c r="H76" s="24" t="s">
        <v>10</v>
      </c>
      <c r="I76" s="24" t="s">
        <v>10</v>
      </c>
      <c r="J76" s="34" t="s">
        <v>10</v>
      </c>
    </row>
    <row r="77" spans="1:10" ht="15.75" customHeight="1" x14ac:dyDescent="0.2">
      <c r="A77" s="24" t="s">
        <v>1555</v>
      </c>
      <c r="B77" s="24">
        <v>16.7413540233077</v>
      </c>
      <c r="C77" s="24">
        <v>4.8338335877395204</v>
      </c>
      <c r="D77" s="24">
        <v>1.0613127604364001</v>
      </c>
      <c r="E77" s="24">
        <v>4.5545797317577703</v>
      </c>
      <c r="F77" s="26">
        <v>1.5265091573756801E-9</v>
      </c>
      <c r="G77" s="24">
        <v>6.8475716276403004E-4</v>
      </c>
      <c r="H77" s="24" t="s">
        <v>10</v>
      </c>
      <c r="I77" s="24" t="s">
        <v>10</v>
      </c>
      <c r="J77" s="34" t="s">
        <v>10</v>
      </c>
    </row>
    <row r="78" spans="1:10" ht="15.75" customHeight="1" x14ac:dyDescent="0.2">
      <c r="A78" s="24" t="s">
        <v>1558</v>
      </c>
      <c r="B78" s="24">
        <v>24.301840413809899</v>
      </c>
      <c r="C78" s="24">
        <v>4.9052323122995602</v>
      </c>
      <c r="D78" s="24">
        <v>0.94075058219699303</v>
      </c>
      <c r="E78" s="24">
        <v>5.2141687766422198</v>
      </c>
      <c r="F78" s="26">
        <v>1.5265091573756801E-9</v>
      </c>
      <c r="G78" s="26">
        <v>4.12586368072981E-5</v>
      </c>
      <c r="H78" s="24" t="s">
        <v>4338</v>
      </c>
      <c r="I78" s="24" t="s">
        <v>1562</v>
      </c>
      <c r="J78" s="34" t="s">
        <v>4378</v>
      </c>
    </row>
    <row r="79" spans="1:10" ht="15.75" customHeight="1" x14ac:dyDescent="0.2">
      <c r="A79" s="24" t="s">
        <v>1563</v>
      </c>
      <c r="B79" s="24">
        <v>54.805384996756999</v>
      </c>
      <c r="C79" s="24">
        <v>4.9192702082597402</v>
      </c>
      <c r="D79" s="24">
        <v>0.56540446016146395</v>
      </c>
      <c r="E79" s="24">
        <v>8.7004446460414009</v>
      </c>
      <c r="F79" s="26">
        <v>1.5265091573756801E-9</v>
      </c>
      <c r="G79" s="26">
        <v>7.4608364034347901E-15</v>
      </c>
      <c r="H79" s="24" t="s">
        <v>10</v>
      </c>
      <c r="I79" s="24" t="s">
        <v>10</v>
      </c>
      <c r="J79" s="34" t="s">
        <v>10</v>
      </c>
    </row>
    <row r="80" spans="1:10" ht="15.75" customHeight="1" x14ac:dyDescent="0.2">
      <c r="A80" s="24" t="s">
        <v>1565</v>
      </c>
      <c r="B80" s="24">
        <v>62.160355360104099</v>
      </c>
      <c r="C80" s="24">
        <v>4.9567519214731703</v>
      </c>
      <c r="D80" s="24">
        <v>0.54097116597311101</v>
      </c>
      <c r="E80" s="24">
        <v>9.1626915319171491</v>
      </c>
      <c r="F80" s="26">
        <v>1.5265091573756801E-9</v>
      </c>
      <c r="G80" s="26">
        <v>1.52318538874098E-16</v>
      </c>
      <c r="H80" s="24" t="s">
        <v>10</v>
      </c>
      <c r="I80" s="24" t="s">
        <v>10</v>
      </c>
      <c r="J80" s="34" t="s">
        <v>10</v>
      </c>
    </row>
    <row r="81" spans="1:10" ht="15.75" customHeight="1" x14ac:dyDescent="0.2">
      <c r="A81" s="24" t="s">
        <v>1567</v>
      </c>
      <c r="B81" s="24">
        <v>14.760413029028699</v>
      </c>
      <c r="C81" s="24">
        <v>5.0034856626087301</v>
      </c>
      <c r="D81" s="24">
        <v>1.1202497423689399</v>
      </c>
      <c r="E81" s="24">
        <v>4.4664019757130999</v>
      </c>
      <c r="F81" s="26">
        <v>1.5265091573756801E-9</v>
      </c>
      <c r="G81" s="24">
        <v>9.7039773058738195E-4</v>
      </c>
      <c r="H81" s="24" t="s">
        <v>1568</v>
      </c>
      <c r="I81" s="24" t="s">
        <v>1569</v>
      </c>
      <c r="J81" s="34" t="s">
        <v>4367</v>
      </c>
    </row>
    <row r="82" spans="1:10" ht="15.75" customHeight="1" x14ac:dyDescent="0.2">
      <c r="A82" s="24" t="s">
        <v>1571</v>
      </c>
      <c r="B82" s="24">
        <v>44.101936302001398</v>
      </c>
      <c r="C82" s="24">
        <v>5.0070131700200502</v>
      </c>
      <c r="D82" s="24">
        <v>0.64301928154864096</v>
      </c>
      <c r="E82" s="24">
        <v>7.7867232191874702</v>
      </c>
      <c r="F82" s="26">
        <v>1.5265091573756801E-9</v>
      </c>
      <c r="G82" s="26">
        <v>8.6223421430428503E-12</v>
      </c>
      <c r="H82" s="24" t="s">
        <v>10</v>
      </c>
      <c r="I82" s="24" t="s">
        <v>10</v>
      </c>
      <c r="J82" s="34" t="s">
        <v>10</v>
      </c>
    </row>
    <row r="83" spans="1:10" ht="15.75" customHeight="1" x14ac:dyDescent="0.2">
      <c r="A83" s="28" t="s">
        <v>1573</v>
      </c>
      <c r="B83" s="24">
        <v>22.8198846726394</v>
      </c>
      <c r="C83" s="24">
        <v>5.2093234390554297</v>
      </c>
      <c r="D83" s="24">
        <v>0.96096015627698905</v>
      </c>
      <c r="E83" s="24">
        <v>5.4209567431366903</v>
      </c>
      <c r="F83" s="26">
        <v>1.5265091573756801E-9</v>
      </c>
      <c r="G83" s="26">
        <v>1.5290069689948302E-5</v>
      </c>
      <c r="H83" s="24" t="s">
        <v>10</v>
      </c>
      <c r="I83" s="24" t="s">
        <v>1582</v>
      </c>
      <c r="J83" s="34" t="s">
        <v>10</v>
      </c>
    </row>
    <row r="84" spans="1:10" ht="15.75" customHeight="1" x14ac:dyDescent="0.2">
      <c r="A84" s="24" t="s">
        <v>1584</v>
      </c>
      <c r="B84" s="24">
        <v>30.856201563675601</v>
      </c>
      <c r="C84" s="24">
        <v>5.2348437073941101</v>
      </c>
      <c r="D84" s="24">
        <v>0.83692139827170997</v>
      </c>
      <c r="E84" s="24">
        <v>6.2548809460534303</v>
      </c>
      <c r="F84" s="26">
        <v>1.5265091573756801E-9</v>
      </c>
      <c r="G84" s="26">
        <v>2.11251391911569E-7</v>
      </c>
      <c r="H84" s="24" t="s">
        <v>10</v>
      </c>
      <c r="I84" s="24" t="s">
        <v>10</v>
      </c>
      <c r="J84" s="34" t="s">
        <v>10</v>
      </c>
    </row>
    <row r="85" spans="1:10" ht="15.75" customHeight="1" x14ac:dyDescent="0.2">
      <c r="A85" s="24" t="s">
        <v>1585</v>
      </c>
      <c r="B85" s="24">
        <v>18.461773432701602</v>
      </c>
      <c r="C85" s="24">
        <v>5.6364228438293704</v>
      </c>
      <c r="D85" s="24">
        <v>1.1028417346380399</v>
      </c>
      <c r="E85" s="24">
        <v>5.1108175060851204</v>
      </c>
      <c r="F85" s="26">
        <v>1.5265091573756801E-9</v>
      </c>
      <c r="G85" s="26">
        <v>6.6164670431775605E-5</v>
      </c>
      <c r="H85" s="24" t="s">
        <v>10</v>
      </c>
      <c r="I85" s="24" t="s">
        <v>10</v>
      </c>
      <c r="J85" s="34" t="s">
        <v>10</v>
      </c>
    </row>
    <row r="86" spans="1:10" ht="15.75" customHeight="1" x14ac:dyDescent="0.2">
      <c r="A86" s="24" t="s">
        <v>1587</v>
      </c>
      <c r="B86" s="24">
        <v>33.157905258216999</v>
      </c>
      <c r="C86" s="24">
        <v>6.2714917351172197</v>
      </c>
      <c r="D86" s="24">
        <v>0.987227306312917</v>
      </c>
      <c r="E86" s="24">
        <v>6.3526319572134797</v>
      </c>
      <c r="F86" s="26">
        <v>1.5265091573756801E-9</v>
      </c>
      <c r="G86" s="26">
        <v>1.2093386008277001E-7</v>
      </c>
      <c r="H86" s="24" t="s">
        <v>4351</v>
      </c>
      <c r="I86" s="24" t="s">
        <v>1589</v>
      </c>
      <c r="J86" s="34" t="s">
        <v>4373</v>
      </c>
    </row>
    <row r="87" spans="1:10" ht="15.75" customHeight="1" x14ac:dyDescent="0.2">
      <c r="A87" s="24" t="s">
        <v>1590</v>
      </c>
      <c r="B87" s="24">
        <v>13.3300528054198</v>
      </c>
      <c r="C87" s="24">
        <v>6.4362885396145604</v>
      </c>
      <c r="D87" s="24">
        <v>1.36271951591844</v>
      </c>
      <c r="E87" s="24">
        <v>4.7231205427307899</v>
      </c>
      <c r="F87" s="26">
        <v>1.5265091573756801E-9</v>
      </c>
      <c r="G87" s="24">
        <v>3.6024769249529701E-4</v>
      </c>
      <c r="H87" s="24" t="s">
        <v>10</v>
      </c>
      <c r="I87" s="24" t="s">
        <v>10</v>
      </c>
      <c r="J87" s="34" t="s">
        <v>10</v>
      </c>
    </row>
    <row r="88" spans="1:10" ht="15.75" customHeight="1" x14ac:dyDescent="0.2">
      <c r="A88" s="24" t="s">
        <v>1592</v>
      </c>
      <c r="B88" s="24">
        <v>16.7365352732341</v>
      </c>
      <c r="C88" s="24">
        <v>6.7708600335917897</v>
      </c>
      <c r="D88" s="24">
        <v>1.32484870351845</v>
      </c>
      <c r="E88" s="24">
        <v>5.11066661091954</v>
      </c>
      <c r="F88" s="26">
        <v>1.5265091573756801E-9</v>
      </c>
      <c r="G88" s="26">
        <v>6.6164670431775605E-5</v>
      </c>
      <c r="H88" s="24" t="s">
        <v>10</v>
      </c>
      <c r="I88" s="24" t="s">
        <v>10</v>
      </c>
      <c r="J88" s="34" t="s">
        <v>10</v>
      </c>
    </row>
    <row r="89" spans="1:10" ht="15.75" customHeight="1" x14ac:dyDescent="0.2">
      <c r="A89" s="24" t="s">
        <v>1595</v>
      </c>
      <c r="B89" s="24">
        <v>8.6138556863788995</v>
      </c>
      <c r="C89" s="24">
        <v>6.7857969385177004</v>
      </c>
      <c r="D89" s="24">
        <v>1.5163832519409599</v>
      </c>
      <c r="E89" s="24">
        <v>4.4749880545250997</v>
      </c>
      <c r="F89" s="26">
        <v>1.5265091573756801E-9</v>
      </c>
      <c r="G89" s="24">
        <v>9.3982840699840305E-4</v>
      </c>
      <c r="H89" s="24" t="s">
        <v>4345</v>
      </c>
      <c r="I89" s="24" t="s">
        <v>1597</v>
      </c>
      <c r="J89" s="34" t="s">
        <v>4384</v>
      </c>
    </row>
    <row r="90" spans="1:10" ht="15.75" customHeight="1" x14ac:dyDescent="0.2">
      <c r="A90" s="24" t="s">
        <v>1598</v>
      </c>
      <c r="B90" s="24">
        <v>8.7646518972934704</v>
      </c>
      <c r="C90" s="24">
        <v>6.8115687715334703</v>
      </c>
      <c r="D90" s="24">
        <v>1.5104707180124199</v>
      </c>
      <c r="E90" s="24">
        <v>4.50956691202635</v>
      </c>
      <c r="F90" s="26">
        <v>1.5265091573756801E-9</v>
      </c>
      <c r="G90" s="24">
        <v>8.1674211785740197E-4</v>
      </c>
      <c r="H90" s="24" t="s">
        <v>10</v>
      </c>
      <c r="I90" s="24" t="s">
        <v>10</v>
      </c>
      <c r="J90" s="34" t="s">
        <v>10</v>
      </c>
    </row>
    <row r="91" spans="1:10" ht="15.75" customHeight="1" x14ac:dyDescent="0.2">
      <c r="A91" s="24" t="s">
        <v>1601</v>
      </c>
      <c r="B91" s="24">
        <v>8.7828072333863201</v>
      </c>
      <c r="C91" s="24">
        <v>6.82454242422072</v>
      </c>
      <c r="D91" s="24">
        <v>1.4898854289227601</v>
      </c>
      <c r="E91" s="24">
        <v>4.5805820311667196</v>
      </c>
      <c r="F91" s="26">
        <v>1.5265091573756801E-9</v>
      </c>
      <c r="G91" s="24">
        <v>6.1920979642040598E-4</v>
      </c>
      <c r="H91" s="24" t="s">
        <v>10</v>
      </c>
      <c r="I91" s="24" t="s">
        <v>10</v>
      </c>
      <c r="J91" s="34" t="s">
        <v>10</v>
      </c>
    </row>
    <row r="92" spans="1:10" ht="15.75" customHeight="1" x14ac:dyDescent="0.2">
      <c r="A92" s="24" t="s">
        <v>40</v>
      </c>
      <c r="B92" s="24">
        <v>8.9994230639830803</v>
      </c>
      <c r="C92" s="24">
        <v>6.8667559279847898</v>
      </c>
      <c r="D92" s="24">
        <v>1.5127327100980601</v>
      </c>
      <c r="E92" s="24">
        <v>4.5393055112424197</v>
      </c>
      <c r="F92" s="26">
        <v>1.5265091573756801E-9</v>
      </c>
      <c r="G92" s="24">
        <v>7.2786393037221203E-4</v>
      </c>
      <c r="H92" s="24" t="s">
        <v>1375</v>
      </c>
      <c r="I92" s="24" t="s">
        <v>1611</v>
      </c>
      <c r="J92" s="34" t="s">
        <v>10</v>
      </c>
    </row>
    <row r="93" spans="1:10" ht="15.75" customHeight="1" x14ac:dyDescent="0.2">
      <c r="A93" s="24" t="s">
        <v>1612</v>
      </c>
      <c r="B93" s="24">
        <v>9.1370435932453304</v>
      </c>
      <c r="C93" s="24">
        <v>6.8908555406052203</v>
      </c>
      <c r="D93" s="24">
        <v>1.4941503409127701</v>
      </c>
      <c r="E93" s="24">
        <v>4.6118890127184997</v>
      </c>
      <c r="F93" s="26">
        <v>1.5265091573756801E-9</v>
      </c>
      <c r="G93" s="24">
        <v>5.5232170300744603E-4</v>
      </c>
      <c r="H93" s="24" t="s">
        <v>1375</v>
      </c>
      <c r="I93" s="24" t="s">
        <v>1614</v>
      </c>
      <c r="J93" s="34" t="s">
        <v>10</v>
      </c>
    </row>
    <row r="94" spans="1:10" ht="15.75" customHeight="1" x14ac:dyDescent="0.2">
      <c r="A94" s="24" t="s">
        <v>1615</v>
      </c>
      <c r="B94" s="24">
        <v>9.6854285501392905</v>
      </c>
      <c r="C94" s="24">
        <v>6.9567491896732996</v>
      </c>
      <c r="D94" s="24">
        <v>1.49112101929247</v>
      </c>
      <c r="E94" s="24">
        <v>4.6654490813725102</v>
      </c>
      <c r="F94" s="26">
        <v>1.5265091573756801E-9</v>
      </c>
      <c r="G94" s="24">
        <v>4.4982708483396199E-4</v>
      </c>
      <c r="H94" s="24" t="s">
        <v>10</v>
      </c>
      <c r="I94" s="24" t="s">
        <v>1617</v>
      </c>
      <c r="J94" s="34" t="s">
        <v>4383</v>
      </c>
    </row>
    <row r="95" spans="1:10" ht="15.75" customHeight="1" x14ac:dyDescent="0.2">
      <c r="A95" s="24" t="s">
        <v>1618</v>
      </c>
      <c r="B95" s="24">
        <v>9.9009664063688092</v>
      </c>
      <c r="C95" s="24">
        <v>6.9889284674129897</v>
      </c>
      <c r="D95" s="24">
        <v>1.4696745415358601</v>
      </c>
      <c r="E95" s="24">
        <v>4.7554259598926798</v>
      </c>
      <c r="F95" s="26">
        <v>1.5265091573756801E-9</v>
      </c>
      <c r="G95" s="24">
        <v>3.1696486452089398E-4</v>
      </c>
      <c r="H95" s="24" t="s">
        <v>10</v>
      </c>
      <c r="I95" s="24" t="s">
        <v>10</v>
      </c>
      <c r="J95" s="34" t="s">
        <v>10</v>
      </c>
    </row>
    <row r="96" spans="1:10" ht="15.75" customHeight="1" x14ac:dyDescent="0.2">
      <c r="A96" s="24" t="s">
        <v>1620</v>
      </c>
      <c r="B96" s="24">
        <v>19.187749664147798</v>
      </c>
      <c r="C96" s="24">
        <v>6.99645083031068</v>
      </c>
      <c r="D96" s="24">
        <v>1.3177911447533599</v>
      </c>
      <c r="E96" s="24">
        <v>5.3092258649378996</v>
      </c>
      <c r="F96" s="26">
        <v>1.5265091573756801E-9</v>
      </c>
      <c r="G96" s="26">
        <v>2.6716210411134001E-5</v>
      </c>
      <c r="H96" s="24" t="s">
        <v>10</v>
      </c>
      <c r="I96" s="24" t="s">
        <v>10</v>
      </c>
      <c r="J96" s="34" t="s">
        <v>10</v>
      </c>
    </row>
    <row r="97" spans="1:10" ht="15.75" customHeight="1" x14ac:dyDescent="0.2">
      <c r="A97" s="24" t="s">
        <v>1622</v>
      </c>
      <c r="B97" s="24">
        <v>10.0336072811905</v>
      </c>
      <c r="C97" s="24">
        <v>7.0013809980016797</v>
      </c>
      <c r="D97" s="24">
        <v>1.49585289341769</v>
      </c>
      <c r="E97" s="24">
        <v>4.6805277636660296</v>
      </c>
      <c r="F97" s="26">
        <v>1.5265091573756801E-9</v>
      </c>
      <c r="G97" s="24">
        <v>4.2625022644362999E-4</v>
      </c>
      <c r="H97" s="24" t="s">
        <v>10</v>
      </c>
      <c r="I97" s="24" t="s">
        <v>1174</v>
      </c>
      <c r="J97" s="34" t="s">
        <v>10</v>
      </c>
    </row>
    <row r="98" spans="1:10" ht="15.75" customHeight="1" x14ac:dyDescent="0.2">
      <c r="A98" s="24" t="s">
        <v>1624</v>
      </c>
      <c r="B98" s="24">
        <v>10.101916728093</v>
      </c>
      <c r="C98" s="24">
        <v>7.0209956975804602</v>
      </c>
      <c r="D98" s="24">
        <v>1.46013551211822</v>
      </c>
      <c r="E98" s="24">
        <v>4.8084548586830103</v>
      </c>
      <c r="F98" s="26">
        <v>1.5265091573756801E-9</v>
      </c>
      <c r="G98" s="24">
        <v>2.5147982886113601E-4</v>
      </c>
      <c r="H98" s="24" t="s">
        <v>10</v>
      </c>
      <c r="I98" s="24" t="s">
        <v>10</v>
      </c>
      <c r="J98" s="34" t="s">
        <v>10</v>
      </c>
    </row>
    <row r="99" spans="1:10" ht="15.75" customHeight="1" x14ac:dyDescent="0.2">
      <c r="A99" s="24" t="s">
        <v>1626</v>
      </c>
      <c r="B99" s="24">
        <v>10.567070825093399</v>
      </c>
      <c r="C99" s="24">
        <v>7.0724945396862697</v>
      </c>
      <c r="D99" s="24">
        <v>1.52620993205495</v>
      </c>
      <c r="E99" s="24">
        <v>4.6340247112424402</v>
      </c>
      <c r="F99" s="26">
        <v>1.5265091573756801E-9</v>
      </c>
      <c r="G99" s="24">
        <v>5.1138563234218496E-4</v>
      </c>
      <c r="H99" s="24" t="s">
        <v>1375</v>
      </c>
      <c r="I99" s="24" t="s">
        <v>1628</v>
      </c>
      <c r="J99" s="34" t="s">
        <v>10</v>
      </c>
    </row>
    <row r="100" spans="1:10" ht="15.75" customHeight="1" x14ac:dyDescent="0.2">
      <c r="A100" s="24" t="s">
        <v>1629</v>
      </c>
      <c r="B100" s="24">
        <v>10.5055631028801</v>
      </c>
      <c r="C100" s="24">
        <v>7.0762134765187303</v>
      </c>
      <c r="D100" s="24">
        <v>1.46275602990308</v>
      </c>
      <c r="E100" s="24">
        <v>4.83758968130015</v>
      </c>
      <c r="F100" s="26">
        <v>1.5265091573756801E-9</v>
      </c>
      <c r="G100" s="24">
        <v>2.2300917832662401E-4</v>
      </c>
      <c r="H100" s="24" t="s">
        <v>1630</v>
      </c>
      <c r="I100" s="24" t="s">
        <v>1631</v>
      </c>
      <c r="J100" s="34" t="s">
        <v>4380</v>
      </c>
    </row>
    <row r="101" spans="1:10" ht="15.75" customHeight="1" x14ac:dyDescent="0.2">
      <c r="A101" s="24" t="s">
        <v>1633</v>
      </c>
      <c r="B101" s="24">
        <v>10.589833767686001</v>
      </c>
      <c r="C101" s="24">
        <v>7.0855524145324003</v>
      </c>
      <c r="D101" s="24">
        <v>1.53877699544827</v>
      </c>
      <c r="E101" s="24">
        <v>4.6046648965325101</v>
      </c>
      <c r="F101" s="26">
        <v>1.5265091573756801E-9</v>
      </c>
      <c r="G101" s="24">
        <v>5.6679252360777399E-4</v>
      </c>
      <c r="H101" s="24" t="s">
        <v>10</v>
      </c>
      <c r="I101" s="24" t="s">
        <v>10</v>
      </c>
      <c r="J101" s="34" t="s">
        <v>10</v>
      </c>
    </row>
    <row r="102" spans="1:10" ht="15.75" customHeight="1" x14ac:dyDescent="0.2">
      <c r="A102" s="24" t="s">
        <v>1637</v>
      </c>
      <c r="B102" s="24">
        <v>10.908169672754999</v>
      </c>
      <c r="C102" s="24">
        <v>7.1355943510758104</v>
      </c>
      <c r="D102" s="24">
        <v>1.44236189781511</v>
      </c>
      <c r="E102" s="24">
        <v>4.9471594901978602</v>
      </c>
      <c r="F102" s="26">
        <v>1.5265091573756801E-9</v>
      </c>
      <c r="G102" s="24">
        <v>1.37056815925971E-4</v>
      </c>
      <c r="H102" s="24" t="s">
        <v>4356</v>
      </c>
      <c r="I102" s="24" t="s">
        <v>1639</v>
      </c>
      <c r="J102" s="34" t="s">
        <v>10</v>
      </c>
    </row>
    <row r="103" spans="1:10" ht="15.75" customHeight="1" x14ac:dyDescent="0.2">
      <c r="A103" s="24" t="s">
        <v>1640</v>
      </c>
      <c r="B103" s="24">
        <v>11.692365601250801</v>
      </c>
      <c r="C103" s="24">
        <v>7.2282633682058197</v>
      </c>
      <c r="D103" s="24">
        <v>1.4435744609122301</v>
      </c>
      <c r="E103" s="24">
        <v>5.0071981487107298</v>
      </c>
      <c r="F103" s="26">
        <v>1.5265091573756801E-9</v>
      </c>
      <c r="G103" s="24">
        <v>1.04302475248244E-4</v>
      </c>
      <c r="H103" s="24" t="s">
        <v>4355</v>
      </c>
      <c r="I103" s="24" t="s">
        <v>1643</v>
      </c>
      <c r="J103" s="34" t="s">
        <v>10</v>
      </c>
    </row>
    <row r="104" spans="1:10" ht="15.75" customHeight="1" x14ac:dyDescent="0.2">
      <c r="A104" s="24" t="s">
        <v>1644</v>
      </c>
      <c r="B104" s="24">
        <v>12.044856229771</v>
      </c>
      <c r="C104" s="24">
        <v>7.2846239649323197</v>
      </c>
      <c r="D104" s="24">
        <v>1.41964527714737</v>
      </c>
      <c r="E104" s="24">
        <v>5.1312986998907197</v>
      </c>
      <c r="F104" s="26">
        <v>1.5265091573756801E-9</v>
      </c>
      <c r="G104" s="26">
        <v>6.0410070014430098E-5</v>
      </c>
      <c r="H104" s="24" t="s">
        <v>4353</v>
      </c>
      <c r="I104" s="24" t="s">
        <v>4424</v>
      </c>
      <c r="J104" s="34" t="s">
        <v>10</v>
      </c>
    </row>
    <row r="105" spans="1:10" ht="15.75" customHeight="1" x14ac:dyDescent="0.2">
      <c r="A105" s="24" t="s">
        <v>1646</v>
      </c>
      <c r="B105" s="24">
        <v>12.480129331334201</v>
      </c>
      <c r="C105" s="24">
        <v>7.3245348254357703</v>
      </c>
      <c r="D105" s="24">
        <v>1.4392754838237001</v>
      </c>
      <c r="E105" s="24">
        <v>5.0890429995908804</v>
      </c>
      <c r="F105" s="26">
        <v>1.5265091573756801E-9</v>
      </c>
      <c r="G105" s="26">
        <v>7.3169722706410101E-5</v>
      </c>
      <c r="H105" s="24" t="s">
        <v>4354</v>
      </c>
      <c r="I105" s="24" t="s">
        <v>1647</v>
      </c>
      <c r="J105" s="34" t="s">
        <v>10</v>
      </c>
    </row>
    <row r="106" spans="1:10" ht="15.75" customHeight="1" x14ac:dyDescent="0.2">
      <c r="A106" s="24" t="s">
        <v>1649</v>
      </c>
      <c r="B106" s="24">
        <v>13.0964516871899</v>
      </c>
      <c r="C106" s="24">
        <v>7.38808041023914</v>
      </c>
      <c r="D106" s="24">
        <v>1.47640444995105</v>
      </c>
      <c r="E106" s="24">
        <v>5.0041033203903504</v>
      </c>
      <c r="F106" s="26">
        <v>1.5265091573756801E-9</v>
      </c>
      <c r="G106" s="24">
        <v>1.0555033820298601E-4</v>
      </c>
      <c r="H106" s="24" t="s">
        <v>10</v>
      </c>
      <c r="I106" s="24" t="s">
        <v>1650</v>
      </c>
      <c r="J106" s="34" t="s">
        <v>10</v>
      </c>
    </row>
    <row r="107" spans="1:10" ht="15.75" customHeight="1" x14ac:dyDescent="0.2">
      <c r="A107" s="24" t="s">
        <v>1651</v>
      </c>
      <c r="B107" s="24">
        <v>13.6658538553377</v>
      </c>
      <c r="C107" s="24">
        <v>7.4509187064919802</v>
      </c>
      <c r="D107" s="24">
        <v>1.4490254748751701</v>
      </c>
      <c r="E107" s="24">
        <v>5.1420205066676603</v>
      </c>
      <c r="F107" s="26">
        <v>1.5265091573756801E-9</v>
      </c>
      <c r="G107" s="26">
        <v>5.7597236592018503E-5</v>
      </c>
      <c r="H107" s="24" t="s">
        <v>4344</v>
      </c>
      <c r="I107" s="24" t="s">
        <v>1653</v>
      </c>
      <c r="J107" s="34" t="s">
        <v>10</v>
      </c>
    </row>
    <row r="108" spans="1:10" ht="15.75" customHeight="1" x14ac:dyDescent="0.2">
      <c r="A108" s="24" t="s">
        <v>1654</v>
      </c>
      <c r="B108" s="24">
        <v>13.914802339136999</v>
      </c>
      <c r="C108" s="24">
        <v>7.4740931869616096</v>
      </c>
      <c r="D108" s="24">
        <v>1.4584009375709099</v>
      </c>
      <c r="E108" s="24">
        <v>5.1248548971796204</v>
      </c>
      <c r="F108" s="26">
        <v>1.5265091573756801E-9</v>
      </c>
      <c r="G108" s="26">
        <v>6.1936903059186198E-5</v>
      </c>
      <c r="H108" s="24" t="s">
        <v>10</v>
      </c>
      <c r="I108" s="24" t="s">
        <v>10</v>
      </c>
      <c r="J108" s="34" t="s">
        <v>10</v>
      </c>
    </row>
    <row r="109" spans="1:10" ht="15.75" customHeight="1" x14ac:dyDescent="0.2">
      <c r="A109" s="24" t="s">
        <v>1655</v>
      </c>
      <c r="B109" s="24">
        <v>15.1695422364694</v>
      </c>
      <c r="C109" s="24">
        <v>7.5997044849957502</v>
      </c>
      <c r="D109" s="24">
        <v>1.42584455272343</v>
      </c>
      <c r="E109" s="24">
        <v>5.3299670503912697</v>
      </c>
      <c r="F109" s="26">
        <v>1.5265091573756801E-9</v>
      </c>
      <c r="G109" s="26">
        <v>2.4096923925209602E-5</v>
      </c>
      <c r="H109" s="24" t="s">
        <v>10</v>
      </c>
      <c r="I109" s="24" t="s">
        <v>10</v>
      </c>
      <c r="J109" s="34" t="s">
        <v>10</v>
      </c>
    </row>
    <row r="110" spans="1:10" ht="15.75" customHeight="1" x14ac:dyDescent="0.2">
      <c r="A110" s="24" t="s">
        <v>1657</v>
      </c>
      <c r="B110" s="24">
        <v>15.383630070391</v>
      </c>
      <c r="C110" s="24">
        <v>7.6164780281851101</v>
      </c>
      <c r="D110" s="24">
        <v>1.45847096262873</v>
      </c>
      <c r="E110" s="24">
        <v>5.2222349456017199</v>
      </c>
      <c r="F110" s="26">
        <v>1.5265091573756801E-9</v>
      </c>
      <c r="G110" s="26">
        <v>4.0298788304168401E-5</v>
      </c>
      <c r="H110" s="24" t="s">
        <v>1375</v>
      </c>
      <c r="I110" s="24" t="s">
        <v>1660</v>
      </c>
      <c r="J110" s="34" t="s">
        <v>10</v>
      </c>
    </row>
    <row r="111" spans="1:10" ht="15.75" customHeight="1" x14ac:dyDescent="0.2">
      <c r="A111" s="24" t="s">
        <v>1661</v>
      </c>
      <c r="B111" s="24">
        <v>15.9904208850917</v>
      </c>
      <c r="C111" s="24">
        <v>7.6825550988084599</v>
      </c>
      <c r="D111" s="24">
        <v>1.3678304896262401</v>
      </c>
      <c r="E111" s="24">
        <v>5.6165988088975398</v>
      </c>
      <c r="F111" s="26">
        <v>1.5265091573756801E-9</v>
      </c>
      <c r="G111" s="26">
        <v>6.1905363718980601E-6</v>
      </c>
      <c r="H111" s="24" t="s">
        <v>10</v>
      </c>
      <c r="I111" s="24" t="s">
        <v>10</v>
      </c>
      <c r="J111" s="34" t="s">
        <v>10</v>
      </c>
    </row>
    <row r="112" spans="1:10" ht="15.75" customHeight="1" x14ac:dyDescent="0.2">
      <c r="A112" s="24" t="s">
        <v>1663</v>
      </c>
      <c r="B112" s="24">
        <v>16.845416087710301</v>
      </c>
      <c r="C112" s="24">
        <v>7.7621299255264402</v>
      </c>
      <c r="D112" s="24">
        <v>1.35345281091874</v>
      </c>
      <c r="E112" s="24">
        <v>5.7350576709485699</v>
      </c>
      <c r="F112" s="26">
        <v>1.5265091573756801E-9</v>
      </c>
      <c r="G112" s="26">
        <v>3.3587155507138099E-6</v>
      </c>
      <c r="H112" s="24" t="s">
        <v>10</v>
      </c>
      <c r="I112" s="24" t="s">
        <v>10</v>
      </c>
      <c r="J112" s="34" t="s">
        <v>10</v>
      </c>
    </row>
    <row r="113" spans="1:10" ht="15.75" customHeight="1" x14ac:dyDescent="0.2">
      <c r="A113" s="24" t="s">
        <v>1666</v>
      </c>
      <c r="B113" s="24">
        <v>17.4226422351291</v>
      </c>
      <c r="C113" s="24">
        <v>7.8040539894518899</v>
      </c>
      <c r="D113" s="24">
        <v>1.39068841725915</v>
      </c>
      <c r="E113" s="24">
        <v>5.6116480820575196</v>
      </c>
      <c r="F113" s="26">
        <v>1.5265091573756801E-9</v>
      </c>
      <c r="G113" s="26">
        <v>6.3257669898571102E-6</v>
      </c>
      <c r="H113" s="24" t="s">
        <v>1667</v>
      </c>
      <c r="I113" s="24" t="s">
        <v>1668</v>
      </c>
      <c r="J113" s="34" t="s">
        <v>10</v>
      </c>
    </row>
    <row r="114" spans="1:10" ht="15.75" customHeight="1" x14ac:dyDescent="0.2">
      <c r="A114" s="24" t="s">
        <v>1670</v>
      </c>
      <c r="B114" s="24">
        <v>18.303224086046399</v>
      </c>
      <c r="C114" s="24">
        <v>7.8834741328450004</v>
      </c>
      <c r="D114" s="24">
        <v>1.3452641182051099</v>
      </c>
      <c r="E114" s="24">
        <v>5.8601682942107898</v>
      </c>
      <c r="F114" s="26">
        <v>1.5265091573756801E-9</v>
      </c>
      <c r="G114" s="26">
        <v>1.79924762230752E-6</v>
      </c>
      <c r="H114" s="24" t="s">
        <v>1375</v>
      </c>
      <c r="I114" s="24" t="s">
        <v>1672</v>
      </c>
      <c r="J114" s="34" t="s">
        <v>10</v>
      </c>
    </row>
    <row r="115" spans="1:10" ht="15.75" customHeight="1" x14ac:dyDescent="0.2">
      <c r="A115" s="24" t="s">
        <v>1673</v>
      </c>
      <c r="B115" s="24">
        <v>18.512294096072502</v>
      </c>
      <c r="C115" s="24">
        <v>7.8858199319566804</v>
      </c>
      <c r="D115" s="24">
        <v>1.40152367776667</v>
      </c>
      <c r="E115" s="24">
        <v>5.6266048565963303</v>
      </c>
      <c r="F115" s="26">
        <v>1.5265091573756801E-9</v>
      </c>
      <c r="G115" s="26">
        <v>5.9255557946453798E-6</v>
      </c>
      <c r="H115" s="24" t="s">
        <v>10</v>
      </c>
      <c r="I115" s="24" t="s">
        <v>10</v>
      </c>
      <c r="J115" s="34" t="s">
        <v>10</v>
      </c>
    </row>
    <row r="116" spans="1:10" ht="15.75" customHeight="1" x14ac:dyDescent="0.2">
      <c r="A116" s="24" t="s">
        <v>1674</v>
      </c>
      <c r="B116" s="24">
        <v>19.7165460041095</v>
      </c>
      <c r="C116" s="24">
        <v>7.9783125877396603</v>
      </c>
      <c r="D116" s="24">
        <v>1.3674076257805301</v>
      </c>
      <c r="E116" s="24">
        <v>5.8346263669441996</v>
      </c>
      <c r="F116" s="26">
        <v>1.5265091573756801E-9</v>
      </c>
      <c r="G116" s="26">
        <v>2.0448667992215301E-6</v>
      </c>
      <c r="H116" s="24" t="s">
        <v>10</v>
      </c>
      <c r="I116" s="24" t="s">
        <v>10</v>
      </c>
      <c r="J116" s="34" t="s">
        <v>10</v>
      </c>
    </row>
    <row r="117" spans="1:10" ht="15.75" customHeight="1" x14ac:dyDescent="0.2">
      <c r="A117" s="24" t="s">
        <v>1676</v>
      </c>
      <c r="B117" s="24">
        <v>21.395949487483001</v>
      </c>
      <c r="C117" s="24">
        <v>8.1041419832649595</v>
      </c>
      <c r="D117" s="24">
        <v>1.3307208540917499</v>
      </c>
      <c r="E117" s="24">
        <v>6.0900390629229797</v>
      </c>
      <c r="F117" s="26">
        <v>1.5265091573756801E-9</v>
      </c>
      <c r="G117" s="26">
        <v>5.2527900226157704E-7</v>
      </c>
      <c r="H117" s="24" t="s">
        <v>1678</v>
      </c>
      <c r="I117" s="24" t="s">
        <v>1679</v>
      </c>
      <c r="J117" s="34" t="s">
        <v>4360</v>
      </c>
    </row>
    <row r="118" spans="1:10" ht="15.75" customHeight="1" x14ac:dyDescent="0.2">
      <c r="A118" s="24" t="s">
        <v>1680</v>
      </c>
      <c r="B118" s="24">
        <v>22.417330070978799</v>
      </c>
      <c r="C118" s="24">
        <v>8.1692147330585207</v>
      </c>
      <c r="D118" s="24">
        <v>1.40503789788137</v>
      </c>
      <c r="E118" s="24">
        <v>5.8142308797340796</v>
      </c>
      <c r="F118" s="26">
        <v>1.5265091573756801E-9</v>
      </c>
      <c r="G118" s="26">
        <v>2.2353198316546401E-6</v>
      </c>
      <c r="H118" s="24" t="s">
        <v>4352</v>
      </c>
      <c r="I118" s="24" t="s">
        <v>1682</v>
      </c>
      <c r="J118" s="34" t="s">
        <v>10</v>
      </c>
    </row>
    <row r="119" spans="1:10" ht="15.75" customHeight="1" x14ac:dyDescent="0.2">
      <c r="A119" s="24" t="s">
        <v>1683</v>
      </c>
      <c r="B119" s="24">
        <v>22.8295445209185</v>
      </c>
      <c r="C119" s="24">
        <v>8.1911691499611905</v>
      </c>
      <c r="D119" s="24">
        <v>1.35291652398317</v>
      </c>
      <c r="E119" s="24">
        <v>6.0544527358164499</v>
      </c>
      <c r="F119" s="26">
        <v>1.5265091573756801E-9</v>
      </c>
      <c r="G119" s="26">
        <v>6.3596152746581499E-7</v>
      </c>
      <c r="H119" s="24" t="s">
        <v>10</v>
      </c>
      <c r="I119" s="24" t="s">
        <v>1685</v>
      </c>
      <c r="J119" s="34" t="s">
        <v>10</v>
      </c>
    </row>
    <row r="120" spans="1:10" ht="15.75" customHeight="1" x14ac:dyDescent="0.2">
      <c r="A120" s="24" t="s">
        <v>1686</v>
      </c>
      <c r="B120" s="24">
        <v>23.568346622924299</v>
      </c>
      <c r="C120" s="24">
        <v>8.2529841702631099</v>
      </c>
      <c r="D120" s="24">
        <v>1.3266575213317</v>
      </c>
      <c r="E120" s="24">
        <v>6.22088522287107</v>
      </c>
      <c r="F120" s="26">
        <v>1.5265091573756801E-9</v>
      </c>
      <c r="G120" s="26">
        <v>2.5464138601275002E-7</v>
      </c>
      <c r="H120" s="24" t="s">
        <v>1375</v>
      </c>
      <c r="I120" s="24" t="s">
        <v>1689</v>
      </c>
      <c r="J120" s="34" t="s">
        <v>10</v>
      </c>
    </row>
    <row r="121" spans="1:10" ht="15.75" customHeight="1" x14ac:dyDescent="0.2">
      <c r="A121" s="24" t="s">
        <v>1691</v>
      </c>
      <c r="B121" s="24">
        <v>25.695082745691099</v>
      </c>
      <c r="C121" s="24">
        <v>8.3715489769424494</v>
      </c>
      <c r="D121" s="24">
        <v>1.2988939877921299</v>
      </c>
      <c r="E121" s="24">
        <v>6.4451364434848903</v>
      </c>
      <c r="F121" s="26">
        <v>1.5265091573756801E-9</v>
      </c>
      <c r="G121" s="26">
        <v>7.2405054263292201E-8</v>
      </c>
      <c r="H121" s="24" t="s">
        <v>1692</v>
      </c>
      <c r="I121" s="24" t="s">
        <v>4423</v>
      </c>
      <c r="J121" s="34" t="s">
        <v>10</v>
      </c>
    </row>
    <row r="122" spans="1:10" ht="15.75" customHeight="1" x14ac:dyDescent="0.2">
      <c r="A122" s="24" t="s">
        <v>1694</v>
      </c>
      <c r="B122" s="24">
        <v>28.666148835768801</v>
      </c>
      <c r="C122" s="24">
        <v>8.5214073808896007</v>
      </c>
      <c r="D122" s="24">
        <v>1.3093608452036301</v>
      </c>
      <c r="E122" s="24">
        <v>6.5080664448648502</v>
      </c>
      <c r="F122" s="26">
        <v>1.5265091573756801E-9</v>
      </c>
      <c r="G122" s="26">
        <v>4.9086002980475802E-8</v>
      </c>
      <c r="H122" s="24" t="s">
        <v>10</v>
      </c>
      <c r="I122" s="24" t="s">
        <v>10</v>
      </c>
      <c r="J122" s="34" t="s">
        <v>10</v>
      </c>
    </row>
    <row r="123" spans="1:10" ht="15.75" customHeight="1" x14ac:dyDescent="0.2">
      <c r="A123" s="24" t="s">
        <v>1698</v>
      </c>
      <c r="B123" s="24">
        <v>34.760506630022398</v>
      </c>
      <c r="C123" s="24">
        <v>8.8076988707982498</v>
      </c>
      <c r="D123" s="24">
        <v>1.8609815405208401</v>
      </c>
      <c r="E123" s="24">
        <v>4.7328244149768297</v>
      </c>
      <c r="F123" s="26">
        <v>1.5265091573756801E-9</v>
      </c>
      <c r="G123" s="24">
        <v>3.4701735588692797E-4</v>
      </c>
      <c r="H123" s="24" t="s">
        <v>10</v>
      </c>
      <c r="I123" s="24" t="s">
        <v>1699</v>
      </c>
      <c r="J123" s="34" t="s">
        <v>10</v>
      </c>
    </row>
    <row r="124" spans="1:10" ht="15.75" customHeight="1" x14ac:dyDescent="0.2">
      <c r="A124" s="24" t="s">
        <v>1701</v>
      </c>
      <c r="B124" s="24">
        <v>40.983422418358302</v>
      </c>
      <c r="C124" s="24">
        <v>9.0420298761158495</v>
      </c>
      <c r="D124" s="24">
        <v>1.2668448314718901</v>
      </c>
      <c r="E124" s="24">
        <v>7.1374407121433503</v>
      </c>
      <c r="F124" s="26">
        <v>1.5265091573756801E-9</v>
      </c>
      <c r="G124" s="26">
        <v>8.6588563548711497E-10</v>
      </c>
      <c r="H124" s="24" t="s">
        <v>1715</v>
      </c>
      <c r="I124" s="24" t="s">
        <v>1702</v>
      </c>
      <c r="J124" s="34" t="s">
        <v>10</v>
      </c>
    </row>
    <row r="125" spans="1:10" ht="15.75" customHeight="1" x14ac:dyDescent="0.2">
      <c r="A125" s="24" t="s">
        <v>1703</v>
      </c>
      <c r="B125" s="24">
        <v>46.067419362033803</v>
      </c>
      <c r="C125" s="24">
        <v>9.2091950319236897</v>
      </c>
      <c r="D125" s="24">
        <v>1.2704273477202901</v>
      </c>
      <c r="E125" s="24">
        <v>7.2488954590351504</v>
      </c>
      <c r="F125" s="26">
        <v>1.5265091573756801E-9</v>
      </c>
      <c r="G125" s="26">
        <v>4.3104196969037599E-10</v>
      </c>
      <c r="H125" s="24" t="s">
        <v>10</v>
      </c>
      <c r="I125" s="24" t="s">
        <v>10</v>
      </c>
      <c r="J125" s="34" t="s">
        <v>10</v>
      </c>
    </row>
    <row r="126" spans="1:10" ht="15.75" customHeight="1" x14ac:dyDescent="0.2">
      <c r="A126" s="24" t="s">
        <v>1705</v>
      </c>
      <c r="B126" s="24">
        <v>49.703251288098897</v>
      </c>
      <c r="C126" s="24">
        <v>9.3262362983635008</v>
      </c>
      <c r="D126" s="24">
        <v>1.28916365695579</v>
      </c>
      <c r="E126" s="24">
        <v>7.2343307601350997</v>
      </c>
      <c r="F126" s="26">
        <v>1.5265091573756801E-9</v>
      </c>
      <c r="G126" s="26">
        <v>4.6925461180803698E-10</v>
      </c>
      <c r="H126" s="24" t="s">
        <v>1375</v>
      </c>
      <c r="I126" s="24" t="s">
        <v>1707</v>
      </c>
      <c r="J126" s="34" t="s">
        <v>10</v>
      </c>
    </row>
    <row r="127" spans="1:10" ht="15.75" customHeight="1" x14ac:dyDescent="0.2">
      <c r="A127" s="24" t="s">
        <v>1708</v>
      </c>
      <c r="B127" s="24">
        <v>126.950344481092</v>
      </c>
      <c r="C127" s="24">
        <v>9.6894383236335102</v>
      </c>
      <c r="D127" s="24">
        <v>1.6671787868786201</v>
      </c>
      <c r="E127" s="24">
        <v>5.8118771663203397</v>
      </c>
      <c r="F127" s="26">
        <v>1.5265091573756801E-9</v>
      </c>
      <c r="G127" s="26">
        <v>2.2487021857426501E-6</v>
      </c>
      <c r="H127" s="24" t="s">
        <v>10</v>
      </c>
      <c r="I127" s="24" t="s">
        <v>1711</v>
      </c>
      <c r="J127" s="34" t="s">
        <v>10</v>
      </c>
    </row>
    <row r="128" spans="1:10" ht="15.75" customHeight="1" x14ac:dyDescent="0.2">
      <c r="A128" s="24" t="s">
        <v>1712</v>
      </c>
      <c r="B128" s="24">
        <v>39.986248841740803</v>
      </c>
      <c r="C128" s="24">
        <v>-8.5693354673175808</v>
      </c>
      <c r="D128" s="24">
        <v>1.26518227977811</v>
      </c>
      <c r="E128" s="24">
        <v>-6.7732022525801403</v>
      </c>
      <c r="F128" s="26">
        <v>1.5265091573756801E-9</v>
      </c>
      <c r="G128" s="26">
        <v>9.4974319756824792E-9</v>
      </c>
      <c r="H128" s="24" t="s">
        <v>1715</v>
      </c>
      <c r="I128" s="24" t="s">
        <v>1716</v>
      </c>
      <c r="J128" s="34" t="s">
        <v>10</v>
      </c>
    </row>
    <row r="129" spans="1:10" ht="15.75" customHeight="1" x14ac:dyDescent="0.2">
      <c r="A129" s="24" t="s">
        <v>1717</v>
      </c>
      <c r="B129" s="24">
        <v>35.968375528575699</v>
      </c>
      <c r="C129" s="24">
        <v>-8.4110412975763005</v>
      </c>
      <c r="D129" s="24">
        <v>1.27014270439108</v>
      </c>
      <c r="E129" s="24">
        <v>-6.62212306420217</v>
      </c>
      <c r="F129" s="26">
        <v>1.5265091573756801E-9</v>
      </c>
      <c r="G129" s="26">
        <v>2.4587587324917999E-8</v>
      </c>
      <c r="H129" s="24" t="s">
        <v>1375</v>
      </c>
      <c r="I129" s="24" t="s">
        <v>1719</v>
      </c>
      <c r="J129" s="34" t="s">
        <v>10</v>
      </c>
    </row>
    <row r="130" spans="1:10" ht="15.75" customHeight="1" x14ac:dyDescent="0.2">
      <c r="A130" s="24" t="s">
        <v>1720</v>
      </c>
      <c r="B130" s="24">
        <v>29.4252160139004</v>
      </c>
      <c r="C130" s="24">
        <v>-8.1344141131335395</v>
      </c>
      <c r="D130" s="24">
        <v>1.3099274736630699</v>
      </c>
      <c r="E130" s="24">
        <v>-6.2098202203413102</v>
      </c>
      <c r="F130" s="26">
        <v>1.5265091573756801E-9</v>
      </c>
      <c r="G130" s="26">
        <v>2.6902286943978701E-7</v>
      </c>
      <c r="H130" s="24" t="s">
        <v>1375</v>
      </c>
      <c r="I130" s="24" t="s">
        <v>1722</v>
      </c>
      <c r="J130" s="34" t="s">
        <v>10</v>
      </c>
    </row>
    <row r="131" spans="1:10" ht="15.75" customHeight="1" x14ac:dyDescent="0.2">
      <c r="A131" s="24" t="s">
        <v>1723</v>
      </c>
      <c r="B131" s="24">
        <v>16.364216927926702</v>
      </c>
      <c r="C131" s="24">
        <v>-7.2894075991902003</v>
      </c>
      <c r="D131" s="24">
        <v>1.3719030348110901</v>
      </c>
      <c r="E131" s="24">
        <v>-5.3133548175246403</v>
      </c>
      <c r="F131" s="26">
        <v>1.5265091573756801E-9</v>
      </c>
      <c r="G131" s="26">
        <v>2.6258800482300699E-5</v>
      </c>
      <c r="H131" s="24" t="s">
        <v>1725</v>
      </c>
      <c r="I131" s="24" t="s">
        <v>1726</v>
      </c>
      <c r="J131" s="34" t="s">
        <v>10</v>
      </c>
    </row>
    <row r="132" spans="1:10" ht="15.75" customHeight="1" x14ac:dyDescent="0.2">
      <c r="A132" s="24" t="s">
        <v>1727</v>
      </c>
      <c r="B132" s="24">
        <v>15.070873186395</v>
      </c>
      <c r="C132" s="24">
        <v>-7.1679871923596403</v>
      </c>
      <c r="D132" s="24">
        <v>1.37563685597282</v>
      </c>
      <c r="E132" s="24">
        <v>-5.2106681797868903</v>
      </c>
      <c r="F132" s="26">
        <v>1.5265091573756801E-9</v>
      </c>
      <c r="G132" s="26">
        <v>4.1429539953236703E-5</v>
      </c>
      <c r="H132" s="24" t="s">
        <v>1375</v>
      </c>
      <c r="I132" s="24" t="s">
        <v>4420</v>
      </c>
      <c r="J132" s="34" t="s">
        <v>10</v>
      </c>
    </row>
    <row r="133" spans="1:10" ht="15.75" customHeight="1" x14ac:dyDescent="0.2">
      <c r="A133" s="24" t="s">
        <v>1729</v>
      </c>
      <c r="B133" s="24">
        <v>15.1385914134451</v>
      </c>
      <c r="C133" s="24">
        <v>-7.1538978903674701</v>
      </c>
      <c r="D133" s="24">
        <v>1.4395616934031701</v>
      </c>
      <c r="E133" s="24">
        <v>-4.9694972595828304</v>
      </c>
      <c r="F133" s="26">
        <v>1.5265091573756801E-9</v>
      </c>
      <c r="G133" s="24">
        <v>1.2366933615919201E-4</v>
      </c>
      <c r="H133" s="24" t="s">
        <v>4349</v>
      </c>
      <c r="I133" s="24" t="s">
        <v>4387</v>
      </c>
      <c r="J133" s="34" t="s">
        <v>4357</v>
      </c>
    </row>
    <row r="134" spans="1:10" ht="15.75" customHeight="1" x14ac:dyDescent="0.2">
      <c r="A134" s="24" t="s">
        <v>1731</v>
      </c>
      <c r="B134" s="24">
        <v>13.4944834721116</v>
      </c>
      <c r="C134" s="24">
        <v>-6.9894044610792596</v>
      </c>
      <c r="D134" s="24">
        <v>1.4223552625240901</v>
      </c>
      <c r="E134" s="24">
        <v>-4.9139653399080903</v>
      </c>
      <c r="F134" s="26">
        <v>1.5265091573756801E-9</v>
      </c>
      <c r="G134" s="24">
        <v>1.59864749070763E-4</v>
      </c>
      <c r="H134" s="24" t="s">
        <v>10</v>
      </c>
      <c r="I134" s="24" t="s">
        <v>10</v>
      </c>
      <c r="J134" s="34" t="s">
        <v>10</v>
      </c>
    </row>
    <row r="135" spans="1:10" ht="15.75" customHeight="1" x14ac:dyDescent="0.2">
      <c r="A135" s="24" t="s">
        <v>1733</v>
      </c>
      <c r="B135" s="24">
        <v>10.918406775912301</v>
      </c>
      <c r="C135" s="24">
        <v>-6.7060145338682098</v>
      </c>
      <c r="D135" s="24">
        <v>1.4456858857575401</v>
      </c>
      <c r="E135" s="24">
        <v>-4.63863872500509</v>
      </c>
      <c r="F135" s="26">
        <v>1.5265091573756801E-9</v>
      </c>
      <c r="G135" s="24">
        <v>5.0355933612106197E-4</v>
      </c>
      <c r="H135" s="24" t="s">
        <v>10</v>
      </c>
      <c r="I135" s="24" t="s">
        <v>1735</v>
      </c>
      <c r="J135" s="34" t="s">
        <v>10</v>
      </c>
    </row>
    <row r="136" spans="1:10" ht="15.75" customHeight="1" x14ac:dyDescent="0.2">
      <c r="A136" s="24" t="s">
        <v>1736</v>
      </c>
      <c r="B136" s="24">
        <v>10.728902615556599</v>
      </c>
      <c r="C136" s="24">
        <v>-6.67132329971622</v>
      </c>
      <c r="D136" s="24">
        <v>1.4411238236189301</v>
      </c>
      <c r="E136" s="24">
        <v>-4.6292505823429604</v>
      </c>
      <c r="F136" s="26">
        <v>1.5265091573756801E-9</v>
      </c>
      <c r="G136" s="24">
        <v>5.1927565808521504E-4</v>
      </c>
      <c r="H136" s="24" t="s">
        <v>10</v>
      </c>
      <c r="I136" s="24" t="s">
        <v>4397</v>
      </c>
      <c r="J136" s="34" t="s">
        <v>10</v>
      </c>
    </row>
    <row r="137" spans="1:10" ht="15.75" customHeight="1" x14ac:dyDescent="0.2">
      <c r="A137" s="24" t="s">
        <v>1738</v>
      </c>
      <c r="B137" s="24">
        <v>9.8979841032767606</v>
      </c>
      <c r="C137" s="24">
        <v>-6.5519714152712902</v>
      </c>
      <c r="D137" s="24">
        <v>1.45556093177421</v>
      </c>
      <c r="E137" s="24">
        <v>-4.5013377813630902</v>
      </c>
      <c r="F137" s="26">
        <v>1.5265091573756801E-9</v>
      </c>
      <c r="G137" s="24">
        <v>8.4431312014050103E-4</v>
      </c>
      <c r="H137" s="24" t="s">
        <v>1741</v>
      </c>
      <c r="I137" s="24" t="s">
        <v>1742</v>
      </c>
      <c r="J137" s="34" t="s">
        <v>10</v>
      </c>
    </row>
    <row r="138" spans="1:10" ht="15.75" customHeight="1" x14ac:dyDescent="0.2">
      <c r="A138" s="24" t="s">
        <v>1743</v>
      </c>
      <c r="B138" s="24">
        <v>19.796098843572501</v>
      </c>
      <c r="C138" s="24">
        <v>-4.7632535514566801</v>
      </c>
      <c r="D138" s="24">
        <v>1.00708079051545</v>
      </c>
      <c r="E138" s="24">
        <v>-4.7297630898298904</v>
      </c>
      <c r="F138" s="26">
        <v>1.5265091573756801E-9</v>
      </c>
      <c r="G138" s="24">
        <v>3.49861539767636E-4</v>
      </c>
      <c r="H138" s="24" t="s">
        <v>1375</v>
      </c>
      <c r="I138" s="24" t="s">
        <v>1745</v>
      </c>
      <c r="J138" s="34" t="s">
        <v>10</v>
      </c>
    </row>
    <row r="139" spans="1:10" ht="15.75" customHeight="1" x14ac:dyDescent="0.2">
      <c r="A139" s="24" t="s">
        <v>1746</v>
      </c>
      <c r="B139" s="24">
        <v>30.735359315420599</v>
      </c>
      <c r="C139" s="24">
        <v>-4.4869645742148201</v>
      </c>
      <c r="D139" s="24">
        <v>0.76187861045462901</v>
      </c>
      <c r="E139" s="24">
        <v>-5.8893431481654996</v>
      </c>
      <c r="F139" s="26">
        <v>1.5265091573756801E-9</v>
      </c>
      <c r="G139" s="26">
        <v>1.5351870162515599E-6</v>
      </c>
      <c r="H139" s="24" t="s">
        <v>1749</v>
      </c>
      <c r="I139" s="24" t="s">
        <v>1750</v>
      </c>
      <c r="J139" s="34" t="s">
        <v>10</v>
      </c>
    </row>
    <row r="140" spans="1:10" ht="15.75" customHeight="1" x14ac:dyDescent="0.2">
      <c r="A140" s="24" t="s">
        <v>1751</v>
      </c>
      <c r="B140" s="24">
        <v>33.252872577145702</v>
      </c>
      <c r="C140" s="24">
        <v>-4.3412116992588601</v>
      </c>
      <c r="D140" s="24">
        <v>0.78036262533022205</v>
      </c>
      <c r="E140" s="24">
        <v>-5.5630697298218399</v>
      </c>
      <c r="F140" s="26">
        <v>1.5265091573756801E-9</v>
      </c>
      <c r="G140" s="26">
        <v>7.7190067921804894E-6</v>
      </c>
      <c r="H140" s="24" t="s">
        <v>10</v>
      </c>
      <c r="I140" s="24" t="s">
        <v>10</v>
      </c>
      <c r="J140" s="34" t="s">
        <v>10</v>
      </c>
    </row>
    <row r="141" spans="1:10" ht="15.75" customHeight="1" x14ac:dyDescent="0.2">
      <c r="A141" s="24" t="s">
        <v>1754</v>
      </c>
      <c r="B141" s="24">
        <v>44.843614526491599</v>
      </c>
      <c r="C141" s="24">
        <v>-4.26494281732933</v>
      </c>
      <c r="D141" s="24">
        <v>0.65319839417099201</v>
      </c>
      <c r="E141" s="24">
        <v>-6.5293222631727197</v>
      </c>
      <c r="F141" s="26">
        <v>1.5265091573756801E-9</v>
      </c>
      <c r="G141" s="26">
        <v>4.3854552125548601E-8</v>
      </c>
      <c r="H141" s="24" t="s">
        <v>10</v>
      </c>
      <c r="I141" s="24" t="s">
        <v>10</v>
      </c>
      <c r="J141" s="34" t="s">
        <v>10</v>
      </c>
    </row>
    <row r="142" spans="1:10" ht="15.75" customHeight="1" x14ac:dyDescent="0.2">
      <c r="A142" s="24" t="s">
        <v>1755</v>
      </c>
      <c r="B142" s="24">
        <v>23.1944553396924</v>
      </c>
      <c r="C142" s="24">
        <v>-4.1931584519043099</v>
      </c>
      <c r="D142" s="24">
        <v>0.85888113882267703</v>
      </c>
      <c r="E142" s="24">
        <v>-4.8821172830179203</v>
      </c>
      <c r="F142" s="26">
        <v>1.5265091573756801E-9</v>
      </c>
      <c r="G142" s="24">
        <v>1.83614515804965E-4</v>
      </c>
      <c r="H142" s="24" t="s">
        <v>10</v>
      </c>
      <c r="I142" s="24" t="s">
        <v>1759</v>
      </c>
      <c r="J142" s="34" t="s">
        <v>10</v>
      </c>
    </row>
    <row r="143" spans="1:10" ht="15.75" customHeight="1" x14ac:dyDescent="0.2">
      <c r="A143" s="24" t="s">
        <v>1760</v>
      </c>
      <c r="B143" s="24">
        <v>24.652167281866699</v>
      </c>
      <c r="C143" s="24">
        <v>-3.9859000757566601</v>
      </c>
      <c r="D143" s="24">
        <v>0.73974873472081604</v>
      </c>
      <c r="E143" s="24">
        <v>-5.38818099805329</v>
      </c>
      <c r="F143" s="26">
        <v>1.5265091573756801E-9</v>
      </c>
      <c r="G143" s="26">
        <v>1.81502649097378E-5</v>
      </c>
      <c r="H143" s="24" t="s">
        <v>10</v>
      </c>
      <c r="I143" s="24" t="s">
        <v>10</v>
      </c>
      <c r="J143" s="34" t="s">
        <v>10</v>
      </c>
    </row>
    <row r="144" spans="1:10" ht="15.75" customHeight="1" x14ac:dyDescent="0.2">
      <c r="A144" s="24" t="s">
        <v>1765</v>
      </c>
      <c r="B144" s="24">
        <v>216.44977235114601</v>
      </c>
      <c r="C144" s="24">
        <v>-3.7566459100406702</v>
      </c>
      <c r="D144" s="24">
        <v>0.35607934736869601</v>
      </c>
      <c r="E144" s="24">
        <v>-10.550024700396101</v>
      </c>
      <c r="F144" s="26">
        <v>1.5265091573756801E-9</v>
      </c>
      <c r="G144" s="26">
        <v>2.54691754141767E-22</v>
      </c>
      <c r="H144" s="24" t="s">
        <v>1767</v>
      </c>
      <c r="I144" s="24" t="s">
        <v>1768</v>
      </c>
      <c r="J144" s="34" t="s">
        <v>4358</v>
      </c>
    </row>
    <row r="145" spans="1:10" ht="15.75" customHeight="1" x14ac:dyDescent="0.2">
      <c r="A145" s="24" t="s">
        <v>1770</v>
      </c>
      <c r="B145" s="24">
        <v>49.1441186052148</v>
      </c>
      <c r="C145" s="24">
        <v>-3.64790278893333</v>
      </c>
      <c r="D145" s="24">
        <v>0.58347006295333004</v>
      </c>
      <c r="E145" s="24">
        <v>-6.25208218990511</v>
      </c>
      <c r="F145" s="26">
        <v>1.5265091573756801E-9</v>
      </c>
      <c r="G145" s="26">
        <v>2.12572248991201E-7</v>
      </c>
      <c r="H145" s="24" t="s">
        <v>1771</v>
      </c>
      <c r="I145" s="24" t="s">
        <v>1773</v>
      </c>
      <c r="J145" s="34" t="s">
        <v>4372</v>
      </c>
    </row>
    <row r="146" spans="1:10" ht="15.75" customHeight="1" x14ac:dyDescent="0.2">
      <c r="A146" s="24" t="s">
        <v>1774</v>
      </c>
      <c r="B146" s="24">
        <v>23.810712072660301</v>
      </c>
      <c r="C146" s="24">
        <v>-3.5700974101943399</v>
      </c>
      <c r="D146" s="24">
        <v>0.71457504028520202</v>
      </c>
      <c r="E146" s="24">
        <v>-4.9961126668648204</v>
      </c>
      <c r="F146" s="26">
        <v>1.5265091573756801E-9</v>
      </c>
      <c r="G146" s="24">
        <v>1.0956022077544501E-4</v>
      </c>
      <c r="H146" s="24" t="s">
        <v>10</v>
      </c>
      <c r="I146" s="24" t="s">
        <v>10</v>
      </c>
      <c r="J146" s="34" t="s">
        <v>10</v>
      </c>
    </row>
    <row r="147" spans="1:10" ht="15.75" customHeight="1" x14ac:dyDescent="0.2">
      <c r="A147" s="24" t="s">
        <v>1776</v>
      </c>
      <c r="B147" s="24">
        <v>1031.3026053712199</v>
      </c>
      <c r="C147" s="24">
        <v>-3.4364877638484601</v>
      </c>
      <c r="D147" s="24">
        <v>0.24801588439207101</v>
      </c>
      <c r="E147" s="24">
        <v>-13.855918028282201</v>
      </c>
      <c r="F147" s="26">
        <v>1.5265091573756801E-9</v>
      </c>
      <c r="G147" s="26">
        <v>2.64388780622336E-39</v>
      </c>
      <c r="H147" s="24" t="s">
        <v>10</v>
      </c>
      <c r="I147" s="24" t="s">
        <v>1778</v>
      </c>
      <c r="J147" s="34" t="s">
        <v>10</v>
      </c>
    </row>
    <row r="148" spans="1:10" ht="15.75" customHeight="1" x14ac:dyDescent="0.2">
      <c r="A148" s="24" t="s">
        <v>1780</v>
      </c>
      <c r="B148" s="24">
        <v>35.452455161749803</v>
      </c>
      <c r="C148" s="24">
        <v>-3.3766549061061202</v>
      </c>
      <c r="D148" s="24">
        <v>0.60411176301032699</v>
      </c>
      <c r="E148" s="24">
        <v>-5.5894539932148302</v>
      </c>
      <c r="F148" s="26">
        <v>1.5265091573756801E-9</v>
      </c>
      <c r="G148" s="26">
        <v>6.8543454876069898E-6</v>
      </c>
      <c r="H148" s="24" t="s">
        <v>4323</v>
      </c>
      <c r="I148" s="24" t="s">
        <v>1782</v>
      </c>
      <c r="J148" s="34" t="s">
        <v>10</v>
      </c>
    </row>
    <row r="149" spans="1:10" ht="15.75" customHeight="1" x14ac:dyDescent="0.2">
      <c r="A149" s="24" t="s">
        <v>1783</v>
      </c>
      <c r="B149" s="24">
        <v>273.87819269628602</v>
      </c>
      <c r="C149" s="24">
        <v>-3.2783289206036201</v>
      </c>
      <c r="D149" s="24">
        <v>0.29388413122356299</v>
      </c>
      <c r="E149" s="24">
        <v>-11.1551750240973</v>
      </c>
      <c r="F149" s="26">
        <v>1.5265091573756801E-9</v>
      </c>
      <c r="G149" s="26">
        <v>4.3563486475754099E-25</v>
      </c>
      <c r="H149" s="24" t="s">
        <v>10</v>
      </c>
      <c r="I149" s="24" t="s">
        <v>10</v>
      </c>
      <c r="J149" s="34" t="s">
        <v>10</v>
      </c>
    </row>
    <row r="150" spans="1:10" ht="15.75" customHeight="1" x14ac:dyDescent="0.2">
      <c r="A150" s="24" t="s">
        <v>1787</v>
      </c>
      <c r="B150" s="24">
        <v>106.17210899066001</v>
      </c>
      <c r="C150" s="24">
        <v>-3.2556597382240899</v>
      </c>
      <c r="D150" s="24">
        <v>0.37071377485914397</v>
      </c>
      <c r="E150" s="24">
        <v>-8.7821385635349394</v>
      </c>
      <c r="F150" s="26">
        <v>1.5265091573756801E-9</v>
      </c>
      <c r="G150" s="26">
        <v>4.0220908288008301E-15</v>
      </c>
      <c r="H150" s="24" t="s">
        <v>1375</v>
      </c>
      <c r="I150" s="24" t="s">
        <v>1790</v>
      </c>
      <c r="J150" s="34" t="s">
        <v>10</v>
      </c>
    </row>
    <row r="151" spans="1:10" ht="15.75" customHeight="1" x14ac:dyDescent="0.2">
      <c r="A151" s="24" t="s">
        <v>1792</v>
      </c>
      <c r="B151" s="24">
        <v>177.86999952960701</v>
      </c>
      <c r="C151" s="24">
        <v>-3.20177574262771</v>
      </c>
      <c r="D151" s="24">
        <v>0.28050994458303902</v>
      </c>
      <c r="E151" s="24">
        <v>-11.414125611079299</v>
      </c>
      <c r="F151" s="26">
        <v>1.5265091573756801E-9</v>
      </c>
      <c r="G151" s="26">
        <v>3.04361670879429E-26</v>
      </c>
      <c r="H151" s="24" t="s">
        <v>10</v>
      </c>
      <c r="I151" s="24" t="s">
        <v>10</v>
      </c>
      <c r="J151" s="34" t="s">
        <v>10</v>
      </c>
    </row>
    <row r="152" spans="1:10" ht="15.75" customHeight="1" x14ac:dyDescent="0.2">
      <c r="A152" s="24" t="s">
        <v>1796</v>
      </c>
      <c r="B152" s="24">
        <v>38.311410683372799</v>
      </c>
      <c r="C152" s="24">
        <v>-3.0521304361466601</v>
      </c>
      <c r="D152" s="24">
        <v>0.68003222827341603</v>
      </c>
      <c r="E152" s="24">
        <v>-4.48821439521467</v>
      </c>
      <c r="F152" s="26">
        <v>1.5265091573756801E-9</v>
      </c>
      <c r="G152" s="24">
        <v>8.9062033637075596E-4</v>
      </c>
      <c r="H152" s="24" t="s">
        <v>10</v>
      </c>
      <c r="I152" s="24" t="s">
        <v>10</v>
      </c>
      <c r="J152" s="34" t="s">
        <v>10</v>
      </c>
    </row>
    <row r="153" spans="1:10" ht="15.75" customHeight="1" x14ac:dyDescent="0.2">
      <c r="A153" s="24" t="s">
        <v>1799</v>
      </c>
      <c r="B153" s="24">
        <v>1211.05633874567</v>
      </c>
      <c r="C153" s="24">
        <v>-3.0172410166761701</v>
      </c>
      <c r="D153" s="24">
        <v>0.19355068896209801</v>
      </c>
      <c r="E153" s="24">
        <v>-15.5888931879081</v>
      </c>
      <c r="F153" s="26">
        <v>1.5265091573756801E-9</v>
      </c>
      <c r="G153" s="26">
        <v>3.9098276336485699E-50</v>
      </c>
      <c r="H153" s="24" t="s">
        <v>10</v>
      </c>
      <c r="I153" s="24" t="s">
        <v>10</v>
      </c>
      <c r="J153" s="34" t="s">
        <v>10</v>
      </c>
    </row>
    <row r="154" spans="1:10" ht="15.75" customHeight="1" x14ac:dyDescent="0.2">
      <c r="A154" s="24" t="s">
        <v>1801</v>
      </c>
      <c r="B154" s="24">
        <v>109.351075368624</v>
      </c>
      <c r="C154" s="24">
        <v>-2.9990909403138502</v>
      </c>
      <c r="D154" s="24">
        <v>0.367460286123236</v>
      </c>
      <c r="E154" s="24">
        <v>-8.1616736653496105</v>
      </c>
      <c r="F154" s="26">
        <v>1.5265091573756801E-9</v>
      </c>
      <c r="G154" s="26">
        <v>5.1427213122311401E-13</v>
      </c>
      <c r="H154" s="24" t="s">
        <v>1375</v>
      </c>
      <c r="I154" s="24" t="s">
        <v>1750</v>
      </c>
      <c r="J154" s="34" t="s">
        <v>10</v>
      </c>
    </row>
    <row r="155" spans="1:10" ht="15.75" customHeight="1" x14ac:dyDescent="0.2">
      <c r="A155" s="24" t="s">
        <v>1803</v>
      </c>
      <c r="B155" s="24">
        <v>88.013512119953106</v>
      </c>
      <c r="C155" s="24">
        <v>-2.9508732885630402</v>
      </c>
      <c r="D155" s="24">
        <v>0.404955389476502</v>
      </c>
      <c r="E155" s="24">
        <v>-7.2869095343507304</v>
      </c>
      <c r="F155" s="26">
        <v>1.5265091573756801E-9</v>
      </c>
      <c r="G155" s="26">
        <v>3.3290710926005798E-10</v>
      </c>
      <c r="H155" s="24" t="s">
        <v>10</v>
      </c>
      <c r="I155" s="24" t="s">
        <v>1805</v>
      </c>
      <c r="J155" s="34" t="s">
        <v>10</v>
      </c>
    </row>
    <row r="156" spans="1:10" ht="15.75" customHeight="1" x14ac:dyDescent="0.2">
      <c r="A156" s="24" t="s">
        <v>1806</v>
      </c>
      <c r="B156" s="24">
        <v>65.636882308914295</v>
      </c>
      <c r="C156" s="24">
        <v>-2.9493702728583302</v>
      </c>
      <c r="D156" s="24">
        <v>0.49410522792706002</v>
      </c>
      <c r="E156" s="24">
        <v>-5.9691136748986704</v>
      </c>
      <c r="F156" s="26">
        <v>1.5265091573756801E-9</v>
      </c>
      <c r="G156" s="26">
        <v>1.01577784825403E-6</v>
      </c>
      <c r="H156" s="24" t="s">
        <v>1375</v>
      </c>
      <c r="I156" s="24" t="s">
        <v>1808</v>
      </c>
      <c r="J156" s="34" t="s">
        <v>10</v>
      </c>
    </row>
    <row r="157" spans="1:10" ht="15.75" customHeight="1" x14ac:dyDescent="0.2">
      <c r="A157" s="24" t="s">
        <v>1809</v>
      </c>
      <c r="B157" s="24">
        <v>72.509445964085401</v>
      </c>
      <c r="C157" s="24">
        <v>-2.8022586816247599</v>
      </c>
      <c r="D157" s="24">
        <v>0.46887639485081101</v>
      </c>
      <c r="E157" s="24">
        <v>-5.9765403257641001</v>
      </c>
      <c r="F157" s="26">
        <v>1.5265091573756801E-9</v>
      </c>
      <c r="G157" s="26">
        <v>9.7980026438533798E-7</v>
      </c>
      <c r="H157" s="24" t="s">
        <v>10</v>
      </c>
      <c r="I157" s="24" t="s">
        <v>10</v>
      </c>
      <c r="J157" s="34" t="s">
        <v>10</v>
      </c>
    </row>
    <row r="158" spans="1:10" ht="15.75" customHeight="1" x14ac:dyDescent="0.2">
      <c r="A158" s="24" t="s">
        <v>1811</v>
      </c>
      <c r="B158" s="24">
        <v>523.06832843494306</v>
      </c>
      <c r="C158" s="24">
        <v>-2.74976692426951</v>
      </c>
      <c r="D158" s="24">
        <v>0.25299031513377601</v>
      </c>
      <c r="E158" s="24">
        <v>-10.8690600381896</v>
      </c>
      <c r="F158" s="26">
        <v>1.5265091573756801E-9</v>
      </c>
      <c r="G158" s="26">
        <v>9.1323305917001794E-24</v>
      </c>
      <c r="H158" s="24" t="s">
        <v>1375</v>
      </c>
      <c r="I158" s="24" t="s">
        <v>1750</v>
      </c>
      <c r="J158" s="34" t="s">
        <v>10</v>
      </c>
    </row>
    <row r="159" spans="1:10" ht="15.75" customHeight="1" x14ac:dyDescent="0.2">
      <c r="A159" s="24" t="s">
        <v>1813</v>
      </c>
      <c r="B159" s="24">
        <v>571.15146321279599</v>
      </c>
      <c r="C159" s="24">
        <v>-2.7203549952152999</v>
      </c>
      <c r="D159" s="24">
        <v>0.19777335457334999</v>
      </c>
      <c r="E159" s="24">
        <v>-13.7549115303416</v>
      </c>
      <c r="F159" s="26">
        <v>1.5265091573756801E-9</v>
      </c>
      <c r="G159" s="26">
        <v>7.1596680143886795E-39</v>
      </c>
      <c r="H159" s="24" t="s">
        <v>10</v>
      </c>
      <c r="I159" s="24" t="s">
        <v>10</v>
      </c>
      <c r="J159" s="34" t="s">
        <v>10</v>
      </c>
    </row>
    <row r="160" spans="1:10" ht="15.75" customHeight="1" x14ac:dyDescent="0.2">
      <c r="A160" s="24" t="s">
        <v>1818</v>
      </c>
      <c r="B160" s="24">
        <v>123.03759079324701</v>
      </c>
      <c r="C160" s="24">
        <v>-2.61717567934034</v>
      </c>
      <c r="D160" s="24">
        <v>0.38642019808355199</v>
      </c>
      <c r="E160" s="24">
        <v>-6.7728749488774298</v>
      </c>
      <c r="F160" s="26">
        <v>1.5265091573756801E-9</v>
      </c>
      <c r="G160" s="26">
        <v>9.4974319756824792E-9</v>
      </c>
      <c r="H160" s="24" t="s">
        <v>10</v>
      </c>
      <c r="I160" s="24" t="s">
        <v>10</v>
      </c>
      <c r="J160" s="34" t="s">
        <v>10</v>
      </c>
    </row>
    <row r="161" spans="1:10" ht="15.75" customHeight="1" x14ac:dyDescent="0.2">
      <c r="A161" s="24" t="s">
        <v>1819</v>
      </c>
      <c r="B161" s="24">
        <v>44.565922123891802</v>
      </c>
      <c r="C161" s="24">
        <v>-2.5544660172937501</v>
      </c>
      <c r="D161" s="24">
        <v>0.47164587448469403</v>
      </c>
      <c r="E161" s="24">
        <v>-5.4160677650041604</v>
      </c>
      <c r="F161" s="26">
        <v>1.5265091573756801E-9</v>
      </c>
      <c r="G161" s="26">
        <v>1.5624587690113301E-5</v>
      </c>
      <c r="H161" s="24" t="s">
        <v>1375</v>
      </c>
      <c r="I161" s="24" t="s">
        <v>1821</v>
      </c>
      <c r="J161" s="34" t="s">
        <v>10</v>
      </c>
    </row>
    <row r="162" spans="1:10" ht="15.75" customHeight="1" x14ac:dyDescent="0.2">
      <c r="A162" s="24" t="s">
        <v>1822</v>
      </c>
      <c r="B162" s="24">
        <v>34.924690278401599</v>
      </c>
      <c r="C162" s="24">
        <v>-2.5419499675211501</v>
      </c>
      <c r="D162" s="24">
        <v>0.53058052631950703</v>
      </c>
      <c r="E162" s="24">
        <v>-4.7908844019473698</v>
      </c>
      <c r="F162" s="26">
        <v>1.5265091573756801E-9</v>
      </c>
      <c r="G162" s="24">
        <v>2.71554292284957E-4</v>
      </c>
      <c r="H162" s="24" t="s">
        <v>10</v>
      </c>
      <c r="I162" s="24" t="s">
        <v>10</v>
      </c>
      <c r="J162" s="34" t="s">
        <v>10</v>
      </c>
    </row>
    <row r="163" spans="1:10" ht="15.75" customHeight="1" x14ac:dyDescent="0.2">
      <c r="A163" s="24" t="s">
        <v>1824</v>
      </c>
      <c r="B163" s="24">
        <v>33.809457761224799</v>
      </c>
      <c r="C163" s="24">
        <v>-2.4685810863537601</v>
      </c>
      <c r="D163" s="24">
        <v>0.53161264430284205</v>
      </c>
      <c r="E163" s="24">
        <v>-4.6435710527372098</v>
      </c>
      <c r="F163" s="26">
        <v>1.5265091573756801E-9</v>
      </c>
      <c r="G163" s="24">
        <v>4.9382207030141605E-4</v>
      </c>
      <c r="H163" s="24" t="s">
        <v>10</v>
      </c>
      <c r="I163" s="24" t="s">
        <v>10</v>
      </c>
      <c r="J163" s="34" t="s">
        <v>10</v>
      </c>
    </row>
    <row r="164" spans="1:10" ht="15.75" customHeight="1" x14ac:dyDescent="0.2">
      <c r="A164" s="24" t="s">
        <v>1828</v>
      </c>
      <c r="B164" s="24">
        <v>149.46974743811899</v>
      </c>
      <c r="C164" s="24">
        <v>-2.4430434868973401</v>
      </c>
      <c r="D164" s="24">
        <v>0.390080546833588</v>
      </c>
      <c r="E164" s="24">
        <v>-6.2629205858336903</v>
      </c>
      <c r="F164" s="26">
        <v>1.5265091573756801E-9</v>
      </c>
      <c r="G164" s="26">
        <v>2.0302679859296501E-7</v>
      </c>
      <c r="H164" s="24" t="s">
        <v>10</v>
      </c>
      <c r="I164" s="24" t="s">
        <v>10</v>
      </c>
      <c r="J164" s="34" t="s">
        <v>10</v>
      </c>
    </row>
    <row r="165" spans="1:10" ht="15.75" customHeight="1" x14ac:dyDescent="0.2">
      <c r="A165" s="24" t="s">
        <v>1831</v>
      </c>
      <c r="B165" s="24">
        <v>204.92170574345701</v>
      </c>
      <c r="C165" s="24">
        <v>-2.4309242586999402</v>
      </c>
      <c r="D165" s="24">
        <v>0.279234365409959</v>
      </c>
      <c r="E165" s="24">
        <v>-8.7056772368650694</v>
      </c>
      <c r="F165" s="26">
        <v>1.5265091573756801E-9</v>
      </c>
      <c r="G165" s="26">
        <v>7.4608364034347901E-15</v>
      </c>
      <c r="H165" s="24" t="s">
        <v>10</v>
      </c>
      <c r="I165" s="24" t="s">
        <v>1832</v>
      </c>
      <c r="J165" s="34" t="s">
        <v>10</v>
      </c>
    </row>
    <row r="166" spans="1:10" ht="15.75" customHeight="1" x14ac:dyDescent="0.2">
      <c r="A166" s="24" t="s">
        <v>1833</v>
      </c>
      <c r="B166" s="24">
        <v>243.75616723782301</v>
      </c>
      <c r="C166" s="24">
        <v>-2.4299960952531401</v>
      </c>
      <c r="D166" s="24">
        <v>0.35265420923088098</v>
      </c>
      <c r="E166" s="24">
        <v>-6.8905914962785202</v>
      </c>
      <c r="F166" s="26">
        <v>1.5265091573756801E-9</v>
      </c>
      <c r="G166" s="26">
        <v>4.5597296325103303E-9</v>
      </c>
      <c r="H166" s="24" t="s">
        <v>10</v>
      </c>
      <c r="I166" s="24" t="s">
        <v>1834</v>
      </c>
      <c r="J166" s="34" t="s">
        <v>10</v>
      </c>
    </row>
    <row r="167" spans="1:10" ht="15.75" customHeight="1" x14ac:dyDescent="0.2">
      <c r="A167" s="24" t="s">
        <v>1835</v>
      </c>
      <c r="B167" s="24">
        <v>57.140406318170498</v>
      </c>
      <c r="C167" s="24">
        <v>-2.4219512727179402</v>
      </c>
      <c r="D167" s="24">
        <v>0.41864135779503298</v>
      </c>
      <c r="E167" s="24">
        <v>-5.7852651861112196</v>
      </c>
      <c r="F167" s="26">
        <v>1.5265091573756801E-9</v>
      </c>
      <c r="G167" s="26">
        <v>2.59351565539839E-6</v>
      </c>
      <c r="H167" s="24" t="s">
        <v>1836</v>
      </c>
      <c r="I167" s="24" t="s">
        <v>1837</v>
      </c>
      <c r="J167" s="34" t="s">
        <v>4364</v>
      </c>
    </row>
    <row r="168" spans="1:10" ht="15.75" customHeight="1" x14ac:dyDescent="0.2">
      <c r="A168" s="24" t="s">
        <v>1838</v>
      </c>
      <c r="B168" s="24">
        <v>79.001980975559803</v>
      </c>
      <c r="C168" s="24">
        <v>-2.4188590238060299</v>
      </c>
      <c r="D168" s="24">
        <v>0.45301736186994102</v>
      </c>
      <c r="E168" s="24">
        <v>-5.3394400025235198</v>
      </c>
      <c r="F168" s="26">
        <v>1.5265091573756801E-9</v>
      </c>
      <c r="G168" s="26">
        <v>2.2996220480743198E-5</v>
      </c>
      <c r="H168" s="24" t="s">
        <v>10</v>
      </c>
      <c r="I168" s="24" t="s">
        <v>10</v>
      </c>
      <c r="J168" s="34" t="s">
        <v>10</v>
      </c>
    </row>
    <row r="169" spans="1:10" ht="15.75" customHeight="1" x14ac:dyDescent="0.2">
      <c r="A169" s="24" t="s">
        <v>1839</v>
      </c>
      <c r="B169" s="24">
        <v>223.83150394414099</v>
      </c>
      <c r="C169" s="24">
        <v>-2.4066747816342402</v>
      </c>
      <c r="D169" s="24">
        <v>0.36112088331467801</v>
      </c>
      <c r="E169" s="24">
        <v>-6.6644575067044398</v>
      </c>
      <c r="F169" s="26">
        <v>1.5265091573756801E-9</v>
      </c>
      <c r="G169" s="26">
        <v>1.9032391944906202E-8</v>
      </c>
      <c r="H169" s="24" t="s">
        <v>10</v>
      </c>
      <c r="I169" s="24" t="s">
        <v>1174</v>
      </c>
      <c r="J169" s="34" t="s">
        <v>10</v>
      </c>
    </row>
    <row r="170" spans="1:10" ht="15.75" customHeight="1" x14ac:dyDescent="0.2">
      <c r="A170" s="24" t="s">
        <v>1840</v>
      </c>
      <c r="B170" s="24">
        <v>72.014174779361497</v>
      </c>
      <c r="C170" s="24">
        <v>-2.4043377064613298</v>
      </c>
      <c r="D170" s="24">
        <v>0.403543516133687</v>
      </c>
      <c r="E170" s="24">
        <v>-5.9580630349288404</v>
      </c>
      <c r="F170" s="26">
        <v>1.5265091573756801E-9</v>
      </c>
      <c r="G170" s="26">
        <v>1.06675896228085E-6</v>
      </c>
      <c r="H170" s="24" t="s">
        <v>1749</v>
      </c>
      <c r="I170" s="24" t="s">
        <v>1750</v>
      </c>
      <c r="J170" s="34" t="s">
        <v>4359</v>
      </c>
    </row>
    <row r="171" spans="1:10" ht="15.75" customHeight="1" x14ac:dyDescent="0.2">
      <c r="A171" s="24" t="s">
        <v>1841</v>
      </c>
      <c r="B171" s="24">
        <v>40.557154740440602</v>
      </c>
      <c r="C171" s="24">
        <v>-2.40114140142822</v>
      </c>
      <c r="D171" s="24">
        <v>0.49104837599314999</v>
      </c>
      <c r="E171" s="24">
        <v>-4.8898265808778802</v>
      </c>
      <c r="F171" s="26">
        <v>1.5265091573756801E-9</v>
      </c>
      <c r="G171" s="24">
        <v>1.77254670400044E-4</v>
      </c>
      <c r="H171" s="24" t="s">
        <v>10</v>
      </c>
      <c r="I171" s="24" t="s">
        <v>1842</v>
      </c>
      <c r="J171" s="34" t="s">
        <v>10</v>
      </c>
    </row>
    <row r="172" spans="1:10" ht="15.75" customHeight="1" x14ac:dyDescent="0.2">
      <c r="A172" s="24" t="s">
        <v>1843</v>
      </c>
      <c r="B172" s="24">
        <v>49.924538386860199</v>
      </c>
      <c r="C172" s="24">
        <v>-2.38994769893401</v>
      </c>
      <c r="D172" s="24">
        <v>0.52667834135382496</v>
      </c>
      <c r="E172" s="24">
        <v>-4.5377747882904398</v>
      </c>
      <c r="F172" s="26">
        <v>1.5265091573756801E-9</v>
      </c>
      <c r="G172" s="24">
        <v>7.2900007231730898E-4</v>
      </c>
      <c r="H172" s="24" t="s">
        <v>1375</v>
      </c>
      <c r="I172" s="24" t="s">
        <v>4409</v>
      </c>
      <c r="J172" s="34" t="s">
        <v>10</v>
      </c>
    </row>
    <row r="173" spans="1:10" ht="15.75" customHeight="1" x14ac:dyDescent="0.2">
      <c r="A173" s="24" t="s">
        <v>1844</v>
      </c>
      <c r="B173" s="24">
        <v>155.28369553436099</v>
      </c>
      <c r="C173" s="24">
        <v>-2.38588675567541</v>
      </c>
      <c r="D173" s="24">
        <v>0.393099729011403</v>
      </c>
      <c r="E173" s="24">
        <v>-6.0694184696479399</v>
      </c>
      <c r="F173" s="26">
        <v>1.5265091573756801E-9</v>
      </c>
      <c r="G173" s="26">
        <v>5.9126818120981604E-7</v>
      </c>
      <c r="H173" s="24" t="s">
        <v>1375</v>
      </c>
      <c r="I173" s="24" t="s">
        <v>1174</v>
      </c>
      <c r="J173" s="34" t="s">
        <v>10</v>
      </c>
    </row>
    <row r="174" spans="1:10" ht="15.75" customHeight="1" x14ac:dyDescent="0.2">
      <c r="A174" s="24" t="s">
        <v>1845</v>
      </c>
      <c r="B174" s="24">
        <v>41.807620161859198</v>
      </c>
      <c r="C174" s="24">
        <v>-2.3324183060306201</v>
      </c>
      <c r="D174" s="24">
        <v>0.51477431187085099</v>
      </c>
      <c r="E174" s="24">
        <v>-4.5309531813152804</v>
      </c>
      <c r="F174" s="26">
        <v>1.5265091573756801E-9</v>
      </c>
      <c r="G174" s="24">
        <v>7.4868960798270896E-4</v>
      </c>
      <c r="H174" s="24" t="s">
        <v>10</v>
      </c>
      <c r="I174" s="24" t="s">
        <v>10</v>
      </c>
      <c r="J174" s="34" t="s">
        <v>10</v>
      </c>
    </row>
    <row r="175" spans="1:10" ht="15.75" customHeight="1" x14ac:dyDescent="0.2">
      <c r="A175" s="24" t="s">
        <v>1846</v>
      </c>
      <c r="B175" s="24">
        <v>58.774011915889197</v>
      </c>
      <c r="C175" s="24">
        <v>-2.32130626061294</v>
      </c>
      <c r="D175" s="24">
        <v>0.44399155584201699</v>
      </c>
      <c r="E175" s="24">
        <v>-5.22826668676311</v>
      </c>
      <c r="F175" s="26">
        <v>1.5265091573756801E-9</v>
      </c>
      <c r="G175" s="26">
        <v>3.9204252480939997E-5</v>
      </c>
      <c r="H175" s="24" t="s">
        <v>10</v>
      </c>
      <c r="I175" s="24" t="s">
        <v>1847</v>
      </c>
      <c r="J175" s="34" t="s">
        <v>10</v>
      </c>
    </row>
    <row r="176" spans="1:10" ht="15.75" customHeight="1" x14ac:dyDescent="0.2">
      <c r="A176" s="24" t="s">
        <v>1848</v>
      </c>
      <c r="B176" s="24">
        <v>292.94550905236099</v>
      </c>
      <c r="C176" s="24">
        <v>-2.29638430680984</v>
      </c>
      <c r="D176" s="24">
        <v>0.30535451027938199</v>
      </c>
      <c r="E176" s="24">
        <v>-7.5203877116757898</v>
      </c>
      <c r="F176" s="26">
        <v>1.5265091573756801E-9</v>
      </c>
      <c r="G176" s="26">
        <v>6.1627849819371295E-11</v>
      </c>
      <c r="H176" s="24" t="s">
        <v>10</v>
      </c>
      <c r="I176" s="24" t="s">
        <v>1849</v>
      </c>
      <c r="J176" s="34" t="s">
        <v>10</v>
      </c>
    </row>
    <row r="177" spans="1:10" ht="15.75" customHeight="1" x14ac:dyDescent="0.2">
      <c r="A177" s="24" t="s">
        <v>1850</v>
      </c>
      <c r="B177" s="24">
        <v>72.942183696187698</v>
      </c>
      <c r="C177" s="24">
        <v>-2.2720238283565002</v>
      </c>
      <c r="D177" s="24">
        <v>0.37005831997818001</v>
      </c>
      <c r="E177" s="24">
        <v>-6.1396372022941303</v>
      </c>
      <c r="F177" s="26">
        <v>1.5265091573756801E-9</v>
      </c>
      <c r="G177" s="26">
        <v>3.92977736704731E-7</v>
      </c>
      <c r="H177" s="24" t="s">
        <v>10</v>
      </c>
      <c r="I177" s="24" t="s">
        <v>10</v>
      </c>
      <c r="J177" s="34" t="s">
        <v>10</v>
      </c>
    </row>
    <row r="178" spans="1:10" ht="15.75" customHeight="1" x14ac:dyDescent="0.2">
      <c r="A178" s="24" t="s">
        <v>1851</v>
      </c>
      <c r="B178" s="24">
        <v>306.20182151890901</v>
      </c>
      <c r="C178" s="24">
        <v>-2.2312131868009901</v>
      </c>
      <c r="D178" s="24">
        <v>0.31798056008152797</v>
      </c>
      <c r="E178" s="24">
        <v>-7.0168226203165602</v>
      </c>
      <c r="F178" s="26">
        <v>1.5265091573756801E-9</v>
      </c>
      <c r="G178" s="26">
        <v>1.9329745878046401E-9</v>
      </c>
      <c r="H178" s="24" t="s">
        <v>4348</v>
      </c>
      <c r="I178" s="24" t="s">
        <v>10</v>
      </c>
      <c r="J178" s="34" t="s">
        <v>10</v>
      </c>
    </row>
    <row r="179" spans="1:10" ht="15.75" customHeight="1" x14ac:dyDescent="0.2">
      <c r="A179" s="24" t="s">
        <v>1852</v>
      </c>
      <c r="B179" s="24">
        <v>1147.2152371074501</v>
      </c>
      <c r="C179" s="24">
        <v>-2.2128160417682601</v>
      </c>
      <c r="D179" s="24">
        <v>0.21009058026702301</v>
      </c>
      <c r="E179" s="24">
        <v>-10.532676138815001</v>
      </c>
      <c r="F179" s="26">
        <v>1.5265091573756801E-9</v>
      </c>
      <c r="G179" s="26">
        <v>2.7566549351094498E-22</v>
      </c>
      <c r="H179" s="24" t="s">
        <v>1749</v>
      </c>
      <c r="I179" s="24" t="s">
        <v>4416</v>
      </c>
      <c r="J179" s="34" t="s">
        <v>4359</v>
      </c>
    </row>
    <row r="180" spans="1:10" ht="15.75" customHeight="1" x14ac:dyDescent="0.2">
      <c r="A180" s="24" t="s">
        <v>1853</v>
      </c>
      <c r="B180" s="24">
        <v>75.934610777703995</v>
      </c>
      <c r="C180" s="24">
        <v>-2.18363011626978</v>
      </c>
      <c r="D180" s="24">
        <v>0.37440636113652298</v>
      </c>
      <c r="E180" s="24">
        <v>-5.8322463049006403</v>
      </c>
      <c r="F180" s="26">
        <v>1.5265091573756801E-9</v>
      </c>
      <c r="G180" s="26">
        <v>2.05697259167145E-6</v>
      </c>
      <c r="H180" s="24" t="s">
        <v>1375</v>
      </c>
      <c r="I180" s="24" t="s">
        <v>1854</v>
      </c>
      <c r="J180" s="34" t="s">
        <v>10</v>
      </c>
    </row>
    <row r="181" spans="1:10" ht="15.75" customHeight="1" x14ac:dyDescent="0.2">
      <c r="A181" s="24" t="s">
        <v>1855</v>
      </c>
      <c r="B181" s="24">
        <v>184.297593534166</v>
      </c>
      <c r="C181" s="24">
        <v>-2.1773874700442901</v>
      </c>
      <c r="D181" s="24">
        <v>0.40584313481938999</v>
      </c>
      <c r="E181" s="24">
        <v>-5.3650962237251703</v>
      </c>
      <c r="F181" s="26">
        <v>1.5265091573756801E-9</v>
      </c>
      <c r="G181" s="26">
        <v>2.00651514091772E-5</v>
      </c>
      <c r="H181" s="24" t="s">
        <v>10</v>
      </c>
      <c r="I181" s="24" t="s">
        <v>1174</v>
      </c>
      <c r="J181" s="34" t="s">
        <v>10</v>
      </c>
    </row>
    <row r="182" spans="1:10" ht="15.75" customHeight="1" x14ac:dyDescent="0.2">
      <c r="A182" s="24" t="s">
        <v>1856</v>
      </c>
      <c r="B182" s="24">
        <v>74.601013379063104</v>
      </c>
      <c r="C182" s="24">
        <v>-2.1717006077551702</v>
      </c>
      <c r="D182" s="24">
        <v>0.37277452940362799</v>
      </c>
      <c r="E182" s="24">
        <v>-5.8257751977569301</v>
      </c>
      <c r="F182" s="26">
        <v>1.5265091573756801E-9</v>
      </c>
      <c r="G182" s="26">
        <v>2.12062193309633E-6</v>
      </c>
      <c r="H182" s="24" t="s">
        <v>1375</v>
      </c>
      <c r="I182" s="24" t="s">
        <v>1857</v>
      </c>
      <c r="J182" s="34" t="s">
        <v>10</v>
      </c>
    </row>
    <row r="183" spans="1:10" ht="15.75" customHeight="1" x14ac:dyDescent="0.2">
      <c r="A183" s="24" t="s">
        <v>1858</v>
      </c>
      <c r="B183" s="24">
        <v>78.327917349333902</v>
      </c>
      <c r="C183" s="24">
        <v>-2.1366504489379401</v>
      </c>
      <c r="D183" s="24">
        <v>0.363278017789814</v>
      </c>
      <c r="E183" s="24">
        <v>-5.8815847486102601</v>
      </c>
      <c r="F183" s="26">
        <v>1.5265091573756801E-9</v>
      </c>
      <c r="G183" s="26">
        <v>1.59493272413316E-6</v>
      </c>
      <c r="H183" s="24" t="s">
        <v>1375</v>
      </c>
      <c r="I183" s="24" t="s">
        <v>1857</v>
      </c>
      <c r="J183" s="34" t="s">
        <v>10</v>
      </c>
    </row>
    <row r="184" spans="1:10" ht="15.75" customHeight="1" x14ac:dyDescent="0.2">
      <c r="A184" s="24" t="s">
        <v>1859</v>
      </c>
      <c r="B184" s="24">
        <v>69.077936681747701</v>
      </c>
      <c r="C184" s="24">
        <v>-2.1362189054715102</v>
      </c>
      <c r="D184" s="24">
        <v>0.38788585085291699</v>
      </c>
      <c r="E184" s="24">
        <v>-5.5073390812637504</v>
      </c>
      <c r="F184" s="26">
        <v>1.5265091573756801E-9</v>
      </c>
      <c r="G184" s="26">
        <v>1.00879299112315E-5</v>
      </c>
      <c r="H184" s="24" t="s">
        <v>10</v>
      </c>
      <c r="I184" s="24" t="s">
        <v>10</v>
      </c>
      <c r="J184" s="34" t="s">
        <v>10</v>
      </c>
    </row>
    <row r="185" spans="1:10" ht="15.75" customHeight="1" x14ac:dyDescent="0.2">
      <c r="A185" s="24" t="s">
        <v>1860</v>
      </c>
      <c r="B185" s="24">
        <v>82.531346986958496</v>
      </c>
      <c r="C185" s="24">
        <v>-2.1337629383882</v>
      </c>
      <c r="D185" s="24">
        <v>0.44143660779273503</v>
      </c>
      <c r="E185" s="24">
        <v>-4.8336791754934199</v>
      </c>
      <c r="F185" s="26">
        <v>1.5265091573756801E-9</v>
      </c>
      <c r="G185" s="24">
        <v>2.24900607970585E-4</v>
      </c>
      <c r="H185" s="24" t="s">
        <v>10</v>
      </c>
      <c r="I185" s="24" t="s">
        <v>1861</v>
      </c>
      <c r="J185" s="34" t="s">
        <v>10</v>
      </c>
    </row>
    <row r="186" spans="1:10" ht="15.75" customHeight="1" x14ac:dyDescent="0.2">
      <c r="A186" s="24" t="s">
        <v>1862</v>
      </c>
      <c r="B186" s="24">
        <v>116.532232180642</v>
      </c>
      <c r="C186" s="24">
        <v>-2.1242595404399198</v>
      </c>
      <c r="D186" s="24">
        <v>0.34356952415698799</v>
      </c>
      <c r="E186" s="24">
        <v>-6.1829102731162902</v>
      </c>
      <c r="F186" s="26">
        <v>1.5265091573756801E-9</v>
      </c>
      <c r="G186" s="26">
        <v>3.0542939876009199E-7</v>
      </c>
      <c r="H186" s="24" t="s">
        <v>1375</v>
      </c>
      <c r="I186" s="24" t="s">
        <v>4418</v>
      </c>
      <c r="J186" s="34" t="s">
        <v>10</v>
      </c>
    </row>
    <row r="187" spans="1:10" ht="15.75" customHeight="1" x14ac:dyDescent="0.2">
      <c r="A187" s="24" t="s">
        <v>1863</v>
      </c>
      <c r="B187" s="24">
        <v>75.812317583854707</v>
      </c>
      <c r="C187" s="24">
        <v>-2.1232909372363702</v>
      </c>
      <c r="D187" s="24">
        <v>0.39086541713100997</v>
      </c>
      <c r="E187" s="24">
        <v>-5.4322814047390704</v>
      </c>
      <c r="F187" s="26">
        <v>1.5265091573756801E-9</v>
      </c>
      <c r="G187" s="26">
        <v>1.4656256791313401E-5</v>
      </c>
      <c r="H187" s="24" t="s">
        <v>10</v>
      </c>
      <c r="I187" s="24" t="s">
        <v>4419</v>
      </c>
      <c r="J187" s="34" t="s">
        <v>10</v>
      </c>
    </row>
    <row r="188" spans="1:10" ht="15.75" customHeight="1" x14ac:dyDescent="0.2">
      <c r="A188" s="24" t="s">
        <v>1864</v>
      </c>
      <c r="B188" s="24">
        <v>657.877111722167</v>
      </c>
      <c r="C188" s="24">
        <v>-2.1168559755887402</v>
      </c>
      <c r="D188" s="24">
        <v>0.20914470626762099</v>
      </c>
      <c r="E188" s="24">
        <v>-10.121489629673</v>
      </c>
      <c r="F188" s="26">
        <v>1.5265091573756801E-9</v>
      </c>
      <c r="G188" s="26">
        <v>1.8203010675614899E-20</v>
      </c>
      <c r="H188" s="24" t="s">
        <v>1375</v>
      </c>
      <c r="I188" s="24" t="s">
        <v>1750</v>
      </c>
      <c r="J188" s="34" t="s">
        <v>10</v>
      </c>
    </row>
    <row r="189" spans="1:10" ht="15.75" customHeight="1" x14ac:dyDescent="0.2">
      <c r="A189" s="24" t="s">
        <v>1865</v>
      </c>
      <c r="B189" s="24">
        <v>136.741301690227</v>
      </c>
      <c r="C189" s="24">
        <v>-2.1135061556789401</v>
      </c>
      <c r="D189" s="24">
        <v>0.29700971745612098</v>
      </c>
      <c r="E189" s="24">
        <v>-7.1159495176826404</v>
      </c>
      <c r="F189" s="26">
        <v>1.5265091573756801E-9</v>
      </c>
      <c r="G189" s="26">
        <v>9.8367660610925492E-10</v>
      </c>
      <c r="H189" s="24" t="s">
        <v>10</v>
      </c>
      <c r="I189" s="24" t="s">
        <v>4417</v>
      </c>
      <c r="J189" s="34" t="s">
        <v>10</v>
      </c>
    </row>
    <row r="190" spans="1:10" ht="15.75" customHeight="1" x14ac:dyDescent="0.2">
      <c r="A190" s="24" t="s">
        <v>1866</v>
      </c>
      <c r="B190" s="24">
        <v>87.970121064357699</v>
      </c>
      <c r="C190" s="24">
        <v>-2.1105264437801199</v>
      </c>
      <c r="D190" s="24">
        <v>0.38374382933221901</v>
      </c>
      <c r="E190" s="24">
        <v>-5.4998316128048401</v>
      </c>
      <c r="F190" s="26">
        <v>1.5265091573756801E-9</v>
      </c>
      <c r="G190" s="26">
        <v>1.0462814817311001E-5</v>
      </c>
      <c r="H190" s="24" t="s">
        <v>10</v>
      </c>
      <c r="I190" s="24" t="s">
        <v>10</v>
      </c>
      <c r="J190" s="34" t="s">
        <v>10</v>
      </c>
    </row>
    <row r="191" spans="1:10" ht="15.75" customHeight="1" x14ac:dyDescent="0.2">
      <c r="A191" s="24" t="s">
        <v>1867</v>
      </c>
      <c r="B191" s="24">
        <v>146.845891602091</v>
      </c>
      <c r="C191" s="24">
        <v>-2.1046137592482599</v>
      </c>
      <c r="D191" s="24">
        <v>0.29303651854624901</v>
      </c>
      <c r="E191" s="24">
        <v>-7.1820869620251599</v>
      </c>
      <c r="F191" s="26">
        <v>1.5265091573756801E-9</v>
      </c>
      <c r="G191" s="26">
        <v>6.5933850037362999E-10</v>
      </c>
      <c r="H191" s="24" t="s">
        <v>4325</v>
      </c>
      <c r="I191" s="24" t="s">
        <v>4389</v>
      </c>
      <c r="J191" s="34" t="s">
        <v>10</v>
      </c>
    </row>
    <row r="192" spans="1:10" ht="15.75" customHeight="1" x14ac:dyDescent="0.2">
      <c r="A192" s="24" t="s">
        <v>1868</v>
      </c>
      <c r="B192" s="24">
        <v>211.408645290507</v>
      </c>
      <c r="C192" s="24">
        <v>-2.0930844389116401</v>
      </c>
      <c r="D192" s="24">
        <v>0.35746361608042498</v>
      </c>
      <c r="E192" s="24">
        <v>-5.8553775678270004</v>
      </c>
      <c r="F192" s="26">
        <v>1.5265091573756801E-9</v>
      </c>
      <c r="G192" s="26">
        <v>1.83606329973137E-6</v>
      </c>
      <c r="H192" s="24" t="s">
        <v>10</v>
      </c>
      <c r="I192" s="24" t="s">
        <v>1869</v>
      </c>
      <c r="J192" s="34" t="s">
        <v>10</v>
      </c>
    </row>
    <row r="193" spans="1:10" ht="15.75" customHeight="1" x14ac:dyDescent="0.2">
      <c r="A193" s="24" t="s">
        <v>1870</v>
      </c>
      <c r="B193" s="24">
        <v>127.33342875779501</v>
      </c>
      <c r="C193" s="24">
        <v>-2.0584747668601402</v>
      </c>
      <c r="D193" s="24">
        <v>0.44281769243103503</v>
      </c>
      <c r="E193" s="24">
        <v>-4.6485829316332596</v>
      </c>
      <c r="F193" s="26">
        <v>1.5265091573756801E-9</v>
      </c>
      <c r="G193" s="24">
        <v>4.85075061015908E-4</v>
      </c>
      <c r="H193" s="24" t="s">
        <v>1375</v>
      </c>
      <c r="I193" s="24" t="s">
        <v>4421</v>
      </c>
      <c r="J193" s="34" t="s">
        <v>10</v>
      </c>
    </row>
    <row r="194" spans="1:10" ht="15.75" customHeight="1" x14ac:dyDescent="0.2">
      <c r="A194" s="24" t="s">
        <v>1871</v>
      </c>
      <c r="B194" s="24">
        <v>397.38695358460899</v>
      </c>
      <c r="C194" s="24">
        <v>-2.02884662011349</v>
      </c>
      <c r="D194" s="24">
        <v>0.30258824490154101</v>
      </c>
      <c r="E194" s="24">
        <v>-6.7049750091040501</v>
      </c>
      <c r="F194" s="26">
        <v>1.5265091573756801E-9</v>
      </c>
      <c r="G194" s="26">
        <v>1.4665218015025001E-8</v>
      </c>
      <c r="H194" s="24" t="s">
        <v>4321</v>
      </c>
      <c r="I194" s="24" t="s">
        <v>1872</v>
      </c>
      <c r="J194" s="34" t="s">
        <v>10</v>
      </c>
    </row>
    <row r="195" spans="1:10" ht="15.75" customHeight="1" x14ac:dyDescent="0.2">
      <c r="A195" s="24" t="s">
        <v>1873</v>
      </c>
      <c r="B195" s="24">
        <v>105.405557472265</v>
      </c>
      <c r="C195" s="24">
        <v>-2.0035123833135402</v>
      </c>
      <c r="D195" s="24">
        <v>0.33291049891810598</v>
      </c>
      <c r="E195" s="24">
        <v>-6.0181712196658399</v>
      </c>
      <c r="F195" s="26">
        <v>1.5265091573756801E-9</v>
      </c>
      <c r="G195" s="26">
        <v>7.7301958457773496E-7</v>
      </c>
      <c r="H195" s="24" t="s">
        <v>10</v>
      </c>
      <c r="I195" s="24" t="s">
        <v>1874</v>
      </c>
      <c r="J195" s="34" t="s">
        <v>10</v>
      </c>
    </row>
    <row r="196" spans="1:10" ht="15.75" customHeight="1" x14ac:dyDescent="0.2">
      <c r="A196" s="2"/>
      <c r="B196" s="2"/>
      <c r="C196" s="2"/>
      <c r="D196" s="2"/>
      <c r="E196" s="2"/>
      <c r="F196" s="2"/>
      <c r="G196" s="2"/>
      <c r="H196" s="2"/>
      <c r="I196" s="2"/>
    </row>
    <row r="197" spans="1:10" ht="15.75" customHeight="1" x14ac:dyDescent="0.2">
      <c r="A197" s="2"/>
      <c r="B197" s="2"/>
      <c r="C197" s="2"/>
      <c r="D197" s="2"/>
      <c r="E197" s="2"/>
      <c r="F197" s="2"/>
      <c r="G197" s="2"/>
      <c r="H197" s="2"/>
      <c r="I197" s="2"/>
    </row>
    <row r="198" spans="1:10" ht="15.75" customHeight="1" x14ac:dyDescent="0.2">
      <c r="A198" s="2"/>
      <c r="B198" s="2"/>
      <c r="C198" s="2"/>
      <c r="D198" s="2"/>
      <c r="E198" s="2"/>
      <c r="F198" s="2"/>
      <c r="G198" s="2"/>
      <c r="H198" s="2"/>
      <c r="I198" s="2"/>
    </row>
    <row r="199" spans="1:10" ht="15.75" customHeight="1" x14ac:dyDescent="0.2">
      <c r="A199" s="2"/>
      <c r="B199" s="2"/>
      <c r="C199" s="2"/>
      <c r="D199" s="2"/>
      <c r="E199" s="2"/>
      <c r="F199" s="2"/>
      <c r="G199" s="2"/>
      <c r="H199" s="2"/>
      <c r="I199" s="2"/>
    </row>
    <row r="200" spans="1:10" ht="15.75" customHeight="1" x14ac:dyDescent="0.2">
      <c r="A200" s="2"/>
      <c r="B200" s="2"/>
      <c r="C200" s="2"/>
      <c r="D200" s="2"/>
      <c r="E200" s="2"/>
      <c r="F200" s="2"/>
      <c r="G200" s="2"/>
      <c r="H200" s="2"/>
      <c r="I200" s="2"/>
    </row>
    <row r="201" spans="1:10" ht="15.75" customHeight="1" x14ac:dyDescent="0.2">
      <c r="A201" s="2"/>
      <c r="B201" s="2"/>
      <c r="C201" s="2"/>
      <c r="D201" s="2"/>
      <c r="E201" s="2"/>
      <c r="F201" s="2"/>
      <c r="G201" s="2"/>
      <c r="H201" s="2"/>
      <c r="I201" s="2"/>
    </row>
    <row r="202" spans="1:10" ht="15.75" customHeight="1" x14ac:dyDescent="0.2">
      <c r="A202" s="2"/>
      <c r="B202" s="2"/>
      <c r="C202" s="2"/>
      <c r="D202" s="2"/>
      <c r="E202" s="2"/>
      <c r="F202" s="2"/>
      <c r="G202" s="2"/>
      <c r="H202" s="2"/>
      <c r="I202" s="2"/>
    </row>
    <row r="203" spans="1:10" ht="15.75" customHeight="1" x14ac:dyDescent="0.2">
      <c r="A203" s="2"/>
      <c r="B203" s="2"/>
      <c r="C203" s="2"/>
      <c r="D203" s="2"/>
      <c r="E203" s="2"/>
      <c r="F203" s="2"/>
      <c r="G203" s="2"/>
      <c r="H203" s="2"/>
      <c r="I203" s="2"/>
    </row>
    <row r="204" spans="1:10" ht="15.75" customHeight="1" x14ac:dyDescent="0.2">
      <c r="A204" s="2"/>
      <c r="B204" s="2"/>
      <c r="C204" s="2"/>
      <c r="D204" s="2"/>
      <c r="E204" s="2"/>
      <c r="F204" s="2"/>
      <c r="G204" s="2"/>
      <c r="H204" s="2"/>
      <c r="I204" s="2"/>
    </row>
    <row r="205" spans="1:10" ht="15.75" customHeight="1" x14ac:dyDescent="0.2">
      <c r="A205" s="2"/>
      <c r="B205" s="2"/>
      <c r="C205" s="2"/>
      <c r="D205" s="2"/>
      <c r="E205" s="2"/>
      <c r="F205" s="2"/>
      <c r="G205" s="2"/>
      <c r="H205" s="2"/>
      <c r="I205" s="2"/>
    </row>
    <row r="206" spans="1:10" ht="15.75" customHeight="1" x14ac:dyDescent="0.2">
      <c r="A206" s="2"/>
      <c r="B206" s="2"/>
      <c r="C206" s="2"/>
      <c r="D206" s="2"/>
      <c r="E206" s="2"/>
      <c r="F206" s="2"/>
      <c r="G206" s="2"/>
      <c r="H206" s="2"/>
      <c r="I206" s="2"/>
    </row>
    <row r="207" spans="1:10" ht="15.75" customHeight="1" x14ac:dyDescent="0.2">
      <c r="A207" s="2"/>
      <c r="B207" s="2"/>
      <c r="C207" s="2"/>
      <c r="D207" s="2"/>
      <c r="E207" s="2"/>
      <c r="F207" s="2"/>
      <c r="G207" s="2"/>
      <c r="H207" s="2"/>
      <c r="I207" s="2"/>
    </row>
    <row r="208" spans="1:10" ht="15.75" customHeight="1" x14ac:dyDescent="0.2">
      <c r="A208" s="2"/>
      <c r="B208" s="2"/>
      <c r="C208" s="2"/>
      <c r="D208" s="2"/>
      <c r="E208" s="2"/>
      <c r="F208" s="2"/>
      <c r="G208" s="2"/>
      <c r="H208" s="2"/>
      <c r="I208" s="2"/>
    </row>
    <row r="209" spans="1:9" ht="15.75" customHeight="1" x14ac:dyDescent="0.2">
      <c r="A209" s="2"/>
      <c r="B209" s="2"/>
      <c r="C209" s="2"/>
      <c r="D209" s="2"/>
      <c r="E209" s="2"/>
      <c r="F209" s="2"/>
      <c r="G209" s="2"/>
      <c r="H209" s="2"/>
      <c r="I209" s="2"/>
    </row>
    <row r="210" spans="1:9" ht="15.75" customHeight="1" x14ac:dyDescent="0.2">
      <c r="A210" s="2"/>
      <c r="B210" s="2"/>
      <c r="C210" s="2"/>
      <c r="D210" s="2"/>
      <c r="E210" s="2"/>
      <c r="F210" s="2"/>
      <c r="G210" s="2"/>
      <c r="H210" s="2"/>
      <c r="I210" s="2"/>
    </row>
    <row r="211" spans="1:9" ht="15.75" customHeight="1" x14ac:dyDescent="0.2">
      <c r="A211" s="2"/>
      <c r="B211" s="2"/>
      <c r="C211" s="2"/>
      <c r="D211" s="2"/>
      <c r="E211" s="2"/>
      <c r="F211" s="2"/>
      <c r="G211" s="2"/>
      <c r="H211" s="2"/>
      <c r="I211" s="2"/>
    </row>
    <row r="212" spans="1:9" ht="15.75" customHeight="1" x14ac:dyDescent="0.2">
      <c r="A212" s="2"/>
      <c r="B212" s="2"/>
      <c r="C212" s="2"/>
      <c r="D212" s="2"/>
      <c r="E212" s="2"/>
      <c r="F212" s="2"/>
      <c r="G212" s="2"/>
      <c r="H212" s="2"/>
      <c r="I212" s="2"/>
    </row>
    <row r="213" spans="1:9" ht="15.75" customHeight="1" x14ac:dyDescent="0.2">
      <c r="A213" s="2"/>
      <c r="B213" s="2"/>
      <c r="C213" s="2"/>
      <c r="D213" s="2"/>
      <c r="E213" s="2"/>
      <c r="F213" s="2"/>
      <c r="G213" s="2"/>
      <c r="H213" s="2"/>
      <c r="I213" s="2"/>
    </row>
    <row r="214" spans="1:9" ht="15.75" customHeight="1" x14ac:dyDescent="0.2">
      <c r="A214" s="2"/>
      <c r="B214" s="2"/>
      <c r="C214" s="2"/>
      <c r="D214" s="2"/>
      <c r="E214" s="2"/>
      <c r="F214" s="2"/>
      <c r="G214" s="2"/>
      <c r="H214" s="2"/>
      <c r="I214" s="2"/>
    </row>
    <row r="215" spans="1:9" ht="15.75" customHeight="1" x14ac:dyDescent="0.2">
      <c r="A215" s="2"/>
      <c r="B215" s="2"/>
      <c r="C215" s="2"/>
      <c r="D215" s="2"/>
      <c r="E215" s="2"/>
      <c r="F215" s="2"/>
      <c r="G215" s="2"/>
      <c r="H215" s="2"/>
      <c r="I215" s="2"/>
    </row>
    <row r="216" spans="1:9" ht="15.75" customHeight="1" x14ac:dyDescent="0.2">
      <c r="A216" s="2"/>
      <c r="B216" s="2"/>
      <c r="C216" s="2"/>
      <c r="D216" s="2"/>
      <c r="E216" s="2"/>
      <c r="F216" s="2"/>
      <c r="G216" s="2"/>
      <c r="H216" s="2"/>
      <c r="I216" s="2"/>
    </row>
    <row r="217" spans="1:9" ht="15.75" customHeight="1" x14ac:dyDescent="0.2">
      <c r="A217" s="2"/>
      <c r="B217" s="2"/>
      <c r="C217" s="2"/>
      <c r="D217" s="2"/>
      <c r="E217" s="2"/>
      <c r="F217" s="2"/>
      <c r="G217" s="2"/>
      <c r="H217" s="2"/>
      <c r="I217" s="2"/>
    </row>
    <row r="218" spans="1:9" ht="15.75" customHeight="1" x14ac:dyDescent="0.2">
      <c r="A218" s="2"/>
      <c r="B218" s="2"/>
      <c r="C218" s="2"/>
      <c r="D218" s="2"/>
      <c r="E218" s="2"/>
      <c r="F218" s="2"/>
      <c r="G218" s="2"/>
      <c r="H218" s="2"/>
      <c r="I218" s="2"/>
    </row>
    <row r="219" spans="1:9" ht="15.75" customHeight="1" x14ac:dyDescent="0.2">
      <c r="A219" s="2"/>
      <c r="B219" s="2"/>
      <c r="C219" s="2"/>
      <c r="D219" s="2"/>
      <c r="E219" s="2"/>
      <c r="F219" s="2"/>
      <c r="G219" s="2"/>
      <c r="H219" s="2"/>
      <c r="I219" s="2"/>
    </row>
    <row r="220" spans="1:9" ht="15.75" customHeight="1" x14ac:dyDescent="0.2">
      <c r="A220" s="2"/>
      <c r="B220" s="2"/>
      <c r="C220" s="2"/>
      <c r="D220" s="2"/>
      <c r="E220" s="2"/>
      <c r="F220" s="2"/>
      <c r="G220" s="2"/>
      <c r="H220" s="2"/>
      <c r="I220" s="2"/>
    </row>
    <row r="221" spans="1:9" ht="15.75" customHeight="1" x14ac:dyDescent="0.2">
      <c r="A221" s="2"/>
      <c r="B221" s="2"/>
      <c r="C221" s="2"/>
      <c r="D221" s="2"/>
      <c r="E221" s="2"/>
      <c r="F221" s="2"/>
      <c r="G221" s="2"/>
      <c r="H221" s="2"/>
      <c r="I221" s="2"/>
    </row>
    <row r="222" spans="1:9" ht="15.75" customHeight="1" x14ac:dyDescent="0.2">
      <c r="A222" s="2"/>
      <c r="B222" s="2"/>
      <c r="C222" s="2"/>
      <c r="D222" s="2"/>
      <c r="E222" s="2"/>
      <c r="F222" s="2"/>
      <c r="G222" s="2"/>
      <c r="H222" s="2"/>
      <c r="I222" s="2"/>
    </row>
    <row r="223" spans="1:9" ht="15.75" customHeight="1" x14ac:dyDescent="0.2">
      <c r="A223" s="2"/>
      <c r="B223" s="2"/>
      <c r="C223" s="2"/>
      <c r="D223" s="2"/>
      <c r="E223" s="2"/>
      <c r="F223" s="2"/>
      <c r="G223" s="2"/>
      <c r="H223" s="2"/>
      <c r="I223" s="2"/>
    </row>
    <row r="224" spans="1:9" ht="15.75" customHeight="1" x14ac:dyDescent="0.2">
      <c r="A224" s="2"/>
      <c r="B224" s="2"/>
      <c r="C224" s="2"/>
      <c r="D224" s="2"/>
      <c r="E224" s="2"/>
      <c r="F224" s="2"/>
      <c r="G224" s="2"/>
      <c r="H224" s="2"/>
      <c r="I224" s="2"/>
    </row>
    <row r="225" spans="1:9" ht="15.75" customHeight="1" x14ac:dyDescent="0.2">
      <c r="A225" s="2"/>
      <c r="B225" s="2"/>
      <c r="C225" s="2"/>
      <c r="D225" s="2"/>
      <c r="E225" s="2"/>
      <c r="F225" s="2"/>
      <c r="G225" s="2"/>
      <c r="H225" s="2"/>
      <c r="I225" s="2"/>
    </row>
    <row r="226" spans="1:9" ht="15.75" customHeight="1" x14ac:dyDescent="0.2">
      <c r="A226" s="2"/>
      <c r="B226" s="2"/>
      <c r="C226" s="2"/>
      <c r="D226" s="2"/>
      <c r="E226" s="2"/>
      <c r="F226" s="2"/>
      <c r="G226" s="2"/>
      <c r="H226" s="2"/>
      <c r="I226" s="2"/>
    </row>
    <row r="227" spans="1:9" ht="15.75" customHeight="1" x14ac:dyDescent="0.2">
      <c r="A227" s="2"/>
      <c r="B227" s="2"/>
      <c r="C227" s="2"/>
      <c r="D227" s="2"/>
      <c r="E227" s="2"/>
      <c r="F227" s="2"/>
      <c r="G227" s="2"/>
      <c r="H227" s="2"/>
      <c r="I227" s="2"/>
    </row>
    <row r="228" spans="1:9" ht="15.75" customHeight="1" x14ac:dyDescent="0.2">
      <c r="A228" s="2"/>
      <c r="B228" s="2"/>
      <c r="C228" s="2"/>
      <c r="D228" s="2"/>
      <c r="E228" s="2"/>
      <c r="F228" s="2"/>
      <c r="G228" s="2"/>
      <c r="H228" s="2"/>
      <c r="I228" s="2"/>
    </row>
    <row r="229" spans="1:9" ht="15.75" customHeight="1" x14ac:dyDescent="0.2">
      <c r="A229" s="2"/>
      <c r="B229" s="2"/>
      <c r="C229" s="2"/>
      <c r="D229" s="2"/>
      <c r="E229" s="2"/>
      <c r="F229" s="2"/>
      <c r="G229" s="2"/>
      <c r="H229" s="2"/>
      <c r="I229" s="2"/>
    </row>
    <row r="230" spans="1:9" ht="15.75" customHeight="1" x14ac:dyDescent="0.2">
      <c r="A230" s="2"/>
      <c r="B230" s="2"/>
      <c r="C230" s="2"/>
      <c r="D230" s="2"/>
      <c r="E230" s="2"/>
      <c r="F230" s="2"/>
      <c r="G230" s="2"/>
      <c r="H230" s="2"/>
      <c r="I230" s="2"/>
    </row>
    <row r="231" spans="1:9" ht="15.75" customHeight="1" x14ac:dyDescent="0.2">
      <c r="A231" s="2"/>
      <c r="B231" s="2"/>
      <c r="C231" s="2"/>
      <c r="D231" s="2"/>
      <c r="E231" s="2"/>
      <c r="F231" s="2"/>
      <c r="G231" s="2"/>
      <c r="H231" s="2"/>
      <c r="I231" s="2"/>
    </row>
    <row r="232" spans="1:9" ht="15.75" customHeight="1" x14ac:dyDescent="0.2">
      <c r="A232" s="2"/>
      <c r="B232" s="2"/>
      <c r="C232" s="2"/>
      <c r="D232" s="2"/>
      <c r="E232" s="2"/>
      <c r="F232" s="2"/>
      <c r="G232" s="2"/>
      <c r="H232" s="2"/>
      <c r="I232" s="2"/>
    </row>
    <row r="233" spans="1:9" ht="15.75" customHeight="1" x14ac:dyDescent="0.2">
      <c r="A233" s="2"/>
      <c r="B233" s="2"/>
      <c r="C233" s="2"/>
      <c r="D233" s="2"/>
      <c r="E233" s="2"/>
      <c r="F233" s="2"/>
      <c r="G233" s="2"/>
      <c r="H233" s="2"/>
      <c r="I233" s="2"/>
    </row>
    <row r="234" spans="1:9" ht="15.75" customHeight="1" x14ac:dyDescent="0.2">
      <c r="A234" s="2"/>
      <c r="B234" s="2"/>
      <c r="C234" s="2"/>
      <c r="D234" s="2"/>
      <c r="E234" s="2"/>
      <c r="F234" s="2"/>
      <c r="G234" s="2"/>
      <c r="H234" s="2"/>
      <c r="I234" s="2"/>
    </row>
    <row r="235" spans="1:9" ht="15.75" customHeight="1" x14ac:dyDescent="0.2">
      <c r="A235" s="2"/>
      <c r="B235" s="2"/>
      <c r="C235" s="2"/>
      <c r="D235" s="2"/>
      <c r="E235" s="2"/>
      <c r="F235" s="2"/>
      <c r="G235" s="2"/>
      <c r="H235" s="2"/>
      <c r="I235" s="2"/>
    </row>
    <row r="236" spans="1:9" ht="15.75" customHeight="1" x14ac:dyDescent="0.2">
      <c r="A236" s="2"/>
      <c r="B236" s="2"/>
      <c r="C236" s="2"/>
      <c r="D236" s="2"/>
      <c r="E236" s="2"/>
      <c r="F236" s="2"/>
      <c r="G236" s="2"/>
      <c r="H236" s="2"/>
      <c r="I236" s="2"/>
    </row>
    <row r="237" spans="1:9" ht="15.75" customHeight="1" x14ac:dyDescent="0.2">
      <c r="A237" s="2"/>
      <c r="B237" s="2"/>
      <c r="C237" s="2"/>
      <c r="D237" s="2"/>
      <c r="E237" s="2"/>
      <c r="F237" s="2"/>
      <c r="G237" s="2"/>
      <c r="H237" s="2"/>
      <c r="I237" s="2"/>
    </row>
    <row r="238" spans="1:9" ht="15.75" customHeight="1" x14ac:dyDescent="0.2">
      <c r="A238" s="2"/>
      <c r="B238" s="2"/>
      <c r="C238" s="2"/>
      <c r="D238" s="2"/>
      <c r="E238" s="2"/>
      <c r="F238" s="2"/>
      <c r="G238" s="2"/>
      <c r="H238" s="2"/>
      <c r="I238" s="2"/>
    </row>
    <row r="239" spans="1:9" ht="15.75" customHeight="1" x14ac:dyDescent="0.2">
      <c r="A239" s="2"/>
      <c r="B239" s="2"/>
      <c r="C239" s="2"/>
      <c r="D239" s="2"/>
      <c r="E239" s="2"/>
      <c r="F239" s="2"/>
      <c r="G239" s="2"/>
      <c r="H239" s="2"/>
      <c r="I239" s="2"/>
    </row>
    <row r="240" spans="1:9" ht="15.75" customHeight="1" x14ac:dyDescent="0.2">
      <c r="A240" s="2"/>
      <c r="B240" s="2"/>
      <c r="C240" s="2"/>
      <c r="D240" s="2"/>
      <c r="E240" s="2"/>
      <c r="F240" s="2"/>
      <c r="G240" s="2"/>
      <c r="H240" s="2"/>
      <c r="I240" s="2"/>
    </row>
    <row r="241" spans="1:9" ht="15.75" customHeight="1" x14ac:dyDescent="0.2">
      <c r="A241" s="2"/>
      <c r="B241" s="2"/>
      <c r="C241" s="2"/>
      <c r="D241" s="2"/>
      <c r="E241" s="2"/>
      <c r="F241" s="2"/>
      <c r="G241" s="2"/>
      <c r="H241" s="2"/>
      <c r="I241" s="2"/>
    </row>
    <row r="242" spans="1:9" ht="15.75" customHeight="1" x14ac:dyDescent="0.2">
      <c r="A242" s="2"/>
      <c r="B242" s="2"/>
      <c r="C242" s="2"/>
      <c r="D242" s="2"/>
      <c r="E242" s="2"/>
      <c r="F242" s="2"/>
      <c r="G242" s="2"/>
      <c r="H242" s="2"/>
      <c r="I242" s="2"/>
    </row>
    <row r="243" spans="1:9" ht="15.75" customHeight="1" x14ac:dyDescent="0.2">
      <c r="A243" s="2"/>
      <c r="B243" s="2"/>
      <c r="C243" s="2"/>
      <c r="D243" s="2"/>
      <c r="E243" s="2"/>
      <c r="F243" s="2"/>
      <c r="G243" s="2"/>
      <c r="H243" s="2"/>
      <c r="I243" s="2"/>
    </row>
    <row r="244" spans="1:9" ht="15.75" customHeight="1" x14ac:dyDescent="0.2">
      <c r="A244" s="2"/>
      <c r="B244" s="2"/>
      <c r="C244" s="2"/>
      <c r="D244" s="2"/>
      <c r="E244" s="2"/>
      <c r="F244" s="2"/>
      <c r="G244" s="2"/>
      <c r="H244" s="2"/>
      <c r="I244" s="2"/>
    </row>
    <row r="245" spans="1:9" ht="15.75" customHeight="1" x14ac:dyDescent="0.2">
      <c r="A245" s="2"/>
      <c r="B245" s="2"/>
      <c r="C245" s="2"/>
      <c r="D245" s="2"/>
      <c r="E245" s="2"/>
      <c r="F245" s="2"/>
      <c r="G245" s="2"/>
      <c r="H245" s="2"/>
      <c r="I245" s="2"/>
    </row>
    <row r="246" spans="1:9" ht="15.75" customHeight="1" x14ac:dyDescent="0.2">
      <c r="A246" s="2"/>
      <c r="B246" s="2"/>
      <c r="C246" s="2"/>
      <c r="D246" s="2"/>
      <c r="E246" s="2"/>
      <c r="F246" s="2"/>
      <c r="G246" s="2"/>
      <c r="H246" s="2"/>
      <c r="I246" s="2"/>
    </row>
    <row r="247" spans="1:9" ht="15.75" customHeight="1" x14ac:dyDescent="0.2">
      <c r="A247" s="2"/>
      <c r="B247" s="2"/>
      <c r="C247" s="2"/>
      <c r="D247" s="2"/>
      <c r="E247" s="2"/>
      <c r="F247" s="2"/>
      <c r="G247" s="2"/>
      <c r="H247" s="2"/>
      <c r="I247" s="2"/>
    </row>
    <row r="248" spans="1:9" ht="15.75" customHeight="1" x14ac:dyDescent="0.2">
      <c r="A248" s="2"/>
      <c r="B248" s="2"/>
      <c r="C248" s="2"/>
      <c r="D248" s="2"/>
      <c r="E248" s="2"/>
      <c r="F248" s="2"/>
      <c r="G248" s="2"/>
      <c r="H248" s="2"/>
      <c r="I248" s="2"/>
    </row>
    <row r="249" spans="1:9" ht="15.75" customHeight="1" x14ac:dyDescent="0.2">
      <c r="A249" s="2"/>
      <c r="B249" s="2"/>
      <c r="C249" s="2"/>
      <c r="D249" s="2"/>
      <c r="E249" s="2"/>
      <c r="F249" s="2"/>
      <c r="G249" s="2"/>
      <c r="H249" s="2"/>
      <c r="I249" s="2"/>
    </row>
    <row r="250" spans="1:9" ht="15.75" customHeight="1" x14ac:dyDescent="0.2">
      <c r="A250" s="2"/>
      <c r="B250" s="2"/>
      <c r="C250" s="2"/>
      <c r="D250" s="2"/>
      <c r="E250" s="2"/>
      <c r="F250" s="2"/>
      <c r="G250" s="2"/>
      <c r="H250" s="2"/>
      <c r="I250" s="2"/>
    </row>
    <row r="251" spans="1:9" ht="15.75" customHeight="1" x14ac:dyDescent="0.2">
      <c r="A251" s="2"/>
      <c r="B251" s="2"/>
      <c r="C251" s="2"/>
      <c r="D251" s="2"/>
      <c r="E251" s="2"/>
      <c r="F251" s="2"/>
      <c r="G251" s="2"/>
      <c r="H251" s="2"/>
      <c r="I251" s="2"/>
    </row>
    <row r="252" spans="1:9" ht="15.75" customHeight="1" x14ac:dyDescent="0.2">
      <c r="A252" s="2"/>
      <c r="B252" s="2"/>
      <c r="C252" s="2"/>
      <c r="D252" s="2"/>
      <c r="E252" s="2"/>
      <c r="F252" s="2"/>
      <c r="G252" s="2"/>
      <c r="H252" s="2"/>
      <c r="I252" s="2"/>
    </row>
    <row r="253" spans="1:9" ht="15.75" customHeight="1" x14ac:dyDescent="0.2">
      <c r="A253" s="2"/>
      <c r="B253" s="2"/>
      <c r="C253" s="2"/>
      <c r="D253" s="2"/>
      <c r="E253" s="2"/>
      <c r="F253" s="2"/>
      <c r="G253" s="2"/>
      <c r="H253" s="2"/>
      <c r="I253" s="2"/>
    </row>
    <row r="254" spans="1:9" ht="15.75" customHeight="1" x14ac:dyDescent="0.2">
      <c r="A254" s="2"/>
      <c r="B254" s="2"/>
      <c r="C254" s="2"/>
      <c r="D254" s="2"/>
      <c r="E254" s="2"/>
      <c r="F254" s="2"/>
      <c r="G254" s="2"/>
      <c r="H254" s="2"/>
      <c r="I254" s="2"/>
    </row>
    <row r="255" spans="1:9" ht="15.75" customHeight="1" x14ac:dyDescent="0.2">
      <c r="A255" s="2"/>
      <c r="B255" s="2"/>
      <c r="C255" s="2"/>
      <c r="D255" s="2"/>
      <c r="E255" s="2"/>
      <c r="F255" s="2"/>
      <c r="G255" s="2"/>
      <c r="H255" s="2"/>
      <c r="I255" s="2"/>
    </row>
    <row r="256" spans="1:9" ht="15.75" customHeight="1" x14ac:dyDescent="0.2">
      <c r="A256" s="2"/>
      <c r="B256" s="2"/>
      <c r="C256" s="2"/>
      <c r="D256" s="2"/>
      <c r="E256" s="2"/>
      <c r="F256" s="2"/>
      <c r="G256" s="2"/>
      <c r="H256" s="2"/>
      <c r="I256" s="2"/>
    </row>
    <row r="257" spans="1:9" ht="15.75" customHeight="1" x14ac:dyDescent="0.2">
      <c r="A257" s="2"/>
      <c r="B257" s="2"/>
      <c r="C257" s="2"/>
      <c r="D257" s="2"/>
      <c r="E257" s="2"/>
      <c r="F257" s="2"/>
      <c r="G257" s="2"/>
      <c r="H257" s="2"/>
      <c r="I257" s="2"/>
    </row>
    <row r="258" spans="1:9" ht="15.75" customHeight="1" x14ac:dyDescent="0.2">
      <c r="A258" s="2"/>
      <c r="B258" s="2"/>
      <c r="C258" s="2"/>
      <c r="D258" s="2"/>
      <c r="E258" s="2"/>
      <c r="F258" s="2"/>
      <c r="G258" s="2"/>
      <c r="H258" s="2"/>
      <c r="I258" s="2"/>
    </row>
    <row r="259" spans="1:9" ht="15.75" customHeight="1" x14ac:dyDescent="0.2">
      <c r="A259" s="2"/>
      <c r="B259" s="2"/>
      <c r="C259" s="2"/>
      <c r="D259" s="2"/>
      <c r="E259" s="2"/>
      <c r="F259" s="2"/>
      <c r="G259" s="2"/>
      <c r="H259" s="2"/>
      <c r="I259" s="2"/>
    </row>
    <row r="260" spans="1:9" ht="15.75" customHeight="1" x14ac:dyDescent="0.2">
      <c r="A260" s="2"/>
      <c r="B260" s="2"/>
      <c r="C260" s="2"/>
      <c r="D260" s="2"/>
      <c r="E260" s="2"/>
      <c r="F260" s="2"/>
      <c r="G260" s="2"/>
      <c r="H260" s="2"/>
      <c r="I260" s="2"/>
    </row>
    <row r="261" spans="1:9" ht="15.75" customHeight="1" x14ac:dyDescent="0.2">
      <c r="A261" s="2"/>
      <c r="B261" s="2"/>
      <c r="C261" s="2"/>
      <c r="D261" s="2"/>
      <c r="E261" s="2"/>
      <c r="F261" s="2"/>
      <c r="G261" s="2"/>
      <c r="H261" s="2"/>
      <c r="I261" s="2"/>
    </row>
    <row r="262" spans="1:9" ht="15.75" customHeight="1" x14ac:dyDescent="0.2">
      <c r="A262" s="2"/>
      <c r="B262" s="2"/>
      <c r="C262" s="2"/>
      <c r="D262" s="2"/>
      <c r="E262" s="2"/>
      <c r="F262" s="2"/>
      <c r="G262" s="2"/>
      <c r="H262" s="2"/>
      <c r="I262" s="2"/>
    </row>
    <row r="263" spans="1:9" ht="15.75" customHeight="1" x14ac:dyDescent="0.2">
      <c r="A263" s="2"/>
      <c r="B263" s="2"/>
      <c r="C263" s="2"/>
      <c r="D263" s="2"/>
      <c r="E263" s="2"/>
      <c r="F263" s="2"/>
      <c r="G263" s="2"/>
      <c r="H263" s="2"/>
      <c r="I263" s="2"/>
    </row>
    <row r="264" spans="1:9" ht="15.75" customHeight="1" x14ac:dyDescent="0.2">
      <c r="A264" s="2"/>
      <c r="B264" s="2"/>
      <c r="C264" s="2"/>
      <c r="D264" s="2"/>
      <c r="E264" s="2"/>
      <c r="F264" s="2"/>
      <c r="G264" s="2"/>
      <c r="H264" s="2"/>
      <c r="I264" s="2"/>
    </row>
    <row r="265" spans="1:9" ht="15.75" customHeight="1" x14ac:dyDescent="0.2">
      <c r="A265" s="2"/>
      <c r="B265" s="2"/>
      <c r="C265" s="2"/>
      <c r="D265" s="2"/>
      <c r="E265" s="2"/>
      <c r="F265" s="2"/>
      <c r="G265" s="2"/>
      <c r="H265" s="2"/>
      <c r="I265" s="2"/>
    </row>
    <row r="266" spans="1:9" ht="15.75" customHeight="1" x14ac:dyDescent="0.2">
      <c r="A266" s="2"/>
      <c r="B266" s="2"/>
      <c r="C266" s="2"/>
      <c r="D266" s="2"/>
      <c r="E266" s="2"/>
      <c r="F266" s="2"/>
      <c r="G266" s="2"/>
      <c r="H266" s="2"/>
      <c r="I266" s="2"/>
    </row>
    <row r="267" spans="1:9" ht="15.75" customHeight="1" x14ac:dyDescent="0.2">
      <c r="A267" s="2"/>
      <c r="B267" s="2"/>
      <c r="C267" s="2"/>
      <c r="D267" s="2"/>
      <c r="E267" s="2"/>
      <c r="F267" s="2"/>
      <c r="G267" s="2"/>
      <c r="H267" s="2"/>
      <c r="I267" s="2"/>
    </row>
    <row r="268" spans="1:9" ht="15.75" customHeight="1" x14ac:dyDescent="0.2">
      <c r="A268" s="2"/>
      <c r="B268" s="2"/>
      <c r="C268" s="2"/>
      <c r="D268" s="2"/>
      <c r="E268" s="2"/>
      <c r="F268" s="2"/>
      <c r="G268" s="2"/>
      <c r="H268" s="2"/>
      <c r="I268" s="2"/>
    </row>
    <row r="269" spans="1:9" ht="15.75" customHeight="1" x14ac:dyDescent="0.2">
      <c r="A269" s="2"/>
      <c r="B269" s="2"/>
      <c r="C269" s="2"/>
      <c r="D269" s="2"/>
      <c r="E269" s="2"/>
      <c r="F269" s="2"/>
      <c r="G269" s="2"/>
      <c r="H269" s="2"/>
      <c r="I269" s="2"/>
    </row>
    <row r="270" spans="1:9" ht="15.75" customHeight="1" x14ac:dyDescent="0.2">
      <c r="A270" s="2"/>
      <c r="B270" s="2"/>
      <c r="C270" s="2"/>
      <c r="D270" s="2"/>
      <c r="E270" s="2"/>
      <c r="F270" s="2"/>
      <c r="G270" s="2"/>
      <c r="H270" s="2"/>
      <c r="I270" s="2"/>
    </row>
    <row r="271" spans="1:9" ht="15.75" customHeight="1" x14ac:dyDescent="0.2">
      <c r="A271" s="2"/>
      <c r="B271" s="2"/>
      <c r="C271" s="2"/>
      <c r="D271" s="2"/>
      <c r="E271" s="2"/>
      <c r="F271" s="2"/>
      <c r="G271" s="2"/>
      <c r="H271" s="2"/>
      <c r="I271" s="2"/>
    </row>
    <row r="272" spans="1:9" ht="15.75" customHeight="1" x14ac:dyDescent="0.2">
      <c r="A272" s="2"/>
      <c r="B272" s="2"/>
      <c r="C272" s="2"/>
      <c r="D272" s="2"/>
      <c r="E272" s="2"/>
      <c r="F272" s="2"/>
      <c r="G272" s="2"/>
      <c r="H272" s="2"/>
      <c r="I272" s="2"/>
    </row>
    <row r="273" spans="1:9" ht="15.75" customHeight="1" x14ac:dyDescent="0.2">
      <c r="A273" s="2"/>
      <c r="B273" s="2"/>
      <c r="C273" s="2"/>
      <c r="D273" s="2"/>
      <c r="E273" s="2"/>
      <c r="F273" s="2"/>
      <c r="G273" s="2"/>
      <c r="H273" s="2"/>
      <c r="I273" s="2"/>
    </row>
    <row r="274" spans="1:9" ht="15.75" customHeight="1" x14ac:dyDescent="0.2">
      <c r="A274" s="2"/>
      <c r="B274" s="2"/>
      <c r="C274" s="2"/>
      <c r="D274" s="2"/>
      <c r="E274" s="2"/>
      <c r="F274" s="2"/>
      <c r="G274" s="2"/>
      <c r="H274" s="2"/>
      <c r="I274" s="2"/>
    </row>
    <row r="275" spans="1:9" ht="15.75" customHeight="1" x14ac:dyDescent="0.2">
      <c r="A275" s="2"/>
      <c r="B275" s="2"/>
      <c r="C275" s="2"/>
      <c r="D275" s="2"/>
      <c r="E275" s="2"/>
      <c r="F275" s="2"/>
      <c r="G275" s="2"/>
      <c r="H275" s="2"/>
      <c r="I275" s="2"/>
    </row>
    <row r="276" spans="1:9" ht="15.75" customHeight="1" x14ac:dyDescent="0.2">
      <c r="A276" s="2"/>
      <c r="B276" s="2"/>
      <c r="C276" s="2"/>
      <c r="D276" s="2"/>
      <c r="E276" s="2"/>
      <c r="F276" s="2"/>
      <c r="G276" s="2"/>
      <c r="H276" s="2"/>
      <c r="I276" s="2"/>
    </row>
    <row r="277" spans="1:9" ht="15.75" customHeight="1" x14ac:dyDescent="0.2">
      <c r="A277" s="2"/>
      <c r="B277" s="2"/>
      <c r="C277" s="2"/>
      <c r="D277" s="2"/>
      <c r="E277" s="2"/>
      <c r="F277" s="2"/>
      <c r="G277" s="2"/>
      <c r="H277" s="2"/>
      <c r="I277" s="2"/>
    </row>
    <row r="278" spans="1:9" ht="15.75" customHeight="1" x14ac:dyDescent="0.2">
      <c r="A278" s="2"/>
      <c r="B278" s="2"/>
      <c r="C278" s="2"/>
      <c r="D278" s="2"/>
      <c r="E278" s="2"/>
      <c r="F278" s="2"/>
      <c r="G278" s="2"/>
      <c r="H278" s="2"/>
      <c r="I278" s="2"/>
    </row>
    <row r="279" spans="1:9" ht="15.75" customHeight="1" x14ac:dyDescent="0.2">
      <c r="A279" s="2"/>
      <c r="B279" s="2"/>
      <c r="C279" s="2"/>
      <c r="D279" s="2"/>
      <c r="E279" s="2"/>
      <c r="F279" s="2"/>
      <c r="G279" s="2"/>
      <c r="H279" s="2"/>
      <c r="I279" s="2"/>
    </row>
    <row r="280" spans="1:9" ht="15.75" customHeight="1" x14ac:dyDescent="0.2">
      <c r="A280" s="2"/>
      <c r="B280" s="2"/>
      <c r="C280" s="2"/>
      <c r="D280" s="2"/>
      <c r="E280" s="2"/>
      <c r="F280" s="2"/>
      <c r="G280" s="2"/>
      <c r="H280" s="2"/>
      <c r="I280" s="2"/>
    </row>
    <row r="281" spans="1:9" ht="15.75" customHeight="1" x14ac:dyDescent="0.2">
      <c r="A281" s="2"/>
      <c r="B281" s="2"/>
      <c r="C281" s="2"/>
      <c r="D281" s="2"/>
      <c r="E281" s="2"/>
      <c r="F281" s="2"/>
      <c r="G281" s="2"/>
      <c r="H281" s="2"/>
      <c r="I281" s="2"/>
    </row>
    <row r="282" spans="1:9" ht="15.75" customHeight="1" x14ac:dyDescent="0.2">
      <c r="A282" s="2"/>
      <c r="B282" s="2"/>
      <c r="C282" s="2"/>
      <c r="D282" s="2"/>
      <c r="E282" s="2"/>
      <c r="F282" s="2"/>
      <c r="G282" s="2"/>
      <c r="H282" s="2"/>
      <c r="I282" s="2"/>
    </row>
    <row r="283" spans="1:9" ht="15.75" customHeight="1" x14ac:dyDescent="0.2">
      <c r="A283" s="2"/>
      <c r="B283" s="2"/>
      <c r="C283" s="2"/>
      <c r="D283" s="2"/>
      <c r="E283" s="2"/>
      <c r="F283" s="2"/>
      <c r="G283" s="2"/>
      <c r="H283" s="2"/>
      <c r="I283" s="2"/>
    </row>
    <row r="284" spans="1:9" ht="15.75" customHeight="1" x14ac:dyDescent="0.2">
      <c r="A284" s="2"/>
      <c r="B284" s="2"/>
      <c r="C284" s="2"/>
      <c r="D284" s="2"/>
      <c r="E284" s="2"/>
      <c r="F284" s="2"/>
      <c r="G284" s="2"/>
      <c r="H284" s="2"/>
      <c r="I284" s="2"/>
    </row>
    <row r="285" spans="1:9" ht="15.75" customHeight="1" x14ac:dyDescent="0.2">
      <c r="A285" s="2"/>
      <c r="B285" s="2"/>
      <c r="C285" s="2"/>
      <c r="D285" s="2"/>
      <c r="E285" s="2"/>
      <c r="F285" s="2"/>
      <c r="G285" s="2"/>
      <c r="H285" s="2"/>
      <c r="I285" s="2"/>
    </row>
    <row r="286" spans="1:9" ht="15.75" customHeight="1" x14ac:dyDescent="0.2">
      <c r="A286" s="2"/>
      <c r="B286" s="2"/>
      <c r="C286" s="2"/>
      <c r="D286" s="2"/>
      <c r="E286" s="2"/>
      <c r="F286" s="2"/>
      <c r="G286" s="2"/>
      <c r="H286" s="2"/>
      <c r="I286" s="2"/>
    </row>
    <row r="287" spans="1:9" ht="15.75" customHeight="1" x14ac:dyDescent="0.2">
      <c r="A287" s="2"/>
      <c r="B287" s="2"/>
      <c r="C287" s="2"/>
      <c r="D287" s="2"/>
      <c r="E287" s="2"/>
      <c r="F287" s="2"/>
      <c r="G287" s="2"/>
      <c r="H287" s="2"/>
      <c r="I287" s="2"/>
    </row>
    <row r="288" spans="1:9" ht="15.75" customHeight="1" x14ac:dyDescent="0.2">
      <c r="A288" s="2"/>
      <c r="B288" s="2"/>
      <c r="C288" s="2"/>
      <c r="D288" s="2"/>
      <c r="E288" s="2"/>
      <c r="F288" s="2"/>
      <c r="G288" s="2"/>
      <c r="H288" s="2"/>
      <c r="I288" s="2"/>
    </row>
    <row r="289" spans="1:9" ht="15.75" customHeight="1" x14ac:dyDescent="0.2">
      <c r="A289" s="2"/>
      <c r="B289" s="2"/>
      <c r="C289" s="2"/>
      <c r="D289" s="2"/>
      <c r="E289" s="2"/>
      <c r="F289" s="2"/>
      <c r="G289" s="2"/>
      <c r="H289" s="2"/>
      <c r="I289" s="2"/>
    </row>
    <row r="290" spans="1:9" ht="15.75" customHeight="1" x14ac:dyDescent="0.2">
      <c r="A290" s="2"/>
      <c r="B290" s="2"/>
      <c r="C290" s="2"/>
      <c r="D290" s="2"/>
      <c r="E290" s="2"/>
      <c r="F290" s="2"/>
      <c r="G290" s="2"/>
      <c r="H290" s="2"/>
      <c r="I290" s="2"/>
    </row>
    <row r="291" spans="1:9" ht="15.75" customHeight="1" x14ac:dyDescent="0.2">
      <c r="A291" s="2"/>
      <c r="B291" s="2"/>
      <c r="C291" s="2"/>
      <c r="D291" s="2"/>
      <c r="E291" s="2"/>
      <c r="F291" s="2"/>
      <c r="G291" s="2"/>
      <c r="H291" s="2"/>
      <c r="I291" s="2"/>
    </row>
    <row r="292" spans="1:9" ht="15.75" customHeight="1" x14ac:dyDescent="0.2">
      <c r="A292" s="2"/>
      <c r="B292" s="2"/>
      <c r="C292" s="2"/>
      <c r="D292" s="2"/>
      <c r="E292" s="2"/>
      <c r="F292" s="2"/>
      <c r="G292" s="2"/>
      <c r="H292" s="2"/>
      <c r="I292" s="2"/>
    </row>
    <row r="293" spans="1:9" ht="15.75" customHeight="1" x14ac:dyDescent="0.2">
      <c r="A293" s="2"/>
      <c r="B293" s="2"/>
      <c r="C293" s="2"/>
      <c r="D293" s="2"/>
      <c r="E293" s="2"/>
      <c r="F293" s="2"/>
      <c r="G293" s="2"/>
      <c r="H293" s="2"/>
      <c r="I293" s="2"/>
    </row>
    <row r="294" spans="1:9" ht="15.75" customHeight="1" x14ac:dyDescent="0.2">
      <c r="A294" s="2"/>
      <c r="B294" s="2"/>
      <c r="C294" s="2"/>
      <c r="D294" s="2"/>
      <c r="E294" s="2"/>
      <c r="F294" s="2"/>
      <c r="G294" s="2"/>
      <c r="H294" s="2"/>
      <c r="I294" s="2"/>
    </row>
    <row r="295" spans="1:9" ht="15.75" customHeight="1" x14ac:dyDescent="0.2">
      <c r="A295" s="2"/>
      <c r="B295" s="2"/>
      <c r="C295" s="2"/>
      <c r="D295" s="2"/>
      <c r="E295" s="2"/>
      <c r="F295" s="2"/>
      <c r="G295" s="2"/>
      <c r="H295" s="2"/>
      <c r="I295" s="2"/>
    </row>
    <row r="296" spans="1:9" ht="15.75" customHeight="1" x14ac:dyDescent="0.2">
      <c r="A296" s="2"/>
      <c r="B296" s="2"/>
      <c r="C296" s="2"/>
      <c r="D296" s="2"/>
      <c r="E296" s="2"/>
      <c r="F296" s="2"/>
      <c r="G296" s="2"/>
      <c r="H296" s="2"/>
      <c r="I296" s="2"/>
    </row>
    <row r="297" spans="1:9" ht="15.75" customHeight="1" x14ac:dyDescent="0.2">
      <c r="A297" s="2"/>
      <c r="B297" s="2"/>
      <c r="C297" s="2"/>
      <c r="D297" s="2"/>
      <c r="E297" s="2"/>
      <c r="F297" s="2"/>
      <c r="G297" s="2"/>
      <c r="H297" s="2"/>
      <c r="I297" s="2"/>
    </row>
    <row r="298" spans="1:9" ht="15.75" customHeight="1" x14ac:dyDescent="0.2">
      <c r="A298" s="2"/>
      <c r="B298" s="2"/>
      <c r="C298" s="2"/>
      <c r="D298" s="2"/>
      <c r="E298" s="2"/>
      <c r="F298" s="2"/>
      <c r="G298" s="2"/>
      <c r="H298" s="2"/>
      <c r="I298" s="2"/>
    </row>
    <row r="299" spans="1:9" ht="15.75" customHeight="1" x14ac:dyDescent="0.2">
      <c r="A299" s="2"/>
      <c r="B299" s="2"/>
      <c r="C299" s="2"/>
      <c r="D299" s="2"/>
      <c r="E299" s="2"/>
      <c r="F299" s="2"/>
      <c r="G299" s="2"/>
      <c r="H299" s="2"/>
      <c r="I299" s="2"/>
    </row>
    <row r="300" spans="1:9" ht="15.75" customHeight="1" x14ac:dyDescent="0.2">
      <c r="A300" s="2"/>
      <c r="B300" s="2"/>
      <c r="C300" s="2"/>
      <c r="D300" s="2"/>
      <c r="E300" s="2"/>
      <c r="F300" s="2"/>
      <c r="G300" s="2"/>
      <c r="H300" s="2"/>
      <c r="I300" s="2"/>
    </row>
    <row r="301" spans="1:9" ht="15.75" customHeight="1" x14ac:dyDescent="0.2">
      <c r="A301" s="2"/>
      <c r="B301" s="2"/>
      <c r="C301" s="2"/>
      <c r="D301" s="2"/>
      <c r="E301" s="2"/>
      <c r="F301" s="2"/>
      <c r="G301" s="2"/>
      <c r="H301" s="2"/>
      <c r="I301" s="2"/>
    </row>
    <row r="302" spans="1:9" ht="15.75" customHeight="1" x14ac:dyDescent="0.2">
      <c r="A302" s="2"/>
      <c r="B302" s="2"/>
      <c r="C302" s="2"/>
      <c r="D302" s="2"/>
      <c r="E302" s="2"/>
      <c r="F302" s="2"/>
      <c r="G302" s="2"/>
      <c r="H302" s="2"/>
      <c r="I302" s="2"/>
    </row>
    <row r="303" spans="1:9" ht="15.75" customHeight="1" x14ac:dyDescent="0.2">
      <c r="A303" s="2"/>
      <c r="B303" s="2"/>
      <c r="C303" s="2"/>
      <c r="D303" s="2"/>
      <c r="E303" s="2"/>
      <c r="F303" s="2"/>
      <c r="G303" s="2"/>
      <c r="H303" s="2"/>
      <c r="I303" s="2"/>
    </row>
    <row r="304" spans="1:9" ht="15.75" customHeight="1" x14ac:dyDescent="0.2">
      <c r="A304" s="2"/>
      <c r="B304" s="2"/>
      <c r="C304" s="2"/>
      <c r="D304" s="2"/>
      <c r="E304" s="2"/>
      <c r="F304" s="2"/>
      <c r="G304" s="2"/>
      <c r="H304" s="2"/>
      <c r="I304" s="2"/>
    </row>
    <row r="305" spans="1:9" ht="15.75" customHeight="1" x14ac:dyDescent="0.2">
      <c r="A305" s="2"/>
      <c r="B305" s="2"/>
      <c r="C305" s="2"/>
      <c r="D305" s="2"/>
      <c r="E305" s="2"/>
      <c r="F305" s="2"/>
      <c r="G305" s="2"/>
      <c r="H305" s="2"/>
      <c r="I305" s="2"/>
    </row>
    <row r="306" spans="1:9" ht="15.75" customHeight="1" x14ac:dyDescent="0.2">
      <c r="A306" s="2"/>
      <c r="B306" s="2"/>
      <c r="C306" s="2"/>
      <c r="D306" s="2"/>
      <c r="E306" s="2"/>
      <c r="F306" s="2"/>
      <c r="G306" s="2"/>
      <c r="H306" s="2"/>
      <c r="I306" s="2"/>
    </row>
    <row r="307" spans="1:9" ht="15.75" customHeight="1" x14ac:dyDescent="0.2">
      <c r="A307" s="2"/>
      <c r="B307" s="2"/>
      <c r="C307" s="2"/>
      <c r="D307" s="2"/>
      <c r="E307" s="2"/>
      <c r="F307" s="2"/>
      <c r="G307" s="2"/>
      <c r="H307" s="2"/>
      <c r="I307" s="2"/>
    </row>
    <row r="308" spans="1:9" ht="15.75" customHeight="1" x14ac:dyDescent="0.2">
      <c r="A308" s="2"/>
      <c r="B308" s="2"/>
      <c r="C308" s="2"/>
      <c r="D308" s="2"/>
      <c r="E308" s="2"/>
      <c r="F308" s="2"/>
      <c r="G308" s="2"/>
      <c r="H308" s="2"/>
      <c r="I308" s="2"/>
    </row>
    <row r="309" spans="1:9" ht="15.75" customHeight="1" x14ac:dyDescent="0.2">
      <c r="A309" s="2"/>
      <c r="B309" s="2"/>
      <c r="C309" s="2"/>
      <c r="D309" s="2"/>
      <c r="E309" s="2"/>
      <c r="F309" s="2"/>
      <c r="G309" s="2"/>
      <c r="H309" s="2"/>
      <c r="I309" s="2"/>
    </row>
    <row r="310" spans="1:9" ht="15.75" customHeight="1" x14ac:dyDescent="0.2">
      <c r="A310" s="2"/>
      <c r="B310" s="2"/>
      <c r="C310" s="2"/>
      <c r="D310" s="2"/>
      <c r="E310" s="2"/>
      <c r="F310" s="2"/>
      <c r="G310" s="2"/>
      <c r="H310" s="2"/>
      <c r="I310" s="2"/>
    </row>
    <row r="311" spans="1:9" ht="15.75" customHeight="1" x14ac:dyDescent="0.2">
      <c r="A311" s="2"/>
      <c r="B311" s="2"/>
      <c r="C311" s="2"/>
      <c r="D311" s="2"/>
      <c r="E311" s="2"/>
      <c r="F311" s="2"/>
      <c r="G311" s="2"/>
      <c r="H311" s="2"/>
      <c r="I311" s="2"/>
    </row>
    <row r="312" spans="1:9" ht="15.75" customHeight="1" x14ac:dyDescent="0.2">
      <c r="A312" s="2"/>
      <c r="B312" s="2"/>
      <c r="C312" s="2"/>
      <c r="D312" s="2"/>
      <c r="E312" s="2"/>
      <c r="F312" s="2"/>
      <c r="G312" s="2"/>
      <c r="H312" s="2"/>
      <c r="I312" s="2"/>
    </row>
    <row r="313" spans="1:9" ht="15.75" customHeight="1" x14ac:dyDescent="0.2">
      <c r="A313" s="2"/>
      <c r="B313" s="2"/>
      <c r="C313" s="2"/>
      <c r="D313" s="2"/>
      <c r="E313" s="2"/>
      <c r="F313" s="2"/>
      <c r="G313" s="2"/>
      <c r="H313" s="2"/>
      <c r="I313" s="2"/>
    </row>
    <row r="314" spans="1:9" ht="15.75" customHeight="1" x14ac:dyDescent="0.2">
      <c r="A314" s="2"/>
      <c r="B314" s="2"/>
      <c r="C314" s="2"/>
      <c r="D314" s="2"/>
      <c r="E314" s="2"/>
      <c r="F314" s="2"/>
      <c r="G314" s="2"/>
      <c r="H314" s="2"/>
      <c r="I314" s="2"/>
    </row>
    <row r="315" spans="1:9" ht="15.75" customHeight="1" x14ac:dyDescent="0.2">
      <c r="A315" s="2"/>
      <c r="B315" s="2"/>
      <c r="C315" s="2"/>
      <c r="D315" s="2"/>
      <c r="E315" s="2"/>
      <c r="F315" s="2"/>
      <c r="G315" s="2"/>
      <c r="H315" s="2"/>
      <c r="I315" s="2"/>
    </row>
    <row r="316" spans="1:9" ht="15.75" customHeight="1" x14ac:dyDescent="0.2">
      <c r="A316" s="2"/>
      <c r="B316" s="2"/>
      <c r="C316" s="2"/>
      <c r="D316" s="2"/>
      <c r="E316" s="2"/>
      <c r="F316" s="2"/>
      <c r="G316" s="2"/>
      <c r="H316" s="2"/>
      <c r="I316" s="2"/>
    </row>
    <row r="317" spans="1:9" ht="15.75" customHeight="1" x14ac:dyDescent="0.2">
      <c r="A317" s="2"/>
      <c r="B317" s="2"/>
      <c r="C317" s="2"/>
      <c r="D317" s="2"/>
      <c r="E317" s="2"/>
      <c r="F317" s="2"/>
      <c r="G317" s="2"/>
      <c r="H317" s="2"/>
      <c r="I317" s="2"/>
    </row>
    <row r="318" spans="1:9" ht="15.75" customHeight="1" x14ac:dyDescent="0.2">
      <c r="A318" s="2"/>
      <c r="B318" s="2"/>
      <c r="C318" s="2"/>
      <c r="D318" s="2"/>
      <c r="E318" s="2"/>
      <c r="F318" s="2"/>
      <c r="G318" s="2"/>
      <c r="H318" s="2"/>
      <c r="I318" s="2"/>
    </row>
    <row r="319" spans="1:9" ht="15.75" customHeight="1" x14ac:dyDescent="0.2">
      <c r="A319" s="2"/>
      <c r="B319" s="2"/>
      <c r="C319" s="2"/>
      <c r="D319" s="2"/>
      <c r="E319" s="2"/>
      <c r="F319" s="2"/>
      <c r="G319" s="2"/>
      <c r="H319" s="2"/>
      <c r="I319" s="2"/>
    </row>
    <row r="320" spans="1:9" ht="15.75" customHeight="1" x14ac:dyDescent="0.2">
      <c r="A320" s="2"/>
      <c r="B320" s="2"/>
      <c r="C320" s="2"/>
      <c r="D320" s="2"/>
      <c r="E320" s="2"/>
      <c r="F320" s="2"/>
      <c r="G320" s="2"/>
      <c r="H320" s="2"/>
      <c r="I320" s="2"/>
    </row>
    <row r="321" spans="1:9" ht="15.75" customHeight="1" x14ac:dyDescent="0.2">
      <c r="A321" s="2"/>
      <c r="B321" s="2"/>
      <c r="C321" s="2"/>
      <c r="D321" s="2"/>
      <c r="E321" s="2"/>
      <c r="F321" s="2"/>
      <c r="G321" s="2"/>
      <c r="H321" s="2"/>
      <c r="I321" s="2"/>
    </row>
    <row r="322" spans="1:9" ht="15.75" customHeight="1" x14ac:dyDescent="0.2">
      <c r="A322" s="2"/>
      <c r="B322" s="2"/>
      <c r="C322" s="2"/>
      <c r="D322" s="2"/>
      <c r="E322" s="2"/>
      <c r="F322" s="2"/>
      <c r="G322" s="2"/>
      <c r="H322" s="2"/>
      <c r="I322" s="2"/>
    </row>
    <row r="323" spans="1:9" ht="15.75" customHeight="1" x14ac:dyDescent="0.2">
      <c r="A323" s="2"/>
      <c r="B323" s="2"/>
      <c r="C323" s="2"/>
      <c r="D323" s="2"/>
      <c r="E323" s="2"/>
      <c r="F323" s="2"/>
      <c r="G323" s="2"/>
      <c r="H323" s="2"/>
      <c r="I323" s="2"/>
    </row>
    <row r="324" spans="1:9" ht="15.75" customHeight="1" x14ac:dyDescent="0.2">
      <c r="A324" s="2"/>
      <c r="B324" s="2"/>
      <c r="C324" s="2"/>
      <c r="D324" s="2"/>
      <c r="E324" s="2"/>
      <c r="F324" s="2"/>
      <c r="G324" s="2"/>
      <c r="H324" s="2"/>
      <c r="I324" s="2"/>
    </row>
    <row r="325" spans="1:9" ht="15.75" customHeight="1" x14ac:dyDescent="0.2">
      <c r="A325" s="2"/>
      <c r="B325" s="2"/>
      <c r="C325" s="2"/>
      <c r="D325" s="2"/>
      <c r="E325" s="2"/>
      <c r="F325" s="2"/>
      <c r="G325" s="2"/>
      <c r="H325" s="2"/>
      <c r="I325" s="2"/>
    </row>
    <row r="326" spans="1:9" ht="15.75" customHeight="1" x14ac:dyDescent="0.2">
      <c r="A326" s="2"/>
      <c r="B326" s="2"/>
      <c r="C326" s="2"/>
      <c r="D326" s="2"/>
      <c r="E326" s="2"/>
      <c r="F326" s="2"/>
      <c r="G326" s="2"/>
      <c r="H326" s="2"/>
      <c r="I326" s="2"/>
    </row>
    <row r="327" spans="1:9" ht="15.75" customHeight="1" x14ac:dyDescent="0.2">
      <c r="A327" s="2"/>
      <c r="B327" s="2"/>
      <c r="C327" s="2"/>
      <c r="D327" s="2"/>
      <c r="E327" s="2"/>
      <c r="F327" s="2"/>
      <c r="G327" s="2"/>
      <c r="H327" s="2"/>
      <c r="I327" s="2"/>
    </row>
    <row r="328" spans="1:9" ht="15.75" customHeight="1" x14ac:dyDescent="0.2">
      <c r="A328" s="2"/>
      <c r="B328" s="2"/>
      <c r="C328" s="2"/>
      <c r="D328" s="2"/>
      <c r="E328" s="2"/>
      <c r="F328" s="2"/>
      <c r="G328" s="2"/>
      <c r="H328" s="2"/>
      <c r="I328" s="2"/>
    </row>
    <row r="329" spans="1:9" ht="15.75" customHeight="1" x14ac:dyDescent="0.2">
      <c r="A329" s="2"/>
      <c r="B329" s="2"/>
      <c r="C329" s="2"/>
      <c r="D329" s="2"/>
      <c r="E329" s="2"/>
      <c r="F329" s="2"/>
      <c r="G329" s="2"/>
      <c r="H329" s="2"/>
      <c r="I329" s="2"/>
    </row>
    <row r="330" spans="1:9" ht="15.75" customHeight="1" x14ac:dyDescent="0.2">
      <c r="A330" s="2"/>
      <c r="B330" s="2"/>
      <c r="C330" s="2"/>
      <c r="D330" s="2"/>
      <c r="E330" s="2"/>
      <c r="F330" s="2"/>
      <c r="G330" s="2"/>
      <c r="H330" s="2"/>
      <c r="I330" s="2"/>
    </row>
    <row r="331" spans="1:9" ht="15.75" customHeight="1" x14ac:dyDescent="0.2">
      <c r="A331" s="2"/>
      <c r="B331" s="2"/>
      <c r="C331" s="2"/>
      <c r="D331" s="2"/>
      <c r="E331" s="2"/>
      <c r="F331" s="2"/>
      <c r="G331" s="2"/>
      <c r="H331" s="2"/>
      <c r="I331" s="2"/>
    </row>
    <row r="332" spans="1:9" ht="15.75" customHeight="1" x14ac:dyDescent="0.2">
      <c r="A332" s="2"/>
      <c r="B332" s="2"/>
      <c r="C332" s="2"/>
      <c r="D332" s="2"/>
      <c r="E332" s="2"/>
      <c r="F332" s="2"/>
      <c r="G332" s="2"/>
      <c r="H332" s="2"/>
      <c r="I332" s="2"/>
    </row>
    <row r="333" spans="1:9" ht="15.75" customHeight="1" x14ac:dyDescent="0.2">
      <c r="A333" s="2"/>
      <c r="B333" s="2"/>
      <c r="C333" s="2"/>
      <c r="D333" s="2"/>
      <c r="E333" s="2"/>
      <c r="F333" s="2"/>
      <c r="G333" s="2"/>
      <c r="H333" s="2"/>
      <c r="I333" s="2"/>
    </row>
    <row r="334" spans="1:9" ht="15.75" customHeight="1" x14ac:dyDescent="0.2">
      <c r="A334" s="2"/>
      <c r="B334" s="2"/>
      <c r="C334" s="2"/>
      <c r="D334" s="2"/>
      <c r="E334" s="2"/>
      <c r="F334" s="2"/>
      <c r="G334" s="2"/>
      <c r="H334" s="2"/>
      <c r="I334" s="2"/>
    </row>
    <row r="335" spans="1:9" ht="15.75" customHeight="1" x14ac:dyDescent="0.2">
      <c r="A335" s="2"/>
      <c r="B335" s="2"/>
      <c r="C335" s="2"/>
      <c r="D335" s="2"/>
      <c r="E335" s="2"/>
      <c r="F335" s="2"/>
      <c r="G335" s="2"/>
      <c r="H335" s="2"/>
      <c r="I335" s="2"/>
    </row>
    <row r="336" spans="1:9" ht="15.75" customHeight="1" x14ac:dyDescent="0.2">
      <c r="A336" s="2"/>
      <c r="B336" s="2"/>
      <c r="C336" s="2"/>
      <c r="D336" s="2"/>
      <c r="E336" s="2"/>
      <c r="F336" s="2"/>
      <c r="G336" s="2"/>
      <c r="H336" s="2"/>
      <c r="I336" s="2"/>
    </row>
    <row r="337" spans="1:9" ht="15.75" customHeight="1" x14ac:dyDescent="0.2">
      <c r="A337" s="2"/>
      <c r="B337" s="2"/>
      <c r="C337" s="2"/>
      <c r="D337" s="2"/>
      <c r="E337" s="2"/>
      <c r="F337" s="2"/>
      <c r="G337" s="2"/>
      <c r="H337" s="2"/>
      <c r="I337" s="2"/>
    </row>
    <row r="338" spans="1:9" ht="15.75" customHeight="1" x14ac:dyDescent="0.2">
      <c r="A338" s="2"/>
      <c r="B338" s="2"/>
      <c r="C338" s="2"/>
      <c r="D338" s="2"/>
      <c r="E338" s="2"/>
      <c r="F338" s="2"/>
      <c r="G338" s="2"/>
      <c r="H338" s="2"/>
      <c r="I338" s="2"/>
    </row>
    <row r="339" spans="1:9" ht="15.75" customHeight="1" x14ac:dyDescent="0.2">
      <c r="A339" s="2"/>
      <c r="B339" s="2"/>
      <c r="C339" s="2"/>
      <c r="D339" s="2"/>
      <c r="E339" s="2"/>
      <c r="F339" s="2"/>
      <c r="G339" s="2"/>
      <c r="H339" s="2"/>
      <c r="I339" s="2"/>
    </row>
    <row r="340" spans="1:9" ht="15.75" customHeight="1" x14ac:dyDescent="0.2">
      <c r="A340" s="2"/>
      <c r="B340" s="2"/>
      <c r="C340" s="2"/>
      <c r="D340" s="2"/>
      <c r="E340" s="2"/>
      <c r="F340" s="2"/>
      <c r="G340" s="2"/>
      <c r="H340" s="2"/>
      <c r="I340" s="2"/>
    </row>
    <row r="341" spans="1:9" ht="15.75" customHeight="1" x14ac:dyDescent="0.2">
      <c r="A341" s="2"/>
      <c r="B341" s="2"/>
      <c r="C341" s="2"/>
      <c r="D341" s="2"/>
      <c r="E341" s="2"/>
      <c r="F341" s="2"/>
      <c r="G341" s="2"/>
      <c r="H341" s="2"/>
      <c r="I341" s="2"/>
    </row>
    <row r="342" spans="1:9" ht="15.75" customHeight="1" x14ac:dyDescent="0.2">
      <c r="A342" s="2"/>
      <c r="B342" s="2"/>
      <c r="C342" s="2"/>
      <c r="D342" s="2"/>
      <c r="E342" s="2"/>
      <c r="F342" s="2"/>
      <c r="G342" s="2"/>
      <c r="H342" s="2"/>
      <c r="I342" s="2"/>
    </row>
    <row r="343" spans="1:9" ht="15.75" customHeight="1" x14ac:dyDescent="0.2">
      <c r="A343" s="2"/>
      <c r="B343" s="2"/>
      <c r="C343" s="2"/>
      <c r="D343" s="2"/>
      <c r="E343" s="2"/>
      <c r="F343" s="2"/>
      <c r="G343" s="2"/>
      <c r="H343" s="2"/>
      <c r="I343" s="2"/>
    </row>
    <row r="344" spans="1:9" ht="15.75" customHeight="1" x14ac:dyDescent="0.2">
      <c r="A344" s="2"/>
      <c r="B344" s="2"/>
      <c r="C344" s="2"/>
      <c r="D344" s="2"/>
      <c r="E344" s="2"/>
      <c r="F344" s="2"/>
      <c r="G344" s="2"/>
      <c r="H344" s="2"/>
      <c r="I344" s="2"/>
    </row>
    <row r="345" spans="1:9" ht="15.75" customHeight="1" x14ac:dyDescent="0.2">
      <c r="A345" s="2"/>
      <c r="B345" s="2"/>
      <c r="C345" s="2"/>
      <c r="D345" s="2"/>
      <c r="E345" s="2"/>
      <c r="F345" s="2"/>
      <c r="G345" s="2"/>
      <c r="H345" s="2"/>
      <c r="I345" s="2"/>
    </row>
    <row r="346" spans="1:9" ht="15.75" customHeight="1" x14ac:dyDescent="0.2">
      <c r="A346" s="2"/>
      <c r="B346" s="2"/>
      <c r="C346" s="2"/>
      <c r="D346" s="2"/>
      <c r="E346" s="2"/>
      <c r="F346" s="2"/>
      <c r="G346" s="2"/>
      <c r="H346" s="2"/>
      <c r="I346" s="2"/>
    </row>
    <row r="347" spans="1:9" ht="15.75" customHeight="1" x14ac:dyDescent="0.2">
      <c r="A347" s="2"/>
      <c r="B347" s="2"/>
      <c r="C347" s="2"/>
      <c r="D347" s="2"/>
      <c r="E347" s="2"/>
      <c r="F347" s="2"/>
      <c r="G347" s="2"/>
      <c r="H347" s="2"/>
      <c r="I347" s="2"/>
    </row>
    <row r="348" spans="1:9" ht="15.75" customHeight="1" x14ac:dyDescent="0.2">
      <c r="A348" s="2"/>
      <c r="B348" s="2"/>
      <c r="C348" s="2"/>
      <c r="D348" s="2"/>
      <c r="E348" s="2"/>
      <c r="F348" s="2"/>
      <c r="G348" s="2"/>
      <c r="H348" s="2"/>
      <c r="I348" s="2"/>
    </row>
    <row r="349" spans="1:9" ht="15.75" customHeight="1" x14ac:dyDescent="0.2">
      <c r="A349" s="2"/>
      <c r="B349" s="2"/>
      <c r="C349" s="2"/>
      <c r="D349" s="2"/>
      <c r="E349" s="2"/>
      <c r="F349" s="2"/>
      <c r="G349" s="2"/>
      <c r="H349" s="2"/>
      <c r="I349" s="2"/>
    </row>
    <row r="350" spans="1:9" ht="15.75" customHeight="1" x14ac:dyDescent="0.2">
      <c r="A350" s="2"/>
      <c r="B350" s="2"/>
      <c r="C350" s="2"/>
      <c r="D350" s="2"/>
      <c r="E350" s="2"/>
      <c r="F350" s="2"/>
      <c r="G350" s="2"/>
      <c r="H350" s="2"/>
      <c r="I350" s="2"/>
    </row>
    <row r="351" spans="1:9" ht="15.75" customHeight="1" x14ac:dyDescent="0.2">
      <c r="A351" s="2"/>
      <c r="B351" s="2"/>
      <c r="C351" s="2"/>
      <c r="D351" s="2"/>
      <c r="E351" s="2"/>
      <c r="F351" s="2"/>
      <c r="G351" s="2"/>
      <c r="H351" s="2"/>
      <c r="I351" s="2"/>
    </row>
    <row r="352" spans="1:9" ht="15.75" customHeight="1" x14ac:dyDescent="0.2">
      <c r="A352" s="2"/>
      <c r="B352" s="2"/>
      <c r="C352" s="2"/>
      <c r="D352" s="2"/>
      <c r="E352" s="2"/>
      <c r="F352" s="2"/>
      <c r="G352" s="2"/>
      <c r="H352" s="2"/>
      <c r="I352" s="2"/>
    </row>
    <row r="353" spans="1:9" ht="15.75" customHeight="1" x14ac:dyDescent="0.2">
      <c r="A353" s="2"/>
      <c r="B353" s="2"/>
      <c r="C353" s="2"/>
      <c r="D353" s="2"/>
      <c r="E353" s="2"/>
      <c r="F353" s="2"/>
      <c r="G353" s="2"/>
      <c r="H353" s="2"/>
      <c r="I353" s="2"/>
    </row>
    <row r="354" spans="1:9" ht="15.75" customHeight="1" x14ac:dyDescent="0.2">
      <c r="A354" s="2"/>
      <c r="B354" s="2"/>
      <c r="C354" s="2"/>
      <c r="D354" s="2"/>
      <c r="E354" s="2"/>
      <c r="F354" s="2"/>
      <c r="G354" s="2"/>
      <c r="H354" s="2"/>
      <c r="I354" s="2"/>
    </row>
    <row r="355" spans="1:9" ht="15.75" customHeight="1" x14ac:dyDescent="0.2">
      <c r="A355" s="2"/>
      <c r="B355" s="2"/>
      <c r="C355" s="2"/>
      <c r="D355" s="2"/>
      <c r="E355" s="2"/>
      <c r="F355" s="2"/>
      <c r="G355" s="2"/>
      <c r="H355" s="2"/>
      <c r="I355" s="2"/>
    </row>
    <row r="356" spans="1:9" ht="15.75" customHeight="1" x14ac:dyDescent="0.2">
      <c r="A356" s="2"/>
      <c r="B356" s="2"/>
      <c r="C356" s="2"/>
      <c r="D356" s="2"/>
      <c r="E356" s="2"/>
      <c r="F356" s="2"/>
      <c r="G356" s="2"/>
      <c r="H356" s="2"/>
      <c r="I356" s="2"/>
    </row>
    <row r="357" spans="1:9" ht="15.75" customHeight="1" x14ac:dyDescent="0.2">
      <c r="A357" s="2"/>
      <c r="B357" s="2"/>
      <c r="C357" s="2"/>
      <c r="D357" s="2"/>
      <c r="E357" s="2"/>
      <c r="F357" s="2"/>
      <c r="G357" s="2"/>
      <c r="H357" s="2"/>
      <c r="I357" s="2"/>
    </row>
    <row r="358" spans="1:9" ht="15.75" customHeight="1" x14ac:dyDescent="0.2">
      <c r="A358" s="2"/>
      <c r="B358" s="2"/>
      <c r="C358" s="2"/>
      <c r="D358" s="2"/>
      <c r="E358" s="2"/>
      <c r="F358" s="2"/>
      <c r="G358" s="2"/>
      <c r="H358" s="2"/>
      <c r="I358" s="2"/>
    </row>
    <row r="359" spans="1:9" ht="15.75" customHeight="1" x14ac:dyDescent="0.2">
      <c r="A359" s="2"/>
      <c r="B359" s="2"/>
      <c r="C359" s="2"/>
      <c r="D359" s="2"/>
      <c r="E359" s="2"/>
      <c r="F359" s="2"/>
      <c r="G359" s="2"/>
      <c r="H359" s="2"/>
      <c r="I359" s="2"/>
    </row>
    <row r="360" spans="1:9" ht="15.75" customHeight="1" x14ac:dyDescent="0.2">
      <c r="A360" s="2"/>
      <c r="B360" s="2"/>
      <c r="C360" s="2"/>
      <c r="D360" s="2"/>
      <c r="E360" s="2"/>
      <c r="F360" s="2"/>
      <c r="G360" s="2"/>
      <c r="H360" s="2"/>
      <c r="I360" s="2"/>
    </row>
    <row r="361" spans="1:9" ht="15.75" customHeight="1" x14ac:dyDescent="0.2">
      <c r="A361" s="2"/>
      <c r="B361" s="2"/>
      <c r="C361" s="2"/>
      <c r="D361" s="2"/>
      <c r="E361" s="2"/>
      <c r="F361" s="2"/>
      <c r="G361" s="2"/>
      <c r="H361" s="2"/>
      <c r="I361" s="2"/>
    </row>
    <row r="362" spans="1:9" ht="15.75" customHeight="1" x14ac:dyDescent="0.2">
      <c r="A362" s="2"/>
      <c r="B362" s="2"/>
      <c r="C362" s="2"/>
      <c r="D362" s="2"/>
      <c r="E362" s="2"/>
      <c r="F362" s="2"/>
      <c r="G362" s="2"/>
      <c r="H362" s="2"/>
      <c r="I362" s="2"/>
    </row>
    <row r="363" spans="1:9" ht="15.75" customHeight="1" x14ac:dyDescent="0.2">
      <c r="A363" s="2"/>
      <c r="B363" s="2"/>
      <c r="C363" s="2"/>
      <c r="D363" s="2"/>
      <c r="E363" s="2"/>
      <c r="F363" s="2"/>
      <c r="G363" s="2"/>
      <c r="H363" s="2"/>
      <c r="I363" s="2"/>
    </row>
    <row r="364" spans="1:9" ht="15.75" customHeight="1" x14ac:dyDescent="0.2">
      <c r="A364" s="2"/>
      <c r="B364" s="2"/>
      <c r="C364" s="2"/>
      <c r="D364" s="2"/>
      <c r="E364" s="2"/>
      <c r="F364" s="2"/>
      <c r="G364" s="2"/>
      <c r="H364" s="2"/>
      <c r="I364" s="2"/>
    </row>
    <row r="365" spans="1:9" ht="15.75" customHeight="1" x14ac:dyDescent="0.2">
      <c r="A365" s="2"/>
      <c r="B365" s="2"/>
      <c r="C365" s="2"/>
      <c r="D365" s="2"/>
      <c r="E365" s="2"/>
      <c r="F365" s="2"/>
      <c r="G365" s="2"/>
      <c r="H365" s="2"/>
      <c r="I365" s="2"/>
    </row>
    <row r="366" spans="1:9" ht="15.75" customHeight="1" x14ac:dyDescent="0.2">
      <c r="A366" s="2"/>
      <c r="B366" s="2"/>
      <c r="C366" s="2"/>
      <c r="D366" s="2"/>
      <c r="E366" s="2"/>
      <c r="F366" s="2"/>
      <c r="G366" s="2"/>
      <c r="H366" s="2"/>
      <c r="I366" s="2"/>
    </row>
    <row r="367" spans="1:9" ht="15.75" customHeight="1" x14ac:dyDescent="0.2">
      <c r="A367" s="2"/>
      <c r="B367" s="2"/>
      <c r="C367" s="2"/>
      <c r="D367" s="2"/>
      <c r="E367" s="2"/>
      <c r="F367" s="2"/>
      <c r="G367" s="2"/>
      <c r="H367" s="2"/>
      <c r="I367" s="2"/>
    </row>
    <row r="368" spans="1:9" ht="15.75" customHeight="1" x14ac:dyDescent="0.2">
      <c r="A368" s="2"/>
      <c r="B368" s="2"/>
      <c r="C368" s="2"/>
      <c r="D368" s="2"/>
      <c r="E368" s="2"/>
      <c r="F368" s="2"/>
      <c r="G368" s="2"/>
      <c r="H368" s="2"/>
      <c r="I368" s="2"/>
    </row>
    <row r="369" spans="1:9" ht="15.75" customHeight="1" x14ac:dyDescent="0.2">
      <c r="A369" s="2"/>
      <c r="B369" s="2"/>
      <c r="C369" s="2"/>
      <c r="D369" s="2"/>
      <c r="E369" s="2"/>
      <c r="F369" s="2"/>
      <c r="G369" s="2"/>
      <c r="H369" s="2"/>
      <c r="I369" s="2"/>
    </row>
    <row r="370" spans="1:9" ht="15.75" customHeight="1" x14ac:dyDescent="0.2">
      <c r="A370" s="2"/>
      <c r="B370" s="2"/>
      <c r="C370" s="2"/>
      <c r="D370" s="2"/>
      <c r="E370" s="2"/>
      <c r="F370" s="2"/>
      <c r="G370" s="2"/>
      <c r="H370" s="2"/>
      <c r="I370" s="2"/>
    </row>
    <row r="371" spans="1:9" ht="15.75" customHeight="1" x14ac:dyDescent="0.2">
      <c r="A371" s="2"/>
      <c r="B371" s="2"/>
      <c r="C371" s="2"/>
      <c r="D371" s="2"/>
      <c r="E371" s="2"/>
      <c r="F371" s="2"/>
      <c r="G371" s="2"/>
      <c r="H371" s="2"/>
      <c r="I371" s="2"/>
    </row>
    <row r="372" spans="1:9" ht="15.75" customHeight="1" x14ac:dyDescent="0.2">
      <c r="A372" s="2"/>
      <c r="B372" s="2"/>
      <c r="C372" s="2"/>
      <c r="D372" s="2"/>
      <c r="E372" s="2"/>
      <c r="F372" s="2"/>
      <c r="G372" s="2"/>
      <c r="H372" s="2"/>
      <c r="I372" s="2"/>
    </row>
    <row r="373" spans="1:9" ht="15.75" customHeight="1" x14ac:dyDescent="0.2">
      <c r="A373" s="2"/>
      <c r="B373" s="2"/>
      <c r="C373" s="2"/>
      <c r="D373" s="2"/>
      <c r="E373" s="2"/>
      <c r="F373" s="2"/>
      <c r="G373" s="2"/>
      <c r="H373" s="2"/>
      <c r="I373" s="2"/>
    </row>
    <row r="374" spans="1:9" ht="15.75" customHeight="1" x14ac:dyDescent="0.2">
      <c r="A374" s="2"/>
      <c r="B374" s="2"/>
      <c r="C374" s="2"/>
      <c r="D374" s="2"/>
      <c r="E374" s="2"/>
      <c r="F374" s="2"/>
      <c r="G374" s="2"/>
      <c r="H374" s="2"/>
      <c r="I374" s="2"/>
    </row>
    <row r="375" spans="1:9" ht="15.75" customHeight="1" x14ac:dyDescent="0.2">
      <c r="A375" s="2"/>
      <c r="B375" s="2"/>
      <c r="C375" s="2"/>
      <c r="D375" s="2"/>
      <c r="E375" s="2"/>
      <c r="F375" s="2"/>
      <c r="G375" s="2"/>
      <c r="H375" s="2"/>
      <c r="I375" s="2"/>
    </row>
    <row r="376" spans="1:9" ht="15.75" customHeight="1" x14ac:dyDescent="0.2">
      <c r="A376" s="2"/>
      <c r="B376" s="2"/>
      <c r="C376" s="2"/>
      <c r="D376" s="2"/>
      <c r="E376" s="2"/>
      <c r="F376" s="2"/>
      <c r="G376" s="2"/>
      <c r="H376" s="2"/>
      <c r="I376" s="2"/>
    </row>
    <row r="377" spans="1:9" ht="15.75" customHeight="1" x14ac:dyDescent="0.2">
      <c r="A377" s="2"/>
      <c r="B377" s="2"/>
      <c r="C377" s="2"/>
      <c r="D377" s="2"/>
      <c r="E377" s="2"/>
      <c r="F377" s="2"/>
      <c r="G377" s="2"/>
      <c r="H377" s="2"/>
      <c r="I377" s="2"/>
    </row>
    <row r="378" spans="1:9" ht="15.75" customHeight="1" x14ac:dyDescent="0.2">
      <c r="A378" s="2"/>
      <c r="B378" s="2"/>
      <c r="C378" s="2"/>
      <c r="D378" s="2"/>
      <c r="E378" s="2"/>
      <c r="F378" s="2"/>
      <c r="G378" s="2"/>
      <c r="H378" s="2"/>
      <c r="I378" s="2"/>
    </row>
    <row r="379" spans="1:9" ht="15.75" customHeight="1" x14ac:dyDescent="0.2">
      <c r="A379" s="2"/>
      <c r="B379" s="2"/>
      <c r="C379" s="2"/>
      <c r="D379" s="2"/>
      <c r="E379" s="2"/>
      <c r="F379" s="2"/>
      <c r="G379" s="2"/>
      <c r="H379" s="2"/>
      <c r="I379" s="2"/>
    </row>
    <row r="380" spans="1:9" ht="15.75" customHeight="1" x14ac:dyDescent="0.2">
      <c r="A380" s="2"/>
      <c r="B380" s="2"/>
      <c r="C380" s="2"/>
      <c r="D380" s="2"/>
      <c r="E380" s="2"/>
      <c r="F380" s="2"/>
      <c r="G380" s="2"/>
      <c r="H380" s="2"/>
      <c r="I380" s="2"/>
    </row>
    <row r="381" spans="1:9" ht="15.75" customHeight="1" x14ac:dyDescent="0.2">
      <c r="A381" s="2"/>
      <c r="B381" s="2"/>
      <c r="C381" s="2"/>
      <c r="D381" s="2"/>
      <c r="E381" s="2"/>
      <c r="F381" s="2"/>
      <c r="G381" s="2"/>
      <c r="H381" s="2"/>
      <c r="I381" s="2"/>
    </row>
    <row r="382" spans="1:9" ht="15.75" customHeight="1" x14ac:dyDescent="0.2">
      <c r="A382" s="2"/>
      <c r="B382" s="2"/>
      <c r="C382" s="2"/>
      <c r="D382" s="2"/>
      <c r="E382" s="2"/>
      <c r="F382" s="2"/>
      <c r="G382" s="2"/>
      <c r="H382" s="2"/>
      <c r="I382" s="2"/>
    </row>
    <row r="383" spans="1:9" ht="15.75" customHeight="1" x14ac:dyDescent="0.2">
      <c r="A383" s="2"/>
      <c r="B383" s="2"/>
      <c r="C383" s="2"/>
      <c r="D383" s="2"/>
      <c r="E383" s="2"/>
      <c r="F383" s="2"/>
      <c r="G383" s="2"/>
      <c r="H383" s="2"/>
      <c r="I383" s="2"/>
    </row>
    <row r="384" spans="1:9" ht="15.75" customHeight="1" x14ac:dyDescent="0.2">
      <c r="A384" s="2"/>
      <c r="B384" s="2"/>
      <c r="C384" s="2"/>
      <c r="D384" s="2"/>
      <c r="E384" s="2"/>
      <c r="F384" s="2"/>
      <c r="G384" s="2"/>
      <c r="H384" s="2"/>
      <c r="I384" s="2"/>
    </row>
    <row r="385" spans="1:9" ht="15.75" customHeight="1" x14ac:dyDescent="0.2">
      <c r="A385" s="2"/>
      <c r="B385" s="2"/>
      <c r="C385" s="2"/>
      <c r="D385" s="2"/>
      <c r="E385" s="2"/>
      <c r="F385" s="2"/>
      <c r="G385" s="2"/>
      <c r="H385" s="2"/>
      <c r="I385" s="2"/>
    </row>
    <row r="386" spans="1:9" ht="15.75" customHeight="1" x14ac:dyDescent="0.2">
      <c r="A386" s="2"/>
      <c r="B386" s="2"/>
      <c r="C386" s="2"/>
      <c r="D386" s="2"/>
      <c r="E386" s="2"/>
      <c r="F386" s="2"/>
      <c r="G386" s="2"/>
      <c r="H386" s="2"/>
      <c r="I386" s="2"/>
    </row>
    <row r="387" spans="1:9" ht="15.75" customHeight="1" x14ac:dyDescent="0.2">
      <c r="A387" s="2"/>
      <c r="B387" s="2"/>
      <c r="C387" s="2"/>
      <c r="D387" s="2"/>
      <c r="E387" s="2"/>
      <c r="F387" s="2"/>
      <c r="G387" s="2"/>
      <c r="H387" s="2"/>
      <c r="I387" s="2"/>
    </row>
    <row r="388" spans="1:9" ht="15.75" customHeight="1" x14ac:dyDescent="0.2">
      <c r="A388" s="2"/>
      <c r="B388" s="2"/>
      <c r="C388" s="2"/>
      <c r="D388" s="2"/>
      <c r="E388" s="2"/>
      <c r="F388" s="2"/>
      <c r="G388" s="2"/>
      <c r="H388" s="2"/>
      <c r="I388" s="2"/>
    </row>
    <row r="389" spans="1:9" ht="15.75" customHeight="1" x14ac:dyDescent="0.2">
      <c r="A389" s="2"/>
      <c r="B389" s="2"/>
      <c r="C389" s="2"/>
      <c r="D389" s="2"/>
      <c r="E389" s="2"/>
      <c r="F389" s="2"/>
      <c r="G389" s="2"/>
      <c r="H389" s="2"/>
      <c r="I389" s="2"/>
    </row>
    <row r="390" spans="1:9" ht="15.75" customHeight="1" x14ac:dyDescent="0.2">
      <c r="A390" s="2"/>
      <c r="B390" s="2"/>
      <c r="C390" s="2"/>
      <c r="D390" s="2"/>
      <c r="E390" s="2"/>
      <c r="F390" s="2"/>
      <c r="G390" s="2"/>
      <c r="H390" s="2"/>
      <c r="I390" s="2"/>
    </row>
    <row r="391" spans="1:9" ht="15.75" customHeight="1" x14ac:dyDescent="0.2">
      <c r="A391" s="2"/>
      <c r="B391" s="2"/>
      <c r="C391" s="2"/>
      <c r="D391" s="2"/>
      <c r="E391" s="2"/>
      <c r="F391" s="2"/>
      <c r="G391" s="2"/>
      <c r="H391" s="2"/>
      <c r="I391" s="2"/>
    </row>
    <row r="392" spans="1:9" ht="15.75" customHeight="1" x14ac:dyDescent="0.2">
      <c r="A392" s="2"/>
      <c r="B392" s="2"/>
      <c r="C392" s="2"/>
      <c r="D392" s="2"/>
      <c r="E392" s="2"/>
      <c r="F392" s="2"/>
      <c r="G392" s="2"/>
      <c r="H392" s="2"/>
      <c r="I392" s="2"/>
    </row>
    <row r="393" spans="1:9" ht="15.75" customHeight="1" x14ac:dyDescent="0.2">
      <c r="A393" s="2"/>
      <c r="B393" s="2"/>
      <c r="C393" s="2"/>
      <c r="D393" s="2"/>
      <c r="E393" s="2"/>
      <c r="F393" s="2"/>
      <c r="G393" s="2"/>
      <c r="H393" s="2"/>
      <c r="I393" s="2"/>
    </row>
    <row r="394" spans="1:9" ht="15.75" customHeight="1" x14ac:dyDescent="0.2">
      <c r="A394" s="2"/>
      <c r="B394" s="2"/>
      <c r="C394" s="2"/>
      <c r="D394" s="2"/>
      <c r="E394" s="2"/>
      <c r="F394" s="2"/>
      <c r="G394" s="2"/>
      <c r="H394" s="2"/>
      <c r="I394" s="2"/>
    </row>
    <row r="395" spans="1:9" ht="15.75" customHeight="1" x14ac:dyDescent="0.2">
      <c r="A395" s="2"/>
      <c r="B395" s="2"/>
      <c r="C395" s="2"/>
      <c r="D395" s="2"/>
      <c r="E395" s="2"/>
      <c r="F395" s="2"/>
      <c r="G395" s="2"/>
      <c r="H395" s="2"/>
      <c r="I395" s="2"/>
    </row>
    <row r="396" spans="1:9" ht="15.75" customHeight="1" x14ac:dyDescent="0.2">
      <c r="A396" s="2"/>
      <c r="B396" s="2"/>
      <c r="C396" s="2"/>
      <c r="D396" s="2"/>
      <c r="E396" s="2"/>
      <c r="F396" s="2"/>
      <c r="G396" s="2"/>
      <c r="H396" s="2"/>
      <c r="I396" s="2"/>
    </row>
    <row r="397" spans="1:9" ht="15.75" customHeight="1" x14ac:dyDescent="0.2">
      <c r="A397" s="2"/>
      <c r="B397" s="2"/>
      <c r="C397" s="2"/>
      <c r="D397" s="2"/>
      <c r="E397" s="2"/>
      <c r="F397" s="2"/>
      <c r="G397" s="2"/>
      <c r="H397" s="2"/>
      <c r="I397" s="2"/>
    </row>
    <row r="398" spans="1:9" ht="15.75" customHeight="1" x14ac:dyDescent="0.2">
      <c r="A398" s="2"/>
      <c r="B398" s="2"/>
      <c r="C398" s="2"/>
      <c r="D398" s="2"/>
      <c r="E398" s="2"/>
      <c r="F398" s="2"/>
      <c r="G398" s="2"/>
      <c r="H398" s="2"/>
      <c r="I398" s="2"/>
    </row>
    <row r="399" spans="1:9" ht="15.75" customHeight="1" x14ac:dyDescent="0.2">
      <c r="A399" s="2"/>
      <c r="B399" s="2"/>
      <c r="C399" s="2"/>
      <c r="D399" s="2"/>
      <c r="E399" s="2"/>
      <c r="F399" s="2"/>
      <c r="G399" s="2"/>
      <c r="H399" s="2"/>
      <c r="I399" s="2"/>
    </row>
    <row r="400" spans="1:9" ht="15.75" customHeight="1" x14ac:dyDescent="0.2">
      <c r="A400" s="2"/>
      <c r="B400" s="2"/>
      <c r="C400" s="2"/>
      <c r="D400" s="2"/>
      <c r="E400" s="2"/>
      <c r="F400" s="2"/>
      <c r="G400" s="2"/>
      <c r="H400" s="2"/>
      <c r="I400" s="2"/>
    </row>
    <row r="401" spans="1:9" ht="15.75" customHeight="1" x14ac:dyDescent="0.2">
      <c r="A401" s="2"/>
      <c r="B401" s="2"/>
      <c r="C401" s="2"/>
      <c r="D401" s="2"/>
      <c r="E401" s="2"/>
      <c r="F401" s="2"/>
      <c r="G401" s="2"/>
      <c r="H401" s="2"/>
      <c r="I401" s="2"/>
    </row>
    <row r="402" spans="1:9" ht="15.75" customHeight="1" x14ac:dyDescent="0.2">
      <c r="A402" s="2"/>
      <c r="B402" s="2"/>
      <c r="C402" s="2"/>
      <c r="D402" s="2"/>
      <c r="E402" s="2"/>
      <c r="F402" s="2"/>
      <c r="G402" s="2"/>
      <c r="H402" s="2"/>
      <c r="I402" s="2"/>
    </row>
    <row r="403" spans="1:9" ht="15.75" customHeight="1" x14ac:dyDescent="0.2">
      <c r="A403" s="2"/>
      <c r="B403" s="2"/>
      <c r="C403" s="2"/>
      <c r="D403" s="2"/>
      <c r="E403" s="2"/>
      <c r="F403" s="2"/>
      <c r="G403" s="2"/>
      <c r="H403" s="2"/>
      <c r="I403" s="2"/>
    </row>
    <row r="404" spans="1:9" ht="15.75" customHeight="1" x14ac:dyDescent="0.2">
      <c r="A404" s="2"/>
      <c r="B404" s="2"/>
      <c r="C404" s="2"/>
      <c r="D404" s="2"/>
      <c r="E404" s="2"/>
      <c r="F404" s="2"/>
      <c r="G404" s="2"/>
      <c r="H404" s="2"/>
      <c r="I404" s="2"/>
    </row>
    <row r="405" spans="1:9" ht="15.75" customHeight="1" x14ac:dyDescent="0.2">
      <c r="A405" s="2"/>
      <c r="B405" s="2"/>
      <c r="C405" s="2"/>
      <c r="D405" s="2"/>
      <c r="E405" s="2"/>
      <c r="F405" s="2"/>
      <c r="G405" s="2"/>
      <c r="H405" s="2"/>
      <c r="I405" s="2"/>
    </row>
    <row r="406" spans="1:9" ht="15.75" customHeight="1" x14ac:dyDescent="0.2">
      <c r="A406" s="2"/>
      <c r="B406" s="2"/>
      <c r="C406" s="2"/>
      <c r="D406" s="2"/>
      <c r="E406" s="2"/>
      <c r="F406" s="2"/>
      <c r="G406" s="2"/>
      <c r="H406" s="2"/>
      <c r="I406" s="2"/>
    </row>
    <row r="407" spans="1:9" ht="15.75" customHeight="1" x14ac:dyDescent="0.2">
      <c r="A407" s="2"/>
      <c r="B407" s="2"/>
      <c r="C407" s="2"/>
      <c r="D407" s="2"/>
      <c r="E407" s="2"/>
      <c r="F407" s="2"/>
      <c r="G407" s="2"/>
      <c r="H407" s="2"/>
      <c r="I407" s="2"/>
    </row>
    <row r="408" spans="1:9" ht="15.75" customHeight="1" x14ac:dyDescent="0.2">
      <c r="A408" s="2"/>
      <c r="B408" s="2"/>
      <c r="C408" s="2"/>
      <c r="D408" s="2"/>
      <c r="E408" s="2"/>
      <c r="F408" s="2"/>
      <c r="G408" s="2"/>
      <c r="H408" s="2"/>
      <c r="I408" s="2"/>
    </row>
    <row r="409" spans="1:9" ht="15.75" customHeight="1" x14ac:dyDescent="0.2">
      <c r="A409" s="2"/>
      <c r="B409" s="2"/>
      <c r="C409" s="2"/>
      <c r="D409" s="2"/>
      <c r="E409" s="2"/>
      <c r="F409" s="2"/>
      <c r="G409" s="2"/>
      <c r="H409" s="2"/>
      <c r="I409" s="2"/>
    </row>
    <row r="410" spans="1:9" ht="15.75" customHeight="1" x14ac:dyDescent="0.2">
      <c r="A410" s="2"/>
      <c r="B410" s="2"/>
      <c r="C410" s="2"/>
      <c r="D410" s="2"/>
      <c r="E410" s="2"/>
      <c r="F410" s="2"/>
      <c r="G410" s="2"/>
      <c r="H410" s="2"/>
      <c r="I410" s="2"/>
    </row>
    <row r="411" spans="1:9" ht="15.75" customHeight="1" x14ac:dyDescent="0.2">
      <c r="A411" s="2"/>
      <c r="B411" s="2"/>
      <c r="C411" s="2"/>
      <c r="D411" s="2"/>
      <c r="E411" s="2"/>
      <c r="F411" s="2"/>
      <c r="G411" s="2"/>
      <c r="H411" s="2"/>
      <c r="I411" s="2"/>
    </row>
    <row r="412" spans="1:9" ht="15.75" customHeight="1" x14ac:dyDescent="0.2">
      <c r="A412" s="2"/>
      <c r="B412" s="2"/>
      <c r="C412" s="2"/>
      <c r="D412" s="2"/>
      <c r="E412" s="2"/>
      <c r="F412" s="2"/>
      <c r="G412" s="2"/>
      <c r="H412" s="2"/>
      <c r="I412" s="2"/>
    </row>
    <row r="413" spans="1:9" ht="15.75" customHeight="1" x14ac:dyDescent="0.2">
      <c r="A413" s="2"/>
      <c r="B413" s="2"/>
      <c r="C413" s="2"/>
      <c r="D413" s="2"/>
      <c r="E413" s="2"/>
      <c r="F413" s="2"/>
      <c r="G413" s="2"/>
      <c r="H413" s="2"/>
      <c r="I413" s="2"/>
    </row>
    <row r="414" spans="1:9" ht="15.75" customHeight="1" x14ac:dyDescent="0.2">
      <c r="A414" s="2"/>
      <c r="B414" s="2"/>
      <c r="C414" s="2"/>
      <c r="D414" s="2"/>
      <c r="E414" s="2"/>
      <c r="F414" s="2"/>
      <c r="G414" s="2"/>
      <c r="H414" s="2"/>
      <c r="I414" s="2"/>
    </row>
    <row r="415" spans="1:9" ht="15.75" customHeight="1" x14ac:dyDescent="0.2">
      <c r="A415" s="2"/>
      <c r="B415" s="2"/>
      <c r="C415" s="2"/>
      <c r="D415" s="2"/>
      <c r="E415" s="2"/>
      <c r="F415" s="2"/>
      <c r="G415" s="2"/>
      <c r="H415" s="2"/>
      <c r="I415" s="2"/>
    </row>
    <row r="416" spans="1:9" ht="15.75" customHeight="1" x14ac:dyDescent="0.2">
      <c r="A416" s="2"/>
      <c r="B416" s="2"/>
      <c r="C416" s="2"/>
      <c r="D416" s="2"/>
      <c r="E416" s="2"/>
      <c r="F416" s="2"/>
      <c r="G416" s="2"/>
      <c r="H416" s="2"/>
      <c r="I416" s="2"/>
    </row>
    <row r="417" spans="1:9" ht="15.75" customHeight="1" x14ac:dyDescent="0.2">
      <c r="A417" s="2"/>
      <c r="B417" s="2"/>
      <c r="C417" s="2"/>
      <c r="D417" s="2"/>
      <c r="E417" s="2"/>
      <c r="F417" s="2"/>
      <c r="G417" s="2"/>
      <c r="H417" s="2"/>
      <c r="I417" s="2"/>
    </row>
    <row r="418" spans="1:9" ht="15.75" customHeight="1" x14ac:dyDescent="0.2">
      <c r="A418" s="2"/>
      <c r="B418" s="2"/>
      <c r="C418" s="2"/>
      <c r="D418" s="2"/>
      <c r="E418" s="2"/>
      <c r="F418" s="2"/>
      <c r="G418" s="2"/>
      <c r="H418" s="2"/>
      <c r="I418" s="2"/>
    </row>
    <row r="419" spans="1:9" ht="15.75" customHeight="1" x14ac:dyDescent="0.2">
      <c r="A419" s="2"/>
      <c r="B419" s="2"/>
      <c r="C419" s="2"/>
      <c r="D419" s="2"/>
      <c r="E419" s="2"/>
      <c r="F419" s="2"/>
      <c r="G419" s="2"/>
      <c r="H419" s="2"/>
      <c r="I419" s="2"/>
    </row>
    <row r="420" spans="1:9" ht="15.75" customHeight="1" x14ac:dyDescent="0.2">
      <c r="A420" s="2"/>
      <c r="B420" s="2"/>
      <c r="C420" s="2"/>
      <c r="D420" s="2"/>
      <c r="E420" s="2"/>
      <c r="F420" s="2"/>
      <c r="G420" s="2"/>
      <c r="H420" s="2"/>
      <c r="I420" s="2"/>
    </row>
    <row r="421" spans="1:9" ht="15.75" customHeight="1" x14ac:dyDescent="0.2">
      <c r="A421" s="2"/>
      <c r="B421" s="2"/>
      <c r="C421" s="2"/>
      <c r="D421" s="2"/>
      <c r="E421" s="2"/>
      <c r="F421" s="2"/>
      <c r="G421" s="2"/>
      <c r="H421" s="2"/>
      <c r="I421" s="2"/>
    </row>
    <row r="422" spans="1:9" ht="15.75" customHeight="1" x14ac:dyDescent="0.2">
      <c r="A422" s="2"/>
      <c r="B422" s="2"/>
      <c r="C422" s="2"/>
      <c r="D422" s="2"/>
      <c r="E422" s="2"/>
      <c r="F422" s="2"/>
      <c r="G422" s="2"/>
      <c r="H422" s="2"/>
      <c r="I422" s="2"/>
    </row>
    <row r="423" spans="1:9" ht="15.75" customHeight="1" x14ac:dyDescent="0.2">
      <c r="A423" s="2"/>
      <c r="B423" s="2"/>
      <c r="C423" s="2"/>
      <c r="D423" s="2"/>
      <c r="E423" s="2"/>
      <c r="F423" s="2"/>
      <c r="G423" s="2"/>
      <c r="H423" s="2"/>
      <c r="I423" s="2"/>
    </row>
    <row r="424" spans="1:9" ht="15.75" customHeight="1" x14ac:dyDescent="0.2">
      <c r="A424" s="2"/>
      <c r="B424" s="2"/>
      <c r="C424" s="2"/>
      <c r="D424" s="2"/>
      <c r="E424" s="2"/>
      <c r="F424" s="2"/>
      <c r="G424" s="2"/>
      <c r="H424" s="2"/>
      <c r="I424" s="2"/>
    </row>
    <row r="425" spans="1:9" ht="15.75" customHeight="1" x14ac:dyDescent="0.2">
      <c r="A425" s="2"/>
      <c r="B425" s="2"/>
      <c r="C425" s="2"/>
      <c r="D425" s="2"/>
      <c r="E425" s="2"/>
      <c r="F425" s="2"/>
      <c r="G425" s="2"/>
      <c r="H425" s="2"/>
      <c r="I425" s="2"/>
    </row>
    <row r="426" spans="1:9" ht="15.75" customHeight="1" x14ac:dyDescent="0.2">
      <c r="A426" s="2"/>
      <c r="B426" s="2"/>
      <c r="C426" s="2"/>
      <c r="D426" s="2"/>
      <c r="E426" s="2"/>
      <c r="F426" s="2"/>
      <c r="G426" s="2"/>
      <c r="H426" s="2"/>
      <c r="I426" s="2"/>
    </row>
    <row r="427" spans="1:9" ht="15.75" customHeight="1" x14ac:dyDescent="0.2">
      <c r="A427" s="2"/>
      <c r="B427" s="2"/>
      <c r="C427" s="2"/>
      <c r="D427" s="2"/>
      <c r="E427" s="2"/>
      <c r="F427" s="2"/>
      <c r="G427" s="2"/>
      <c r="H427" s="2"/>
      <c r="I427" s="2"/>
    </row>
    <row r="428" spans="1:9" ht="15.75" customHeight="1" x14ac:dyDescent="0.2">
      <c r="A428" s="2"/>
      <c r="B428" s="2"/>
      <c r="C428" s="2"/>
      <c r="D428" s="2"/>
      <c r="E428" s="2"/>
      <c r="F428" s="2"/>
      <c r="G428" s="2"/>
      <c r="H428" s="2"/>
      <c r="I428" s="2"/>
    </row>
    <row r="429" spans="1:9" ht="15.75" customHeight="1" x14ac:dyDescent="0.2">
      <c r="A429" s="2"/>
      <c r="B429" s="2"/>
      <c r="C429" s="2"/>
      <c r="D429" s="2"/>
      <c r="E429" s="2"/>
      <c r="F429" s="2"/>
      <c r="G429" s="2"/>
      <c r="H429" s="2"/>
      <c r="I429" s="2"/>
    </row>
    <row r="430" spans="1:9" ht="15.75" customHeight="1" x14ac:dyDescent="0.2">
      <c r="A430" s="2"/>
      <c r="B430" s="2"/>
      <c r="C430" s="2"/>
      <c r="D430" s="2"/>
      <c r="E430" s="2"/>
      <c r="F430" s="2"/>
      <c r="G430" s="2"/>
      <c r="H430" s="2"/>
      <c r="I430" s="2"/>
    </row>
    <row r="431" spans="1:9" ht="15.75" customHeight="1" x14ac:dyDescent="0.2">
      <c r="A431" s="2"/>
      <c r="B431" s="2"/>
      <c r="C431" s="2"/>
      <c r="D431" s="2"/>
      <c r="E431" s="2"/>
      <c r="F431" s="2"/>
      <c r="G431" s="2"/>
      <c r="H431" s="2"/>
      <c r="I431" s="2"/>
    </row>
    <row r="432" spans="1:9" ht="15.75" customHeight="1" x14ac:dyDescent="0.2">
      <c r="A432" s="2"/>
      <c r="B432" s="2"/>
      <c r="C432" s="2"/>
      <c r="D432" s="2"/>
      <c r="E432" s="2"/>
      <c r="F432" s="2"/>
      <c r="G432" s="2"/>
      <c r="H432" s="2"/>
      <c r="I432" s="2"/>
    </row>
    <row r="433" spans="1:9" ht="15.75" customHeight="1" x14ac:dyDescent="0.2">
      <c r="A433" s="2"/>
      <c r="B433" s="2"/>
      <c r="C433" s="2"/>
      <c r="D433" s="2"/>
      <c r="E433" s="2"/>
      <c r="F433" s="2"/>
      <c r="G433" s="2"/>
      <c r="H433" s="2"/>
      <c r="I433" s="2"/>
    </row>
    <row r="434" spans="1:9" ht="15.75" customHeight="1" x14ac:dyDescent="0.2">
      <c r="A434" s="2"/>
      <c r="B434" s="2"/>
      <c r="C434" s="2"/>
      <c r="D434" s="2"/>
      <c r="E434" s="2"/>
      <c r="F434" s="2"/>
      <c r="G434" s="2"/>
      <c r="H434" s="2"/>
      <c r="I434" s="2"/>
    </row>
    <row r="435" spans="1:9" ht="15.75" customHeight="1" x14ac:dyDescent="0.2">
      <c r="A435" s="2"/>
      <c r="B435" s="2"/>
      <c r="C435" s="2"/>
      <c r="D435" s="2"/>
      <c r="E435" s="2"/>
      <c r="F435" s="2"/>
      <c r="G435" s="2"/>
      <c r="H435" s="2"/>
      <c r="I435" s="2"/>
    </row>
    <row r="436" spans="1:9" ht="15.75" customHeight="1" x14ac:dyDescent="0.2">
      <c r="A436" s="2"/>
      <c r="B436" s="2"/>
      <c r="C436" s="2"/>
      <c r="D436" s="2"/>
      <c r="E436" s="2"/>
      <c r="F436" s="2"/>
      <c r="G436" s="2"/>
      <c r="H436" s="2"/>
      <c r="I436" s="2"/>
    </row>
    <row r="437" spans="1:9" ht="15.75" customHeight="1" x14ac:dyDescent="0.2">
      <c r="A437" s="2"/>
      <c r="B437" s="2"/>
      <c r="C437" s="2"/>
      <c r="D437" s="2"/>
      <c r="E437" s="2"/>
      <c r="F437" s="2"/>
      <c r="G437" s="2"/>
      <c r="H437" s="2"/>
      <c r="I437" s="2"/>
    </row>
    <row r="438" spans="1:9" ht="15.75" customHeight="1" x14ac:dyDescent="0.2">
      <c r="A438" s="2"/>
      <c r="B438" s="2"/>
      <c r="C438" s="2"/>
      <c r="D438" s="2"/>
      <c r="E438" s="2"/>
      <c r="F438" s="2"/>
      <c r="G438" s="2"/>
      <c r="H438" s="2"/>
      <c r="I438" s="2"/>
    </row>
    <row r="439" spans="1:9" ht="15.75" customHeight="1" x14ac:dyDescent="0.2">
      <c r="A439" s="2"/>
      <c r="B439" s="2"/>
      <c r="C439" s="2"/>
      <c r="D439" s="2"/>
      <c r="E439" s="2"/>
      <c r="F439" s="2"/>
      <c r="G439" s="2"/>
      <c r="H439" s="2"/>
      <c r="I439" s="2"/>
    </row>
    <row r="440" spans="1:9" ht="15.75" customHeight="1" x14ac:dyDescent="0.2">
      <c r="A440" s="2"/>
      <c r="B440" s="2"/>
      <c r="C440" s="2"/>
      <c r="D440" s="2"/>
      <c r="E440" s="2"/>
      <c r="F440" s="2"/>
      <c r="G440" s="2"/>
      <c r="H440" s="2"/>
      <c r="I440" s="2"/>
    </row>
    <row r="441" spans="1:9" ht="15.75" customHeight="1" x14ac:dyDescent="0.2">
      <c r="A441" s="2"/>
      <c r="B441" s="2"/>
      <c r="C441" s="2"/>
      <c r="D441" s="2"/>
      <c r="E441" s="2"/>
      <c r="F441" s="2"/>
      <c r="G441" s="2"/>
      <c r="H441" s="2"/>
      <c r="I441" s="2"/>
    </row>
    <row r="442" spans="1:9" ht="15.75" customHeight="1" x14ac:dyDescent="0.2">
      <c r="A442" s="2"/>
      <c r="B442" s="2"/>
      <c r="C442" s="2"/>
      <c r="D442" s="2"/>
      <c r="E442" s="2"/>
      <c r="F442" s="2"/>
      <c r="G442" s="2"/>
      <c r="H442" s="2"/>
      <c r="I442" s="2"/>
    </row>
    <row r="443" spans="1:9" ht="15.75" customHeight="1" x14ac:dyDescent="0.2">
      <c r="A443" s="2"/>
      <c r="B443" s="2"/>
      <c r="C443" s="2"/>
      <c r="D443" s="2"/>
      <c r="E443" s="2"/>
      <c r="F443" s="2"/>
      <c r="G443" s="2"/>
      <c r="H443" s="2"/>
      <c r="I443" s="2"/>
    </row>
    <row r="444" spans="1:9" ht="15.75" customHeight="1" x14ac:dyDescent="0.2">
      <c r="A444" s="2"/>
      <c r="B444" s="2"/>
      <c r="C444" s="2"/>
      <c r="D444" s="2"/>
      <c r="E444" s="2"/>
      <c r="F444" s="2"/>
      <c r="G444" s="2"/>
      <c r="H444" s="2"/>
      <c r="I444" s="2"/>
    </row>
    <row r="445" spans="1:9" ht="15.75" customHeight="1" x14ac:dyDescent="0.2">
      <c r="A445" s="2"/>
      <c r="B445" s="2"/>
      <c r="C445" s="2"/>
      <c r="D445" s="2"/>
      <c r="E445" s="2"/>
      <c r="F445" s="2"/>
      <c r="G445" s="2"/>
      <c r="H445" s="2"/>
      <c r="I445" s="2"/>
    </row>
    <row r="446" spans="1:9" ht="15.75" customHeight="1" x14ac:dyDescent="0.2">
      <c r="A446" s="2"/>
      <c r="B446" s="2"/>
      <c r="C446" s="2"/>
      <c r="D446" s="2"/>
      <c r="E446" s="2"/>
      <c r="F446" s="2"/>
      <c r="G446" s="2"/>
      <c r="H446" s="2"/>
      <c r="I446" s="2"/>
    </row>
    <row r="447" spans="1:9" ht="15.75" customHeight="1" x14ac:dyDescent="0.2">
      <c r="A447" s="2"/>
      <c r="B447" s="2"/>
      <c r="C447" s="2"/>
      <c r="D447" s="2"/>
      <c r="E447" s="2"/>
      <c r="F447" s="2"/>
      <c r="G447" s="2"/>
      <c r="H447" s="2"/>
      <c r="I447" s="2"/>
    </row>
    <row r="448" spans="1:9" ht="15.75" customHeight="1" x14ac:dyDescent="0.2">
      <c r="A448" s="2"/>
      <c r="B448" s="2"/>
      <c r="C448" s="2"/>
      <c r="D448" s="2"/>
      <c r="E448" s="2"/>
      <c r="F448" s="2"/>
      <c r="G448" s="2"/>
      <c r="H448" s="2"/>
      <c r="I448" s="2"/>
    </row>
    <row r="449" spans="1:9" ht="15.75" customHeight="1" x14ac:dyDescent="0.2">
      <c r="A449" s="2"/>
      <c r="B449" s="2"/>
      <c r="C449" s="2"/>
      <c r="D449" s="2"/>
      <c r="E449" s="2"/>
      <c r="F449" s="2"/>
      <c r="G449" s="2"/>
      <c r="H449" s="2"/>
      <c r="I449" s="2"/>
    </row>
    <row r="450" spans="1:9" ht="15.75" customHeight="1" x14ac:dyDescent="0.2">
      <c r="A450" s="2"/>
      <c r="B450" s="2"/>
      <c r="C450" s="2"/>
      <c r="D450" s="2"/>
      <c r="E450" s="2"/>
      <c r="F450" s="2"/>
      <c r="G450" s="2"/>
      <c r="H450" s="2"/>
      <c r="I450" s="2"/>
    </row>
    <row r="451" spans="1:9" ht="15.75" customHeight="1" x14ac:dyDescent="0.2">
      <c r="A451" s="2"/>
      <c r="B451" s="2"/>
      <c r="C451" s="2"/>
      <c r="D451" s="2"/>
      <c r="E451" s="2"/>
      <c r="F451" s="2"/>
      <c r="G451" s="2"/>
      <c r="H451" s="2"/>
      <c r="I451" s="2"/>
    </row>
    <row r="452" spans="1:9" ht="15.75" customHeight="1" x14ac:dyDescent="0.2">
      <c r="A452" s="2"/>
      <c r="B452" s="2"/>
      <c r="C452" s="2"/>
      <c r="D452" s="2"/>
      <c r="E452" s="2"/>
      <c r="F452" s="2"/>
      <c r="G452" s="2"/>
      <c r="H452" s="2"/>
      <c r="I452" s="2"/>
    </row>
    <row r="453" spans="1:9" ht="15.75" customHeight="1" x14ac:dyDescent="0.2">
      <c r="A453" s="2"/>
      <c r="B453" s="2"/>
      <c r="C453" s="2"/>
      <c r="D453" s="2"/>
      <c r="E453" s="2"/>
      <c r="F453" s="2"/>
      <c r="G453" s="2"/>
      <c r="H453" s="2"/>
      <c r="I453" s="2"/>
    </row>
    <row r="454" spans="1:9" ht="15.75" customHeight="1" x14ac:dyDescent="0.2">
      <c r="A454" s="2"/>
      <c r="B454" s="2"/>
      <c r="C454" s="2"/>
      <c r="D454" s="2"/>
      <c r="E454" s="2"/>
      <c r="F454" s="2"/>
      <c r="G454" s="2"/>
      <c r="H454" s="2"/>
      <c r="I454" s="2"/>
    </row>
    <row r="455" spans="1:9" ht="15.75" customHeight="1" x14ac:dyDescent="0.2">
      <c r="A455" s="2"/>
      <c r="B455" s="2"/>
      <c r="C455" s="2"/>
      <c r="D455" s="2"/>
      <c r="E455" s="2"/>
      <c r="F455" s="2"/>
      <c r="G455" s="2"/>
      <c r="H455" s="2"/>
      <c r="I455" s="2"/>
    </row>
    <row r="456" spans="1:9" ht="15.75" customHeight="1" x14ac:dyDescent="0.2">
      <c r="A456" s="2"/>
      <c r="B456" s="2"/>
      <c r="C456" s="2"/>
      <c r="D456" s="2"/>
      <c r="E456" s="2"/>
      <c r="F456" s="2"/>
      <c r="G456" s="2"/>
      <c r="H456" s="2"/>
      <c r="I456" s="2"/>
    </row>
    <row r="457" spans="1:9" ht="15.75" customHeight="1" x14ac:dyDescent="0.2">
      <c r="A457" s="2"/>
      <c r="B457" s="2"/>
      <c r="C457" s="2"/>
      <c r="D457" s="2"/>
      <c r="E457" s="2"/>
      <c r="F457" s="2"/>
      <c r="G457" s="2"/>
      <c r="H457" s="2"/>
      <c r="I457" s="2"/>
    </row>
    <row r="458" spans="1:9" ht="15.75" customHeight="1" x14ac:dyDescent="0.2">
      <c r="A458" s="2"/>
      <c r="B458" s="2"/>
      <c r="C458" s="2"/>
      <c r="D458" s="2"/>
      <c r="E458" s="2"/>
      <c r="F458" s="2"/>
      <c r="G458" s="2"/>
      <c r="H458" s="2"/>
      <c r="I458" s="2"/>
    </row>
    <row r="459" spans="1:9" ht="15.75" customHeight="1" x14ac:dyDescent="0.2">
      <c r="A459" s="2"/>
      <c r="B459" s="2"/>
      <c r="C459" s="2"/>
      <c r="D459" s="2"/>
      <c r="E459" s="2"/>
      <c r="F459" s="2"/>
      <c r="G459" s="2"/>
      <c r="H459" s="2"/>
      <c r="I459" s="2"/>
    </row>
    <row r="460" spans="1:9" ht="15.75" customHeight="1" x14ac:dyDescent="0.2">
      <c r="A460" s="2"/>
      <c r="B460" s="2"/>
      <c r="C460" s="2"/>
      <c r="D460" s="2"/>
      <c r="E460" s="2"/>
      <c r="F460" s="2"/>
      <c r="G460" s="2"/>
      <c r="H460" s="2"/>
      <c r="I460" s="2"/>
    </row>
    <row r="461" spans="1:9" ht="15.75" customHeight="1" x14ac:dyDescent="0.2">
      <c r="A461" s="2"/>
      <c r="B461" s="2"/>
      <c r="C461" s="2"/>
      <c r="D461" s="2"/>
      <c r="E461" s="2"/>
      <c r="F461" s="2"/>
      <c r="G461" s="2"/>
      <c r="H461" s="2"/>
      <c r="I461" s="2"/>
    </row>
    <row r="462" spans="1:9" ht="15.75" customHeight="1" x14ac:dyDescent="0.2">
      <c r="A462" s="2"/>
      <c r="B462" s="2"/>
      <c r="C462" s="2"/>
      <c r="D462" s="2"/>
      <c r="E462" s="2"/>
      <c r="F462" s="2"/>
      <c r="G462" s="2"/>
      <c r="H462" s="2"/>
      <c r="I462" s="2"/>
    </row>
    <row r="463" spans="1:9" ht="15.75" customHeight="1" x14ac:dyDescent="0.2">
      <c r="A463" s="2"/>
      <c r="B463" s="2"/>
      <c r="C463" s="2"/>
      <c r="D463" s="2"/>
      <c r="E463" s="2"/>
      <c r="F463" s="2"/>
      <c r="G463" s="2"/>
      <c r="H463" s="2"/>
      <c r="I463" s="2"/>
    </row>
    <row r="464" spans="1:9" ht="15.75" customHeight="1" x14ac:dyDescent="0.2">
      <c r="A464" s="2"/>
      <c r="B464" s="2"/>
      <c r="C464" s="2"/>
      <c r="D464" s="2"/>
      <c r="E464" s="2"/>
      <c r="F464" s="2"/>
      <c r="G464" s="2"/>
      <c r="H464" s="2"/>
      <c r="I464" s="2"/>
    </row>
    <row r="465" spans="1:9" ht="15.75" customHeight="1" x14ac:dyDescent="0.2">
      <c r="A465" s="2"/>
      <c r="B465" s="2"/>
      <c r="C465" s="2"/>
      <c r="D465" s="2"/>
      <c r="E465" s="2"/>
      <c r="F465" s="2"/>
      <c r="G465" s="2"/>
      <c r="H465" s="2"/>
      <c r="I465" s="2"/>
    </row>
    <row r="466" spans="1:9" ht="15.75" customHeight="1" x14ac:dyDescent="0.2">
      <c r="A466" s="2"/>
      <c r="B466" s="2"/>
      <c r="C466" s="2"/>
      <c r="D466" s="2"/>
      <c r="E466" s="2"/>
      <c r="F466" s="2"/>
      <c r="G466" s="2"/>
      <c r="H466" s="2"/>
      <c r="I466" s="2"/>
    </row>
    <row r="467" spans="1:9" ht="15.75" customHeight="1" x14ac:dyDescent="0.2">
      <c r="A467" s="2"/>
      <c r="B467" s="2"/>
      <c r="C467" s="2"/>
      <c r="D467" s="2"/>
      <c r="E467" s="2"/>
      <c r="F467" s="2"/>
      <c r="G467" s="2"/>
      <c r="H467" s="2"/>
      <c r="I467" s="2"/>
    </row>
    <row r="468" spans="1:9" ht="15.75" customHeight="1" x14ac:dyDescent="0.2">
      <c r="A468" s="2"/>
      <c r="B468" s="2"/>
      <c r="C468" s="2"/>
      <c r="D468" s="2"/>
      <c r="E468" s="2"/>
      <c r="F468" s="2"/>
      <c r="G468" s="2"/>
      <c r="H468" s="2"/>
      <c r="I468" s="2"/>
    </row>
    <row r="469" spans="1:9" ht="15.75" customHeight="1" x14ac:dyDescent="0.2">
      <c r="A469" s="2"/>
      <c r="B469" s="2"/>
      <c r="C469" s="2"/>
      <c r="D469" s="2"/>
      <c r="E469" s="2"/>
      <c r="F469" s="2"/>
      <c r="G469" s="2"/>
      <c r="H469" s="2"/>
      <c r="I469" s="2"/>
    </row>
    <row r="470" spans="1:9" ht="15.75" customHeight="1" x14ac:dyDescent="0.2">
      <c r="A470" s="2"/>
      <c r="B470" s="2"/>
      <c r="C470" s="2"/>
      <c r="D470" s="2"/>
      <c r="E470" s="2"/>
      <c r="F470" s="2"/>
      <c r="G470" s="2"/>
      <c r="H470" s="2"/>
      <c r="I470" s="2"/>
    </row>
    <row r="471" spans="1:9" ht="15.75" customHeight="1" x14ac:dyDescent="0.2">
      <c r="A471" s="2"/>
      <c r="B471" s="2"/>
      <c r="C471" s="2"/>
      <c r="D471" s="2"/>
      <c r="E471" s="2"/>
      <c r="F471" s="2"/>
      <c r="G471" s="2"/>
      <c r="H471" s="2"/>
      <c r="I471" s="2"/>
    </row>
    <row r="472" spans="1:9" ht="15.75" customHeight="1" x14ac:dyDescent="0.2">
      <c r="A472" s="2"/>
      <c r="B472" s="2"/>
      <c r="C472" s="2"/>
      <c r="D472" s="2"/>
      <c r="E472" s="2"/>
      <c r="F472" s="2"/>
      <c r="G472" s="2"/>
      <c r="H472" s="2"/>
      <c r="I472" s="2"/>
    </row>
    <row r="473" spans="1:9" ht="15.75" customHeight="1" x14ac:dyDescent="0.2">
      <c r="A473" s="2"/>
      <c r="B473" s="2"/>
      <c r="C473" s="2"/>
      <c r="D473" s="2"/>
      <c r="E473" s="2"/>
      <c r="F473" s="2"/>
      <c r="G473" s="2"/>
      <c r="H473" s="2"/>
      <c r="I473" s="2"/>
    </row>
    <row r="474" spans="1:9" ht="15.75" customHeight="1" x14ac:dyDescent="0.2">
      <c r="A474" s="2"/>
      <c r="B474" s="2"/>
      <c r="C474" s="2"/>
      <c r="D474" s="2"/>
      <c r="E474" s="2"/>
      <c r="F474" s="2"/>
      <c r="G474" s="2"/>
      <c r="H474" s="2"/>
      <c r="I474" s="2"/>
    </row>
    <row r="475" spans="1:9" ht="15.75" customHeight="1" x14ac:dyDescent="0.2">
      <c r="A475" s="2"/>
      <c r="B475" s="2"/>
      <c r="C475" s="2"/>
      <c r="D475" s="2"/>
      <c r="E475" s="2"/>
      <c r="F475" s="2"/>
      <c r="G475" s="2"/>
      <c r="H475" s="2"/>
      <c r="I475" s="2"/>
    </row>
    <row r="476" spans="1:9" ht="15.75" customHeight="1" x14ac:dyDescent="0.2">
      <c r="A476" s="2"/>
      <c r="B476" s="2"/>
      <c r="C476" s="2"/>
      <c r="D476" s="2"/>
      <c r="E476" s="2"/>
      <c r="F476" s="2"/>
      <c r="G476" s="2"/>
      <c r="H476" s="2"/>
      <c r="I476" s="2"/>
    </row>
    <row r="477" spans="1:9" ht="15.75" customHeight="1" x14ac:dyDescent="0.2">
      <c r="A477" s="2"/>
      <c r="B477" s="2"/>
      <c r="C477" s="2"/>
      <c r="D477" s="2"/>
      <c r="E477" s="2"/>
      <c r="F477" s="2"/>
      <c r="G477" s="2"/>
      <c r="H477" s="2"/>
      <c r="I477" s="2"/>
    </row>
    <row r="478" spans="1:9" ht="15.75" customHeight="1" x14ac:dyDescent="0.2">
      <c r="A478" s="2"/>
      <c r="B478" s="2"/>
      <c r="C478" s="2"/>
      <c r="D478" s="2"/>
      <c r="E478" s="2"/>
      <c r="F478" s="2"/>
      <c r="G478" s="2"/>
      <c r="H478" s="2"/>
      <c r="I478" s="2"/>
    </row>
    <row r="479" spans="1:9" ht="15.75" customHeight="1" x14ac:dyDescent="0.2">
      <c r="A479" s="2"/>
      <c r="B479" s="2"/>
      <c r="C479" s="2"/>
      <c r="D479" s="2"/>
      <c r="E479" s="2"/>
      <c r="F479" s="2"/>
      <c r="G479" s="2"/>
      <c r="H479" s="2"/>
      <c r="I479" s="2"/>
    </row>
    <row r="480" spans="1:9" ht="15.75" customHeight="1" x14ac:dyDescent="0.2">
      <c r="A480" s="2"/>
      <c r="B480" s="2"/>
      <c r="C480" s="2"/>
      <c r="D480" s="2"/>
      <c r="E480" s="2"/>
      <c r="F480" s="2"/>
      <c r="G480" s="2"/>
      <c r="H480" s="2"/>
      <c r="I480" s="2"/>
    </row>
    <row r="481" spans="1:9" ht="15.75" customHeight="1" x14ac:dyDescent="0.2">
      <c r="A481" s="2"/>
      <c r="B481" s="2"/>
      <c r="C481" s="2"/>
      <c r="D481" s="2"/>
      <c r="E481" s="2"/>
      <c r="F481" s="2"/>
      <c r="G481" s="2"/>
      <c r="H481" s="2"/>
      <c r="I481" s="2"/>
    </row>
    <row r="482" spans="1:9" ht="15.75" customHeight="1" x14ac:dyDescent="0.2">
      <c r="A482" s="2"/>
      <c r="B482" s="2"/>
      <c r="C482" s="2"/>
      <c r="D482" s="2"/>
      <c r="E482" s="2"/>
      <c r="F482" s="2"/>
      <c r="G482" s="2"/>
      <c r="H482" s="2"/>
      <c r="I482" s="2"/>
    </row>
    <row r="483" spans="1:9" ht="15.75" customHeight="1" x14ac:dyDescent="0.2">
      <c r="A483" s="2"/>
      <c r="B483" s="2"/>
      <c r="C483" s="2"/>
      <c r="D483" s="2"/>
      <c r="E483" s="2"/>
      <c r="F483" s="2"/>
      <c r="G483" s="2"/>
      <c r="H483" s="2"/>
      <c r="I483" s="2"/>
    </row>
    <row r="484" spans="1:9" ht="15.75" customHeight="1" x14ac:dyDescent="0.2">
      <c r="A484" s="2"/>
      <c r="B484" s="2"/>
      <c r="C484" s="2"/>
      <c r="D484" s="2"/>
      <c r="E484" s="2"/>
      <c r="F484" s="2"/>
      <c r="G484" s="2"/>
      <c r="H484" s="2"/>
      <c r="I484" s="2"/>
    </row>
    <row r="485" spans="1:9" ht="15.75" customHeight="1" x14ac:dyDescent="0.2">
      <c r="A485" s="2"/>
      <c r="B485" s="2"/>
      <c r="C485" s="2"/>
      <c r="D485" s="2"/>
      <c r="E485" s="2"/>
      <c r="F485" s="2"/>
      <c r="G485" s="2"/>
      <c r="H485" s="2"/>
      <c r="I485" s="2"/>
    </row>
    <row r="486" spans="1:9" ht="15.75" customHeight="1" x14ac:dyDescent="0.2">
      <c r="A486" s="2"/>
      <c r="B486" s="2"/>
      <c r="C486" s="2"/>
      <c r="D486" s="2"/>
      <c r="E486" s="2"/>
      <c r="F486" s="2"/>
      <c r="G486" s="2"/>
      <c r="H486" s="2"/>
      <c r="I486" s="2"/>
    </row>
    <row r="487" spans="1:9" ht="15.75" customHeight="1" x14ac:dyDescent="0.2">
      <c r="A487" s="2"/>
      <c r="B487" s="2"/>
      <c r="C487" s="2"/>
      <c r="D487" s="2"/>
      <c r="E487" s="2"/>
      <c r="F487" s="2"/>
      <c r="G487" s="2"/>
      <c r="H487" s="2"/>
      <c r="I487" s="2"/>
    </row>
    <row r="488" spans="1:9" ht="15.75" customHeight="1" x14ac:dyDescent="0.2">
      <c r="A488" s="2"/>
      <c r="B488" s="2"/>
      <c r="C488" s="2"/>
      <c r="D488" s="2"/>
      <c r="E488" s="2"/>
      <c r="F488" s="2"/>
      <c r="G488" s="2"/>
      <c r="H488" s="2"/>
      <c r="I488" s="2"/>
    </row>
    <row r="489" spans="1:9" ht="15.75" customHeight="1" x14ac:dyDescent="0.2">
      <c r="A489" s="2"/>
      <c r="B489" s="2"/>
      <c r="C489" s="2"/>
      <c r="D489" s="2"/>
      <c r="E489" s="2"/>
      <c r="F489" s="2"/>
      <c r="G489" s="2"/>
      <c r="H489" s="2"/>
      <c r="I489" s="2"/>
    </row>
    <row r="490" spans="1:9" ht="15.75" customHeight="1" x14ac:dyDescent="0.2">
      <c r="A490" s="2"/>
      <c r="B490" s="2"/>
      <c r="C490" s="2"/>
      <c r="D490" s="2"/>
      <c r="E490" s="2"/>
      <c r="F490" s="2"/>
      <c r="G490" s="2"/>
      <c r="H490" s="2"/>
      <c r="I490" s="2"/>
    </row>
    <row r="491" spans="1:9" ht="15.75" customHeight="1" x14ac:dyDescent="0.2">
      <c r="A491" s="2"/>
      <c r="B491" s="2"/>
      <c r="C491" s="2"/>
      <c r="D491" s="2"/>
      <c r="E491" s="2"/>
      <c r="F491" s="2"/>
      <c r="G491" s="2"/>
      <c r="H491" s="2"/>
      <c r="I491" s="2"/>
    </row>
    <row r="492" spans="1:9" ht="15.75" customHeight="1" x14ac:dyDescent="0.2">
      <c r="A492" s="2"/>
      <c r="B492" s="2"/>
      <c r="C492" s="2"/>
      <c r="D492" s="2"/>
      <c r="E492" s="2"/>
      <c r="F492" s="2"/>
      <c r="G492" s="2"/>
      <c r="H492" s="2"/>
      <c r="I492" s="2"/>
    </row>
    <row r="493" spans="1:9" ht="15.75" customHeight="1" x14ac:dyDescent="0.2">
      <c r="A493" s="2"/>
      <c r="B493" s="2"/>
      <c r="C493" s="2"/>
      <c r="D493" s="2"/>
      <c r="E493" s="2"/>
      <c r="F493" s="2"/>
      <c r="G493" s="2"/>
      <c r="H493" s="2"/>
      <c r="I493" s="2"/>
    </row>
    <row r="494" spans="1:9" ht="15.75" customHeight="1" x14ac:dyDescent="0.2">
      <c r="A494" s="2"/>
      <c r="B494" s="2"/>
      <c r="C494" s="2"/>
      <c r="D494" s="2"/>
      <c r="E494" s="2"/>
      <c r="F494" s="2"/>
      <c r="G494" s="2"/>
      <c r="H494" s="2"/>
      <c r="I494" s="2"/>
    </row>
    <row r="495" spans="1:9" ht="15.75" customHeight="1" x14ac:dyDescent="0.2">
      <c r="A495" s="2"/>
      <c r="B495" s="2"/>
      <c r="C495" s="2"/>
      <c r="D495" s="2"/>
      <c r="E495" s="2"/>
      <c r="F495" s="2"/>
      <c r="G495" s="2"/>
      <c r="H495" s="2"/>
      <c r="I495" s="2"/>
    </row>
    <row r="496" spans="1:9" ht="15.75" customHeight="1" x14ac:dyDescent="0.2">
      <c r="A496" s="2"/>
      <c r="B496" s="2"/>
      <c r="C496" s="2"/>
      <c r="D496" s="2"/>
      <c r="E496" s="2"/>
      <c r="F496" s="2"/>
      <c r="G496" s="2"/>
      <c r="H496" s="2"/>
      <c r="I496" s="2"/>
    </row>
    <row r="497" spans="1:9" ht="15.75" customHeight="1" x14ac:dyDescent="0.2">
      <c r="A497" s="2"/>
      <c r="B497" s="2"/>
      <c r="C497" s="2"/>
      <c r="D497" s="2"/>
      <c r="E497" s="2"/>
      <c r="F497" s="2"/>
      <c r="G497" s="2"/>
      <c r="H497" s="2"/>
      <c r="I497" s="2"/>
    </row>
    <row r="498" spans="1:9" ht="15.75" customHeight="1" x14ac:dyDescent="0.2">
      <c r="A498" s="2"/>
      <c r="B498" s="2"/>
      <c r="C498" s="2"/>
      <c r="D498" s="2"/>
      <c r="E498" s="2"/>
      <c r="F498" s="2"/>
      <c r="G498" s="2"/>
      <c r="H498" s="2"/>
      <c r="I498" s="2"/>
    </row>
    <row r="499" spans="1:9" ht="15.75" customHeight="1" x14ac:dyDescent="0.2">
      <c r="A499" s="2"/>
      <c r="B499" s="2"/>
      <c r="C499" s="2"/>
      <c r="D499" s="2"/>
      <c r="E499" s="2"/>
      <c r="F499" s="2"/>
      <c r="G499" s="2"/>
      <c r="H499" s="2"/>
      <c r="I499" s="2"/>
    </row>
    <row r="500" spans="1:9" ht="15.75" customHeight="1" x14ac:dyDescent="0.2">
      <c r="A500" s="2"/>
      <c r="B500" s="2"/>
      <c r="C500" s="2"/>
      <c r="D500" s="2"/>
      <c r="E500" s="2"/>
      <c r="F500" s="2"/>
      <c r="G500" s="2"/>
      <c r="H500" s="2"/>
      <c r="I500" s="2"/>
    </row>
    <row r="501" spans="1:9" ht="15.75" customHeight="1" x14ac:dyDescent="0.2">
      <c r="A501" s="2"/>
      <c r="B501" s="2"/>
      <c r="C501" s="2"/>
      <c r="D501" s="2"/>
      <c r="E501" s="2"/>
      <c r="F501" s="2"/>
      <c r="G501" s="2"/>
      <c r="H501" s="2"/>
      <c r="I501" s="2"/>
    </row>
    <row r="502" spans="1:9" ht="15.75" customHeight="1" x14ac:dyDescent="0.2">
      <c r="A502" s="2"/>
      <c r="B502" s="2"/>
      <c r="C502" s="2"/>
      <c r="D502" s="2"/>
      <c r="E502" s="2"/>
      <c r="F502" s="2"/>
      <c r="G502" s="2"/>
      <c r="H502" s="2"/>
      <c r="I502" s="2"/>
    </row>
    <row r="503" spans="1:9" ht="15.75" customHeight="1" x14ac:dyDescent="0.2">
      <c r="A503" s="2"/>
      <c r="B503" s="2"/>
      <c r="C503" s="2"/>
      <c r="D503" s="2"/>
      <c r="E503" s="2"/>
      <c r="F503" s="2"/>
      <c r="G503" s="2"/>
      <c r="H503" s="2"/>
      <c r="I503" s="2"/>
    </row>
    <row r="504" spans="1:9" ht="15.75" customHeight="1" x14ac:dyDescent="0.2">
      <c r="A504" s="2"/>
      <c r="B504" s="2"/>
      <c r="C504" s="2"/>
      <c r="D504" s="2"/>
      <c r="E504" s="2"/>
      <c r="F504" s="2"/>
      <c r="G504" s="2"/>
      <c r="H504" s="2"/>
      <c r="I504" s="2"/>
    </row>
    <row r="505" spans="1:9" ht="15.75" customHeight="1" x14ac:dyDescent="0.2">
      <c r="A505" s="2"/>
      <c r="B505" s="2"/>
      <c r="C505" s="2"/>
      <c r="D505" s="2"/>
      <c r="E505" s="2"/>
      <c r="F505" s="2"/>
      <c r="G505" s="2"/>
      <c r="H505" s="2"/>
      <c r="I505" s="2"/>
    </row>
    <row r="506" spans="1:9" ht="15.75" customHeight="1" x14ac:dyDescent="0.2">
      <c r="A506" s="2"/>
      <c r="B506" s="2"/>
      <c r="C506" s="2"/>
      <c r="D506" s="2"/>
      <c r="E506" s="2"/>
      <c r="F506" s="2"/>
      <c r="G506" s="2"/>
      <c r="H506" s="2"/>
      <c r="I506" s="2"/>
    </row>
    <row r="507" spans="1:9" ht="15.75" customHeight="1" x14ac:dyDescent="0.2">
      <c r="A507" s="2"/>
      <c r="B507" s="2"/>
      <c r="C507" s="2"/>
      <c r="D507" s="2"/>
      <c r="E507" s="2"/>
      <c r="F507" s="2"/>
      <c r="G507" s="2"/>
      <c r="H507" s="2"/>
      <c r="I507" s="2"/>
    </row>
    <row r="508" spans="1:9" ht="15.75" customHeight="1" x14ac:dyDescent="0.2">
      <c r="A508" s="2"/>
      <c r="B508" s="2"/>
      <c r="C508" s="2"/>
      <c r="D508" s="2"/>
      <c r="E508" s="2"/>
      <c r="F508" s="2"/>
      <c r="G508" s="2"/>
      <c r="H508" s="2"/>
      <c r="I508" s="2"/>
    </row>
    <row r="509" spans="1:9" ht="15.75" customHeight="1" x14ac:dyDescent="0.2">
      <c r="A509" s="2"/>
      <c r="B509" s="2"/>
      <c r="C509" s="2"/>
      <c r="D509" s="2"/>
      <c r="E509" s="2"/>
      <c r="F509" s="2"/>
      <c r="G509" s="2"/>
      <c r="H509" s="2"/>
      <c r="I509" s="2"/>
    </row>
    <row r="510" spans="1:9" ht="15.75" customHeight="1" x14ac:dyDescent="0.2">
      <c r="A510" s="2"/>
      <c r="B510" s="2"/>
      <c r="C510" s="2"/>
      <c r="D510" s="2"/>
      <c r="E510" s="2"/>
      <c r="F510" s="2"/>
      <c r="G510" s="2"/>
      <c r="H510" s="2"/>
      <c r="I510" s="2"/>
    </row>
    <row r="511" spans="1:9" ht="15.75" customHeight="1" x14ac:dyDescent="0.2">
      <c r="A511" s="2"/>
      <c r="B511" s="2"/>
      <c r="C511" s="2"/>
      <c r="D511" s="2"/>
      <c r="E511" s="2"/>
      <c r="F511" s="2"/>
      <c r="G511" s="2"/>
      <c r="H511" s="2"/>
      <c r="I511" s="2"/>
    </row>
    <row r="512" spans="1:9" ht="15.75" customHeight="1" x14ac:dyDescent="0.2">
      <c r="A512" s="2"/>
      <c r="B512" s="2"/>
      <c r="C512" s="2"/>
      <c r="D512" s="2"/>
      <c r="E512" s="2"/>
      <c r="F512" s="2"/>
      <c r="G512" s="2"/>
      <c r="H512" s="2"/>
      <c r="I512" s="2"/>
    </row>
    <row r="513" spans="1:9" ht="15.75" customHeight="1" x14ac:dyDescent="0.2">
      <c r="A513" s="2"/>
      <c r="B513" s="2"/>
      <c r="C513" s="2"/>
      <c r="D513" s="2"/>
      <c r="E513" s="2"/>
      <c r="F513" s="2"/>
      <c r="G513" s="2"/>
      <c r="H513" s="2"/>
      <c r="I513" s="2"/>
    </row>
    <row r="514" spans="1:9" ht="15.75" customHeight="1" x14ac:dyDescent="0.2">
      <c r="A514" s="2"/>
      <c r="B514" s="2"/>
      <c r="C514" s="2"/>
      <c r="D514" s="2"/>
      <c r="E514" s="2"/>
      <c r="F514" s="2"/>
      <c r="G514" s="2"/>
      <c r="H514" s="2"/>
      <c r="I514" s="2"/>
    </row>
    <row r="515" spans="1:9" ht="15.75" customHeight="1" x14ac:dyDescent="0.2">
      <c r="A515" s="2"/>
      <c r="B515" s="2"/>
      <c r="C515" s="2"/>
      <c r="D515" s="2"/>
      <c r="E515" s="2"/>
      <c r="F515" s="2"/>
      <c r="G515" s="2"/>
      <c r="H515" s="2"/>
      <c r="I515" s="2"/>
    </row>
    <row r="516" spans="1:9" ht="15.75" customHeight="1" x14ac:dyDescent="0.2">
      <c r="A516" s="2"/>
      <c r="B516" s="2"/>
      <c r="C516" s="2"/>
      <c r="D516" s="2"/>
      <c r="E516" s="2"/>
      <c r="F516" s="2"/>
      <c r="G516" s="2"/>
      <c r="H516" s="2"/>
      <c r="I516" s="2"/>
    </row>
    <row r="517" spans="1:9" ht="15.75" customHeight="1" x14ac:dyDescent="0.2">
      <c r="A517" s="2"/>
      <c r="B517" s="2"/>
      <c r="C517" s="2"/>
      <c r="D517" s="2"/>
      <c r="E517" s="2"/>
      <c r="F517" s="2"/>
      <c r="G517" s="2"/>
      <c r="H517" s="2"/>
      <c r="I517" s="2"/>
    </row>
    <row r="518" spans="1:9" ht="15.75" customHeight="1" x14ac:dyDescent="0.2">
      <c r="A518" s="2"/>
      <c r="B518" s="2"/>
      <c r="C518" s="2"/>
      <c r="D518" s="2"/>
      <c r="E518" s="2"/>
      <c r="F518" s="2"/>
      <c r="G518" s="2"/>
      <c r="H518" s="2"/>
      <c r="I518" s="2"/>
    </row>
    <row r="519" spans="1:9" ht="15.75" customHeight="1" x14ac:dyDescent="0.2">
      <c r="A519" s="2"/>
      <c r="B519" s="2"/>
      <c r="C519" s="2"/>
      <c r="D519" s="2"/>
      <c r="E519" s="2"/>
      <c r="F519" s="2"/>
      <c r="G519" s="2"/>
      <c r="H519" s="2"/>
      <c r="I519" s="2"/>
    </row>
    <row r="520" spans="1:9" ht="15.75" customHeight="1" x14ac:dyDescent="0.2">
      <c r="A520" s="2"/>
      <c r="B520" s="2"/>
      <c r="C520" s="2"/>
      <c r="D520" s="2"/>
      <c r="E520" s="2"/>
      <c r="F520" s="2"/>
      <c r="G520" s="2"/>
      <c r="H520" s="2"/>
      <c r="I520" s="2"/>
    </row>
    <row r="521" spans="1:9" ht="15.75" customHeight="1" x14ac:dyDescent="0.2">
      <c r="A521" s="2"/>
      <c r="B521" s="2"/>
      <c r="C521" s="2"/>
      <c r="D521" s="2"/>
      <c r="E521" s="2"/>
      <c r="F521" s="2"/>
      <c r="G521" s="2"/>
      <c r="H521" s="2"/>
      <c r="I521" s="2"/>
    </row>
    <row r="522" spans="1:9" ht="15.75" customHeight="1" x14ac:dyDescent="0.2">
      <c r="A522" s="2"/>
      <c r="B522" s="2"/>
      <c r="C522" s="2"/>
      <c r="D522" s="2"/>
      <c r="E522" s="2"/>
      <c r="F522" s="2"/>
      <c r="G522" s="2"/>
      <c r="H522" s="2"/>
      <c r="I522" s="2"/>
    </row>
    <row r="523" spans="1:9" ht="15.75" customHeight="1" x14ac:dyDescent="0.2">
      <c r="A523" s="2"/>
      <c r="B523" s="2"/>
      <c r="C523" s="2"/>
      <c r="D523" s="2"/>
      <c r="E523" s="2"/>
      <c r="F523" s="2"/>
      <c r="G523" s="2"/>
      <c r="H523" s="2"/>
      <c r="I523" s="2"/>
    </row>
    <row r="524" spans="1:9" ht="15.75" customHeight="1" x14ac:dyDescent="0.2">
      <c r="A524" s="2"/>
      <c r="B524" s="2"/>
      <c r="C524" s="2"/>
      <c r="D524" s="2"/>
      <c r="E524" s="2"/>
      <c r="F524" s="2"/>
      <c r="G524" s="2"/>
      <c r="H524" s="2"/>
      <c r="I524" s="2"/>
    </row>
    <row r="525" spans="1:9" ht="15.75" customHeight="1" x14ac:dyDescent="0.2">
      <c r="A525" s="2"/>
      <c r="B525" s="2"/>
      <c r="C525" s="2"/>
      <c r="D525" s="2"/>
      <c r="E525" s="2"/>
      <c r="F525" s="2"/>
      <c r="G525" s="2"/>
      <c r="H525" s="2"/>
      <c r="I525" s="2"/>
    </row>
    <row r="526" spans="1:9" ht="15.75" customHeight="1" x14ac:dyDescent="0.2">
      <c r="A526" s="2"/>
      <c r="B526" s="2"/>
      <c r="C526" s="2"/>
      <c r="D526" s="2"/>
      <c r="E526" s="2"/>
      <c r="F526" s="2"/>
      <c r="G526" s="2"/>
      <c r="H526" s="2"/>
      <c r="I526" s="2"/>
    </row>
    <row r="527" spans="1:9" ht="15.75" customHeight="1" x14ac:dyDescent="0.2">
      <c r="A527" s="2"/>
      <c r="B527" s="2"/>
      <c r="C527" s="2"/>
      <c r="D527" s="2"/>
      <c r="E527" s="2"/>
      <c r="F527" s="2"/>
      <c r="G527" s="2"/>
      <c r="H527" s="2"/>
      <c r="I527" s="2"/>
    </row>
    <row r="528" spans="1:9" ht="15.75" customHeight="1" x14ac:dyDescent="0.2">
      <c r="A528" s="2"/>
      <c r="B528" s="2"/>
      <c r="C528" s="2"/>
      <c r="D528" s="2"/>
      <c r="E528" s="2"/>
      <c r="F528" s="2"/>
      <c r="G528" s="2"/>
      <c r="H528" s="2"/>
      <c r="I528" s="2"/>
    </row>
    <row r="529" spans="1:9" ht="15.75" customHeight="1" x14ac:dyDescent="0.2">
      <c r="A529" s="2"/>
      <c r="B529" s="2"/>
      <c r="C529" s="2"/>
      <c r="D529" s="2"/>
      <c r="E529" s="2"/>
      <c r="F529" s="2"/>
      <c r="G529" s="2"/>
      <c r="H529" s="2"/>
      <c r="I529" s="2"/>
    </row>
    <row r="530" spans="1:9" ht="15.75" customHeight="1" x14ac:dyDescent="0.2">
      <c r="A530" s="2"/>
      <c r="B530" s="2"/>
      <c r="C530" s="2"/>
      <c r="D530" s="2"/>
      <c r="E530" s="2"/>
      <c r="F530" s="2"/>
      <c r="G530" s="2"/>
      <c r="H530" s="2"/>
      <c r="I530" s="2"/>
    </row>
    <row r="531" spans="1:9" ht="15.75" customHeight="1" x14ac:dyDescent="0.2">
      <c r="A531" s="2"/>
      <c r="B531" s="2"/>
      <c r="C531" s="2"/>
      <c r="D531" s="2"/>
      <c r="E531" s="2"/>
      <c r="F531" s="2"/>
      <c r="G531" s="2"/>
      <c r="H531" s="2"/>
      <c r="I531" s="2"/>
    </row>
    <row r="532" spans="1:9" ht="15.75" customHeight="1" x14ac:dyDescent="0.2">
      <c r="A532" s="2"/>
      <c r="B532" s="2"/>
      <c r="C532" s="2"/>
      <c r="D532" s="2"/>
      <c r="E532" s="2"/>
      <c r="F532" s="2"/>
      <c r="G532" s="2"/>
      <c r="H532" s="2"/>
      <c r="I532" s="2"/>
    </row>
    <row r="533" spans="1:9" ht="15.75" customHeight="1" x14ac:dyDescent="0.2">
      <c r="A533" s="2"/>
      <c r="B533" s="2"/>
      <c r="C533" s="2"/>
      <c r="D533" s="2"/>
      <c r="E533" s="2"/>
      <c r="F533" s="2"/>
      <c r="G533" s="2"/>
      <c r="H533" s="2"/>
      <c r="I533" s="2"/>
    </row>
    <row r="534" spans="1:9" ht="15.75" customHeight="1" x14ac:dyDescent="0.2">
      <c r="A534" s="2"/>
      <c r="B534" s="2"/>
      <c r="C534" s="2"/>
      <c r="D534" s="2"/>
      <c r="E534" s="2"/>
      <c r="F534" s="2"/>
      <c r="G534" s="2"/>
      <c r="H534" s="2"/>
      <c r="I534" s="2"/>
    </row>
    <row r="535" spans="1:9" ht="15.75" customHeight="1" x14ac:dyDescent="0.2">
      <c r="A535" s="2"/>
      <c r="B535" s="2"/>
      <c r="C535" s="2"/>
      <c r="D535" s="2"/>
      <c r="E535" s="2"/>
      <c r="F535" s="2"/>
      <c r="G535" s="2"/>
      <c r="H535" s="2"/>
      <c r="I535" s="2"/>
    </row>
    <row r="536" spans="1:9" ht="15.75" customHeight="1" x14ac:dyDescent="0.2">
      <c r="A536" s="2"/>
      <c r="B536" s="2"/>
      <c r="C536" s="2"/>
      <c r="D536" s="2"/>
      <c r="E536" s="2"/>
      <c r="F536" s="2"/>
      <c r="G536" s="2"/>
      <c r="H536" s="2"/>
      <c r="I536" s="2"/>
    </row>
    <row r="537" spans="1:9" ht="15.75" customHeight="1" x14ac:dyDescent="0.2">
      <c r="A537" s="2"/>
      <c r="B537" s="2"/>
      <c r="C537" s="2"/>
      <c r="D537" s="2"/>
      <c r="E537" s="2"/>
      <c r="F537" s="2"/>
      <c r="G537" s="2"/>
      <c r="H537" s="2"/>
      <c r="I537" s="2"/>
    </row>
    <row r="538" spans="1:9" ht="15.75" customHeight="1" x14ac:dyDescent="0.2">
      <c r="A538" s="2"/>
      <c r="B538" s="2"/>
      <c r="C538" s="2"/>
      <c r="D538" s="2"/>
      <c r="E538" s="2"/>
      <c r="F538" s="2"/>
      <c r="G538" s="2"/>
      <c r="H538" s="2"/>
      <c r="I538" s="2"/>
    </row>
    <row r="539" spans="1:9" ht="15.75" customHeight="1" x14ac:dyDescent="0.2">
      <c r="A539" s="2"/>
      <c r="B539" s="2"/>
      <c r="C539" s="2"/>
      <c r="D539" s="2"/>
      <c r="E539" s="2"/>
      <c r="F539" s="2"/>
      <c r="G539" s="2"/>
      <c r="H539" s="2"/>
      <c r="I539" s="2"/>
    </row>
    <row r="540" spans="1:9" ht="15.75" customHeight="1" x14ac:dyDescent="0.2">
      <c r="A540" s="2"/>
      <c r="B540" s="2"/>
      <c r="C540" s="2"/>
      <c r="D540" s="2"/>
      <c r="E540" s="2"/>
      <c r="F540" s="2"/>
      <c r="G540" s="2"/>
      <c r="H540" s="2"/>
      <c r="I540" s="2"/>
    </row>
    <row r="541" spans="1:9" ht="15.75" customHeight="1" x14ac:dyDescent="0.2">
      <c r="A541" s="2"/>
      <c r="B541" s="2"/>
      <c r="C541" s="2"/>
      <c r="D541" s="2"/>
      <c r="E541" s="2"/>
      <c r="F541" s="2"/>
      <c r="G541" s="2"/>
      <c r="H541" s="2"/>
      <c r="I541" s="2"/>
    </row>
    <row r="542" spans="1:9" ht="15.75" customHeight="1" x14ac:dyDescent="0.2">
      <c r="A542" s="2"/>
      <c r="B542" s="2"/>
      <c r="C542" s="2"/>
      <c r="D542" s="2"/>
      <c r="E542" s="2"/>
      <c r="F542" s="2"/>
      <c r="G542" s="2"/>
      <c r="H542" s="2"/>
      <c r="I542" s="2"/>
    </row>
    <row r="543" spans="1:9" ht="15.75" customHeight="1" x14ac:dyDescent="0.2">
      <c r="A543" s="2"/>
      <c r="B543" s="2"/>
      <c r="C543" s="2"/>
      <c r="D543" s="2"/>
      <c r="E543" s="2"/>
      <c r="F543" s="2"/>
      <c r="G543" s="2"/>
      <c r="H543" s="2"/>
      <c r="I543" s="2"/>
    </row>
    <row r="544" spans="1:9" ht="15.75" customHeight="1" x14ac:dyDescent="0.2">
      <c r="A544" s="2"/>
      <c r="B544" s="2"/>
      <c r="C544" s="2"/>
      <c r="D544" s="2"/>
      <c r="E544" s="2"/>
      <c r="F544" s="2"/>
      <c r="G544" s="2"/>
      <c r="H544" s="2"/>
      <c r="I544" s="2"/>
    </row>
    <row r="545" spans="1:9" ht="15.75" customHeight="1" x14ac:dyDescent="0.2">
      <c r="A545" s="2"/>
      <c r="B545" s="2"/>
      <c r="C545" s="2"/>
      <c r="D545" s="2"/>
      <c r="E545" s="2"/>
      <c r="F545" s="2"/>
      <c r="G545" s="2"/>
      <c r="H545" s="2"/>
      <c r="I545" s="2"/>
    </row>
    <row r="546" spans="1:9" ht="15.75" customHeight="1" x14ac:dyDescent="0.2">
      <c r="A546" s="2"/>
      <c r="B546" s="2"/>
      <c r="C546" s="2"/>
      <c r="D546" s="2"/>
      <c r="E546" s="2"/>
      <c r="F546" s="2"/>
      <c r="G546" s="2"/>
      <c r="H546" s="2"/>
      <c r="I546" s="2"/>
    </row>
    <row r="547" spans="1:9" ht="15.75" customHeight="1" x14ac:dyDescent="0.2">
      <c r="A547" s="2"/>
      <c r="B547" s="2"/>
      <c r="C547" s="2"/>
      <c r="D547" s="2"/>
      <c r="E547" s="2"/>
      <c r="F547" s="2"/>
      <c r="G547" s="2"/>
      <c r="H547" s="2"/>
      <c r="I547" s="2"/>
    </row>
    <row r="548" spans="1:9" ht="15.75" customHeight="1" x14ac:dyDescent="0.2">
      <c r="A548" s="2"/>
      <c r="B548" s="2"/>
      <c r="C548" s="2"/>
      <c r="D548" s="2"/>
      <c r="E548" s="2"/>
      <c r="F548" s="2"/>
      <c r="G548" s="2"/>
      <c r="H548" s="2"/>
      <c r="I548" s="2"/>
    </row>
    <row r="549" spans="1:9" ht="15.75" customHeight="1" x14ac:dyDescent="0.2">
      <c r="A549" s="2"/>
      <c r="B549" s="2"/>
      <c r="C549" s="2"/>
      <c r="D549" s="2"/>
      <c r="E549" s="2"/>
      <c r="F549" s="2"/>
      <c r="G549" s="2"/>
      <c r="H549" s="2"/>
      <c r="I549" s="2"/>
    </row>
    <row r="550" spans="1:9" ht="15.75" customHeight="1" x14ac:dyDescent="0.2">
      <c r="A550" s="2"/>
      <c r="B550" s="2"/>
      <c r="C550" s="2"/>
      <c r="D550" s="2"/>
      <c r="E550" s="2"/>
      <c r="F550" s="2"/>
      <c r="G550" s="2"/>
      <c r="H550" s="2"/>
      <c r="I550" s="2"/>
    </row>
    <row r="551" spans="1:9" ht="15.75" customHeight="1" x14ac:dyDescent="0.2">
      <c r="A551" s="2"/>
      <c r="B551" s="2"/>
      <c r="C551" s="2"/>
      <c r="D551" s="2"/>
      <c r="E551" s="2"/>
      <c r="F551" s="2"/>
      <c r="G551" s="2"/>
      <c r="H551" s="2"/>
      <c r="I551" s="2"/>
    </row>
    <row r="552" spans="1:9" ht="15.75" customHeight="1" x14ac:dyDescent="0.2">
      <c r="A552" s="2"/>
      <c r="B552" s="2"/>
      <c r="C552" s="2"/>
      <c r="D552" s="2"/>
      <c r="E552" s="2"/>
      <c r="F552" s="2"/>
      <c r="G552" s="2"/>
      <c r="H552" s="2"/>
      <c r="I552" s="2"/>
    </row>
    <row r="553" spans="1:9" ht="15.75" customHeight="1" x14ac:dyDescent="0.2">
      <c r="A553" s="2"/>
      <c r="B553" s="2"/>
      <c r="C553" s="2"/>
      <c r="D553" s="2"/>
      <c r="E553" s="2"/>
      <c r="F553" s="2"/>
      <c r="G553" s="2"/>
      <c r="H553" s="2"/>
      <c r="I553" s="2"/>
    </row>
    <row r="554" spans="1:9" ht="15.75" customHeight="1" x14ac:dyDescent="0.2">
      <c r="A554" s="2"/>
      <c r="B554" s="2"/>
      <c r="C554" s="2"/>
      <c r="D554" s="2"/>
      <c r="E554" s="2"/>
      <c r="F554" s="2"/>
      <c r="G554" s="2"/>
      <c r="H554" s="2"/>
      <c r="I554" s="2"/>
    </row>
    <row r="555" spans="1:9" ht="15.75" customHeight="1" x14ac:dyDescent="0.2">
      <c r="A555" s="2"/>
      <c r="B555" s="2"/>
      <c r="C555" s="2"/>
      <c r="D555" s="2"/>
      <c r="E555" s="2"/>
      <c r="F555" s="2"/>
      <c r="G555" s="2"/>
      <c r="H555" s="2"/>
      <c r="I555" s="2"/>
    </row>
    <row r="556" spans="1:9" ht="15.75" customHeight="1" x14ac:dyDescent="0.2">
      <c r="A556" s="2"/>
      <c r="B556" s="2"/>
      <c r="C556" s="2"/>
      <c r="D556" s="2"/>
      <c r="E556" s="2"/>
      <c r="F556" s="2"/>
      <c r="G556" s="2"/>
      <c r="H556" s="2"/>
      <c r="I556" s="2"/>
    </row>
    <row r="557" spans="1:9" ht="15.75" customHeight="1" x14ac:dyDescent="0.2">
      <c r="A557" s="2"/>
      <c r="B557" s="2"/>
      <c r="C557" s="2"/>
      <c r="D557" s="2"/>
      <c r="E557" s="2"/>
      <c r="F557" s="2"/>
      <c r="G557" s="2"/>
      <c r="H557" s="2"/>
      <c r="I557" s="2"/>
    </row>
    <row r="558" spans="1:9" ht="15.75" customHeight="1" x14ac:dyDescent="0.2">
      <c r="A558" s="2"/>
      <c r="B558" s="2"/>
      <c r="C558" s="2"/>
      <c r="D558" s="2"/>
      <c r="E558" s="2"/>
      <c r="F558" s="2"/>
      <c r="G558" s="2"/>
      <c r="H558" s="2"/>
      <c r="I558" s="2"/>
    </row>
    <row r="559" spans="1:9" ht="15.75" customHeight="1" x14ac:dyDescent="0.2">
      <c r="A559" s="2"/>
      <c r="B559" s="2"/>
      <c r="C559" s="2"/>
      <c r="D559" s="2"/>
      <c r="E559" s="2"/>
      <c r="F559" s="2"/>
      <c r="G559" s="2"/>
      <c r="H559" s="2"/>
      <c r="I559" s="2"/>
    </row>
    <row r="560" spans="1:9" ht="15.75" customHeight="1" x14ac:dyDescent="0.2">
      <c r="A560" s="2"/>
      <c r="B560" s="2"/>
      <c r="C560" s="2"/>
      <c r="D560" s="2"/>
      <c r="E560" s="2"/>
      <c r="F560" s="2"/>
      <c r="G560" s="2"/>
      <c r="H560" s="2"/>
      <c r="I560" s="2"/>
    </row>
    <row r="561" spans="1:9" ht="15.75" customHeight="1" x14ac:dyDescent="0.2">
      <c r="A561" s="2"/>
      <c r="B561" s="2"/>
      <c r="C561" s="2"/>
      <c r="D561" s="2"/>
      <c r="E561" s="2"/>
      <c r="F561" s="2"/>
      <c r="G561" s="2"/>
      <c r="H561" s="2"/>
      <c r="I561" s="2"/>
    </row>
    <row r="562" spans="1:9" ht="15.75" customHeight="1" x14ac:dyDescent="0.2">
      <c r="A562" s="2"/>
      <c r="B562" s="2"/>
      <c r="C562" s="2"/>
      <c r="D562" s="2"/>
      <c r="E562" s="2"/>
      <c r="F562" s="2"/>
      <c r="G562" s="2"/>
      <c r="H562" s="2"/>
      <c r="I562" s="2"/>
    </row>
    <row r="563" spans="1:9" ht="15.75" customHeight="1" x14ac:dyDescent="0.2">
      <c r="A563" s="2"/>
      <c r="B563" s="2"/>
      <c r="C563" s="2"/>
      <c r="D563" s="2"/>
      <c r="E563" s="2"/>
      <c r="F563" s="2"/>
      <c r="G563" s="2"/>
      <c r="H563" s="2"/>
      <c r="I563" s="2"/>
    </row>
    <row r="564" spans="1:9" ht="15.75" customHeight="1" x14ac:dyDescent="0.2">
      <c r="A564" s="2"/>
      <c r="B564" s="2"/>
      <c r="C564" s="2"/>
      <c r="D564" s="2"/>
      <c r="E564" s="2"/>
      <c r="F564" s="2"/>
      <c r="G564" s="2"/>
      <c r="H564" s="2"/>
      <c r="I564" s="2"/>
    </row>
    <row r="565" spans="1:9" ht="15.75" customHeight="1" x14ac:dyDescent="0.2">
      <c r="A565" s="2"/>
      <c r="B565" s="2"/>
      <c r="C565" s="2"/>
      <c r="D565" s="2"/>
      <c r="E565" s="2"/>
      <c r="F565" s="2"/>
      <c r="G565" s="2"/>
      <c r="H565" s="2"/>
      <c r="I565" s="2"/>
    </row>
    <row r="566" spans="1:9" ht="15.75" customHeight="1" x14ac:dyDescent="0.2">
      <c r="A566" s="2"/>
      <c r="B566" s="2"/>
      <c r="C566" s="2"/>
      <c r="D566" s="2"/>
      <c r="E566" s="2"/>
      <c r="F566" s="2"/>
      <c r="G566" s="2"/>
      <c r="H566" s="2"/>
      <c r="I566" s="2"/>
    </row>
    <row r="567" spans="1:9" ht="15.75" customHeight="1" x14ac:dyDescent="0.2">
      <c r="A567" s="2"/>
      <c r="B567" s="2"/>
      <c r="C567" s="2"/>
      <c r="D567" s="2"/>
      <c r="E567" s="2"/>
      <c r="F567" s="2"/>
      <c r="G567" s="2"/>
      <c r="H567" s="2"/>
      <c r="I567" s="2"/>
    </row>
    <row r="568" spans="1:9" ht="15.75" customHeight="1" x14ac:dyDescent="0.2">
      <c r="A568" s="2"/>
      <c r="B568" s="2"/>
      <c r="C568" s="2"/>
      <c r="D568" s="2"/>
      <c r="E568" s="2"/>
      <c r="F568" s="2"/>
      <c r="G568" s="2"/>
      <c r="H568" s="2"/>
      <c r="I568" s="2"/>
    </row>
    <row r="569" spans="1:9" ht="15.75" customHeight="1" x14ac:dyDescent="0.2">
      <c r="A569" s="2"/>
      <c r="B569" s="2"/>
      <c r="C569" s="2"/>
      <c r="D569" s="2"/>
      <c r="E569" s="2"/>
      <c r="F569" s="2"/>
      <c r="G569" s="2"/>
      <c r="H569" s="2"/>
      <c r="I569" s="2"/>
    </row>
    <row r="570" spans="1:9" ht="15.75" customHeight="1" x14ac:dyDescent="0.2">
      <c r="A570" s="2"/>
      <c r="B570" s="2"/>
      <c r="C570" s="2"/>
      <c r="D570" s="2"/>
      <c r="E570" s="2"/>
      <c r="F570" s="2"/>
      <c r="G570" s="2"/>
      <c r="H570" s="2"/>
      <c r="I570" s="2"/>
    </row>
    <row r="571" spans="1:9" ht="15.75" customHeight="1" x14ac:dyDescent="0.2">
      <c r="A571" s="2"/>
      <c r="B571" s="2"/>
      <c r="C571" s="2"/>
      <c r="D571" s="2"/>
      <c r="E571" s="2"/>
      <c r="F571" s="2"/>
      <c r="G571" s="2"/>
      <c r="H571" s="2"/>
      <c r="I571" s="2"/>
    </row>
    <row r="572" spans="1:9" ht="15.75" customHeight="1" x14ac:dyDescent="0.2">
      <c r="A572" s="2"/>
      <c r="B572" s="2"/>
      <c r="C572" s="2"/>
      <c r="D572" s="2"/>
      <c r="E572" s="2"/>
      <c r="F572" s="2"/>
      <c r="G572" s="2"/>
      <c r="H572" s="2"/>
      <c r="I572" s="2"/>
    </row>
    <row r="573" spans="1:9" ht="15.75" customHeight="1" x14ac:dyDescent="0.2">
      <c r="A573" s="2"/>
      <c r="B573" s="2"/>
      <c r="C573" s="2"/>
      <c r="D573" s="2"/>
      <c r="E573" s="2"/>
      <c r="F573" s="2"/>
      <c r="G573" s="2"/>
      <c r="H573" s="2"/>
      <c r="I573" s="2"/>
    </row>
    <row r="574" spans="1:9" ht="15.75" customHeight="1" x14ac:dyDescent="0.2">
      <c r="A574" s="2"/>
      <c r="B574" s="2"/>
      <c r="C574" s="2"/>
      <c r="D574" s="2"/>
      <c r="E574" s="2"/>
      <c r="F574" s="2"/>
      <c r="G574" s="2"/>
      <c r="H574" s="2"/>
      <c r="I574" s="2"/>
    </row>
    <row r="575" spans="1:9" ht="15.75" customHeight="1" x14ac:dyDescent="0.2">
      <c r="A575" s="2"/>
      <c r="B575" s="2"/>
      <c r="C575" s="2"/>
      <c r="D575" s="2"/>
      <c r="E575" s="2"/>
      <c r="F575" s="2"/>
      <c r="G575" s="2"/>
      <c r="H575" s="2"/>
      <c r="I575" s="2"/>
    </row>
    <row r="576" spans="1:9" ht="15.75" customHeight="1" x14ac:dyDescent="0.2">
      <c r="A576" s="2"/>
      <c r="B576" s="2"/>
      <c r="C576" s="2"/>
      <c r="D576" s="2"/>
      <c r="E576" s="2"/>
      <c r="F576" s="2"/>
      <c r="G576" s="2"/>
      <c r="H576" s="2"/>
      <c r="I576" s="2"/>
    </row>
    <row r="577" spans="1:9" ht="15.75" customHeight="1" x14ac:dyDescent="0.2">
      <c r="A577" s="2"/>
      <c r="B577" s="2"/>
      <c r="C577" s="2"/>
      <c r="D577" s="2"/>
      <c r="E577" s="2"/>
      <c r="F577" s="2"/>
      <c r="G577" s="2"/>
      <c r="H577" s="2"/>
      <c r="I577" s="2"/>
    </row>
    <row r="578" spans="1:9" ht="15.75" customHeight="1" x14ac:dyDescent="0.2">
      <c r="A578" s="2"/>
      <c r="B578" s="2"/>
      <c r="C578" s="2"/>
      <c r="D578" s="2"/>
      <c r="E578" s="2"/>
      <c r="F578" s="2"/>
      <c r="G578" s="2"/>
      <c r="H578" s="2"/>
      <c r="I578" s="2"/>
    </row>
    <row r="579" spans="1:9" ht="15.75" customHeight="1" x14ac:dyDescent="0.2">
      <c r="A579" s="2"/>
      <c r="B579" s="2"/>
      <c r="C579" s="2"/>
      <c r="D579" s="2"/>
      <c r="E579" s="2"/>
      <c r="F579" s="2"/>
      <c r="G579" s="2"/>
      <c r="H579" s="2"/>
      <c r="I579" s="2"/>
    </row>
    <row r="580" spans="1:9" ht="15.75" customHeight="1" x14ac:dyDescent="0.2">
      <c r="A580" s="2"/>
      <c r="B580" s="2"/>
      <c r="C580" s="2"/>
      <c r="D580" s="2"/>
      <c r="E580" s="2"/>
      <c r="F580" s="2"/>
      <c r="G580" s="2"/>
      <c r="H580" s="2"/>
      <c r="I580" s="2"/>
    </row>
    <row r="581" spans="1:9" ht="15.75" customHeight="1" x14ac:dyDescent="0.2">
      <c r="A581" s="2"/>
      <c r="B581" s="2"/>
      <c r="C581" s="2"/>
      <c r="D581" s="2"/>
      <c r="E581" s="2"/>
      <c r="F581" s="2"/>
      <c r="G581" s="2"/>
      <c r="H581" s="2"/>
      <c r="I581" s="2"/>
    </row>
    <row r="582" spans="1:9" ht="15.75" customHeight="1" x14ac:dyDescent="0.2">
      <c r="A582" s="2"/>
      <c r="B582" s="2"/>
      <c r="C582" s="2"/>
      <c r="D582" s="2"/>
      <c r="E582" s="2"/>
      <c r="F582" s="2"/>
      <c r="G582" s="2"/>
      <c r="H582" s="2"/>
      <c r="I582" s="2"/>
    </row>
    <row r="583" spans="1:9" ht="15.75" customHeight="1" x14ac:dyDescent="0.2">
      <c r="A583" s="2"/>
      <c r="B583" s="2"/>
      <c r="C583" s="2"/>
      <c r="D583" s="2"/>
      <c r="E583" s="2"/>
      <c r="F583" s="2"/>
      <c r="G583" s="2"/>
      <c r="H583" s="2"/>
      <c r="I583" s="2"/>
    </row>
    <row r="584" spans="1:9" ht="15.75" customHeight="1" x14ac:dyDescent="0.2">
      <c r="A584" s="2"/>
      <c r="B584" s="2"/>
      <c r="C584" s="2"/>
      <c r="D584" s="2"/>
      <c r="E584" s="2"/>
      <c r="F584" s="2"/>
      <c r="G584" s="2"/>
      <c r="H584" s="2"/>
      <c r="I584" s="2"/>
    </row>
    <row r="585" spans="1:9" ht="15.75" customHeight="1" x14ac:dyDescent="0.2">
      <c r="A585" s="2"/>
      <c r="B585" s="2"/>
      <c r="C585" s="2"/>
      <c r="D585" s="2"/>
      <c r="E585" s="2"/>
      <c r="F585" s="2"/>
      <c r="G585" s="2"/>
      <c r="H585" s="2"/>
      <c r="I585" s="2"/>
    </row>
    <row r="586" spans="1:9" ht="15.75" customHeight="1" x14ac:dyDescent="0.2">
      <c r="A586" s="2"/>
      <c r="B586" s="2"/>
      <c r="C586" s="2"/>
      <c r="D586" s="2"/>
      <c r="E586" s="2"/>
      <c r="F586" s="2"/>
      <c r="G586" s="2"/>
      <c r="H586" s="2"/>
      <c r="I586" s="2"/>
    </row>
    <row r="587" spans="1:9" ht="15.75" customHeight="1" x14ac:dyDescent="0.2">
      <c r="A587" s="2"/>
      <c r="B587" s="2"/>
      <c r="C587" s="2"/>
      <c r="D587" s="2"/>
      <c r="E587" s="2"/>
      <c r="F587" s="2"/>
      <c r="G587" s="2"/>
      <c r="H587" s="2"/>
      <c r="I587" s="2"/>
    </row>
    <row r="588" spans="1:9" ht="15.75" customHeight="1" x14ac:dyDescent="0.2">
      <c r="A588" s="2"/>
      <c r="B588" s="2"/>
      <c r="C588" s="2"/>
      <c r="D588" s="2"/>
      <c r="E588" s="2"/>
      <c r="F588" s="2"/>
      <c r="G588" s="2"/>
      <c r="H588" s="2"/>
      <c r="I588" s="2"/>
    </row>
    <row r="589" spans="1:9" ht="15.75" customHeight="1" x14ac:dyDescent="0.2">
      <c r="A589" s="2"/>
      <c r="B589" s="2"/>
      <c r="C589" s="2"/>
      <c r="D589" s="2"/>
      <c r="E589" s="2"/>
      <c r="F589" s="2"/>
      <c r="G589" s="2"/>
      <c r="H589" s="2"/>
      <c r="I589" s="2"/>
    </row>
    <row r="590" spans="1:9" ht="15.75" customHeight="1" x14ac:dyDescent="0.2">
      <c r="A590" s="2"/>
      <c r="B590" s="2"/>
      <c r="C590" s="2"/>
      <c r="D590" s="2"/>
      <c r="E590" s="2"/>
      <c r="F590" s="2"/>
      <c r="G590" s="2"/>
      <c r="H590" s="2"/>
      <c r="I590" s="2"/>
    </row>
    <row r="591" spans="1:9" ht="15.75" customHeight="1" x14ac:dyDescent="0.2">
      <c r="A591" s="2"/>
      <c r="B591" s="2"/>
      <c r="C591" s="2"/>
      <c r="D591" s="2"/>
      <c r="E591" s="2"/>
      <c r="F591" s="2"/>
      <c r="G591" s="2"/>
      <c r="H591" s="2"/>
      <c r="I591" s="2"/>
    </row>
    <row r="592" spans="1:9" ht="15.75" customHeight="1" x14ac:dyDescent="0.2">
      <c r="A592" s="2"/>
      <c r="B592" s="2"/>
      <c r="C592" s="2"/>
      <c r="D592" s="2"/>
      <c r="E592" s="2"/>
      <c r="F592" s="2"/>
      <c r="G592" s="2"/>
      <c r="H592" s="2"/>
      <c r="I592" s="2"/>
    </row>
    <row r="593" spans="1:9" ht="15.75" customHeight="1" x14ac:dyDescent="0.2">
      <c r="A593" s="2"/>
      <c r="B593" s="2"/>
      <c r="C593" s="2"/>
      <c r="D593" s="2"/>
      <c r="E593" s="2"/>
      <c r="F593" s="2"/>
      <c r="G593" s="2"/>
      <c r="H593" s="2"/>
      <c r="I593" s="2"/>
    </row>
    <row r="594" spans="1:9" ht="15.75" customHeight="1" x14ac:dyDescent="0.2">
      <c r="A594" s="2"/>
      <c r="B594" s="2"/>
      <c r="C594" s="2"/>
      <c r="D594" s="2"/>
      <c r="E594" s="2"/>
      <c r="F594" s="2"/>
      <c r="G594" s="2"/>
      <c r="H594" s="2"/>
      <c r="I594" s="2"/>
    </row>
    <row r="595" spans="1:9" ht="15.75" customHeight="1" x14ac:dyDescent="0.2">
      <c r="A595" s="2"/>
      <c r="B595" s="2"/>
      <c r="C595" s="2"/>
      <c r="D595" s="2"/>
      <c r="E595" s="2"/>
      <c r="F595" s="2"/>
      <c r="G595" s="2"/>
      <c r="H595" s="2"/>
      <c r="I595" s="2"/>
    </row>
    <row r="596" spans="1:9" ht="15.75" customHeight="1" x14ac:dyDescent="0.2">
      <c r="A596" s="2"/>
      <c r="B596" s="2"/>
      <c r="C596" s="2"/>
      <c r="D596" s="2"/>
      <c r="E596" s="2"/>
      <c r="F596" s="2"/>
      <c r="G596" s="2"/>
      <c r="H596" s="2"/>
      <c r="I596" s="2"/>
    </row>
    <row r="597" spans="1:9" ht="15.75" customHeight="1" x14ac:dyDescent="0.2">
      <c r="A597" s="2"/>
      <c r="B597" s="2"/>
      <c r="C597" s="2"/>
      <c r="D597" s="2"/>
      <c r="E597" s="2"/>
      <c r="F597" s="2"/>
      <c r="G597" s="2"/>
      <c r="H597" s="2"/>
      <c r="I597" s="2"/>
    </row>
    <row r="598" spans="1:9" ht="15.75" customHeight="1" x14ac:dyDescent="0.2">
      <c r="A598" s="2"/>
      <c r="B598" s="2"/>
      <c r="C598" s="2"/>
      <c r="D598" s="2"/>
      <c r="E598" s="2"/>
      <c r="F598" s="2"/>
      <c r="G598" s="2"/>
      <c r="H598" s="2"/>
      <c r="I598" s="2"/>
    </row>
    <row r="599" spans="1:9" ht="15.75" customHeight="1" x14ac:dyDescent="0.2">
      <c r="A599" s="2"/>
      <c r="B599" s="2"/>
      <c r="C599" s="2"/>
      <c r="D599" s="2"/>
      <c r="E599" s="2"/>
      <c r="F599" s="2"/>
      <c r="G599" s="2"/>
      <c r="H599" s="2"/>
      <c r="I599" s="2"/>
    </row>
    <row r="600" spans="1:9" ht="15.75" customHeight="1" x14ac:dyDescent="0.2">
      <c r="A600" s="2"/>
      <c r="B600" s="2"/>
      <c r="C600" s="2"/>
      <c r="D600" s="2"/>
      <c r="E600" s="2"/>
      <c r="F600" s="2"/>
      <c r="G600" s="2"/>
      <c r="H600" s="2"/>
      <c r="I600" s="2"/>
    </row>
    <row r="601" spans="1:9" ht="15.75" customHeight="1" x14ac:dyDescent="0.2">
      <c r="A601" s="2"/>
      <c r="B601" s="2"/>
      <c r="C601" s="2"/>
      <c r="D601" s="2"/>
      <c r="E601" s="2"/>
      <c r="F601" s="2"/>
      <c r="G601" s="2"/>
      <c r="H601" s="2"/>
      <c r="I601" s="2"/>
    </row>
    <row r="602" spans="1:9" ht="15.75" customHeight="1" x14ac:dyDescent="0.2">
      <c r="A602" s="2"/>
      <c r="B602" s="2"/>
      <c r="C602" s="2"/>
      <c r="D602" s="2"/>
      <c r="E602" s="2"/>
      <c r="F602" s="2"/>
      <c r="G602" s="2"/>
      <c r="H602" s="2"/>
      <c r="I602" s="2"/>
    </row>
    <row r="603" spans="1:9" ht="15.75" customHeight="1" x14ac:dyDescent="0.2">
      <c r="A603" s="2"/>
      <c r="B603" s="2"/>
      <c r="C603" s="2"/>
      <c r="D603" s="2"/>
      <c r="E603" s="2"/>
      <c r="F603" s="2"/>
      <c r="G603" s="2"/>
      <c r="H603" s="2"/>
      <c r="I603" s="2"/>
    </row>
    <row r="604" spans="1:9" ht="15.75" customHeight="1" x14ac:dyDescent="0.2">
      <c r="A604" s="2"/>
      <c r="B604" s="2"/>
      <c r="C604" s="2"/>
      <c r="D604" s="2"/>
      <c r="E604" s="2"/>
      <c r="F604" s="2"/>
      <c r="G604" s="2"/>
      <c r="H604" s="2"/>
      <c r="I604" s="2"/>
    </row>
    <row r="605" spans="1:9" ht="15.75" customHeight="1" x14ac:dyDescent="0.2">
      <c r="A605" s="2"/>
      <c r="B605" s="2"/>
      <c r="C605" s="2"/>
      <c r="D605" s="2"/>
      <c r="E605" s="2"/>
      <c r="F605" s="2"/>
      <c r="G605" s="2"/>
      <c r="H605" s="2"/>
      <c r="I605" s="2"/>
    </row>
    <row r="606" spans="1:9" ht="15.75" customHeight="1" x14ac:dyDescent="0.2">
      <c r="A606" s="2"/>
      <c r="B606" s="2"/>
      <c r="C606" s="2"/>
      <c r="D606" s="2"/>
      <c r="E606" s="2"/>
      <c r="F606" s="2"/>
      <c r="G606" s="2"/>
      <c r="H606" s="2"/>
      <c r="I606" s="2"/>
    </row>
    <row r="607" spans="1:9" ht="15.75" customHeight="1" x14ac:dyDescent="0.2">
      <c r="A607" s="2"/>
      <c r="B607" s="2"/>
      <c r="C607" s="2"/>
      <c r="D607" s="2"/>
      <c r="E607" s="2"/>
      <c r="F607" s="2"/>
      <c r="G607" s="2"/>
      <c r="H607" s="2"/>
      <c r="I607" s="2"/>
    </row>
    <row r="608" spans="1:9" ht="15.75" customHeight="1" x14ac:dyDescent="0.2">
      <c r="A608" s="2"/>
      <c r="B608" s="2"/>
      <c r="C608" s="2"/>
      <c r="D608" s="2"/>
      <c r="E608" s="2"/>
      <c r="F608" s="2"/>
      <c r="G608" s="2"/>
      <c r="H608" s="2"/>
      <c r="I608" s="2"/>
    </row>
    <row r="609" spans="1:9" ht="15.75" customHeight="1" x14ac:dyDescent="0.2">
      <c r="A609" s="2"/>
      <c r="B609" s="2"/>
      <c r="C609" s="2"/>
      <c r="D609" s="2"/>
      <c r="E609" s="2"/>
      <c r="F609" s="2"/>
      <c r="G609" s="2"/>
      <c r="H609" s="2"/>
      <c r="I609" s="2"/>
    </row>
    <row r="610" spans="1:9" ht="15.75" customHeight="1" x14ac:dyDescent="0.2">
      <c r="A610" s="2"/>
      <c r="B610" s="2"/>
      <c r="C610" s="2"/>
      <c r="D610" s="2"/>
      <c r="E610" s="2"/>
      <c r="F610" s="2"/>
      <c r="G610" s="2"/>
      <c r="H610" s="2"/>
      <c r="I610" s="2"/>
    </row>
    <row r="611" spans="1:9" ht="15.75" customHeight="1" x14ac:dyDescent="0.2">
      <c r="A611" s="2"/>
      <c r="B611" s="2"/>
      <c r="C611" s="2"/>
      <c r="D611" s="2"/>
      <c r="E611" s="2"/>
      <c r="F611" s="2"/>
      <c r="G611" s="2"/>
      <c r="H611" s="2"/>
      <c r="I611" s="2"/>
    </row>
    <row r="612" spans="1:9" ht="15.75" customHeight="1" x14ac:dyDescent="0.2">
      <c r="A612" s="2"/>
      <c r="B612" s="2"/>
      <c r="C612" s="2"/>
      <c r="D612" s="2"/>
      <c r="E612" s="2"/>
      <c r="F612" s="2"/>
      <c r="G612" s="2"/>
      <c r="H612" s="2"/>
      <c r="I612" s="2"/>
    </row>
    <row r="613" spans="1:9" ht="15.75" customHeight="1" x14ac:dyDescent="0.2">
      <c r="A613" s="2"/>
      <c r="B613" s="2"/>
      <c r="C613" s="2"/>
      <c r="D613" s="2"/>
      <c r="E613" s="2"/>
      <c r="F613" s="2"/>
      <c r="G613" s="2"/>
      <c r="H613" s="2"/>
      <c r="I613" s="2"/>
    </row>
    <row r="614" spans="1:9" ht="15.75" customHeight="1" x14ac:dyDescent="0.2">
      <c r="A614" s="2"/>
      <c r="B614" s="2"/>
      <c r="C614" s="2"/>
      <c r="D614" s="2"/>
      <c r="E614" s="2"/>
      <c r="F614" s="2"/>
      <c r="G614" s="2"/>
      <c r="H614" s="2"/>
      <c r="I614" s="2"/>
    </row>
    <row r="615" spans="1:9" ht="15.75" customHeight="1" x14ac:dyDescent="0.2">
      <c r="A615" s="2"/>
      <c r="B615" s="2"/>
      <c r="C615" s="2"/>
      <c r="D615" s="2"/>
      <c r="E615" s="2"/>
      <c r="F615" s="2"/>
      <c r="G615" s="2"/>
      <c r="H615" s="2"/>
      <c r="I615" s="2"/>
    </row>
    <row r="616" spans="1:9" ht="15.75" customHeight="1" x14ac:dyDescent="0.2">
      <c r="A616" s="2"/>
      <c r="B616" s="2"/>
      <c r="C616" s="2"/>
      <c r="D616" s="2"/>
      <c r="E616" s="2"/>
      <c r="F616" s="2"/>
      <c r="G616" s="2"/>
      <c r="H616" s="2"/>
      <c r="I616" s="2"/>
    </row>
    <row r="617" spans="1:9" ht="15.75" customHeight="1" x14ac:dyDescent="0.2">
      <c r="A617" s="2"/>
      <c r="B617" s="2"/>
      <c r="C617" s="2"/>
      <c r="D617" s="2"/>
      <c r="E617" s="2"/>
      <c r="F617" s="2"/>
      <c r="G617" s="2"/>
      <c r="H617" s="2"/>
      <c r="I617" s="2"/>
    </row>
    <row r="618" spans="1:9" ht="15.75" customHeight="1" x14ac:dyDescent="0.2">
      <c r="A618" s="2"/>
      <c r="B618" s="2"/>
      <c r="C618" s="2"/>
      <c r="D618" s="2"/>
      <c r="E618" s="2"/>
      <c r="F618" s="2"/>
      <c r="G618" s="2"/>
      <c r="H618" s="2"/>
      <c r="I618" s="2"/>
    </row>
    <row r="619" spans="1:9" ht="15.75" customHeight="1" x14ac:dyDescent="0.2">
      <c r="A619" s="2"/>
      <c r="B619" s="2"/>
      <c r="C619" s="2"/>
      <c r="D619" s="2"/>
      <c r="E619" s="2"/>
      <c r="F619" s="2"/>
      <c r="G619" s="2"/>
      <c r="H619" s="2"/>
      <c r="I619" s="2"/>
    </row>
    <row r="620" spans="1:9" ht="15.75" customHeight="1" x14ac:dyDescent="0.2">
      <c r="A620" s="2"/>
      <c r="B620" s="2"/>
      <c r="C620" s="2"/>
      <c r="D620" s="2"/>
      <c r="E620" s="2"/>
      <c r="F620" s="2"/>
      <c r="G620" s="2"/>
      <c r="H620" s="2"/>
      <c r="I620" s="2"/>
    </row>
    <row r="621" spans="1:9" ht="15.75" customHeight="1" x14ac:dyDescent="0.2">
      <c r="A621" s="2"/>
      <c r="B621" s="2"/>
      <c r="C621" s="2"/>
      <c r="D621" s="2"/>
      <c r="E621" s="2"/>
      <c r="F621" s="2"/>
      <c r="G621" s="2"/>
      <c r="H621" s="2"/>
      <c r="I621" s="2"/>
    </row>
    <row r="622" spans="1:9" ht="15.75" customHeight="1" x14ac:dyDescent="0.2">
      <c r="A622" s="2"/>
      <c r="B622" s="2"/>
      <c r="C622" s="2"/>
      <c r="D622" s="2"/>
      <c r="E622" s="2"/>
      <c r="F622" s="2"/>
      <c r="G622" s="2"/>
      <c r="H622" s="2"/>
      <c r="I622" s="2"/>
    </row>
    <row r="623" spans="1:9" ht="15.75" customHeight="1" x14ac:dyDescent="0.2">
      <c r="A623" s="2"/>
      <c r="B623" s="2"/>
      <c r="C623" s="2"/>
      <c r="D623" s="2"/>
      <c r="E623" s="2"/>
      <c r="F623" s="2"/>
      <c r="G623" s="2"/>
      <c r="H623" s="2"/>
      <c r="I623" s="2"/>
    </row>
    <row r="624" spans="1:9" ht="15.75" customHeight="1" x14ac:dyDescent="0.2">
      <c r="A624" s="2"/>
      <c r="B624" s="2"/>
      <c r="C624" s="2"/>
      <c r="D624" s="2"/>
      <c r="E624" s="2"/>
      <c r="F624" s="2"/>
      <c r="G624" s="2"/>
      <c r="H624" s="2"/>
      <c r="I624" s="2"/>
    </row>
    <row r="625" spans="1:9" ht="15.75" customHeight="1" x14ac:dyDescent="0.2">
      <c r="A625" s="2"/>
      <c r="B625" s="2"/>
      <c r="C625" s="2"/>
      <c r="D625" s="2"/>
      <c r="E625" s="2"/>
      <c r="F625" s="2"/>
      <c r="G625" s="2"/>
      <c r="H625" s="2"/>
      <c r="I625" s="2"/>
    </row>
    <row r="626" spans="1:9" ht="15.75" customHeight="1" x14ac:dyDescent="0.2">
      <c r="A626" s="2"/>
      <c r="B626" s="2"/>
      <c r="C626" s="2"/>
      <c r="D626" s="2"/>
      <c r="E626" s="2"/>
      <c r="F626" s="2"/>
      <c r="G626" s="2"/>
      <c r="H626" s="2"/>
      <c r="I626" s="2"/>
    </row>
    <row r="627" spans="1:9" ht="15.75" customHeight="1" x14ac:dyDescent="0.2">
      <c r="A627" s="2"/>
      <c r="B627" s="2"/>
      <c r="C627" s="2"/>
      <c r="D627" s="2"/>
      <c r="E627" s="2"/>
      <c r="F627" s="2"/>
      <c r="G627" s="2"/>
      <c r="H627" s="2"/>
      <c r="I627" s="2"/>
    </row>
    <row r="628" spans="1:9" ht="15.75" customHeight="1" x14ac:dyDescent="0.2">
      <c r="A628" s="2"/>
      <c r="B628" s="2"/>
      <c r="C628" s="2"/>
      <c r="D628" s="2"/>
      <c r="E628" s="2"/>
      <c r="F628" s="2"/>
      <c r="G628" s="2"/>
      <c r="H628" s="2"/>
      <c r="I628" s="2"/>
    </row>
    <row r="629" spans="1:9" ht="15.75" customHeight="1" x14ac:dyDescent="0.2">
      <c r="A629" s="2"/>
      <c r="B629" s="2"/>
      <c r="C629" s="2"/>
      <c r="D629" s="2"/>
      <c r="E629" s="2"/>
      <c r="F629" s="2"/>
      <c r="G629" s="2"/>
      <c r="H629" s="2"/>
      <c r="I629" s="2"/>
    </row>
    <row r="630" spans="1:9" ht="15.75" customHeight="1" x14ac:dyDescent="0.2">
      <c r="A630" s="2"/>
      <c r="B630" s="2"/>
      <c r="C630" s="2"/>
      <c r="D630" s="2"/>
      <c r="E630" s="2"/>
      <c r="F630" s="2"/>
      <c r="G630" s="2"/>
      <c r="H630" s="2"/>
      <c r="I630" s="2"/>
    </row>
    <row r="631" spans="1:9" ht="15.75" customHeight="1" x14ac:dyDescent="0.2">
      <c r="A631" s="2"/>
      <c r="B631" s="2"/>
      <c r="C631" s="2"/>
      <c r="D631" s="2"/>
      <c r="E631" s="2"/>
      <c r="F631" s="2"/>
      <c r="G631" s="2"/>
      <c r="H631" s="2"/>
      <c r="I631" s="2"/>
    </row>
    <row r="632" spans="1:9" ht="15.75" customHeight="1" x14ac:dyDescent="0.2">
      <c r="A632" s="2"/>
      <c r="B632" s="2"/>
      <c r="C632" s="2"/>
      <c r="D632" s="2"/>
      <c r="E632" s="2"/>
      <c r="F632" s="2"/>
      <c r="G632" s="2"/>
      <c r="H632" s="2"/>
      <c r="I632" s="2"/>
    </row>
    <row r="633" spans="1:9" ht="15.75" customHeight="1" x14ac:dyDescent="0.2">
      <c r="A633" s="2"/>
      <c r="B633" s="2"/>
      <c r="C633" s="2"/>
      <c r="D633" s="2"/>
      <c r="E633" s="2"/>
      <c r="F633" s="2"/>
      <c r="G633" s="2"/>
      <c r="H633" s="2"/>
      <c r="I633" s="2"/>
    </row>
    <row r="634" spans="1:9" ht="15.75" customHeight="1" x14ac:dyDescent="0.2">
      <c r="A634" s="2"/>
      <c r="B634" s="2"/>
      <c r="C634" s="2"/>
      <c r="D634" s="2"/>
      <c r="E634" s="2"/>
      <c r="F634" s="2"/>
      <c r="G634" s="2"/>
      <c r="H634" s="2"/>
      <c r="I634" s="2"/>
    </row>
    <row r="635" spans="1:9" ht="15.75" customHeight="1" x14ac:dyDescent="0.2">
      <c r="A635" s="2"/>
      <c r="B635" s="2"/>
      <c r="C635" s="2"/>
      <c r="D635" s="2"/>
      <c r="E635" s="2"/>
      <c r="F635" s="2"/>
      <c r="G635" s="2"/>
      <c r="H635" s="2"/>
      <c r="I635" s="2"/>
    </row>
    <row r="636" spans="1:9" ht="15.75" customHeight="1" x14ac:dyDescent="0.2">
      <c r="A636" s="2"/>
      <c r="B636" s="2"/>
      <c r="C636" s="2"/>
      <c r="D636" s="2"/>
      <c r="E636" s="2"/>
      <c r="F636" s="2"/>
      <c r="G636" s="2"/>
      <c r="H636" s="2"/>
      <c r="I636" s="2"/>
    </row>
    <row r="637" spans="1:9" ht="15.75" customHeight="1" x14ac:dyDescent="0.2">
      <c r="A637" s="2"/>
      <c r="B637" s="2"/>
      <c r="C637" s="2"/>
      <c r="D637" s="2"/>
      <c r="E637" s="2"/>
      <c r="F637" s="2"/>
      <c r="G637" s="2"/>
      <c r="H637" s="2"/>
      <c r="I637" s="2"/>
    </row>
    <row r="638" spans="1:9" ht="15.75" customHeight="1" x14ac:dyDescent="0.2">
      <c r="A638" s="2"/>
      <c r="B638" s="2"/>
      <c r="C638" s="2"/>
      <c r="D638" s="2"/>
      <c r="E638" s="2"/>
      <c r="F638" s="2"/>
      <c r="G638" s="2"/>
      <c r="H638" s="2"/>
      <c r="I638" s="2"/>
    </row>
    <row r="639" spans="1:9" ht="15.75" customHeight="1" x14ac:dyDescent="0.2">
      <c r="A639" s="2"/>
      <c r="B639" s="2"/>
      <c r="C639" s="2"/>
      <c r="D639" s="2"/>
      <c r="E639" s="2"/>
      <c r="F639" s="2"/>
      <c r="G639" s="2"/>
      <c r="H639" s="2"/>
      <c r="I639" s="2"/>
    </row>
    <row r="640" spans="1:9" ht="15.75" customHeight="1" x14ac:dyDescent="0.2">
      <c r="A640" s="2"/>
      <c r="B640" s="2"/>
      <c r="C640" s="2"/>
      <c r="D640" s="2"/>
      <c r="E640" s="2"/>
      <c r="F640" s="2"/>
      <c r="G640" s="2"/>
      <c r="H640" s="2"/>
      <c r="I640" s="2"/>
    </row>
    <row r="641" spans="1:9" ht="15.75" customHeight="1" x14ac:dyDescent="0.2">
      <c r="A641" s="2"/>
      <c r="B641" s="2"/>
      <c r="C641" s="2"/>
      <c r="D641" s="2"/>
      <c r="E641" s="2"/>
      <c r="F641" s="2"/>
      <c r="G641" s="2"/>
      <c r="H641" s="2"/>
      <c r="I641" s="2"/>
    </row>
    <row r="642" spans="1:9" ht="15.75" customHeight="1" x14ac:dyDescent="0.2">
      <c r="A642" s="2"/>
      <c r="B642" s="2"/>
      <c r="C642" s="2"/>
      <c r="D642" s="2"/>
      <c r="E642" s="2"/>
      <c r="F642" s="2"/>
      <c r="G642" s="2"/>
      <c r="H642" s="2"/>
      <c r="I642" s="2"/>
    </row>
    <row r="643" spans="1:9" ht="15.75" customHeight="1" x14ac:dyDescent="0.2">
      <c r="A643" s="2"/>
      <c r="B643" s="2"/>
      <c r="C643" s="2"/>
      <c r="D643" s="2"/>
      <c r="E643" s="2"/>
      <c r="F643" s="2"/>
      <c r="G643" s="2"/>
      <c r="H643" s="2"/>
      <c r="I643" s="2"/>
    </row>
    <row r="644" spans="1:9" ht="15.75" customHeight="1" x14ac:dyDescent="0.2">
      <c r="A644" s="2"/>
      <c r="B644" s="2"/>
      <c r="C644" s="2"/>
      <c r="D644" s="2"/>
      <c r="E644" s="2"/>
      <c r="F644" s="2"/>
      <c r="G644" s="2"/>
      <c r="H644" s="2"/>
      <c r="I644" s="2"/>
    </row>
    <row r="645" spans="1:9" ht="15.75" customHeight="1" x14ac:dyDescent="0.2">
      <c r="A645" s="2"/>
      <c r="B645" s="2"/>
      <c r="C645" s="2"/>
      <c r="D645" s="2"/>
      <c r="E645" s="2"/>
      <c r="F645" s="2"/>
      <c r="G645" s="2"/>
      <c r="H645" s="2"/>
      <c r="I645" s="2"/>
    </row>
    <row r="646" spans="1:9" ht="15.75" customHeight="1" x14ac:dyDescent="0.2">
      <c r="A646" s="2"/>
      <c r="B646" s="2"/>
      <c r="C646" s="2"/>
      <c r="D646" s="2"/>
      <c r="E646" s="2"/>
      <c r="F646" s="2"/>
      <c r="G646" s="2"/>
      <c r="H646" s="2"/>
      <c r="I646" s="2"/>
    </row>
    <row r="647" spans="1:9" ht="15.75" customHeight="1" x14ac:dyDescent="0.2">
      <c r="A647" s="2"/>
      <c r="B647" s="2"/>
      <c r="C647" s="2"/>
      <c r="D647" s="2"/>
      <c r="E647" s="2"/>
      <c r="F647" s="2"/>
      <c r="G647" s="2"/>
      <c r="H647" s="2"/>
      <c r="I647" s="2"/>
    </row>
    <row r="648" spans="1:9" ht="15.75" customHeight="1" x14ac:dyDescent="0.2">
      <c r="A648" s="2"/>
      <c r="B648" s="2"/>
      <c r="C648" s="2"/>
      <c r="D648" s="2"/>
      <c r="E648" s="2"/>
      <c r="F648" s="2"/>
      <c r="G648" s="2"/>
      <c r="H648" s="2"/>
      <c r="I648" s="2"/>
    </row>
    <row r="649" spans="1:9" ht="15.75" customHeight="1" x14ac:dyDescent="0.2">
      <c r="A649" s="2"/>
      <c r="B649" s="2"/>
      <c r="C649" s="2"/>
      <c r="D649" s="2"/>
      <c r="E649" s="2"/>
      <c r="F649" s="2"/>
      <c r="G649" s="2"/>
      <c r="H649" s="2"/>
      <c r="I649" s="2"/>
    </row>
    <row r="650" spans="1:9" ht="15.75" customHeight="1" x14ac:dyDescent="0.2">
      <c r="A650" s="2"/>
      <c r="B650" s="2"/>
      <c r="C650" s="2"/>
      <c r="D650" s="2"/>
      <c r="E650" s="2"/>
      <c r="F650" s="2"/>
      <c r="G650" s="2"/>
      <c r="H650" s="2"/>
      <c r="I650" s="2"/>
    </row>
    <row r="651" spans="1:9" ht="15.75" customHeight="1" x14ac:dyDescent="0.2">
      <c r="A651" s="2"/>
      <c r="B651" s="2"/>
      <c r="C651" s="2"/>
      <c r="D651" s="2"/>
      <c r="E651" s="2"/>
      <c r="F651" s="2"/>
      <c r="G651" s="2"/>
      <c r="H651" s="2"/>
      <c r="I651" s="2"/>
    </row>
    <row r="652" spans="1:9" ht="15.75" customHeight="1" x14ac:dyDescent="0.2">
      <c r="A652" s="2"/>
      <c r="B652" s="2"/>
      <c r="C652" s="2"/>
      <c r="D652" s="2"/>
      <c r="E652" s="2"/>
      <c r="F652" s="2"/>
      <c r="G652" s="2"/>
      <c r="H652" s="2"/>
      <c r="I652" s="2"/>
    </row>
    <row r="653" spans="1:9" ht="15.75" customHeight="1" x14ac:dyDescent="0.2">
      <c r="A653" s="2"/>
      <c r="B653" s="2"/>
      <c r="C653" s="2"/>
      <c r="D653" s="2"/>
      <c r="E653" s="2"/>
      <c r="F653" s="2"/>
      <c r="G653" s="2"/>
      <c r="H653" s="2"/>
      <c r="I653" s="2"/>
    </row>
    <row r="654" spans="1:9" ht="15.75" customHeight="1" x14ac:dyDescent="0.2">
      <c r="A654" s="2"/>
      <c r="B654" s="2"/>
      <c r="C654" s="2"/>
      <c r="D654" s="2"/>
      <c r="E654" s="2"/>
      <c r="F654" s="2"/>
      <c r="G654" s="2"/>
      <c r="H654" s="2"/>
      <c r="I654" s="2"/>
    </row>
    <row r="655" spans="1:9" ht="15.75" customHeight="1" x14ac:dyDescent="0.2">
      <c r="A655" s="2"/>
      <c r="B655" s="2"/>
      <c r="C655" s="2"/>
      <c r="D655" s="2"/>
      <c r="E655" s="2"/>
      <c r="F655" s="2"/>
      <c r="G655" s="2"/>
      <c r="H655" s="2"/>
      <c r="I655" s="2"/>
    </row>
    <row r="656" spans="1:9" ht="15.75" customHeight="1" x14ac:dyDescent="0.2">
      <c r="A656" s="2"/>
      <c r="B656" s="2"/>
      <c r="C656" s="2"/>
      <c r="D656" s="2"/>
      <c r="E656" s="2"/>
      <c r="F656" s="2"/>
      <c r="G656" s="2"/>
      <c r="H656" s="2"/>
      <c r="I656" s="2"/>
    </row>
    <row r="657" spans="1:9" ht="15.75" customHeight="1" x14ac:dyDescent="0.2">
      <c r="A657" s="2"/>
      <c r="B657" s="2"/>
      <c r="C657" s="2"/>
      <c r="D657" s="2"/>
      <c r="E657" s="2"/>
      <c r="F657" s="2"/>
      <c r="G657" s="2"/>
      <c r="H657" s="2"/>
      <c r="I657" s="2"/>
    </row>
    <row r="658" spans="1:9" ht="15.75" customHeight="1" x14ac:dyDescent="0.2">
      <c r="A658" s="2"/>
      <c r="B658" s="2"/>
      <c r="C658" s="2"/>
      <c r="D658" s="2"/>
      <c r="E658" s="2"/>
      <c r="F658" s="2"/>
      <c r="G658" s="2"/>
      <c r="H658" s="2"/>
      <c r="I658" s="2"/>
    </row>
    <row r="659" spans="1:9" ht="15.75" customHeight="1" x14ac:dyDescent="0.2">
      <c r="A659" s="2"/>
      <c r="B659" s="2"/>
      <c r="C659" s="2"/>
      <c r="D659" s="2"/>
      <c r="E659" s="2"/>
      <c r="F659" s="2"/>
      <c r="G659" s="2"/>
      <c r="H659" s="2"/>
      <c r="I659" s="2"/>
    </row>
    <row r="660" spans="1:9" ht="15.75" customHeight="1" x14ac:dyDescent="0.2">
      <c r="A660" s="2"/>
      <c r="B660" s="2"/>
      <c r="C660" s="2"/>
      <c r="D660" s="2"/>
      <c r="E660" s="2"/>
      <c r="F660" s="2"/>
      <c r="G660" s="2"/>
      <c r="H660" s="2"/>
      <c r="I660" s="2"/>
    </row>
    <row r="661" spans="1:9" ht="15.75" customHeight="1" x14ac:dyDescent="0.2">
      <c r="A661" s="2"/>
      <c r="B661" s="2"/>
      <c r="C661" s="2"/>
      <c r="D661" s="2"/>
      <c r="E661" s="2"/>
      <c r="F661" s="2"/>
      <c r="G661" s="2"/>
      <c r="H661" s="2"/>
      <c r="I661" s="2"/>
    </row>
    <row r="662" spans="1:9" ht="15.75" customHeight="1" x14ac:dyDescent="0.2">
      <c r="A662" s="2"/>
      <c r="B662" s="2"/>
      <c r="C662" s="2"/>
      <c r="D662" s="2"/>
      <c r="E662" s="2"/>
      <c r="F662" s="2"/>
      <c r="G662" s="2"/>
      <c r="H662" s="2"/>
      <c r="I662" s="2"/>
    </row>
    <row r="663" spans="1:9" ht="15.75" customHeight="1" x14ac:dyDescent="0.2">
      <c r="A663" s="2"/>
      <c r="B663" s="2"/>
      <c r="C663" s="2"/>
      <c r="D663" s="2"/>
      <c r="E663" s="2"/>
      <c r="F663" s="2"/>
      <c r="G663" s="2"/>
      <c r="H663" s="2"/>
      <c r="I663" s="2"/>
    </row>
    <row r="664" spans="1:9" ht="15.75" customHeight="1" x14ac:dyDescent="0.2">
      <c r="A664" s="2"/>
      <c r="B664" s="2"/>
      <c r="C664" s="2"/>
      <c r="D664" s="2"/>
      <c r="E664" s="2"/>
      <c r="F664" s="2"/>
      <c r="G664" s="2"/>
      <c r="H664" s="2"/>
      <c r="I664" s="2"/>
    </row>
    <row r="665" spans="1:9" ht="15.75" customHeight="1" x14ac:dyDescent="0.2">
      <c r="A665" s="2"/>
      <c r="B665" s="2"/>
      <c r="C665" s="2"/>
      <c r="D665" s="2"/>
      <c r="E665" s="2"/>
      <c r="F665" s="2"/>
      <c r="G665" s="2"/>
      <c r="H665" s="2"/>
      <c r="I665" s="2"/>
    </row>
    <row r="666" spans="1:9" ht="15.75" customHeight="1" x14ac:dyDescent="0.2">
      <c r="A666" s="2"/>
      <c r="B666" s="2"/>
      <c r="C666" s="2"/>
      <c r="D666" s="2"/>
      <c r="E666" s="2"/>
      <c r="F666" s="2"/>
      <c r="G666" s="2"/>
      <c r="H666" s="2"/>
      <c r="I666" s="2"/>
    </row>
    <row r="667" spans="1:9" ht="15.75" customHeight="1" x14ac:dyDescent="0.2">
      <c r="A667" s="2"/>
      <c r="B667" s="2"/>
      <c r="C667" s="2"/>
      <c r="D667" s="2"/>
      <c r="E667" s="2"/>
      <c r="F667" s="2"/>
      <c r="G667" s="2"/>
      <c r="H667" s="2"/>
      <c r="I667" s="2"/>
    </row>
    <row r="668" spans="1:9" ht="15.75" customHeight="1" x14ac:dyDescent="0.2">
      <c r="A668" s="2"/>
      <c r="B668" s="2"/>
      <c r="C668" s="2"/>
      <c r="D668" s="2"/>
      <c r="E668" s="2"/>
      <c r="F668" s="2"/>
      <c r="G668" s="2"/>
      <c r="H668" s="2"/>
      <c r="I668" s="2"/>
    </row>
    <row r="669" spans="1:9" ht="15.75" customHeight="1" x14ac:dyDescent="0.2">
      <c r="A669" s="2"/>
      <c r="B669" s="2"/>
      <c r="C669" s="2"/>
      <c r="D669" s="2"/>
      <c r="E669" s="2"/>
      <c r="F669" s="2"/>
      <c r="G669" s="2"/>
      <c r="H669" s="2"/>
      <c r="I669" s="2"/>
    </row>
    <row r="670" spans="1:9" ht="15.75" customHeight="1" x14ac:dyDescent="0.2">
      <c r="A670" s="2"/>
      <c r="B670" s="2"/>
      <c r="C670" s="2"/>
      <c r="D670" s="2"/>
      <c r="E670" s="2"/>
      <c r="F670" s="2"/>
      <c r="G670" s="2"/>
      <c r="H670" s="2"/>
      <c r="I670" s="2"/>
    </row>
    <row r="671" spans="1:9" ht="15.75" customHeight="1" x14ac:dyDescent="0.2">
      <c r="A671" s="2"/>
      <c r="B671" s="2"/>
      <c r="C671" s="2"/>
      <c r="D671" s="2"/>
      <c r="E671" s="2"/>
      <c r="F671" s="2"/>
      <c r="G671" s="2"/>
      <c r="H671" s="2"/>
      <c r="I671" s="2"/>
    </row>
    <row r="672" spans="1:9" ht="15.75" customHeight="1" x14ac:dyDescent="0.2">
      <c r="A672" s="2"/>
      <c r="B672" s="2"/>
      <c r="C672" s="2"/>
      <c r="D672" s="2"/>
      <c r="E672" s="2"/>
      <c r="F672" s="2"/>
      <c r="G672" s="2"/>
      <c r="H672" s="2"/>
      <c r="I672" s="2"/>
    </row>
    <row r="673" spans="1:9" ht="15.75" customHeight="1" x14ac:dyDescent="0.2">
      <c r="A673" s="2"/>
      <c r="B673" s="2"/>
      <c r="C673" s="2"/>
      <c r="D673" s="2"/>
      <c r="E673" s="2"/>
      <c r="F673" s="2"/>
      <c r="G673" s="2"/>
      <c r="H673" s="2"/>
      <c r="I673" s="2"/>
    </row>
    <row r="674" spans="1:9" ht="15.75" customHeight="1" x14ac:dyDescent="0.2">
      <c r="A674" s="2"/>
      <c r="B674" s="2"/>
      <c r="C674" s="2"/>
      <c r="D674" s="2"/>
      <c r="E674" s="2"/>
      <c r="F674" s="2"/>
      <c r="G674" s="2"/>
      <c r="H674" s="2"/>
      <c r="I674" s="2"/>
    </row>
    <row r="675" spans="1:9" ht="15.75" customHeight="1" x14ac:dyDescent="0.2">
      <c r="A675" s="2"/>
      <c r="B675" s="2"/>
      <c r="C675" s="2"/>
      <c r="D675" s="2"/>
      <c r="E675" s="2"/>
      <c r="F675" s="2"/>
      <c r="G675" s="2"/>
      <c r="H675" s="2"/>
      <c r="I675" s="2"/>
    </row>
    <row r="676" spans="1:9" ht="15.75" customHeight="1" x14ac:dyDescent="0.2">
      <c r="A676" s="2"/>
      <c r="B676" s="2"/>
      <c r="C676" s="2"/>
      <c r="D676" s="2"/>
      <c r="E676" s="2"/>
      <c r="F676" s="2"/>
      <c r="G676" s="2"/>
      <c r="H676" s="2"/>
      <c r="I676" s="2"/>
    </row>
    <row r="677" spans="1:9" ht="15.75" customHeight="1" x14ac:dyDescent="0.2">
      <c r="A677" s="2"/>
      <c r="B677" s="2"/>
      <c r="C677" s="2"/>
      <c r="D677" s="2"/>
      <c r="E677" s="2"/>
      <c r="F677" s="2"/>
      <c r="G677" s="2"/>
      <c r="H677" s="2"/>
      <c r="I677" s="2"/>
    </row>
    <row r="678" spans="1:9" ht="15.75" customHeight="1" x14ac:dyDescent="0.2">
      <c r="A678" s="2"/>
      <c r="B678" s="2"/>
      <c r="C678" s="2"/>
      <c r="D678" s="2"/>
      <c r="E678" s="2"/>
      <c r="F678" s="2"/>
      <c r="G678" s="2"/>
      <c r="H678" s="2"/>
      <c r="I678" s="2"/>
    </row>
    <row r="679" spans="1:9" ht="15.75" customHeight="1" x14ac:dyDescent="0.2">
      <c r="A679" s="2"/>
      <c r="B679" s="2"/>
      <c r="C679" s="2"/>
      <c r="D679" s="2"/>
      <c r="E679" s="2"/>
      <c r="F679" s="2"/>
      <c r="G679" s="2"/>
      <c r="H679" s="2"/>
      <c r="I679" s="2"/>
    </row>
    <row r="680" spans="1:9" ht="15.75" customHeight="1" x14ac:dyDescent="0.2">
      <c r="A680" s="2"/>
      <c r="B680" s="2"/>
      <c r="C680" s="2"/>
      <c r="D680" s="2"/>
      <c r="E680" s="2"/>
      <c r="F680" s="2"/>
      <c r="G680" s="2"/>
      <c r="H680" s="2"/>
      <c r="I680" s="2"/>
    </row>
    <row r="681" spans="1:9" ht="15.75" customHeight="1" x14ac:dyDescent="0.2">
      <c r="A681" s="2"/>
      <c r="B681" s="2"/>
      <c r="C681" s="2"/>
      <c r="D681" s="2"/>
      <c r="E681" s="2"/>
      <c r="F681" s="2"/>
      <c r="G681" s="2"/>
      <c r="H681" s="2"/>
      <c r="I681" s="2"/>
    </row>
    <row r="682" spans="1:9" ht="15.75" customHeight="1" x14ac:dyDescent="0.2">
      <c r="A682" s="2"/>
      <c r="B682" s="2"/>
      <c r="C682" s="2"/>
      <c r="D682" s="2"/>
      <c r="E682" s="2"/>
      <c r="F682" s="2"/>
      <c r="G682" s="2"/>
      <c r="H682" s="2"/>
      <c r="I682" s="2"/>
    </row>
    <row r="683" spans="1:9" ht="15.75" customHeight="1" x14ac:dyDescent="0.2">
      <c r="A683" s="2"/>
      <c r="B683" s="2"/>
      <c r="C683" s="2"/>
      <c r="D683" s="2"/>
      <c r="E683" s="2"/>
      <c r="F683" s="2"/>
      <c r="G683" s="2"/>
      <c r="H683" s="2"/>
      <c r="I683" s="2"/>
    </row>
    <row r="684" spans="1:9" ht="15.75" customHeight="1" x14ac:dyDescent="0.2">
      <c r="A684" s="2"/>
      <c r="B684" s="2"/>
      <c r="C684" s="2"/>
      <c r="D684" s="2"/>
      <c r="E684" s="2"/>
      <c r="F684" s="2"/>
      <c r="G684" s="2"/>
      <c r="H684" s="2"/>
      <c r="I684" s="2"/>
    </row>
    <row r="685" spans="1:9" ht="15.75" customHeight="1" x14ac:dyDescent="0.2">
      <c r="A685" s="2"/>
      <c r="B685" s="2"/>
      <c r="C685" s="2"/>
      <c r="D685" s="2"/>
      <c r="E685" s="2"/>
      <c r="F685" s="2"/>
      <c r="G685" s="2"/>
      <c r="H685" s="2"/>
      <c r="I685" s="2"/>
    </row>
    <row r="686" spans="1:9" ht="15.75" customHeight="1" x14ac:dyDescent="0.2">
      <c r="A686" s="2"/>
      <c r="B686" s="2"/>
      <c r="C686" s="2"/>
      <c r="D686" s="2"/>
      <c r="E686" s="2"/>
      <c r="F686" s="2"/>
      <c r="G686" s="2"/>
      <c r="H686" s="2"/>
      <c r="I686" s="2"/>
    </row>
    <row r="687" spans="1:9" ht="15.75" customHeight="1" x14ac:dyDescent="0.2">
      <c r="A687" s="2"/>
      <c r="B687" s="2"/>
      <c r="C687" s="2"/>
      <c r="D687" s="2"/>
      <c r="E687" s="2"/>
      <c r="F687" s="2"/>
      <c r="G687" s="2"/>
      <c r="H687" s="2"/>
      <c r="I687" s="2"/>
    </row>
    <row r="688" spans="1:9" ht="15.75" customHeight="1" x14ac:dyDescent="0.2">
      <c r="A688" s="2"/>
      <c r="B688" s="2"/>
      <c r="C688" s="2"/>
      <c r="D688" s="2"/>
      <c r="E688" s="2"/>
      <c r="F688" s="2"/>
      <c r="G688" s="2"/>
      <c r="H688" s="2"/>
      <c r="I688" s="2"/>
    </row>
    <row r="689" spans="1:9" ht="15.75" customHeight="1" x14ac:dyDescent="0.2">
      <c r="A689" s="2"/>
      <c r="B689" s="2"/>
      <c r="C689" s="2"/>
      <c r="D689" s="2"/>
      <c r="E689" s="2"/>
      <c r="F689" s="2"/>
      <c r="G689" s="2"/>
      <c r="H689" s="2"/>
      <c r="I689" s="2"/>
    </row>
    <row r="690" spans="1:9" ht="15.75" customHeight="1" x14ac:dyDescent="0.2">
      <c r="A690" s="2"/>
      <c r="B690" s="2"/>
      <c r="C690" s="2"/>
      <c r="D690" s="2"/>
      <c r="E690" s="2"/>
      <c r="F690" s="2"/>
      <c r="G690" s="2"/>
      <c r="H690" s="2"/>
      <c r="I690" s="2"/>
    </row>
    <row r="691" spans="1:9" ht="15.75" customHeight="1" x14ac:dyDescent="0.2">
      <c r="A691" s="2"/>
      <c r="B691" s="2"/>
      <c r="C691" s="2"/>
      <c r="D691" s="2"/>
      <c r="E691" s="2"/>
      <c r="F691" s="2"/>
      <c r="G691" s="2"/>
      <c r="H691" s="2"/>
      <c r="I691" s="2"/>
    </row>
    <row r="692" spans="1:9" ht="15.75" customHeight="1" x14ac:dyDescent="0.2">
      <c r="A692" s="2"/>
      <c r="B692" s="2"/>
      <c r="C692" s="2"/>
      <c r="D692" s="2"/>
      <c r="E692" s="2"/>
      <c r="F692" s="2"/>
      <c r="G692" s="2"/>
      <c r="H692" s="2"/>
      <c r="I692" s="2"/>
    </row>
    <row r="693" spans="1:9" ht="15.75" customHeight="1" x14ac:dyDescent="0.2">
      <c r="A693" s="2"/>
      <c r="B693" s="2"/>
      <c r="C693" s="2"/>
      <c r="D693" s="2"/>
      <c r="E693" s="2"/>
      <c r="F693" s="2"/>
      <c r="G693" s="2"/>
      <c r="H693" s="2"/>
      <c r="I693" s="2"/>
    </row>
    <row r="694" spans="1:9" ht="15.75" customHeight="1" x14ac:dyDescent="0.2">
      <c r="A694" s="2"/>
      <c r="B694" s="2"/>
      <c r="C694" s="2"/>
      <c r="D694" s="2"/>
      <c r="E694" s="2"/>
      <c r="F694" s="2"/>
      <c r="G694" s="2"/>
      <c r="H694" s="2"/>
      <c r="I694" s="2"/>
    </row>
    <row r="695" spans="1:9" ht="15.75" customHeight="1" x14ac:dyDescent="0.2">
      <c r="A695" s="2"/>
      <c r="B695" s="2"/>
      <c r="C695" s="2"/>
      <c r="D695" s="2"/>
      <c r="E695" s="2"/>
      <c r="F695" s="2"/>
      <c r="G695" s="2"/>
      <c r="H695" s="2"/>
      <c r="I695" s="2"/>
    </row>
    <row r="696" spans="1:9" ht="15.75" customHeight="1" x14ac:dyDescent="0.2">
      <c r="A696" s="2"/>
      <c r="B696" s="2"/>
      <c r="C696" s="2"/>
      <c r="D696" s="2"/>
      <c r="E696" s="2"/>
      <c r="F696" s="2"/>
      <c r="G696" s="2"/>
      <c r="H696" s="2"/>
      <c r="I696" s="2"/>
    </row>
    <row r="697" spans="1:9" ht="15.75" customHeight="1" x14ac:dyDescent="0.2">
      <c r="A697" s="2"/>
      <c r="B697" s="2"/>
      <c r="C697" s="2"/>
      <c r="D697" s="2"/>
      <c r="E697" s="2"/>
      <c r="F697" s="2"/>
      <c r="G697" s="2"/>
      <c r="H697" s="2"/>
      <c r="I697" s="2"/>
    </row>
    <row r="698" spans="1:9" ht="15.75" customHeight="1" x14ac:dyDescent="0.2">
      <c r="A698" s="2"/>
      <c r="B698" s="2"/>
      <c r="C698" s="2"/>
      <c r="D698" s="2"/>
      <c r="E698" s="2"/>
      <c r="F698" s="2"/>
      <c r="G698" s="2"/>
      <c r="H698" s="2"/>
      <c r="I698" s="2"/>
    </row>
    <row r="699" spans="1:9" ht="15.75" customHeight="1" x14ac:dyDescent="0.2">
      <c r="A699" s="2"/>
      <c r="B699" s="2"/>
      <c r="C699" s="2"/>
      <c r="D699" s="2"/>
      <c r="E699" s="2"/>
      <c r="F699" s="2"/>
      <c r="G699" s="2"/>
      <c r="H699" s="2"/>
      <c r="I699" s="2"/>
    </row>
    <row r="700" spans="1:9" ht="15.75" customHeight="1" x14ac:dyDescent="0.2">
      <c r="A700" s="2"/>
      <c r="B700" s="2"/>
      <c r="C700" s="2"/>
      <c r="D700" s="2"/>
      <c r="E700" s="2"/>
      <c r="F700" s="2"/>
      <c r="G700" s="2"/>
      <c r="H700" s="2"/>
      <c r="I700" s="2"/>
    </row>
    <row r="701" spans="1:9" ht="15.75" customHeight="1" x14ac:dyDescent="0.2">
      <c r="A701" s="2"/>
      <c r="B701" s="2"/>
      <c r="C701" s="2"/>
      <c r="D701" s="2"/>
      <c r="E701" s="2"/>
      <c r="F701" s="2"/>
      <c r="G701" s="2"/>
      <c r="H701" s="2"/>
      <c r="I701" s="2"/>
    </row>
    <row r="702" spans="1:9" ht="15.75" customHeight="1" x14ac:dyDescent="0.2">
      <c r="A702" s="2"/>
      <c r="B702" s="2"/>
      <c r="C702" s="2"/>
      <c r="D702" s="2"/>
      <c r="E702" s="2"/>
      <c r="F702" s="2"/>
      <c r="G702" s="2"/>
      <c r="H702" s="2"/>
      <c r="I702" s="2"/>
    </row>
    <row r="703" spans="1:9" ht="15.75" customHeight="1" x14ac:dyDescent="0.2">
      <c r="A703" s="2"/>
      <c r="B703" s="2"/>
      <c r="C703" s="2"/>
      <c r="D703" s="2"/>
      <c r="E703" s="2"/>
      <c r="F703" s="2"/>
      <c r="G703" s="2"/>
      <c r="H703" s="2"/>
      <c r="I703" s="2"/>
    </row>
    <row r="704" spans="1:9" ht="15.75" customHeight="1" x14ac:dyDescent="0.2">
      <c r="A704" s="2"/>
      <c r="B704" s="2"/>
      <c r="C704" s="2"/>
      <c r="D704" s="2"/>
      <c r="E704" s="2"/>
      <c r="F704" s="2"/>
      <c r="G704" s="2"/>
      <c r="H704" s="2"/>
      <c r="I704" s="2"/>
    </row>
    <row r="705" spans="1:9" ht="15.75" customHeight="1" x14ac:dyDescent="0.2">
      <c r="A705" s="2"/>
      <c r="B705" s="2"/>
      <c r="C705" s="2"/>
      <c r="D705" s="2"/>
      <c r="E705" s="2"/>
      <c r="F705" s="2"/>
      <c r="G705" s="2"/>
      <c r="H705" s="2"/>
      <c r="I705" s="2"/>
    </row>
    <row r="706" spans="1:9" ht="15.75" customHeight="1" x14ac:dyDescent="0.2">
      <c r="A706" s="2"/>
      <c r="B706" s="2"/>
      <c r="C706" s="2"/>
      <c r="D706" s="2"/>
      <c r="E706" s="2"/>
      <c r="F706" s="2"/>
      <c r="G706" s="2"/>
      <c r="H706" s="2"/>
      <c r="I706" s="2"/>
    </row>
    <row r="707" spans="1:9" ht="15.75" customHeight="1" x14ac:dyDescent="0.2">
      <c r="A707" s="2"/>
      <c r="B707" s="2"/>
      <c r="C707" s="2"/>
      <c r="D707" s="2"/>
      <c r="E707" s="2"/>
      <c r="F707" s="2"/>
      <c r="G707" s="2"/>
      <c r="H707" s="2"/>
      <c r="I707" s="2"/>
    </row>
    <row r="708" spans="1:9" ht="15.75" customHeight="1" x14ac:dyDescent="0.2">
      <c r="A708" s="2"/>
      <c r="B708" s="2"/>
      <c r="C708" s="2"/>
      <c r="D708" s="2"/>
      <c r="E708" s="2"/>
      <c r="F708" s="2"/>
      <c r="G708" s="2"/>
      <c r="H708" s="2"/>
      <c r="I708" s="2"/>
    </row>
    <row r="709" spans="1:9" ht="15.75" customHeight="1" x14ac:dyDescent="0.2">
      <c r="A709" s="2"/>
      <c r="B709" s="2"/>
      <c r="C709" s="2"/>
      <c r="D709" s="2"/>
      <c r="E709" s="2"/>
      <c r="F709" s="2"/>
      <c r="G709" s="2"/>
      <c r="H709" s="2"/>
      <c r="I709" s="2"/>
    </row>
    <row r="710" spans="1:9" ht="15.75" customHeight="1" x14ac:dyDescent="0.2">
      <c r="A710" s="2"/>
      <c r="B710" s="2"/>
      <c r="C710" s="2"/>
      <c r="D710" s="2"/>
      <c r="E710" s="2"/>
      <c r="F710" s="2"/>
      <c r="G710" s="2"/>
      <c r="H710" s="2"/>
      <c r="I710" s="2"/>
    </row>
    <row r="711" spans="1:9" ht="15.75" customHeight="1" x14ac:dyDescent="0.2">
      <c r="A711" s="2"/>
      <c r="B711" s="2"/>
      <c r="C711" s="2"/>
      <c r="D711" s="2"/>
      <c r="E711" s="2"/>
      <c r="F711" s="2"/>
      <c r="G711" s="2"/>
      <c r="H711" s="2"/>
      <c r="I711" s="2"/>
    </row>
    <row r="712" spans="1:9" ht="15.75" customHeight="1" x14ac:dyDescent="0.2">
      <c r="A712" s="2"/>
      <c r="B712" s="2"/>
      <c r="C712" s="2"/>
      <c r="D712" s="2"/>
      <c r="E712" s="2"/>
      <c r="F712" s="2"/>
      <c r="G712" s="2"/>
      <c r="H712" s="2"/>
      <c r="I712" s="2"/>
    </row>
    <row r="713" spans="1:9" ht="15.75" customHeight="1" x14ac:dyDescent="0.2">
      <c r="A713" s="2"/>
      <c r="B713" s="2"/>
      <c r="C713" s="2"/>
      <c r="D713" s="2"/>
      <c r="E713" s="2"/>
      <c r="F713" s="2"/>
      <c r="G713" s="2"/>
      <c r="H713" s="2"/>
      <c r="I713" s="2"/>
    </row>
    <row r="714" spans="1:9" ht="15.75" customHeight="1" x14ac:dyDescent="0.2">
      <c r="A714" s="2"/>
      <c r="B714" s="2"/>
      <c r="C714" s="2"/>
      <c r="D714" s="2"/>
      <c r="E714" s="2"/>
      <c r="F714" s="2"/>
      <c r="G714" s="2"/>
      <c r="H714" s="2"/>
      <c r="I714" s="2"/>
    </row>
    <row r="715" spans="1:9" ht="15.75" customHeight="1" x14ac:dyDescent="0.2">
      <c r="A715" s="2"/>
      <c r="B715" s="2"/>
      <c r="C715" s="2"/>
      <c r="D715" s="2"/>
      <c r="E715" s="2"/>
      <c r="F715" s="2"/>
      <c r="G715" s="2"/>
      <c r="H715" s="2"/>
      <c r="I715" s="2"/>
    </row>
    <row r="716" spans="1:9" ht="15.75" customHeight="1" x14ac:dyDescent="0.2">
      <c r="A716" s="2"/>
      <c r="B716" s="2"/>
      <c r="C716" s="2"/>
      <c r="D716" s="2"/>
      <c r="E716" s="2"/>
      <c r="F716" s="2"/>
      <c r="G716" s="2"/>
      <c r="H716" s="2"/>
      <c r="I716" s="2"/>
    </row>
    <row r="717" spans="1:9" ht="15.75" customHeight="1" x14ac:dyDescent="0.2">
      <c r="A717" s="2"/>
      <c r="B717" s="2"/>
      <c r="C717" s="2"/>
      <c r="D717" s="2"/>
      <c r="E717" s="2"/>
      <c r="F717" s="2"/>
      <c r="G717" s="2"/>
      <c r="H717" s="2"/>
      <c r="I717" s="2"/>
    </row>
    <row r="718" spans="1:9" ht="15.75" customHeight="1" x14ac:dyDescent="0.2">
      <c r="A718" s="2"/>
      <c r="B718" s="2"/>
      <c r="C718" s="2"/>
      <c r="D718" s="2"/>
      <c r="E718" s="2"/>
      <c r="F718" s="2"/>
      <c r="G718" s="2"/>
      <c r="H718" s="2"/>
      <c r="I718" s="2"/>
    </row>
    <row r="719" spans="1:9" ht="15.75" customHeight="1" x14ac:dyDescent="0.2">
      <c r="A719" s="2"/>
      <c r="B719" s="2"/>
      <c r="C719" s="2"/>
      <c r="D719" s="2"/>
      <c r="E719" s="2"/>
      <c r="F719" s="2"/>
      <c r="G719" s="2"/>
      <c r="H719" s="2"/>
      <c r="I719" s="2"/>
    </row>
    <row r="720" spans="1:9" ht="15.75" customHeight="1" x14ac:dyDescent="0.2">
      <c r="A720" s="2"/>
      <c r="B720" s="2"/>
      <c r="C720" s="2"/>
      <c r="D720" s="2"/>
      <c r="E720" s="2"/>
      <c r="F720" s="2"/>
      <c r="G720" s="2"/>
      <c r="H720" s="2"/>
      <c r="I720" s="2"/>
    </row>
    <row r="721" spans="1:9" ht="15.75" customHeight="1" x14ac:dyDescent="0.2">
      <c r="A721" s="2"/>
      <c r="B721" s="2"/>
      <c r="C721" s="2"/>
      <c r="D721" s="2"/>
      <c r="E721" s="2"/>
      <c r="F721" s="2"/>
      <c r="G721" s="2"/>
      <c r="H721" s="2"/>
      <c r="I721" s="2"/>
    </row>
    <row r="722" spans="1:9" ht="15.75" customHeight="1" x14ac:dyDescent="0.2">
      <c r="A722" s="2"/>
      <c r="B722" s="2"/>
      <c r="C722" s="2"/>
      <c r="D722" s="2"/>
      <c r="E722" s="2"/>
      <c r="F722" s="2"/>
      <c r="G722" s="2"/>
      <c r="H722" s="2"/>
      <c r="I722" s="2"/>
    </row>
    <row r="723" spans="1:9" ht="15.75" customHeight="1" x14ac:dyDescent="0.2">
      <c r="A723" s="2"/>
      <c r="B723" s="2"/>
      <c r="C723" s="2"/>
      <c r="D723" s="2"/>
      <c r="E723" s="2"/>
      <c r="F723" s="2"/>
      <c r="G723" s="2"/>
      <c r="H723" s="2"/>
      <c r="I723" s="2"/>
    </row>
    <row r="724" spans="1:9" ht="15.75" customHeight="1" x14ac:dyDescent="0.2">
      <c r="A724" s="2"/>
      <c r="B724" s="2"/>
      <c r="C724" s="2"/>
      <c r="D724" s="2"/>
      <c r="E724" s="2"/>
      <c r="F724" s="2"/>
      <c r="G724" s="2"/>
      <c r="H724" s="2"/>
      <c r="I724" s="2"/>
    </row>
    <row r="725" spans="1:9" ht="15.75" customHeight="1" x14ac:dyDescent="0.2">
      <c r="A725" s="2"/>
      <c r="B725" s="2"/>
      <c r="C725" s="2"/>
      <c r="D725" s="2"/>
      <c r="E725" s="2"/>
      <c r="F725" s="2"/>
      <c r="G725" s="2"/>
      <c r="H725" s="2"/>
      <c r="I725" s="2"/>
    </row>
    <row r="726" spans="1:9" ht="15.75" customHeight="1" x14ac:dyDescent="0.2">
      <c r="A726" s="2"/>
      <c r="B726" s="2"/>
      <c r="C726" s="2"/>
      <c r="D726" s="2"/>
      <c r="E726" s="2"/>
      <c r="F726" s="2"/>
      <c r="G726" s="2"/>
      <c r="H726" s="2"/>
      <c r="I726" s="2"/>
    </row>
    <row r="727" spans="1:9" ht="15.75" customHeight="1" x14ac:dyDescent="0.2">
      <c r="A727" s="2"/>
      <c r="B727" s="2"/>
      <c r="C727" s="2"/>
      <c r="D727" s="2"/>
      <c r="E727" s="2"/>
      <c r="F727" s="2"/>
      <c r="G727" s="2"/>
      <c r="H727" s="2"/>
      <c r="I727" s="2"/>
    </row>
    <row r="728" spans="1:9" ht="15.75" customHeight="1" x14ac:dyDescent="0.2">
      <c r="A728" s="2"/>
      <c r="B728" s="2"/>
      <c r="C728" s="2"/>
      <c r="D728" s="2"/>
      <c r="E728" s="2"/>
      <c r="F728" s="2"/>
      <c r="G728" s="2"/>
      <c r="H728" s="2"/>
      <c r="I728" s="2"/>
    </row>
    <row r="729" spans="1:9" ht="15.75" customHeight="1" x14ac:dyDescent="0.2">
      <c r="A729" s="2"/>
      <c r="B729" s="2"/>
      <c r="C729" s="2"/>
      <c r="D729" s="2"/>
      <c r="E729" s="2"/>
      <c r="F729" s="2"/>
      <c r="G729" s="2"/>
      <c r="H729" s="2"/>
      <c r="I729" s="2"/>
    </row>
    <row r="730" spans="1:9" ht="15.75" customHeight="1" x14ac:dyDescent="0.2">
      <c r="A730" s="2"/>
      <c r="B730" s="2"/>
      <c r="C730" s="2"/>
      <c r="D730" s="2"/>
      <c r="E730" s="2"/>
      <c r="F730" s="2"/>
      <c r="G730" s="2"/>
      <c r="H730" s="2"/>
      <c r="I730" s="2"/>
    </row>
    <row r="731" spans="1:9" ht="15.75" customHeight="1" x14ac:dyDescent="0.2">
      <c r="A731" s="2"/>
      <c r="B731" s="2"/>
      <c r="C731" s="2"/>
      <c r="D731" s="2"/>
      <c r="E731" s="2"/>
      <c r="F731" s="2"/>
      <c r="G731" s="2"/>
      <c r="H731" s="2"/>
      <c r="I731" s="2"/>
    </row>
    <row r="732" spans="1:9" ht="15.75" customHeight="1" x14ac:dyDescent="0.2">
      <c r="A732" s="2"/>
      <c r="B732" s="2"/>
      <c r="C732" s="2"/>
      <c r="D732" s="2"/>
      <c r="E732" s="2"/>
      <c r="F732" s="2"/>
      <c r="G732" s="2"/>
      <c r="H732" s="2"/>
      <c r="I732" s="2"/>
    </row>
    <row r="733" spans="1:9" ht="15.75" customHeight="1" x14ac:dyDescent="0.2">
      <c r="A733" s="2"/>
      <c r="B733" s="2"/>
      <c r="C733" s="2"/>
      <c r="D733" s="2"/>
      <c r="E733" s="2"/>
      <c r="F733" s="2"/>
      <c r="G733" s="2"/>
      <c r="H733" s="2"/>
      <c r="I733" s="2"/>
    </row>
    <row r="734" spans="1:9" ht="15.75" customHeight="1" x14ac:dyDescent="0.2">
      <c r="A734" s="2"/>
      <c r="B734" s="2"/>
      <c r="C734" s="2"/>
      <c r="D734" s="2"/>
      <c r="E734" s="2"/>
      <c r="F734" s="2"/>
      <c r="G734" s="2"/>
      <c r="H734" s="2"/>
      <c r="I734" s="2"/>
    </row>
    <row r="735" spans="1:9" ht="15.75" customHeight="1" x14ac:dyDescent="0.2">
      <c r="A735" s="2"/>
      <c r="B735" s="2"/>
      <c r="C735" s="2"/>
      <c r="D735" s="2"/>
      <c r="E735" s="2"/>
      <c r="F735" s="2"/>
      <c r="G735" s="2"/>
      <c r="H735" s="2"/>
      <c r="I735" s="2"/>
    </row>
    <row r="736" spans="1:9" ht="15.75" customHeight="1" x14ac:dyDescent="0.2">
      <c r="A736" s="2"/>
      <c r="B736" s="2"/>
      <c r="C736" s="2"/>
      <c r="D736" s="2"/>
      <c r="E736" s="2"/>
      <c r="F736" s="2"/>
      <c r="G736" s="2"/>
      <c r="H736" s="2"/>
      <c r="I736" s="2"/>
    </row>
    <row r="737" spans="1:9" ht="15.75" customHeight="1" x14ac:dyDescent="0.2">
      <c r="A737" s="2"/>
      <c r="B737" s="2"/>
      <c r="C737" s="2"/>
      <c r="D737" s="2"/>
      <c r="E737" s="2"/>
      <c r="F737" s="2"/>
      <c r="G737" s="2"/>
      <c r="H737" s="2"/>
      <c r="I737" s="2"/>
    </row>
    <row r="738" spans="1:9" ht="15.75" customHeight="1" x14ac:dyDescent="0.2">
      <c r="A738" s="2"/>
      <c r="B738" s="2"/>
      <c r="C738" s="2"/>
      <c r="D738" s="2"/>
      <c r="E738" s="2"/>
      <c r="F738" s="2"/>
      <c r="G738" s="2"/>
      <c r="H738" s="2"/>
      <c r="I738" s="2"/>
    </row>
    <row r="739" spans="1:9" ht="15.75" customHeight="1" x14ac:dyDescent="0.2">
      <c r="A739" s="2"/>
      <c r="B739" s="2"/>
      <c r="C739" s="2"/>
      <c r="D739" s="2"/>
      <c r="E739" s="2"/>
      <c r="F739" s="2"/>
      <c r="G739" s="2"/>
      <c r="H739" s="2"/>
      <c r="I739" s="2"/>
    </row>
    <row r="740" spans="1:9" ht="15.75" customHeight="1" x14ac:dyDescent="0.2">
      <c r="A740" s="2"/>
      <c r="B740" s="2"/>
      <c r="C740" s="2"/>
      <c r="D740" s="2"/>
      <c r="E740" s="2"/>
      <c r="F740" s="2"/>
      <c r="G740" s="2"/>
      <c r="H740" s="2"/>
      <c r="I740" s="2"/>
    </row>
    <row r="741" spans="1:9" ht="15.75" customHeight="1" x14ac:dyDescent="0.2">
      <c r="A741" s="2"/>
      <c r="B741" s="2"/>
      <c r="C741" s="2"/>
      <c r="D741" s="2"/>
      <c r="E741" s="2"/>
      <c r="F741" s="2"/>
      <c r="G741" s="2"/>
      <c r="H741" s="2"/>
      <c r="I741" s="2"/>
    </row>
    <row r="742" spans="1:9" ht="15.75" customHeight="1" x14ac:dyDescent="0.2">
      <c r="A742" s="2"/>
      <c r="B742" s="2"/>
      <c r="C742" s="2"/>
      <c r="D742" s="2"/>
      <c r="E742" s="2"/>
      <c r="F742" s="2"/>
      <c r="G742" s="2"/>
      <c r="H742" s="2"/>
      <c r="I742" s="2"/>
    </row>
    <row r="743" spans="1:9" ht="15.75" customHeight="1" x14ac:dyDescent="0.2">
      <c r="A743" s="2"/>
      <c r="B743" s="2"/>
      <c r="C743" s="2"/>
      <c r="D743" s="2"/>
      <c r="E743" s="2"/>
      <c r="F743" s="2"/>
      <c r="G743" s="2"/>
      <c r="H743" s="2"/>
      <c r="I743" s="2"/>
    </row>
    <row r="744" spans="1:9" ht="15.75" customHeight="1" x14ac:dyDescent="0.2">
      <c r="A744" s="2"/>
      <c r="B744" s="2"/>
      <c r="C744" s="2"/>
      <c r="D744" s="2"/>
      <c r="E744" s="2"/>
      <c r="F744" s="2"/>
      <c r="G744" s="2"/>
      <c r="H744" s="2"/>
      <c r="I744" s="2"/>
    </row>
    <row r="745" spans="1:9" ht="15.75" customHeight="1" x14ac:dyDescent="0.2">
      <c r="A745" s="2"/>
      <c r="B745" s="2"/>
      <c r="C745" s="2"/>
      <c r="D745" s="2"/>
      <c r="E745" s="2"/>
      <c r="F745" s="2"/>
      <c r="G745" s="2"/>
      <c r="H745" s="2"/>
      <c r="I745" s="2"/>
    </row>
    <row r="746" spans="1:9" ht="15.75" customHeight="1" x14ac:dyDescent="0.2">
      <c r="A746" s="2"/>
      <c r="B746" s="2"/>
      <c r="C746" s="2"/>
      <c r="D746" s="2"/>
      <c r="E746" s="2"/>
      <c r="F746" s="2"/>
      <c r="G746" s="2"/>
      <c r="H746" s="2"/>
      <c r="I746" s="2"/>
    </row>
    <row r="747" spans="1:9" ht="15.75" customHeight="1" x14ac:dyDescent="0.2">
      <c r="A747" s="2"/>
      <c r="B747" s="2"/>
      <c r="C747" s="2"/>
      <c r="D747" s="2"/>
      <c r="E747" s="2"/>
      <c r="F747" s="2"/>
      <c r="G747" s="2"/>
      <c r="H747" s="2"/>
      <c r="I747" s="2"/>
    </row>
    <row r="748" spans="1:9" ht="15.75" customHeight="1" x14ac:dyDescent="0.2">
      <c r="A748" s="2"/>
      <c r="B748" s="2"/>
      <c r="C748" s="2"/>
      <c r="D748" s="2"/>
      <c r="E748" s="2"/>
      <c r="F748" s="2"/>
      <c r="G748" s="2"/>
      <c r="H748" s="2"/>
      <c r="I748" s="2"/>
    </row>
    <row r="749" spans="1:9" ht="15.75" customHeight="1" x14ac:dyDescent="0.2">
      <c r="A749" s="2"/>
      <c r="B749" s="2"/>
      <c r="C749" s="2"/>
      <c r="D749" s="2"/>
      <c r="E749" s="2"/>
      <c r="F749" s="2"/>
      <c r="G749" s="2"/>
      <c r="H749" s="2"/>
      <c r="I749" s="2"/>
    </row>
    <row r="750" spans="1:9" ht="15.75" customHeight="1" x14ac:dyDescent="0.2">
      <c r="A750" s="2"/>
      <c r="B750" s="2"/>
      <c r="C750" s="2"/>
      <c r="D750" s="2"/>
      <c r="E750" s="2"/>
      <c r="F750" s="2"/>
      <c r="G750" s="2"/>
      <c r="H750" s="2"/>
      <c r="I750" s="2"/>
    </row>
    <row r="751" spans="1:9" ht="15.75" customHeight="1" x14ac:dyDescent="0.2">
      <c r="A751" s="2"/>
      <c r="B751" s="2"/>
      <c r="C751" s="2"/>
      <c r="D751" s="2"/>
      <c r="E751" s="2"/>
      <c r="F751" s="2"/>
      <c r="G751" s="2"/>
      <c r="H751" s="2"/>
      <c r="I751" s="2"/>
    </row>
    <row r="752" spans="1:9" ht="15.75" customHeight="1" x14ac:dyDescent="0.2">
      <c r="A752" s="2"/>
      <c r="B752" s="2"/>
      <c r="C752" s="2"/>
      <c r="D752" s="2"/>
      <c r="E752" s="2"/>
      <c r="F752" s="2"/>
      <c r="G752" s="2"/>
      <c r="H752" s="2"/>
      <c r="I752" s="2"/>
    </row>
    <row r="753" spans="1:9" ht="15.75" customHeight="1" x14ac:dyDescent="0.2">
      <c r="A753" s="2"/>
      <c r="B753" s="2"/>
      <c r="C753" s="2"/>
      <c r="D753" s="2"/>
      <c r="E753" s="2"/>
      <c r="F753" s="2"/>
      <c r="G753" s="2"/>
      <c r="H753" s="2"/>
      <c r="I753" s="2"/>
    </row>
    <row r="754" spans="1:9" ht="15.75" customHeight="1" x14ac:dyDescent="0.2">
      <c r="A754" s="2"/>
      <c r="B754" s="2"/>
      <c r="C754" s="2"/>
      <c r="D754" s="2"/>
      <c r="E754" s="2"/>
      <c r="F754" s="2"/>
      <c r="G754" s="2"/>
      <c r="H754" s="2"/>
      <c r="I754" s="2"/>
    </row>
    <row r="755" spans="1:9" ht="15.75" customHeight="1" x14ac:dyDescent="0.2">
      <c r="A755" s="2"/>
      <c r="B755" s="2"/>
      <c r="C755" s="2"/>
      <c r="D755" s="2"/>
      <c r="E755" s="2"/>
      <c r="F755" s="2"/>
      <c r="G755" s="2"/>
      <c r="H755" s="2"/>
      <c r="I755" s="2"/>
    </row>
    <row r="756" spans="1:9" ht="15.75" customHeight="1" x14ac:dyDescent="0.2">
      <c r="A756" s="2"/>
      <c r="B756" s="2"/>
      <c r="C756" s="2"/>
      <c r="D756" s="2"/>
      <c r="E756" s="2"/>
      <c r="F756" s="2"/>
      <c r="G756" s="2"/>
      <c r="H756" s="2"/>
      <c r="I756" s="2"/>
    </row>
    <row r="757" spans="1:9" ht="15.75" customHeight="1" x14ac:dyDescent="0.2">
      <c r="A757" s="2"/>
      <c r="B757" s="2"/>
      <c r="C757" s="2"/>
      <c r="D757" s="2"/>
      <c r="E757" s="2"/>
      <c r="F757" s="2"/>
      <c r="G757" s="2"/>
      <c r="H757" s="2"/>
      <c r="I757" s="2"/>
    </row>
    <row r="758" spans="1:9" ht="15.75" customHeight="1" x14ac:dyDescent="0.2">
      <c r="A758" s="2"/>
      <c r="B758" s="2"/>
      <c r="C758" s="2"/>
      <c r="D758" s="2"/>
      <c r="E758" s="2"/>
      <c r="F758" s="2"/>
      <c r="G758" s="2"/>
      <c r="H758" s="2"/>
      <c r="I758" s="2"/>
    </row>
    <row r="759" spans="1:9" ht="15.75" customHeight="1" x14ac:dyDescent="0.2">
      <c r="A759" s="2"/>
      <c r="B759" s="2"/>
      <c r="C759" s="2"/>
      <c r="D759" s="2"/>
      <c r="E759" s="2"/>
      <c r="F759" s="2"/>
      <c r="G759" s="2"/>
      <c r="H759" s="2"/>
      <c r="I759" s="2"/>
    </row>
    <row r="760" spans="1:9" ht="15.75" customHeight="1" x14ac:dyDescent="0.2">
      <c r="A760" s="2"/>
      <c r="B760" s="2"/>
      <c r="C760" s="2"/>
      <c r="D760" s="2"/>
      <c r="E760" s="2"/>
      <c r="F760" s="2"/>
      <c r="G760" s="2"/>
      <c r="H760" s="2"/>
      <c r="I760" s="2"/>
    </row>
    <row r="761" spans="1:9" ht="15.75" customHeight="1" x14ac:dyDescent="0.2">
      <c r="A761" s="2"/>
      <c r="B761" s="2"/>
      <c r="C761" s="2"/>
      <c r="D761" s="2"/>
      <c r="E761" s="2"/>
      <c r="F761" s="2"/>
      <c r="G761" s="2"/>
      <c r="H761" s="2"/>
      <c r="I761" s="2"/>
    </row>
    <row r="762" spans="1:9" ht="15.75" customHeight="1" x14ac:dyDescent="0.2">
      <c r="A762" s="2"/>
      <c r="B762" s="2"/>
      <c r="C762" s="2"/>
      <c r="D762" s="2"/>
      <c r="E762" s="2"/>
      <c r="F762" s="2"/>
      <c r="G762" s="2"/>
      <c r="H762" s="2"/>
      <c r="I762" s="2"/>
    </row>
    <row r="763" spans="1:9" ht="15.75" customHeight="1" x14ac:dyDescent="0.2">
      <c r="A763" s="2"/>
      <c r="B763" s="2"/>
      <c r="C763" s="2"/>
      <c r="D763" s="2"/>
      <c r="E763" s="2"/>
      <c r="F763" s="2"/>
      <c r="G763" s="2"/>
      <c r="H763" s="2"/>
      <c r="I763" s="2"/>
    </row>
    <row r="764" spans="1:9" ht="15.75" customHeight="1" x14ac:dyDescent="0.2">
      <c r="A764" s="2"/>
      <c r="B764" s="2"/>
      <c r="C764" s="2"/>
      <c r="D764" s="2"/>
      <c r="E764" s="2"/>
      <c r="F764" s="2"/>
      <c r="G764" s="2"/>
      <c r="H764" s="2"/>
      <c r="I764" s="2"/>
    </row>
    <row r="765" spans="1:9" ht="15.75" customHeight="1" x14ac:dyDescent="0.2">
      <c r="A765" s="2"/>
      <c r="B765" s="2"/>
      <c r="C765" s="2"/>
      <c r="D765" s="2"/>
      <c r="E765" s="2"/>
      <c r="F765" s="2"/>
      <c r="G765" s="2"/>
      <c r="H765" s="2"/>
      <c r="I765" s="2"/>
    </row>
    <row r="766" spans="1:9" ht="15.75" customHeight="1" x14ac:dyDescent="0.2">
      <c r="A766" s="2"/>
      <c r="B766" s="2"/>
      <c r="C766" s="2"/>
      <c r="D766" s="2"/>
      <c r="E766" s="2"/>
      <c r="F766" s="2"/>
      <c r="G766" s="2"/>
      <c r="H766" s="2"/>
      <c r="I766" s="2"/>
    </row>
    <row r="767" spans="1:9" ht="15.75" customHeight="1" x14ac:dyDescent="0.2">
      <c r="A767" s="2"/>
      <c r="B767" s="2"/>
      <c r="C767" s="2"/>
      <c r="D767" s="2"/>
      <c r="E767" s="2"/>
      <c r="F767" s="2"/>
      <c r="G767" s="2"/>
      <c r="H767" s="2"/>
      <c r="I767" s="2"/>
    </row>
    <row r="768" spans="1:9" ht="15.75" customHeight="1" x14ac:dyDescent="0.2">
      <c r="A768" s="2"/>
      <c r="B768" s="2"/>
      <c r="C768" s="2"/>
      <c r="D768" s="2"/>
      <c r="E768" s="2"/>
      <c r="F768" s="2"/>
      <c r="G768" s="2"/>
      <c r="H768" s="2"/>
      <c r="I768" s="2"/>
    </row>
    <row r="769" spans="1:9" ht="15.75" customHeight="1" x14ac:dyDescent="0.2">
      <c r="A769" s="2"/>
      <c r="B769" s="2"/>
      <c r="C769" s="2"/>
      <c r="D769" s="2"/>
      <c r="E769" s="2"/>
      <c r="F769" s="2"/>
      <c r="G769" s="2"/>
      <c r="H769" s="2"/>
      <c r="I769" s="2"/>
    </row>
    <row r="770" spans="1:9" ht="15.75" customHeight="1" x14ac:dyDescent="0.2">
      <c r="A770" s="2"/>
      <c r="B770" s="2"/>
      <c r="C770" s="2"/>
      <c r="D770" s="2"/>
      <c r="E770" s="2"/>
      <c r="F770" s="2"/>
      <c r="G770" s="2"/>
      <c r="H770" s="2"/>
      <c r="I770" s="2"/>
    </row>
    <row r="771" spans="1:9" ht="15.75" customHeight="1" x14ac:dyDescent="0.2">
      <c r="A771" s="2"/>
      <c r="B771" s="2"/>
      <c r="C771" s="2"/>
      <c r="D771" s="2"/>
      <c r="E771" s="2"/>
      <c r="F771" s="2"/>
      <c r="G771" s="2"/>
      <c r="H771" s="2"/>
      <c r="I771" s="2"/>
    </row>
    <row r="772" spans="1:9" ht="15.75" customHeight="1" x14ac:dyDescent="0.2">
      <c r="A772" s="2"/>
      <c r="B772" s="2"/>
      <c r="C772" s="2"/>
      <c r="D772" s="2"/>
      <c r="E772" s="2"/>
      <c r="F772" s="2"/>
      <c r="G772" s="2"/>
      <c r="H772" s="2"/>
      <c r="I772" s="2"/>
    </row>
    <row r="773" spans="1:9" ht="15.75" customHeight="1" x14ac:dyDescent="0.2">
      <c r="A773" s="2"/>
      <c r="B773" s="2"/>
      <c r="C773" s="2"/>
      <c r="D773" s="2"/>
      <c r="E773" s="2"/>
      <c r="F773" s="2"/>
      <c r="G773" s="2"/>
      <c r="H773" s="2"/>
      <c r="I773" s="2"/>
    </row>
    <row r="774" spans="1:9" ht="15.75" customHeight="1" x14ac:dyDescent="0.2">
      <c r="A774" s="2"/>
      <c r="B774" s="2"/>
      <c r="C774" s="2"/>
      <c r="D774" s="2"/>
      <c r="E774" s="2"/>
      <c r="F774" s="2"/>
      <c r="G774" s="2"/>
      <c r="H774" s="2"/>
      <c r="I774" s="2"/>
    </row>
    <row r="775" spans="1:9" ht="15.75" customHeight="1" x14ac:dyDescent="0.2">
      <c r="A775" s="2"/>
      <c r="B775" s="2"/>
      <c r="C775" s="2"/>
      <c r="D775" s="2"/>
      <c r="E775" s="2"/>
      <c r="F775" s="2"/>
      <c r="G775" s="2"/>
      <c r="H775" s="2"/>
      <c r="I775" s="2"/>
    </row>
    <row r="776" spans="1:9" ht="15.75" customHeight="1" x14ac:dyDescent="0.2">
      <c r="A776" s="2"/>
      <c r="B776" s="2"/>
      <c r="C776" s="2"/>
      <c r="D776" s="2"/>
      <c r="E776" s="2"/>
      <c r="F776" s="2"/>
      <c r="G776" s="2"/>
      <c r="H776" s="2"/>
      <c r="I776" s="2"/>
    </row>
    <row r="777" spans="1:9" ht="15.75" customHeight="1" x14ac:dyDescent="0.2">
      <c r="A777" s="2"/>
      <c r="B777" s="2"/>
      <c r="C777" s="2"/>
      <c r="D777" s="2"/>
      <c r="E777" s="2"/>
      <c r="F777" s="2"/>
      <c r="G777" s="2"/>
      <c r="H777" s="2"/>
      <c r="I777" s="2"/>
    </row>
    <row r="778" spans="1:9" ht="15.75" customHeight="1" x14ac:dyDescent="0.2">
      <c r="A778" s="2"/>
      <c r="B778" s="2"/>
      <c r="C778" s="2"/>
      <c r="D778" s="2"/>
      <c r="E778" s="2"/>
      <c r="F778" s="2"/>
      <c r="G778" s="2"/>
      <c r="H778" s="2"/>
      <c r="I778" s="2"/>
    </row>
    <row r="779" spans="1:9" ht="15.75" customHeight="1" x14ac:dyDescent="0.2">
      <c r="A779" s="2"/>
      <c r="B779" s="2"/>
      <c r="C779" s="2"/>
      <c r="D779" s="2"/>
      <c r="E779" s="2"/>
      <c r="F779" s="2"/>
      <c r="G779" s="2"/>
      <c r="H779" s="2"/>
      <c r="I779" s="2"/>
    </row>
    <row r="780" spans="1:9" ht="15.75" customHeight="1" x14ac:dyDescent="0.2">
      <c r="A780" s="2"/>
      <c r="B780" s="2"/>
      <c r="C780" s="2"/>
      <c r="D780" s="2"/>
      <c r="E780" s="2"/>
      <c r="F780" s="2"/>
      <c r="G780" s="2"/>
      <c r="H780" s="2"/>
      <c r="I780" s="2"/>
    </row>
    <row r="781" spans="1:9" ht="15.75" customHeight="1" x14ac:dyDescent="0.2">
      <c r="A781" s="2"/>
      <c r="B781" s="2"/>
      <c r="C781" s="2"/>
      <c r="D781" s="2"/>
      <c r="E781" s="2"/>
      <c r="F781" s="2"/>
      <c r="G781" s="2"/>
      <c r="H781" s="2"/>
      <c r="I781" s="2"/>
    </row>
    <row r="782" spans="1:9" ht="15.75" customHeight="1" x14ac:dyDescent="0.2">
      <c r="A782" s="2"/>
      <c r="B782" s="2"/>
      <c r="C782" s="2"/>
      <c r="D782" s="2"/>
      <c r="E782" s="2"/>
      <c r="F782" s="2"/>
      <c r="G782" s="2"/>
      <c r="H782" s="2"/>
      <c r="I782" s="2"/>
    </row>
    <row r="783" spans="1:9" ht="15.75" customHeight="1" x14ac:dyDescent="0.2">
      <c r="A783" s="2"/>
      <c r="B783" s="2"/>
      <c r="C783" s="2"/>
      <c r="D783" s="2"/>
      <c r="E783" s="2"/>
      <c r="F783" s="2"/>
      <c r="G783" s="2"/>
      <c r="H783" s="2"/>
      <c r="I783" s="2"/>
    </row>
    <row r="784" spans="1:9" ht="15.75" customHeight="1" x14ac:dyDescent="0.2">
      <c r="A784" s="2"/>
      <c r="B784" s="2"/>
      <c r="C784" s="2"/>
      <c r="D784" s="2"/>
      <c r="E784" s="2"/>
      <c r="F784" s="2"/>
      <c r="G784" s="2"/>
      <c r="H784" s="2"/>
      <c r="I784" s="2"/>
    </row>
    <row r="785" spans="1:9" ht="15.75" customHeight="1" x14ac:dyDescent="0.2">
      <c r="A785" s="2"/>
      <c r="B785" s="2"/>
      <c r="C785" s="2"/>
      <c r="D785" s="2"/>
      <c r="E785" s="2"/>
      <c r="F785" s="2"/>
      <c r="G785" s="2"/>
      <c r="H785" s="2"/>
      <c r="I785" s="2"/>
    </row>
    <row r="786" spans="1:9" ht="15.75" customHeight="1" x14ac:dyDescent="0.2">
      <c r="A786" s="2"/>
      <c r="B786" s="2"/>
      <c r="C786" s="2"/>
      <c r="D786" s="2"/>
      <c r="E786" s="2"/>
      <c r="F786" s="2"/>
      <c r="G786" s="2"/>
      <c r="H786" s="2"/>
      <c r="I786" s="2"/>
    </row>
    <row r="787" spans="1:9" ht="15.75" customHeight="1" x14ac:dyDescent="0.2">
      <c r="A787" s="2"/>
      <c r="B787" s="2"/>
      <c r="C787" s="2"/>
      <c r="D787" s="2"/>
      <c r="E787" s="2"/>
      <c r="F787" s="2"/>
      <c r="G787" s="2"/>
      <c r="H787" s="2"/>
      <c r="I787" s="2"/>
    </row>
    <row r="788" spans="1:9" ht="15.75" customHeight="1" x14ac:dyDescent="0.2">
      <c r="A788" s="2"/>
      <c r="B788" s="2"/>
      <c r="C788" s="2"/>
      <c r="D788" s="2"/>
      <c r="E788" s="2"/>
      <c r="F788" s="2"/>
      <c r="G788" s="2"/>
      <c r="H788" s="2"/>
      <c r="I788" s="2"/>
    </row>
    <row r="789" spans="1:9" ht="15.75" customHeight="1" x14ac:dyDescent="0.2">
      <c r="A789" s="2"/>
      <c r="B789" s="2"/>
      <c r="C789" s="2"/>
      <c r="D789" s="2"/>
      <c r="E789" s="2"/>
      <c r="F789" s="2"/>
      <c r="G789" s="2"/>
      <c r="H789" s="2"/>
      <c r="I789" s="2"/>
    </row>
    <row r="790" spans="1:9" ht="15.75" customHeight="1" x14ac:dyDescent="0.2">
      <c r="A790" s="2"/>
      <c r="B790" s="2"/>
      <c r="C790" s="2"/>
      <c r="D790" s="2"/>
      <c r="E790" s="2"/>
      <c r="F790" s="2"/>
      <c r="G790" s="2"/>
      <c r="H790" s="2"/>
      <c r="I790" s="2"/>
    </row>
    <row r="791" spans="1:9" ht="15.75" customHeight="1" x14ac:dyDescent="0.2">
      <c r="A791" s="2"/>
      <c r="B791" s="2"/>
      <c r="C791" s="2"/>
      <c r="D791" s="2"/>
      <c r="E791" s="2"/>
      <c r="F791" s="2"/>
      <c r="G791" s="2"/>
      <c r="H791" s="2"/>
      <c r="I791" s="2"/>
    </row>
    <row r="792" spans="1:9" ht="15.75" customHeight="1" x14ac:dyDescent="0.2">
      <c r="A792" s="2"/>
      <c r="B792" s="2"/>
      <c r="C792" s="2"/>
      <c r="D792" s="2"/>
      <c r="E792" s="2"/>
      <c r="F792" s="2"/>
      <c r="G792" s="2"/>
      <c r="H792" s="2"/>
      <c r="I792" s="2"/>
    </row>
    <row r="793" spans="1:9" ht="15.75" customHeight="1" x14ac:dyDescent="0.2">
      <c r="A793" s="2"/>
      <c r="B793" s="2"/>
      <c r="C793" s="2"/>
      <c r="D793" s="2"/>
      <c r="E793" s="2"/>
      <c r="F793" s="2"/>
      <c r="G793" s="2"/>
      <c r="H793" s="2"/>
      <c r="I793" s="2"/>
    </row>
    <row r="794" spans="1:9" ht="15.75" customHeight="1" x14ac:dyDescent="0.2">
      <c r="A794" s="2"/>
      <c r="B794" s="2"/>
      <c r="C794" s="2"/>
      <c r="D794" s="2"/>
      <c r="E794" s="2"/>
      <c r="F794" s="2"/>
      <c r="G794" s="2"/>
      <c r="H794" s="2"/>
      <c r="I794" s="2"/>
    </row>
    <row r="795" spans="1:9" ht="15.75" customHeight="1" x14ac:dyDescent="0.2">
      <c r="A795" s="2"/>
      <c r="B795" s="2"/>
      <c r="C795" s="2"/>
      <c r="D795" s="2"/>
      <c r="E795" s="2"/>
      <c r="F795" s="2"/>
      <c r="G795" s="2"/>
      <c r="H795" s="2"/>
      <c r="I795" s="2"/>
    </row>
    <row r="796" spans="1:9" ht="15.75" customHeight="1" x14ac:dyDescent="0.2">
      <c r="A796" s="2"/>
      <c r="B796" s="2"/>
      <c r="C796" s="2"/>
      <c r="D796" s="2"/>
      <c r="E796" s="2"/>
      <c r="F796" s="2"/>
      <c r="G796" s="2"/>
      <c r="H796" s="2"/>
      <c r="I796" s="2"/>
    </row>
    <row r="797" spans="1:9" ht="15.75" customHeight="1" x14ac:dyDescent="0.2">
      <c r="A797" s="2"/>
      <c r="B797" s="2"/>
      <c r="C797" s="2"/>
      <c r="D797" s="2"/>
      <c r="E797" s="2"/>
      <c r="F797" s="2"/>
      <c r="G797" s="2"/>
      <c r="H797" s="2"/>
      <c r="I797" s="2"/>
    </row>
    <row r="798" spans="1:9" ht="15.75" customHeight="1" x14ac:dyDescent="0.2">
      <c r="A798" s="2"/>
      <c r="B798" s="2"/>
      <c r="C798" s="2"/>
      <c r="D798" s="2"/>
      <c r="E798" s="2"/>
      <c r="F798" s="2"/>
      <c r="G798" s="2"/>
      <c r="H798" s="2"/>
      <c r="I798" s="2"/>
    </row>
    <row r="799" spans="1:9" ht="15.75" customHeight="1" x14ac:dyDescent="0.2">
      <c r="A799" s="2"/>
      <c r="B799" s="2"/>
      <c r="C799" s="2"/>
      <c r="D799" s="2"/>
      <c r="E799" s="2"/>
      <c r="F799" s="2"/>
      <c r="G799" s="2"/>
      <c r="H799" s="2"/>
      <c r="I799" s="2"/>
    </row>
    <row r="800" spans="1:9" ht="15.75" customHeight="1" x14ac:dyDescent="0.2">
      <c r="A800" s="2"/>
      <c r="B800" s="2"/>
      <c r="C800" s="2"/>
      <c r="D800" s="2"/>
      <c r="E800" s="2"/>
      <c r="F800" s="2"/>
      <c r="G800" s="2"/>
      <c r="H800" s="2"/>
      <c r="I800" s="2"/>
    </row>
    <row r="801" spans="1:9" ht="15.75" customHeight="1" x14ac:dyDescent="0.2">
      <c r="A801" s="2"/>
      <c r="B801" s="2"/>
      <c r="C801" s="2"/>
      <c r="D801" s="2"/>
      <c r="E801" s="2"/>
      <c r="F801" s="2"/>
      <c r="G801" s="2"/>
      <c r="H801" s="2"/>
      <c r="I801" s="2"/>
    </row>
    <row r="802" spans="1:9" ht="15.75" customHeight="1" x14ac:dyDescent="0.2">
      <c r="A802" s="2"/>
      <c r="B802" s="2"/>
      <c r="C802" s="2"/>
      <c r="D802" s="2"/>
      <c r="E802" s="2"/>
      <c r="F802" s="2"/>
      <c r="G802" s="2"/>
      <c r="H802" s="2"/>
      <c r="I802" s="2"/>
    </row>
    <row r="803" spans="1:9" ht="15.75" customHeight="1" x14ac:dyDescent="0.2">
      <c r="A803" s="2"/>
      <c r="B803" s="2"/>
      <c r="C803" s="2"/>
      <c r="D803" s="2"/>
      <c r="E803" s="2"/>
      <c r="F803" s="2"/>
      <c r="G803" s="2"/>
      <c r="H803" s="2"/>
      <c r="I803" s="2"/>
    </row>
    <row r="804" spans="1:9" ht="15.75" customHeight="1" x14ac:dyDescent="0.2">
      <c r="A804" s="2"/>
      <c r="B804" s="2"/>
      <c r="C804" s="2"/>
      <c r="D804" s="2"/>
      <c r="E804" s="2"/>
      <c r="F804" s="2"/>
      <c r="G804" s="2"/>
      <c r="H804" s="2"/>
      <c r="I804" s="2"/>
    </row>
    <row r="805" spans="1:9" ht="15.75" customHeight="1" x14ac:dyDescent="0.2">
      <c r="A805" s="2"/>
      <c r="B805" s="2"/>
      <c r="C805" s="2"/>
      <c r="D805" s="2"/>
      <c r="E805" s="2"/>
      <c r="F805" s="2"/>
      <c r="G805" s="2"/>
      <c r="H805" s="2"/>
      <c r="I805" s="2"/>
    </row>
    <row r="806" spans="1:9" ht="15.75" customHeight="1" x14ac:dyDescent="0.2">
      <c r="A806" s="2"/>
      <c r="B806" s="2"/>
      <c r="C806" s="2"/>
      <c r="D806" s="2"/>
      <c r="E806" s="2"/>
      <c r="F806" s="2"/>
      <c r="G806" s="2"/>
      <c r="H806" s="2"/>
      <c r="I806" s="2"/>
    </row>
    <row r="807" spans="1:9" ht="15.75" customHeight="1" x14ac:dyDescent="0.2">
      <c r="A807" s="2"/>
      <c r="B807" s="2"/>
      <c r="C807" s="2"/>
      <c r="D807" s="2"/>
      <c r="E807" s="2"/>
      <c r="F807" s="2"/>
      <c r="G807" s="2"/>
      <c r="H807" s="2"/>
      <c r="I807" s="2"/>
    </row>
    <row r="808" spans="1:9" ht="15.75" customHeight="1" x14ac:dyDescent="0.2">
      <c r="A808" s="2"/>
      <c r="B808" s="2"/>
      <c r="C808" s="2"/>
      <c r="D808" s="2"/>
      <c r="E808" s="2"/>
      <c r="F808" s="2"/>
      <c r="G808" s="2"/>
      <c r="H808" s="2"/>
      <c r="I808" s="2"/>
    </row>
    <row r="809" spans="1:9" ht="15.75" customHeight="1" x14ac:dyDescent="0.2">
      <c r="A809" s="2"/>
      <c r="B809" s="2"/>
      <c r="C809" s="2"/>
      <c r="D809" s="2"/>
      <c r="E809" s="2"/>
      <c r="F809" s="2"/>
      <c r="G809" s="2"/>
      <c r="H809" s="2"/>
      <c r="I809" s="2"/>
    </row>
    <row r="810" spans="1:9" ht="15.75" customHeight="1" x14ac:dyDescent="0.2">
      <c r="A810" s="2"/>
      <c r="B810" s="2"/>
      <c r="C810" s="2"/>
      <c r="D810" s="2"/>
      <c r="E810" s="2"/>
      <c r="F810" s="2"/>
      <c r="G810" s="2"/>
      <c r="H810" s="2"/>
      <c r="I810" s="2"/>
    </row>
    <row r="811" spans="1:9" ht="15.75" customHeight="1" x14ac:dyDescent="0.2">
      <c r="A811" s="2"/>
      <c r="B811" s="2"/>
      <c r="C811" s="2"/>
      <c r="D811" s="2"/>
      <c r="E811" s="2"/>
      <c r="F811" s="2"/>
      <c r="G811" s="2"/>
      <c r="H811" s="2"/>
      <c r="I811" s="2"/>
    </row>
    <row r="812" spans="1:9" ht="15.75" customHeight="1" x14ac:dyDescent="0.2">
      <c r="A812" s="2"/>
      <c r="B812" s="2"/>
      <c r="C812" s="2"/>
      <c r="D812" s="2"/>
      <c r="E812" s="2"/>
      <c r="F812" s="2"/>
      <c r="G812" s="2"/>
      <c r="H812" s="2"/>
      <c r="I812" s="2"/>
    </row>
    <row r="813" spans="1:9" ht="15.75" customHeight="1" x14ac:dyDescent="0.2">
      <c r="A813" s="2"/>
      <c r="B813" s="2"/>
      <c r="C813" s="2"/>
      <c r="D813" s="2"/>
      <c r="E813" s="2"/>
      <c r="F813" s="2"/>
      <c r="G813" s="2"/>
      <c r="H813" s="2"/>
      <c r="I813" s="2"/>
    </row>
    <row r="814" spans="1:9" ht="15.75" customHeight="1" x14ac:dyDescent="0.2">
      <c r="A814" s="2"/>
      <c r="B814" s="2"/>
      <c r="C814" s="2"/>
      <c r="D814" s="2"/>
      <c r="E814" s="2"/>
      <c r="F814" s="2"/>
      <c r="G814" s="2"/>
      <c r="H814" s="2"/>
      <c r="I814" s="2"/>
    </row>
    <row r="815" spans="1:9" ht="15.75" customHeight="1" x14ac:dyDescent="0.2">
      <c r="A815" s="2"/>
      <c r="B815" s="2"/>
      <c r="C815" s="2"/>
      <c r="D815" s="2"/>
      <c r="E815" s="2"/>
      <c r="F815" s="2"/>
      <c r="G815" s="2"/>
      <c r="H815" s="2"/>
      <c r="I815" s="2"/>
    </row>
    <row r="816" spans="1:9" ht="15.75" customHeight="1" x14ac:dyDescent="0.2">
      <c r="A816" s="2"/>
      <c r="B816" s="2"/>
      <c r="C816" s="2"/>
      <c r="D816" s="2"/>
      <c r="E816" s="2"/>
      <c r="F816" s="2"/>
      <c r="G816" s="2"/>
      <c r="H816" s="2"/>
      <c r="I816" s="2"/>
    </row>
    <row r="817" spans="1:9" ht="15.75" customHeight="1" x14ac:dyDescent="0.2">
      <c r="A817" s="2"/>
      <c r="B817" s="2"/>
      <c r="C817" s="2"/>
      <c r="D817" s="2"/>
      <c r="E817" s="2"/>
      <c r="F817" s="2"/>
      <c r="G817" s="2"/>
      <c r="H817" s="2"/>
      <c r="I817" s="2"/>
    </row>
    <row r="818" spans="1:9" ht="15.75" customHeight="1" x14ac:dyDescent="0.2">
      <c r="A818" s="2"/>
      <c r="B818" s="2"/>
      <c r="C818" s="2"/>
      <c r="D818" s="2"/>
      <c r="E818" s="2"/>
      <c r="F818" s="2"/>
      <c r="G818" s="2"/>
      <c r="H818" s="2"/>
      <c r="I818" s="2"/>
    </row>
    <row r="819" spans="1:9" ht="15.75" customHeight="1" x14ac:dyDescent="0.2">
      <c r="A819" s="2"/>
      <c r="B819" s="2"/>
      <c r="C819" s="2"/>
      <c r="D819" s="2"/>
      <c r="E819" s="2"/>
      <c r="F819" s="2"/>
      <c r="G819" s="2"/>
      <c r="H819" s="2"/>
      <c r="I819" s="2"/>
    </row>
    <row r="820" spans="1:9" ht="15.75" customHeight="1" x14ac:dyDescent="0.2">
      <c r="A820" s="2"/>
      <c r="B820" s="2"/>
      <c r="C820" s="2"/>
      <c r="D820" s="2"/>
      <c r="E820" s="2"/>
      <c r="F820" s="2"/>
      <c r="G820" s="2"/>
      <c r="H820" s="2"/>
      <c r="I820" s="2"/>
    </row>
    <row r="821" spans="1:9" ht="15.75" customHeight="1" x14ac:dyDescent="0.2">
      <c r="A821" s="2"/>
      <c r="B821" s="2"/>
      <c r="C821" s="2"/>
      <c r="D821" s="2"/>
      <c r="E821" s="2"/>
      <c r="F821" s="2"/>
      <c r="G821" s="2"/>
      <c r="H821" s="2"/>
      <c r="I821" s="2"/>
    </row>
    <row r="822" spans="1:9" ht="15.75" customHeight="1" x14ac:dyDescent="0.2">
      <c r="A822" s="2"/>
      <c r="B822" s="2"/>
      <c r="C822" s="2"/>
      <c r="D822" s="2"/>
      <c r="E822" s="2"/>
      <c r="F822" s="2"/>
      <c r="G822" s="2"/>
      <c r="H822" s="2"/>
      <c r="I822" s="2"/>
    </row>
    <row r="823" spans="1:9" ht="15.75" customHeight="1" x14ac:dyDescent="0.2">
      <c r="A823" s="2"/>
      <c r="B823" s="2"/>
      <c r="C823" s="2"/>
      <c r="D823" s="2"/>
      <c r="E823" s="2"/>
      <c r="F823" s="2"/>
      <c r="G823" s="2"/>
      <c r="H823" s="2"/>
      <c r="I823" s="2"/>
    </row>
    <row r="824" spans="1:9" ht="15.75" customHeight="1" x14ac:dyDescent="0.2">
      <c r="A824" s="2"/>
      <c r="B824" s="2"/>
      <c r="C824" s="2"/>
      <c r="D824" s="2"/>
      <c r="E824" s="2"/>
      <c r="F824" s="2"/>
      <c r="G824" s="2"/>
      <c r="H824" s="2"/>
      <c r="I824" s="2"/>
    </row>
    <row r="825" spans="1:9" ht="15.75" customHeight="1" x14ac:dyDescent="0.2">
      <c r="A825" s="2"/>
      <c r="B825" s="2"/>
      <c r="C825" s="2"/>
      <c r="D825" s="2"/>
      <c r="E825" s="2"/>
      <c r="F825" s="2"/>
      <c r="G825" s="2"/>
      <c r="H825" s="2"/>
      <c r="I825" s="2"/>
    </row>
    <row r="826" spans="1:9" ht="15.75" customHeight="1" x14ac:dyDescent="0.2">
      <c r="A826" s="2"/>
      <c r="B826" s="2"/>
      <c r="C826" s="2"/>
      <c r="D826" s="2"/>
      <c r="E826" s="2"/>
      <c r="F826" s="2"/>
      <c r="G826" s="2"/>
      <c r="H826" s="2"/>
      <c r="I826" s="2"/>
    </row>
    <row r="827" spans="1:9" ht="15.75" customHeight="1" x14ac:dyDescent="0.2">
      <c r="A827" s="2"/>
      <c r="B827" s="2"/>
      <c r="C827" s="2"/>
      <c r="D827" s="2"/>
      <c r="E827" s="2"/>
      <c r="F827" s="2"/>
      <c r="G827" s="2"/>
      <c r="H827" s="2"/>
      <c r="I827" s="2"/>
    </row>
    <row r="828" spans="1:9" ht="15.75" customHeight="1" x14ac:dyDescent="0.2">
      <c r="A828" s="2"/>
      <c r="B828" s="2"/>
      <c r="C828" s="2"/>
      <c r="D828" s="2"/>
      <c r="E828" s="2"/>
      <c r="F828" s="2"/>
      <c r="G828" s="2"/>
      <c r="H828" s="2"/>
      <c r="I828" s="2"/>
    </row>
    <row r="829" spans="1:9" ht="15.75" customHeight="1" x14ac:dyDescent="0.2">
      <c r="A829" s="2"/>
      <c r="B829" s="2"/>
      <c r="C829" s="2"/>
      <c r="D829" s="2"/>
      <c r="E829" s="2"/>
      <c r="F829" s="2"/>
      <c r="G829" s="2"/>
      <c r="H829" s="2"/>
      <c r="I829" s="2"/>
    </row>
    <row r="830" spans="1:9" ht="15.75" customHeight="1" x14ac:dyDescent="0.2">
      <c r="A830" s="2"/>
      <c r="B830" s="2"/>
      <c r="C830" s="2"/>
      <c r="D830" s="2"/>
      <c r="E830" s="2"/>
      <c r="F830" s="2"/>
      <c r="G830" s="2"/>
      <c r="H830" s="2"/>
      <c r="I830" s="2"/>
    </row>
    <row r="831" spans="1:9" ht="15.75" customHeight="1" x14ac:dyDescent="0.2">
      <c r="A831" s="2"/>
      <c r="B831" s="2"/>
      <c r="C831" s="2"/>
      <c r="D831" s="2"/>
      <c r="E831" s="2"/>
      <c r="F831" s="2"/>
      <c r="G831" s="2"/>
      <c r="H831" s="2"/>
      <c r="I831" s="2"/>
    </row>
    <row r="832" spans="1:9" ht="15.75" customHeight="1" x14ac:dyDescent="0.2">
      <c r="A832" s="2"/>
      <c r="B832" s="2"/>
      <c r="C832" s="2"/>
      <c r="D832" s="2"/>
      <c r="E832" s="2"/>
      <c r="F832" s="2"/>
      <c r="G832" s="2"/>
      <c r="H832" s="2"/>
      <c r="I832" s="2"/>
    </row>
    <row r="833" spans="1:9" ht="15.75" customHeight="1" x14ac:dyDescent="0.2">
      <c r="A833" s="2"/>
      <c r="B833" s="2"/>
      <c r="C833" s="2"/>
      <c r="D833" s="2"/>
      <c r="E833" s="2"/>
      <c r="F833" s="2"/>
      <c r="G833" s="2"/>
      <c r="H833" s="2"/>
      <c r="I833" s="2"/>
    </row>
    <row r="834" spans="1:9" ht="15.75" customHeight="1" x14ac:dyDescent="0.2">
      <c r="A834" s="2"/>
      <c r="B834" s="2"/>
      <c r="C834" s="2"/>
      <c r="D834" s="2"/>
      <c r="E834" s="2"/>
      <c r="F834" s="2"/>
      <c r="G834" s="2"/>
      <c r="H834" s="2"/>
      <c r="I834" s="2"/>
    </row>
    <row r="835" spans="1:9" ht="15.75" customHeight="1" x14ac:dyDescent="0.2">
      <c r="A835" s="2"/>
      <c r="B835" s="2"/>
      <c r="C835" s="2"/>
      <c r="D835" s="2"/>
      <c r="E835" s="2"/>
      <c r="F835" s="2"/>
      <c r="G835" s="2"/>
      <c r="H835" s="2"/>
      <c r="I835" s="2"/>
    </row>
    <row r="836" spans="1:9" ht="15.75" customHeight="1" x14ac:dyDescent="0.2">
      <c r="A836" s="2"/>
      <c r="B836" s="2"/>
      <c r="C836" s="2"/>
      <c r="D836" s="2"/>
      <c r="E836" s="2"/>
      <c r="F836" s="2"/>
      <c r="G836" s="2"/>
      <c r="H836" s="2"/>
      <c r="I836" s="2"/>
    </row>
    <row r="837" spans="1:9" ht="15.75" customHeight="1" x14ac:dyDescent="0.2">
      <c r="A837" s="2"/>
      <c r="B837" s="2"/>
      <c r="C837" s="2"/>
      <c r="D837" s="2"/>
      <c r="E837" s="2"/>
      <c r="F837" s="2"/>
      <c r="G837" s="2"/>
      <c r="H837" s="2"/>
      <c r="I837" s="2"/>
    </row>
    <row r="838" spans="1:9" ht="15.75" customHeight="1" x14ac:dyDescent="0.2">
      <c r="A838" s="2"/>
      <c r="B838" s="2"/>
      <c r="C838" s="2"/>
      <c r="D838" s="2"/>
      <c r="E838" s="2"/>
      <c r="F838" s="2"/>
      <c r="G838" s="2"/>
      <c r="H838" s="2"/>
      <c r="I838" s="2"/>
    </row>
    <row r="839" spans="1:9" ht="15.75" customHeight="1" x14ac:dyDescent="0.2">
      <c r="A839" s="2"/>
      <c r="B839" s="2"/>
      <c r="C839" s="2"/>
      <c r="D839" s="2"/>
      <c r="E839" s="2"/>
      <c r="F839" s="2"/>
      <c r="G839" s="2"/>
      <c r="H839" s="2"/>
      <c r="I839" s="2"/>
    </row>
    <row r="840" spans="1:9" ht="15.75" customHeight="1" x14ac:dyDescent="0.2">
      <c r="A840" s="2"/>
      <c r="B840" s="2"/>
      <c r="C840" s="2"/>
      <c r="D840" s="2"/>
      <c r="E840" s="2"/>
      <c r="F840" s="2"/>
      <c r="G840" s="2"/>
      <c r="H840" s="2"/>
      <c r="I840" s="2"/>
    </row>
    <row r="841" spans="1:9" ht="15.75" customHeight="1" x14ac:dyDescent="0.2">
      <c r="A841" s="2"/>
      <c r="B841" s="2"/>
      <c r="C841" s="2"/>
      <c r="D841" s="2"/>
      <c r="E841" s="2"/>
      <c r="F841" s="2"/>
      <c r="G841" s="2"/>
      <c r="H841" s="2"/>
      <c r="I841" s="2"/>
    </row>
    <row r="842" spans="1:9" ht="15.75" customHeight="1" x14ac:dyDescent="0.2">
      <c r="A842" s="2"/>
      <c r="B842" s="2"/>
      <c r="C842" s="2"/>
      <c r="D842" s="2"/>
      <c r="E842" s="2"/>
      <c r="F842" s="2"/>
      <c r="G842" s="2"/>
      <c r="H842" s="2"/>
      <c r="I842" s="2"/>
    </row>
    <row r="843" spans="1:9" ht="15.75" customHeight="1" x14ac:dyDescent="0.2">
      <c r="A843" s="2"/>
      <c r="B843" s="2"/>
      <c r="C843" s="2"/>
      <c r="D843" s="2"/>
      <c r="E843" s="2"/>
      <c r="F843" s="2"/>
      <c r="G843" s="2"/>
      <c r="H843" s="2"/>
      <c r="I843" s="2"/>
    </row>
    <row r="844" spans="1:9" ht="15.75" customHeight="1" x14ac:dyDescent="0.2">
      <c r="A844" s="2"/>
      <c r="B844" s="2"/>
      <c r="C844" s="2"/>
      <c r="D844" s="2"/>
      <c r="E844" s="2"/>
      <c r="F844" s="2"/>
      <c r="G844" s="2"/>
      <c r="H844" s="2"/>
      <c r="I844" s="2"/>
    </row>
    <row r="845" spans="1:9" ht="15.75" customHeight="1" x14ac:dyDescent="0.2">
      <c r="A845" s="2"/>
      <c r="B845" s="2"/>
      <c r="C845" s="2"/>
      <c r="D845" s="2"/>
      <c r="E845" s="2"/>
      <c r="F845" s="2"/>
      <c r="G845" s="2"/>
      <c r="H845" s="2"/>
      <c r="I845" s="2"/>
    </row>
    <row r="846" spans="1:9" ht="15.75" customHeight="1" x14ac:dyDescent="0.2">
      <c r="A846" s="2"/>
      <c r="B846" s="2"/>
      <c r="C846" s="2"/>
      <c r="D846" s="2"/>
      <c r="E846" s="2"/>
      <c r="F846" s="2"/>
      <c r="G846" s="2"/>
      <c r="H846" s="2"/>
      <c r="I846" s="2"/>
    </row>
    <row r="847" spans="1:9" ht="15.75" customHeight="1" x14ac:dyDescent="0.2">
      <c r="A847" s="2"/>
      <c r="B847" s="2"/>
      <c r="C847" s="2"/>
      <c r="D847" s="2"/>
      <c r="E847" s="2"/>
      <c r="F847" s="2"/>
      <c r="G847" s="2"/>
      <c r="H847" s="2"/>
      <c r="I847" s="2"/>
    </row>
    <row r="848" spans="1:9" ht="15.75" customHeight="1" x14ac:dyDescent="0.2">
      <c r="A848" s="2"/>
      <c r="B848" s="2"/>
      <c r="C848" s="2"/>
      <c r="D848" s="2"/>
      <c r="E848" s="2"/>
      <c r="F848" s="2"/>
      <c r="G848" s="2"/>
      <c r="H848" s="2"/>
      <c r="I848" s="2"/>
    </row>
    <row r="849" spans="1:9" ht="15.75" customHeight="1" x14ac:dyDescent="0.2">
      <c r="A849" s="2"/>
      <c r="B849" s="2"/>
      <c r="C849" s="2"/>
      <c r="D849" s="2"/>
      <c r="E849" s="2"/>
      <c r="F849" s="2"/>
      <c r="G849" s="2"/>
      <c r="H849" s="2"/>
      <c r="I849" s="2"/>
    </row>
    <row r="850" spans="1:9" ht="15.75" customHeight="1" x14ac:dyDescent="0.2">
      <c r="A850" s="2"/>
      <c r="B850" s="2"/>
      <c r="C850" s="2"/>
      <c r="D850" s="2"/>
      <c r="E850" s="2"/>
      <c r="F850" s="2"/>
      <c r="G850" s="2"/>
      <c r="H850" s="2"/>
      <c r="I850" s="2"/>
    </row>
    <row r="851" spans="1:9" ht="15.75" customHeight="1" x14ac:dyDescent="0.2">
      <c r="A851" s="2"/>
      <c r="B851" s="2"/>
      <c r="C851" s="2"/>
      <c r="D851" s="2"/>
      <c r="E851" s="2"/>
      <c r="F851" s="2"/>
      <c r="G851" s="2"/>
      <c r="H851" s="2"/>
      <c r="I851" s="2"/>
    </row>
    <row r="852" spans="1:9" ht="15.75" customHeight="1" x14ac:dyDescent="0.2">
      <c r="A852" s="2"/>
      <c r="B852" s="2"/>
      <c r="C852" s="2"/>
      <c r="D852" s="2"/>
      <c r="E852" s="2"/>
      <c r="F852" s="2"/>
      <c r="G852" s="2"/>
      <c r="H852" s="2"/>
      <c r="I852" s="2"/>
    </row>
    <row r="853" spans="1:9" ht="15.75" customHeight="1" x14ac:dyDescent="0.2">
      <c r="A853" s="2"/>
      <c r="B853" s="2"/>
      <c r="C853" s="2"/>
      <c r="D853" s="2"/>
      <c r="E853" s="2"/>
      <c r="F853" s="2"/>
      <c r="G853" s="2"/>
      <c r="H853" s="2"/>
      <c r="I853" s="2"/>
    </row>
    <row r="854" spans="1:9" ht="15.75" customHeight="1" x14ac:dyDescent="0.2">
      <c r="A854" s="2"/>
      <c r="B854" s="2"/>
      <c r="C854" s="2"/>
      <c r="D854" s="2"/>
      <c r="E854" s="2"/>
      <c r="F854" s="2"/>
      <c r="G854" s="2"/>
      <c r="H854" s="2"/>
      <c r="I854" s="2"/>
    </row>
    <row r="855" spans="1:9" ht="15.75" customHeight="1" x14ac:dyDescent="0.2">
      <c r="A855" s="2"/>
      <c r="B855" s="2"/>
      <c r="C855" s="2"/>
      <c r="D855" s="2"/>
      <c r="E855" s="2"/>
      <c r="F855" s="2"/>
      <c r="G855" s="2"/>
      <c r="H855" s="2"/>
      <c r="I855" s="2"/>
    </row>
    <row r="856" spans="1:9" ht="15.75" customHeight="1" x14ac:dyDescent="0.2">
      <c r="A856" s="2"/>
      <c r="B856" s="2"/>
      <c r="C856" s="2"/>
      <c r="D856" s="2"/>
      <c r="E856" s="2"/>
      <c r="F856" s="2"/>
      <c r="G856" s="2"/>
      <c r="H856" s="2"/>
      <c r="I856" s="2"/>
    </row>
    <row r="857" spans="1:9" ht="15.75" customHeight="1" x14ac:dyDescent="0.2">
      <c r="A857" s="2"/>
      <c r="B857" s="2"/>
      <c r="C857" s="2"/>
      <c r="D857" s="2"/>
      <c r="E857" s="2"/>
      <c r="F857" s="2"/>
      <c r="G857" s="2"/>
      <c r="H857" s="2"/>
      <c r="I857" s="2"/>
    </row>
    <row r="858" spans="1:9" ht="15.75" customHeight="1" x14ac:dyDescent="0.2">
      <c r="A858" s="2"/>
      <c r="B858" s="2"/>
      <c r="C858" s="2"/>
      <c r="D858" s="2"/>
      <c r="E858" s="2"/>
      <c r="F858" s="2"/>
      <c r="G858" s="2"/>
      <c r="H858" s="2"/>
      <c r="I858" s="2"/>
    </row>
    <row r="859" spans="1:9" ht="15.75" customHeight="1" x14ac:dyDescent="0.2">
      <c r="A859" s="2"/>
      <c r="B859" s="2"/>
      <c r="C859" s="2"/>
      <c r="D859" s="2"/>
      <c r="E859" s="2"/>
      <c r="F859" s="2"/>
      <c r="G859" s="2"/>
      <c r="H859" s="2"/>
      <c r="I859" s="2"/>
    </row>
    <row r="860" spans="1:9" ht="15.75" customHeight="1" x14ac:dyDescent="0.2">
      <c r="A860" s="2"/>
      <c r="B860" s="2"/>
      <c r="C860" s="2"/>
      <c r="D860" s="2"/>
      <c r="E860" s="2"/>
      <c r="F860" s="2"/>
      <c r="G860" s="2"/>
      <c r="H860" s="2"/>
      <c r="I860" s="2"/>
    </row>
    <row r="861" spans="1:9" ht="15.75" customHeight="1" x14ac:dyDescent="0.2">
      <c r="A861" s="2"/>
      <c r="B861" s="2"/>
      <c r="C861" s="2"/>
      <c r="D861" s="2"/>
      <c r="E861" s="2"/>
      <c r="F861" s="2"/>
      <c r="G861" s="2"/>
      <c r="H861" s="2"/>
      <c r="I861" s="2"/>
    </row>
    <row r="862" spans="1:9" ht="15.75" customHeight="1" x14ac:dyDescent="0.2">
      <c r="A862" s="2"/>
      <c r="B862" s="2"/>
      <c r="C862" s="2"/>
      <c r="D862" s="2"/>
      <c r="E862" s="2"/>
      <c r="F862" s="2"/>
      <c r="G862" s="2"/>
      <c r="H862" s="2"/>
      <c r="I862" s="2"/>
    </row>
    <row r="863" spans="1:9" ht="15.75" customHeight="1" x14ac:dyDescent="0.2">
      <c r="A863" s="2"/>
      <c r="B863" s="2"/>
      <c r="C863" s="2"/>
      <c r="D863" s="2"/>
      <c r="E863" s="2"/>
      <c r="F863" s="2"/>
      <c r="G863" s="2"/>
      <c r="H863" s="2"/>
      <c r="I863" s="2"/>
    </row>
    <row r="864" spans="1:9" ht="15.75" customHeight="1" x14ac:dyDescent="0.2">
      <c r="A864" s="2"/>
      <c r="B864" s="2"/>
      <c r="C864" s="2"/>
      <c r="D864" s="2"/>
      <c r="E864" s="2"/>
      <c r="F864" s="2"/>
      <c r="G864" s="2"/>
      <c r="H864" s="2"/>
      <c r="I864" s="2"/>
    </row>
    <row r="865" spans="1:9" ht="15.75" customHeight="1" x14ac:dyDescent="0.2">
      <c r="A865" s="2"/>
      <c r="B865" s="2"/>
      <c r="C865" s="2"/>
      <c r="D865" s="2"/>
      <c r="E865" s="2"/>
      <c r="F865" s="2"/>
      <c r="G865" s="2"/>
      <c r="H865" s="2"/>
      <c r="I865" s="2"/>
    </row>
    <row r="866" spans="1:9" ht="15.75" customHeight="1" x14ac:dyDescent="0.2">
      <c r="A866" s="2"/>
      <c r="B866" s="2"/>
      <c r="C866" s="2"/>
      <c r="D866" s="2"/>
      <c r="E866" s="2"/>
      <c r="F866" s="2"/>
      <c r="G866" s="2"/>
      <c r="H866" s="2"/>
      <c r="I866" s="2"/>
    </row>
    <row r="867" spans="1:9" ht="15.75" customHeight="1" x14ac:dyDescent="0.2">
      <c r="A867" s="2"/>
      <c r="B867" s="2"/>
      <c r="C867" s="2"/>
      <c r="D867" s="2"/>
      <c r="E867" s="2"/>
      <c r="F867" s="2"/>
      <c r="G867" s="2"/>
      <c r="H867" s="2"/>
      <c r="I867" s="2"/>
    </row>
    <row r="868" spans="1:9" ht="15.75" customHeight="1" x14ac:dyDescent="0.2">
      <c r="A868" s="2"/>
      <c r="B868" s="2"/>
      <c r="C868" s="2"/>
      <c r="D868" s="2"/>
      <c r="E868" s="2"/>
      <c r="F868" s="2"/>
      <c r="G868" s="2"/>
      <c r="H868" s="2"/>
      <c r="I868" s="2"/>
    </row>
    <row r="869" spans="1:9" ht="15.75" customHeight="1" x14ac:dyDescent="0.2">
      <c r="A869" s="2"/>
      <c r="B869" s="2"/>
      <c r="C869" s="2"/>
      <c r="D869" s="2"/>
      <c r="E869" s="2"/>
      <c r="F869" s="2"/>
      <c r="G869" s="2"/>
      <c r="H869" s="2"/>
      <c r="I869" s="2"/>
    </row>
    <row r="870" spans="1:9" ht="15.75" customHeight="1" x14ac:dyDescent="0.2">
      <c r="A870" s="2"/>
      <c r="B870" s="2"/>
      <c r="C870" s="2"/>
      <c r="D870" s="2"/>
      <c r="E870" s="2"/>
      <c r="F870" s="2"/>
      <c r="G870" s="2"/>
      <c r="H870" s="2"/>
      <c r="I870" s="2"/>
    </row>
    <row r="871" spans="1:9" ht="15.75" customHeight="1" x14ac:dyDescent="0.2">
      <c r="A871" s="2"/>
      <c r="B871" s="2"/>
      <c r="C871" s="2"/>
      <c r="D871" s="2"/>
      <c r="E871" s="2"/>
      <c r="F871" s="2"/>
      <c r="G871" s="2"/>
      <c r="H871" s="2"/>
      <c r="I871" s="2"/>
    </row>
    <row r="872" spans="1:9" ht="15.75" customHeight="1" x14ac:dyDescent="0.2">
      <c r="A872" s="2"/>
      <c r="B872" s="2"/>
      <c r="C872" s="2"/>
      <c r="D872" s="2"/>
      <c r="E872" s="2"/>
      <c r="F872" s="2"/>
      <c r="G872" s="2"/>
      <c r="H872" s="2"/>
      <c r="I872" s="2"/>
    </row>
    <row r="873" spans="1:9" ht="15.75" customHeight="1" x14ac:dyDescent="0.2">
      <c r="A873" s="2"/>
      <c r="B873" s="2"/>
      <c r="C873" s="2"/>
      <c r="D873" s="2"/>
      <c r="E873" s="2"/>
      <c r="F873" s="2"/>
      <c r="G873" s="2"/>
      <c r="H873" s="2"/>
      <c r="I873" s="2"/>
    </row>
    <row r="874" spans="1:9" ht="15.75" customHeight="1" x14ac:dyDescent="0.2">
      <c r="A874" s="2"/>
      <c r="B874" s="2"/>
      <c r="C874" s="2"/>
      <c r="D874" s="2"/>
      <c r="E874" s="2"/>
      <c r="F874" s="2"/>
      <c r="G874" s="2"/>
      <c r="H874" s="2"/>
      <c r="I874" s="2"/>
    </row>
    <row r="875" spans="1:9" ht="15.75" customHeight="1" x14ac:dyDescent="0.2">
      <c r="A875" s="2"/>
      <c r="B875" s="2"/>
      <c r="C875" s="2"/>
      <c r="D875" s="2"/>
      <c r="E875" s="2"/>
      <c r="F875" s="2"/>
      <c r="G875" s="2"/>
      <c r="H875" s="2"/>
      <c r="I875" s="2"/>
    </row>
    <row r="876" spans="1:9" ht="15.75" customHeight="1" x14ac:dyDescent="0.2">
      <c r="A876" s="2"/>
      <c r="B876" s="2"/>
      <c r="C876" s="2"/>
      <c r="D876" s="2"/>
      <c r="E876" s="2"/>
      <c r="F876" s="2"/>
      <c r="G876" s="2"/>
      <c r="H876" s="2"/>
      <c r="I876" s="2"/>
    </row>
    <row r="877" spans="1:9" ht="15.75" customHeight="1" x14ac:dyDescent="0.2">
      <c r="A877" s="2"/>
      <c r="B877" s="2"/>
      <c r="C877" s="2"/>
      <c r="D877" s="2"/>
      <c r="E877" s="2"/>
      <c r="F877" s="2"/>
      <c r="G877" s="2"/>
      <c r="H877" s="2"/>
      <c r="I877" s="2"/>
    </row>
    <row r="878" spans="1:9" ht="15.75" customHeight="1" x14ac:dyDescent="0.2">
      <c r="A878" s="2"/>
      <c r="B878" s="2"/>
      <c r="C878" s="2"/>
      <c r="D878" s="2"/>
      <c r="E878" s="2"/>
      <c r="F878" s="2"/>
      <c r="G878" s="2"/>
      <c r="H878" s="2"/>
      <c r="I878" s="2"/>
    </row>
    <row r="879" spans="1:9" ht="15.75" customHeight="1" x14ac:dyDescent="0.2">
      <c r="A879" s="2"/>
      <c r="B879" s="2"/>
      <c r="C879" s="2"/>
      <c r="D879" s="2"/>
      <c r="E879" s="2"/>
      <c r="F879" s="2"/>
      <c r="G879" s="2"/>
      <c r="H879" s="2"/>
      <c r="I879" s="2"/>
    </row>
    <row r="880" spans="1:9" ht="15.75" customHeight="1" x14ac:dyDescent="0.2">
      <c r="A880" s="2"/>
      <c r="B880" s="2"/>
      <c r="C880" s="2"/>
      <c r="D880" s="2"/>
      <c r="E880" s="2"/>
      <c r="F880" s="2"/>
      <c r="G880" s="2"/>
      <c r="H880" s="2"/>
      <c r="I880" s="2"/>
    </row>
    <row r="881" spans="1:9" ht="15.75" customHeight="1" x14ac:dyDescent="0.2">
      <c r="A881" s="2"/>
      <c r="B881" s="2"/>
      <c r="C881" s="2"/>
      <c r="D881" s="2"/>
      <c r="E881" s="2"/>
      <c r="F881" s="2"/>
      <c r="G881" s="2"/>
      <c r="H881" s="2"/>
      <c r="I881" s="2"/>
    </row>
    <row r="882" spans="1:9" ht="15.75" customHeight="1" x14ac:dyDescent="0.2">
      <c r="A882" s="2"/>
      <c r="B882" s="2"/>
      <c r="C882" s="2"/>
      <c r="D882" s="2"/>
      <c r="E882" s="2"/>
      <c r="F882" s="2"/>
      <c r="G882" s="2"/>
      <c r="H882" s="2"/>
      <c r="I882" s="2"/>
    </row>
    <row r="883" spans="1:9" ht="15.75" customHeight="1" x14ac:dyDescent="0.2">
      <c r="A883" s="2"/>
      <c r="B883" s="2"/>
      <c r="C883" s="2"/>
      <c r="D883" s="2"/>
      <c r="E883" s="2"/>
      <c r="F883" s="2"/>
      <c r="G883" s="2"/>
      <c r="H883" s="2"/>
      <c r="I883" s="2"/>
    </row>
    <row r="884" spans="1:9" ht="15.75" customHeight="1" x14ac:dyDescent="0.2">
      <c r="A884" s="2"/>
      <c r="B884" s="2"/>
      <c r="C884" s="2"/>
      <c r="D884" s="2"/>
      <c r="E884" s="2"/>
      <c r="F884" s="2"/>
      <c r="G884" s="2"/>
      <c r="H884" s="2"/>
      <c r="I884" s="2"/>
    </row>
    <row r="885" spans="1:9" ht="15.75" customHeight="1" x14ac:dyDescent="0.2">
      <c r="A885" s="2"/>
      <c r="B885" s="2"/>
      <c r="C885" s="2"/>
      <c r="D885" s="2"/>
      <c r="E885" s="2"/>
      <c r="F885" s="2"/>
      <c r="G885" s="2"/>
      <c r="H885" s="2"/>
      <c r="I885" s="2"/>
    </row>
    <row r="886" spans="1:9" ht="15.75" customHeight="1" x14ac:dyDescent="0.2">
      <c r="A886" s="2"/>
      <c r="B886" s="2"/>
      <c r="C886" s="2"/>
      <c r="D886" s="2"/>
      <c r="E886" s="2"/>
      <c r="F886" s="2"/>
      <c r="G886" s="2"/>
      <c r="H886" s="2"/>
      <c r="I886" s="2"/>
    </row>
    <row r="887" spans="1:9" ht="15.75" customHeight="1" x14ac:dyDescent="0.2">
      <c r="A887" s="2"/>
      <c r="B887" s="2"/>
      <c r="C887" s="2"/>
      <c r="D887" s="2"/>
      <c r="E887" s="2"/>
      <c r="F887" s="2"/>
      <c r="G887" s="2"/>
      <c r="H887" s="2"/>
      <c r="I887" s="2"/>
    </row>
    <row r="888" spans="1:9" ht="15.75" customHeight="1" x14ac:dyDescent="0.2">
      <c r="A888" s="2"/>
      <c r="B888" s="2"/>
      <c r="C888" s="2"/>
      <c r="D888" s="2"/>
      <c r="E888" s="2"/>
      <c r="F888" s="2"/>
      <c r="G888" s="2"/>
      <c r="H888" s="2"/>
      <c r="I888" s="2"/>
    </row>
    <row r="889" spans="1:9" ht="15.75" customHeight="1" x14ac:dyDescent="0.2">
      <c r="A889" s="2"/>
      <c r="B889" s="2"/>
      <c r="C889" s="2"/>
      <c r="D889" s="2"/>
      <c r="E889" s="2"/>
      <c r="F889" s="2"/>
      <c r="G889" s="2"/>
      <c r="H889" s="2"/>
      <c r="I889" s="2"/>
    </row>
    <row r="890" spans="1:9" ht="15.75" customHeight="1" x14ac:dyDescent="0.2">
      <c r="A890" s="2"/>
      <c r="B890" s="2"/>
      <c r="C890" s="2"/>
      <c r="D890" s="2"/>
      <c r="E890" s="2"/>
      <c r="F890" s="2"/>
      <c r="G890" s="2"/>
      <c r="H890" s="2"/>
      <c r="I890" s="2"/>
    </row>
    <row r="891" spans="1:9" ht="15.75" customHeight="1" x14ac:dyDescent="0.2">
      <c r="A891" s="2"/>
      <c r="B891" s="2"/>
      <c r="C891" s="2"/>
      <c r="D891" s="2"/>
      <c r="E891" s="2"/>
      <c r="F891" s="2"/>
      <c r="G891" s="2"/>
      <c r="H891" s="2"/>
      <c r="I891" s="2"/>
    </row>
    <row r="892" spans="1:9" ht="15.75" customHeight="1" x14ac:dyDescent="0.2">
      <c r="A892" s="2"/>
      <c r="B892" s="2"/>
      <c r="C892" s="2"/>
      <c r="D892" s="2"/>
      <c r="E892" s="2"/>
      <c r="F892" s="2"/>
      <c r="G892" s="2"/>
      <c r="H892" s="2"/>
      <c r="I892" s="2"/>
    </row>
    <row r="893" spans="1:9" ht="15.75" customHeight="1" x14ac:dyDescent="0.2">
      <c r="A893" s="2"/>
      <c r="B893" s="2"/>
      <c r="C893" s="2"/>
      <c r="D893" s="2"/>
      <c r="E893" s="2"/>
      <c r="F893" s="2"/>
      <c r="G893" s="2"/>
      <c r="H893" s="2"/>
      <c r="I893" s="2"/>
    </row>
    <row r="894" spans="1:9" ht="15.75" customHeight="1" x14ac:dyDescent="0.2">
      <c r="A894" s="2"/>
      <c r="B894" s="2"/>
      <c r="C894" s="2"/>
      <c r="D894" s="2"/>
      <c r="E894" s="2"/>
      <c r="F894" s="2"/>
      <c r="G894" s="2"/>
      <c r="H894" s="2"/>
      <c r="I894" s="2"/>
    </row>
    <row r="895" spans="1:9" ht="15.75" customHeight="1" x14ac:dyDescent="0.2">
      <c r="A895" s="2"/>
      <c r="B895" s="2"/>
      <c r="C895" s="2"/>
      <c r="D895" s="2"/>
      <c r="E895" s="2"/>
      <c r="F895" s="2"/>
      <c r="G895" s="2"/>
      <c r="H895" s="2"/>
      <c r="I895" s="2"/>
    </row>
    <row r="896" spans="1:9" ht="15.75" customHeight="1" x14ac:dyDescent="0.2">
      <c r="A896" s="2"/>
      <c r="B896" s="2"/>
      <c r="C896" s="2"/>
      <c r="D896" s="2"/>
      <c r="E896" s="2"/>
      <c r="F896" s="2"/>
      <c r="G896" s="2"/>
      <c r="H896" s="2"/>
      <c r="I896" s="2"/>
    </row>
    <row r="897" spans="1:9" ht="15.75" customHeight="1" x14ac:dyDescent="0.2">
      <c r="A897" s="2"/>
      <c r="B897" s="2"/>
      <c r="C897" s="2"/>
      <c r="D897" s="2"/>
      <c r="E897" s="2"/>
      <c r="F897" s="2"/>
      <c r="G897" s="2"/>
      <c r="H897" s="2"/>
      <c r="I897" s="2"/>
    </row>
    <row r="898" spans="1:9" ht="15.75" customHeight="1" x14ac:dyDescent="0.2">
      <c r="A898" s="2"/>
      <c r="B898" s="2"/>
      <c r="C898" s="2"/>
      <c r="D898" s="2"/>
      <c r="E898" s="2"/>
      <c r="F898" s="2"/>
      <c r="G898" s="2"/>
      <c r="H898" s="2"/>
      <c r="I898" s="2"/>
    </row>
    <row r="899" spans="1:9" ht="15.75" customHeight="1" x14ac:dyDescent="0.2">
      <c r="A899" s="2"/>
      <c r="B899" s="2"/>
      <c r="C899" s="2"/>
      <c r="D899" s="2"/>
      <c r="E899" s="2"/>
      <c r="F899" s="2"/>
      <c r="G899" s="2"/>
      <c r="H899" s="2"/>
      <c r="I899" s="2"/>
    </row>
    <row r="900" spans="1:9" ht="15.75" customHeight="1" x14ac:dyDescent="0.2">
      <c r="A900" s="2"/>
      <c r="B900" s="2"/>
      <c r="C900" s="2"/>
      <c r="D900" s="2"/>
      <c r="E900" s="2"/>
      <c r="F900" s="2"/>
      <c r="G900" s="2"/>
      <c r="H900" s="2"/>
      <c r="I900" s="2"/>
    </row>
    <row r="901" spans="1:9" ht="15.75" customHeight="1" x14ac:dyDescent="0.2">
      <c r="A901" s="2"/>
      <c r="B901" s="2"/>
      <c r="C901" s="2"/>
      <c r="D901" s="2"/>
      <c r="E901" s="2"/>
      <c r="F901" s="2"/>
      <c r="G901" s="2"/>
      <c r="H901" s="2"/>
      <c r="I901" s="2"/>
    </row>
    <row r="902" spans="1:9" ht="15.75" customHeight="1" x14ac:dyDescent="0.2">
      <c r="A902" s="2"/>
      <c r="B902" s="2"/>
      <c r="C902" s="2"/>
      <c r="D902" s="2"/>
      <c r="E902" s="2"/>
      <c r="F902" s="2"/>
      <c r="G902" s="2"/>
      <c r="H902" s="2"/>
      <c r="I902" s="2"/>
    </row>
    <row r="903" spans="1:9" ht="15.75" customHeight="1" x14ac:dyDescent="0.2">
      <c r="A903" s="2"/>
      <c r="B903" s="2"/>
      <c r="C903" s="2"/>
      <c r="D903" s="2"/>
      <c r="E903" s="2"/>
      <c r="F903" s="2"/>
      <c r="G903" s="2"/>
      <c r="H903" s="2"/>
      <c r="I903" s="2"/>
    </row>
    <row r="904" spans="1:9" ht="15.75" customHeight="1" x14ac:dyDescent="0.2">
      <c r="A904" s="2"/>
      <c r="B904" s="2"/>
      <c r="C904" s="2"/>
      <c r="D904" s="2"/>
      <c r="E904" s="2"/>
      <c r="F904" s="2"/>
      <c r="G904" s="2"/>
      <c r="H904" s="2"/>
      <c r="I904" s="2"/>
    </row>
    <row r="905" spans="1:9" ht="15.75" customHeight="1" x14ac:dyDescent="0.2">
      <c r="A905" s="2"/>
      <c r="B905" s="2"/>
      <c r="C905" s="2"/>
      <c r="D905" s="2"/>
      <c r="E905" s="2"/>
      <c r="F905" s="2"/>
      <c r="G905" s="2"/>
      <c r="H905" s="2"/>
      <c r="I905" s="2"/>
    </row>
    <row r="906" spans="1:9" ht="15.75" customHeight="1" x14ac:dyDescent="0.2">
      <c r="A906" s="2"/>
      <c r="B906" s="2"/>
      <c r="C906" s="2"/>
      <c r="D906" s="2"/>
      <c r="E906" s="2"/>
      <c r="F906" s="2"/>
      <c r="G906" s="2"/>
      <c r="H906" s="2"/>
      <c r="I906" s="2"/>
    </row>
    <row r="907" spans="1:9" ht="15.75" customHeight="1" x14ac:dyDescent="0.2">
      <c r="A907" s="2"/>
      <c r="B907" s="2"/>
      <c r="C907" s="2"/>
      <c r="D907" s="2"/>
      <c r="E907" s="2"/>
      <c r="F907" s="2"/>
      <c r="G907" s="2"/>
      <c r="H907" s="2"/>
      <c r="I907" s="2"/>
    </row>
    <row r="908" spans="1:9" ht="15.75" customHeight="1" x14ac:dyDescent="0.2">
      <c r="A908" s="2"/>
      <c r="B908" s="2"/>
      <c r="C908" s="2"/>
      <c r="D908" s="2"/>
      <c r="E908" s="2"/>
      <c r="F908" s="2"/>
      <c r="G908" s="2"/>
      <c r="H908" s="2"/>
      <c r="I908" s="2"/>
    </row>
    <row r="909" spans="1:9" ht="15.75" customHeight="1" x14ac:dyDescent="0.2">
      <c r="A909" s="2"/>
      <c r="B909" s="2"/>
      <c r="C909" s="2"/>
      <c r="D909" s="2"/>
      <c r="E909" s="2"/>
      <c r="F909" s="2"/>
      <c r="G909" s="2"/>
      <c r="H909" s="2"/>
      <c r="I909" s="2"/>
    </row>
    <row r="910" spans="1:9" ht="15.75" customHeight="1" x14ac:dyDescent="0.2">
      <c r="A910" s="2"/>
      <c r="B910" s="2"/>
      <c r="C910" s="2"/>
      <c r="D910" s="2"/>
      <c r="E910" s="2"/>
      <c r="F910" s="2"/>
      <c r="G910" s="2"/>
      <c r="H910" s="2"/>
      <c r="I910" s="2"/>
    </row>
    <row r="911" spans="1:9" ht="15.75" customHeight="1" x14ac:dyDescent="0.2">
      <c r="A911" s="2"/>
      <c r="B911" s="2"/>
      <c r="C911" s="2"/>
      <c r="D911" s="2"/>
      <c r="E911" s="2"/>
      <c r="F911" s="2"/>
      <c r="G911" s="2"/>
      <c r="H911" s="2"/>
      <c r="I911" s="2"/>
    </row>
    <row r="912" spans="1:9" ht="15.75" customHeight="1" x14ac:dyDescent="0.2">
      <c r="A912" s="2"/>
      <c r="B912" s="2"/>
      <c r="C912" s="2"/>
      <c r="D912" s="2"/>
      <c r="E912" s="2"/>
      <c r="F912" s="2"/>
      <c r="G912" s="2"/>
      <c r="H912" s="2"/>
      <c r="I912" s="2"/>
    </row>
    <row r="913" spans="1:9" ht="15.75" customHeight="1" x14ac:dyDescent="0.2">
      <c r="A913" s="2"/>
      <c r="B913" s="2"/>
      <c r="C913" s="2"/>
      <c r="D913" s="2"/>
      <c r="E913" s="2"/>
      <c r="F913" s="2"/>
      <c r="G913" s="2"/>
      <c r="H913" s="2"/>
      <c r="I913" s="2"/>
    </row>
    <row r="914" spans="1:9" ht="15.75" customHeight="1" x14ac:dyDescent="0.2">
      <c r="A914" s="2"/>
      <c r="B914" s="2"/>
      <c r="C914" s="2"/>
      <c r="D914" s="2"/>
      <c r="E914" s="2"/>
      <c r="F914" s="2"/>
      <c r="G914" s="2"/>
      <c r="H914" s="2"/>
      <c r="I914" s="2"/>
    </row>
    <row r="915" spans="1:9" ht="15.75" customHeight="1" x14ac:dyDescent="0.2">
      <c r="A915" s="2"/>
      <c r="B915" s="2"/>
      <c r="C915" s="2"/>
      <c r="D915" s="2"/>
      <c r="E915" s="2"/>
      <c r="F915" s="2"/>
      <c r="G915" s="2"/>
      <c r="H915" s="2"/>
      <c r="I915" s="2"/>
    </row>
    <row r="916" spans="1:9" ht="15.75" customHeight="1" x14ac:dyDescent="0.2">
      <c r="A916" s="2"/>
      <c r="B916" s="2"/>
      <c r="C916" s="2"/>
      <c r="D916" s="2"/>
      <c r="E916" s="2"/>
      <c r="F916" s="2"/>
      <c r="G916" s="2"/>
      <c r="H916" s="2"/>
      <c r="I916" s="2"/>
    </row>
    <row r="917" spans="1:9" ht="15.75" customHeight="1" x14ac:dyDescent="0.2">
      <c r="A917" s="2"/>
      <c r="B917" s="2"/>
      <c r="C917" s="2"/>
      <c r="D917" s="2"/>
      <c r="E917" s="2"/>
      <c r="F917" s="2"/>
      <c r="G917" s="2"/>
      <c r="H917" s="2"/>
      <c r="I917" s="2"/>
    </row>
    <row r="918" spans="1:9" ht="15.75" customHeight="1" x14ac:dyDescent="0.2">
      <c r="A918" s="2"/>
      <c r="B918" s="2"/>
      <c r="C918" s="2"/>
      <c r="D918" s="2"/>
      <c r="E918" s="2"/>
      <c r="F918" s="2"/>
      <c r="G918" s="2"/>
      <c r="H918" s="2"/>
      <c r="I918" s="2"/>
    </row>
    <row r="919" spans="1:9" ht="15.75" customHeight="1" x14ac:dyDescent="0.2">
      <c r="A919" s="2"/>
      <c r="B919" s="2"/>
      <c r="C919" s="2"/>
      <c r="D919" s="2"/>
      <c r="E919" s="2"/>
      <c r="F919" s="2"/>
      <c r="G919" s="2"/>
      <c r="H919" s="2"/>
      <c r="I919" s="2"/>
    </row>
    <row r="920" spans="1:9" ht="15.75" customHeight="1" x14ac:dyDescent="0.2">
      <c r="A920" s="2"/>
      <c r="B920" s="2"/>
      <c r="C920" s="2"/>
      <c r="D920" s="2"/>
      <c r="E920" s="2"/>
      <c r="F920" s="2"/>
      <c r="G920" s="2"/>
      <c r="H920" s="2"/>
      <c r="I920" s="2"/>
    </row>
    <row r="921" spans="1:9" ht="15.75" customHeight="1" x14ac:dyDescent="0.2">
      <c r="A921" s="2"/>
      <c r="B921" s="2"/>
      <c r="C921" s="2"/>
      <c r="D921" s="2"/>
      <c r="E921" s="2"/>
      <c r="F921" s="2"/>
      <c r="G921" s="2"/>
      <c r="H921" s="2"/>
      <c r="I921" s="2"/>
    </row>
    <row r="922" spans="1:9" ht="15.75" customHeight="1" x14ac:dyDescent="0.2">
      <c r="A922" s="2"/>
      <c r="B922" s="2"/>
      <c r="C922" s="2"/>
      <c r="D922" s="2"/>
      <c r="E922" s="2"/>
      <c r="F922" s="2"/>
      <c r="G922" s="2"/>
      <c r="H922" s="2"/>
      <c r="I922" s="2"/>
    </row>
    <row r="923" spans="1:9" ht="15.75" customHeight="1" x14ac:dyDescent="0.2">
      <c r="A923" s="2"/>
      <c r="B923" s="2"/>
      <c r="C923" s="2"/>
      <c r="D923" s="2"/>
      <c r="E923" s="2"/>
      <c r="F923" s="2"/>
      <c r="G923" s="2"/>
      <c r="H923" s="2"/>
      <c r="I923" s="2"/>
    </row>
    <row r="924" spans="1:9" ht="15.75" customHeight="1" x14ac:dyDescent="0.2">
      <c r="A924" s="2"/>
      <c r="B924" s="2"/>
      <c r="C924" s="2"/>
      <c r="D924" s="2"/>
      <c r="E924" s="2"/>
      <c r="F924" s="2"/>
      <c r="G924" s="2"/>
      <c r="H924" s="2"/>
      <c r="I924" s="2"/>
    </row>
    <row r="925" spans="1:9" ht="15.75" customHeight="1" x14ac:dyDescent="0.2">
      <c r="A925" s="2"/>
      <c r="B925" s="2"/>
      <c r="C925" s="2"/>
      <c r="D925" s="2"/>
      <c r="E925" s="2"/>
      <c r="F925" s="2"/>
      <c r="G925" s="2"/>
      <c r="H925" s="2"/>
      <c r="I925" s="2"/>
    </row>
    <row r="926" spans="1:9" ht="15.75" customHeight="1" x14ac:dyDescent="0.2">
      <c r="A926" s="2"/>
      <c r="B926" s="2"/>
      <c r="C926" s="2"/>
      <c r="D926" s="2"/>
      <c r="E926" s="2"/>
      <c r="F926" s="2"/>
      <c r="G926" s="2"/>
      <c r="H926" s="2"/>
      <c r="I926" s="2"/>
    </row>
    <row r="927" spans="1:9" ht="15.75" customHeight="1" x14ac:dyDescent="0.2">
      <c r="A927" s="2"/>
      <c r="B927" s="2"/>
      <c r="C927" s="2"/>
      <c r="D927" s="2"/>
      <c r="E927" s="2"/>
      <c r="F927" s="2"/>
      <c r="G927" s="2"/>
      <c r="H927" s="2"/>
      <c r="I927" s="2"/>
    </row>
    <row r="928" spans="1:9" ht="15.75" customHeight="1" x14ac:dyDescent="0.2">
      <c r="A928" s="2"/>
      <c r="B928" s="2"/>
      <c r="C928" s="2"/>
      <c r="D928" s="2"/>
      <c r="E928" s="2"/>
      <c r="F928" s="2"/>
      <c r="G928" s="2"/>
      <c r="H928" s="2"/>
      <c r="I928" s="2"/>
    </row>
    <row r="929" spans="1:9" ht="15.75" customHeight="1" x14ac:dyDescent="0.2">
      <c r="A929" s="2"/>
      <c r="B929" s="2"/>
      <c r="C929" s="2"/>
      <c r="D929" s="2"/>
      <c r="E929" s="2"/>
      <c r="F929" s="2"/>
      <c r="G929" s="2"/>
      <c r="H929" s="2"/>
      <c r="I929" s="2"/>
    </row>
    <row r="930" spans="1:9" ht="15.75" customHeight="1" x14ac:dyDescent="0.2">
      <c r="A930" s="2"/>
      <c r="B930" s="2"/>
      <c r="C930" s="2"/>
      <c r="D930" s="2"/>
      <c r="E930" s="2"/>
      <c r="F930" s="2"/>
      <c r="G930" s="2"/>
      <c r="H930" s="2"/>
      <c r="I930" s="2"/>
    </row>
    <row r="931" spans="1:9" ht="15.75" customHeight="1" x14ac:dyDescent="0.2">
      <c r="A931" s="2"/>
      <c r="B931" s="2"/>
      <c r="C931" s="2"/>
      <c r="D931" s="2"/>
      <c r="E931" s="2"/>
      <c r="F931" s="2"/>
      <c r="G931" s="2"/>
      <c r="H931" s="2"/>
      <c r="I931" s="2"/>
    </row>
    <row r="932" spans="1:9" ht="15.75" customHeight="1" x14ac:dyDescent="0.2">
      <c r="A932" s="2"/>
      <c r="B932" s="2"/>
      <c r="C932" s="2"/>
      <c r="D932" s="2"/>
      <c r="E932" s="2"/>
      <c r="F932" s="2"/>
      <c r="G932" s="2"/>
      <c r="H932" s="2"/>
      <c r="I932" s="2"/>
    </row>
    <row r="933" spans="1:9" ht="15.75" customHeight="1" x14ac:dyDescent="0.2">
      <c r="A933" s="2"/>
      <c r="B933" s="2"/>
      <c r="C933" s="2"/>
      <c r="D933" s="2"/>
      <c r="E933" s="2"/>
      <c r="F933" s="2"/>
      <c r="G933" s="2"/>
      <c r="H933" s="2"/>
      <c r="I933" s="2"/>
    </row>
    <row r="934" spans="1:9" ht="15.75" customHeight="1" x14ac:dyDescent="0.2">
      <c r="A934" s="2"/>
      <c r="B934" s="2"/>
      <c r="C934" s="2"/>
      <c r="D934" s="2"/>
      <c r="E934" s="2"/>
      <c r="F934" s="2"/>
      <c r="G934" s="2"/>
      <c r="H934" s="2"/>
      <c r="I934" s="2"/>
    </row>
    <row r="935" spans="1:9" ht="15.75" customHeight="1" x14ac:dyDescent="0.2">
      <c r="A935" s="2"/>
      <c r="B935" s="2"/>
      <c r="C935" s="2"/>
      <c r="D935" s="2"/>
      <c r="E935" s="2"/>
      <c r="F935" s="2"/>
      <c r="G935" s="2"/>
      <c r="H935" s="2"/>
      <c r="I935" s="2"/>
    </row>
    <row r="936" spans="1:9" ht="15.75" customHeight="1" x14ac:dyDescent="0.2">
      <c r="A936" s="2"/>
      <c r="B936" s="2"/>
      <c r="C936" s="2"/>
      <c r="D936" s="2"/>
      <c r="E936" s="2"/>
      <c r="F936" s="2"/>
      <c r="G936" s="2"/>
      <c r="H936" s="2"/>
      <c r="I936" s="2"/>
    </row>
    <row r="937" spans="1:9" ht="15.75" customHeight="1" x14ac:dyDescent="0.2">
      <c r="A937" s="2"/>
      <c r="B937" s="2"/>
      <c r="C937" s="2"/>
      <c r="D937" s="2"/>
      <c r="E937" s="2"/>
      <c r="F937" s="2"/>
      <c r="G937" s="2"/>
      <c r="H937" s="2"/>
      <c r="I937" s="2"/>
    </row>
    <row r="938" spans="1:9" ht="15.75" customHeight="1" x14ac:dyDescent="0.2">
      <c r="A938" s="2"/>
      <c r="B938" s="2"/>
      <c r="C938" s="2"/>
      <c r="D938" s="2"/>
      <c r="E938" s="2"/>
      <c r="F938" s="2"/>
      <c r="G938" s="2"/>
      <c r="H938" s="2"/>
      <c r="I938" s="2"/>
    </row>
    <row r="939" spans="1:9" ht="15.75" customHeight="1" x14ac:dyDescent="0.2">
      <c r="A939" s="2"/>
      <c r="B939" s="2"/>
      <c r="C939" s="2"/>
      <c r="D939" s="2"/>
      <c r="E939" s="2"/>
      <c r="F939" s="2"/>
      <c r="G939" s="2"/>
      <c r="H939" s="2"/>
      <c r="I939" s="2"/>
    </row>
    <row r="940" spans="1:9" ht="15.75" customHeight="1" x14ac:dyDescent="0.2">
      <c r="A940" s="2"/>
      <c r="B940" s="2"/>
      <c r="C940" s="2"/>
      <c r="D940" s="2"/>
      <c r="E940" s="2"/>
      <c r="F940" s="2"/>
      <c r="G940" s="2"/>
      <c r="H940" s="2"/>
      <c r="I940" s="2"/>
    </row>
    <row r="941" spans="1:9" ht="15.75" customHeight="1" x14ac:dyDescent="0.2">
      <c r="A941" s="2"/>
      <c r="B941" s="2"/>
      <c r="C941" s="2"/>
      <c r="D941" s="2"/>
      <c r="E941" s="2"/>
      <c r="F941" s="2"/>
      <c r="G941" s="2"/>
      <c r="H941" s="2"/>
      <c r="I941" s="2"/>
    </row>
    <row r="942" spans="1:9" ht="15.75" customHeight="1" x14ac:dyDescent="0.2">
      <c r="A942" s="2"/>
      <c r="B942" s="2"/>
      <c r="C942" s="2"/>
      <c r="D942" s="2"/>
      <c r="E942" s="2"/>
      <c r="F942" s="2"/>
      <c r="G942" s="2"/>
      <c r="H942" s="2"/>
      <c r="I942" s="2"/>
    </row>
    <row r="943" spans="1:9" ht="15.75" customHeight="1" x14ac:dyDescent="0.2">
      <c r="A943" s="2"/>
      <c r="B943" s="2"/>
      <c r="C943" s="2"/>
      <c r="D943" s="2"/>
      <c r="E943" s="2"/>
      <c r="F943" s="2"/>
      <c r="G943" s="2"/>
      <c r="H943" s="2"/>
      <c r="I943" s="2"/>
    </row>
    <row r="944" spans="1:9" ht="15.75" customHeight="1" x14ac:dyDescent="0.2">
      <c r="A944" s="2"/>
      <c r="B944" s="2"/>
      <c r="C944" s="2"/>
      <c r="D944" s="2"/>
      <c r="E944" s="2"/>
      <c r="F944" s="2"/>
      <c r="G944" s="2"/>
      <c r="H944" s="2"/>
      <c r="I944" s="2"/>
    </row>
    <row r="945" spans="1:9" ht="15.75" customHeight="1" x14ac:dyDescent="0.2">
      <c r="A945" s="2"/>
      <c r="B945" s="2"/>
      <c r="C945" s="2"/>
      <c r="D945" s="2"/>
      <c r="E945" s="2"/>
      <c r="F945" s="2"/>
      <c r="G945" s="2"/>
      <c r="H945" s="2"/>
      <c r="I945" s="2"/>
    </row>
    <row r="946" spans="1:9" ht="15.75" customHeight="1" x14ac:dyDescent="0.2">
      <c r="A946" s="2"/>
      <c r="B946" s="2"/>
      <c r="C946" s="2"/>
      <c r="D946" s="2"/>
      <c r="E946" s="2"/>
      <c r="F946" s="2"/>
      <c r="G946" s="2"/>
      <c r="H946" s="2"/>
      <c r="I946" s="2"/>
    </row>
    <row r="947" spans="1:9" ht="15.75" customHeight="1" x14ac:dyDescent="0.2">
      <c r="A947" s="2"/>
      <c r="B947" s="2"/>
      <c r="C947" s="2"/>
      <c r="D947" s="2"/>
      <c r="E947" s="2"/>
      <c r="F947" s="2"/>
      <c r="G947" s="2"/>
      <c r="H947" s="2"/>
      <c r="I947" s="2"/>
    </row>
    <row r="948" spans="1:9" ht="15.75" customHeight="1" x14ac:dyDescent="0.2">
      <c r="A948" s="2"/>
      <c r="B948" s="2"/>
      <c r="C948" s="2"/>
      <c r="D948" s="2"/>
      <c r="E948" s="2"/>
      <c r="F948" s="2"/>
      <c r="G948" s="2"/>
      <c r="H948" s="2"/>
      <c r="I948" s="2"/>
    </row>
    <row r="949" spans="1:9" ht="15.75" customHeight="1" x14ac:dyDescent="0.2">
      <c r="A949" s="2"/>
      <c r="B949" s="2"/>
      <c r="C949" s="2"/>
      <c r="D949" s="2"/>
      <c r="E949" s="2"/>
      <c r="F949" s="2"/>
      <c r="G949" s="2"/>
      <c r="H949" s="2"/>
      <c r="I949" s="2"/>
    </row>
    <row r="950" spans="1:9" ht="15.75" customHeight="1" x14ac:dyDescent="0.2">
      <c r="A950" s="2"/>
      <c r="B950" s="2"/>
      <c r="C950" s="2"/>
      <c r="D950" s="2"/>
      <c r="E950" s="2"/>
      <c r="F950" s="2"/>
      <c r="G950" s="2"/>
      <c r="H950" s="2"/>
      <c r="I950" s="2"/>
    </row>
    <row r="951" spans="1:9" ht="15.75" customHeight="1" x14ac:dyDescent="0.2">
      <c r="A951" s="2"/>
      <c r="B951" s="2"/>
      <c r="C951" s="2"/>
      <c r="D951" s="2"/>
      <c r="E951" s="2"/>
      <c r="F951" s="2"/>
      <c r="G951" s="2"/>
      <c r="H951" s="2"/>
      <c r="I951" s="2"/>
    </row>
    <row r="952" spans="1:9" ht="15.75" customHeight="1" x14ac:dyDescent="0.2">
      <c r="A952" s="2"/>
      <c r="B952" s="2"/>
      <c r="C952" s="2"/>
      <c r="D952" s="2"/>
      <c r="E952" s="2"/>
      <c r="F952" s="2"/>
      <c r="G952" s="2"/>
      <c r="H952" s="2"/>
      <c r="I952" s="2"/>
    </row>
    <row r="953" spans="1:9" ht="15.75" customHeight="1" x14ac:dyDescent="0.2">
      <c r="A953" s="2"/>
      <c r="B953" s="2"/>
      <c r="C953" s="2"/>
      <c r="D953" s="2"/>
      <c r="E953" s="2"/>
      <c r="F953" s="2"/>
      <c r="G953" s="2"/>
      <c r="H953" s="2"/>
      <c r="I953" s="2"/>
    </row>
    <row r="954" spans="1:9" ht="15.75" customHeight="1" x14ac:dyDescent="0.2">
      <c r="A954" s="2"/>
      <c r="B954" s="2"/>
      <c r="C954" s="2"/>
      <c r="D954" s="2"/>
      <c r="E954" s="2"/>
      <c r="F954" s="2"/>
      <c r="G954" s="2"/>
      <c r="H954" s="2"/>
      <c r="I954" s="2"/>
    </row>
    <row r="955" spans="1:9" ht="15.75" customHeight="1" x14ac:dyDescent="0.2">
      <c r="A955" s="2"/>
      <c r="B955" s="2"/>
      <c r="C955" s="2"/>
      <c r="D955" s="2"/>
      <c r="E955" s="2"/>
      <c r="F955" s="2"/>
      <c r="G955" s="2"/>
      <c r="H955" s="2"/>
      <c r="I955" s="2"/>
    </row>
    <row r="956" spans="1:9" ht="15.75" customHeight="1" x14ac:dyDescent="0.2">
      <c r="A956" s="2"/>
      <c r="B956" s="2"/>
      <c r="C956" s="2"/>
      <c r="D956" s="2"/>
      <c r="E956" s="2"/>
      <c r="F956" s="2"/>
      <c r="G956" s="2"/>
      <c r="H956" s="2"/>
      <c r="I956" s="2"/>
    </row>
    <row r="957" spans="1:9" ht="15.75" customHeight="1" x14ac:dyDescent="0.2">
      <c r="A957" s="2"/>
      <c r="B957" s="2"/>
      <c r="C957" s="2"/>
      <c r="D957" s="2"/>
      <c r="E957" s="2"/>
      <c r="F957" s="2"/>
      <c r="G957" s="2"/>
      <c r="H957" s="2"/>
      <c r="I957" s="2"/>
    </row>
    <row r="958" spans="1:9" ht="15.75" customHeight="1" x14ac:dyDescent="0.2">
      <c r="A958" s="2"/>
      <c r="B958" s="2"/>
      <c r="C958" s="2"/>
      <c r="D958" s="2"/>
      <c r="E958" s="2"/>
      <c r="F958" s="2"/>
      <c r="G958" s="2"/>
      <c r="H958" s="2"/>
      <c r="I958" s="2"/>
    </row>
    <row r="959" spans="1:9" ht="15.75" customHeight="1" x14ac:dyDescent="0.2">
      <c r="A959" s="2"/>
      <c r="B959" s="2"/>
      <c r="C959" s="2"/>
      <c r="D959" s="2"/>
      <c r="E959" s="2"/>
      <c r="F959" s="2"/>
      <c r="G959" s="2"/>
      <c r="H959" s="2"/>
      <c r="I959" s="2"/>
    </row>
    <row r="960" spans="1:9" ht="15.75" customHeight="1" x14ac:dyDescent="0.2">
      <c r="A960" s="2"/>
      <c r="B960" s="2"/>
      <c r="C960" s="2"/>
      <c r="D960" s="2"/>
      <c r="E960" s="2"/>
      <c r="F960" s="2"/>
      <c r="G960" s="2"/>
      <c r="H960" s="2"/>
      <c r="I960" s="2"/>
    </row>
    <row r="961" spans="1:9" ht="15.75" customHeight="1" x14ac:dyDescent="0.2">
      <c r="A961" s="2"/>
      <c r="B961" s="2"/>
      <c r="C961" s="2"/>
      <c r="D961" s="2"/>
      <c r="E961" s="2"/>
      <c r="F961" s="2"/>
      <c r="G961" s="2"/>
      <c r="H961" s="2"/>
      <c r="I961" s="2"/>
    </row>
    <row r="962" spans="1:9" ht="15.75" customHeight="1" x14ac:dyDescent="0.2">
      <c r="A962" s="2"/>
      <c r="B962" s="2"/>
      <c r="C962" s="2"/>
      <c r="D962" s="2"/>
      <c r="E962" s="2"/>
      <c r="F962" s="2"/>
      <c r="G962" s="2"/>
      <c r="H962" s="2"/>
      <c r="I962" s="2"/>
    </row>
    <row r="963" spans="1:9" ht="15.75" customHeight="1" x14ac:dyDescent="0.2">
      <c r="A963" s="2"/>
      <c r="B963" s="2"/>
      <c r="C963" s="2"/>
      <c r="D963" s="2"/>
      <c r="E963" s="2"/>
      <c r="F963" s="2"/>
      <c r="G963" s="2"/>
      <c r="H963" s="2"/>
      <c r="I963" s="2"/>
    </row>
    <row r="964" spans="1:9" ht="15.75" customHeight="1" x14ac:dyDescent="0.2">
      <c r="A964" s="2"/>
      <c r="B964" s="2"/>
      <c r="C964" s="2"/>
      <c r="D964" s="2"/>
      <c r="E964" s="2"/>
      <c r="F964" s="2"/>
      <c r="G964" s="2"/>
      <c r="H964" s="2"/>
      <c r="I964" s="2"/>
    </row>
    <row r="965" spans="1:9" ht="15.75" customHeight="1" x14ac:dyDescent="0.2">
      <c r="A965" s="2"/>
      <c r="B965" s="2"/>
      <c r="C965" s="2"/>
      <c r="D965" s="2"/>
      <c r="E965" s="2"/>
      <c r="F965" s="2"/>
      <c r="G965" s="2"/>
      <c r="H965" s="2"/>
      <c r="I965" s="2"/>
    </row>
    <row r="966" spans="1:9" ht="15.75" customHeight="1" x14ac:dyDescent="0.2">
      <c r="A966" s="2"/>
      <c r="B966" s="2"/>
      <c r="C966" s="2"/>
      <c r="D966" s="2"/>
      <c r="E966" s="2"/>
      <c r="F966" s="2"/>
      <c r="G966" s="2"/>
      <c r="H966" s="2"/>
      <c r="I966" s="2"/>
    </row>
    <row r="967" spans="1:9" ht="15.75" customHeight="1" x14ac:dyDescent="0.2">
      <c r="A967" s="2"/>
      <c r="B967" s="2"/>
      <c r="C967" s="2"/>
      <c r="D967" s="2"/>
      <c r="E967" s="2"/>
      <c r="F967" s="2"/>
      <c r="G967" s="2"/>
      <c r="H967" s="2"/>
      <c r="I967" s="2"/>
    </row>
    <row r="968" spans="1:9" ht="15.75" customHeight="1" x14ac:dyDescent="0.2">
      <c r="A968" s="2"/>
      <c r="B968" s="2"/>
      <c r="C968" s="2"/>
      <c r="D968" s="2"/>
      <c r="E968" s="2"/>
      <c r="F968" s="2"/>
      <c r="G968" s="2"/>
      <c r="H968" s="2"/>
      <c r="I968" s="2"/>
    </row>
    <row r="969" spans="1:9" ht="15.75" customHeight="1" x14ac:dyDescent="0.2">
      <c r="A969" s="2"/>
      <c r="B969" s="2"/>
      <c r="C969" s="2"/>
      <c r="D969" s="2"/>
      <c r="E969" s="2"/>
      <c r="F969" s="2"/>
      <c r="G969" s="2"/>
      <c r="H969" s="2"/>
      <c r="I969" s="2"/>
    </row>
    <row r="970" spans="1:9" ht="15.75" customHeight="1" x14ac:dyDescent="0.2">
      <c r="A970" s="2"/>
      <c r="B970" s="2"/>
      <c r="C970" s="2"/>
      <c r="D970" s="2"/>
      <c r="E970" s="2"/>
      <c r="F970" s="2"/>
      <c r="G970" s="2"/>
      <c r="H970" s="2"/>
      <c r="I970" s="2"/>
    </row>
    <row r="971" spans="1:9" ht="15.75" customHeight="1" x14ac:dyDescent="0.2">
      <c r="A971" s="2"/>
      <c r="B971" s="2"/>
      <c r="C971" s="2"/>
      <c r="D971" s="2"/>
      <c r="E971" s="2"/>
      <c r="F971" s="2"/>
      <c r="G971" s="2"/>
      <c r="H971" s="2"/>
      <c r="I971" s="2"/>
    </row>
    <row r="972" spans="1:9" ht="15.75" customHeight="1" x14ac:dyDescent="0.2">
      <c r="A972" s="2"/>
      <c r="B972" s="2"/>
      <c r="C972" s="2"/>
      <c r="D972" s="2"/>
      <c r="E972" s="2"/>
      <c r="F972" s="2"/>
      <c r="G972" s="2"/>
      <c r="H972" s="2"/>
      <c r="I972" s="2"/>
    </row>
    <row r="973" spans="1:9" ht="15.75" customHeight="1" x14ac:dyDescent="0.2">
      <c r="A973" s="2"/>
      <c r="B973" s="2"/>
      <c r="C973" s="2"/>
      <c r="D973" s="2"/>
      <c r="E973" s="2"/>
      <c r="F973" s="2"/>
      <c r="G973" s="2"/>
      <c r="H973" s="2"/>
      <c r="I973" s="2"/>
    </row>
    <row r="974" spans="1:9" ht="15.75" customHeight="1" x14ac:dyDescent="0.2">
      <c r="A974" s="2"/>
      <c r="B974" s="2"/>
      <c r="C974" s="2"/>
      <c r="D974" s="2"/>
      <c r="E974" s="2"/>
      <c r="F974" s="2"/>
      <c r="G974" s="2"/>
      <c r="H974" s="2"/>
      <c r="I974" s="2"/>
    </row>
    <row r="975" spans="1:9" ht="15.75" customHeight="1" x14ac:dyDescent="0.2">
      <c r="A975" s="2"/>
      <c r="B975" s="2"/>
      <c r="C975" s="2"/>
      <c r="D975" s="2"/>
      <c r="E975" s="2"/>
      <c r="F975" s="2"/>
      <c r="G975" s="2"/>
      <c r="H975" s="2"/>
      <c r="I975" s="2"/>
    </row>
    <row r="976" spans="1:9" ht="15.75" customHeight="1" x14ac:dyDescent="0.2">
      <c r="A976" s="2"/>
      <c r="B976" s="2"/>
      <c r="C976" s="2"/>
      <c r="D976" s="2"/>
      <c r="E976" s="2"/>
      <c r="F976" s="2"/>
      <c r="G976" s="2"/>
      <c r="H976" s="2"/>
      <c r="I976" s="2"/>
    </row>
    <row r="977" spans="1:9" ht="15.75" customHeight="1" x14ac:dyDescent="0.2">
      <c r="A977" s="2"/>
      <c r="B977" s="2"/>
      <c r="C977" s="2"/>
      <c r="D977" s="2"/>
      <c r="E977" s="2"/>
      <c r="F977" s="2"/>
      <c r="G977" s="2"/>
      <c r="H977" s="2"/>
      <c r="I977" s="2"/>
    </row>
    <row r="978" spans="1:9" ht="15.75" customHeight="1" x14ac:dyDescent="0.2">
      <c r="A978" s="2"/>
      <c r="B978" s="2"/>
      <c r="C978" s="2"/>
      <c r="D978" s="2"/>
      <c r="E978" s="2"/>
      <c r="F978" s="2"/>
      <c r="G978" s="2"/>
      <c r="H978" s="2"/>
      <c r="I978" s="2"/>
    </row>
    <row r="979" spans="1:9" ht="15.75" customHeight="1" x14ac:dyDescent="0.2">
      <c r="A979" s="2"/>
      <c r="B979" s="2"/>
      <c r="C979" s="2"/>
      <c r="D979" s="2"/>
      <c r="E979" s="2"/>
      <c r="F979" s="2"/>
      <c r="G979" s="2"/>
      <c r="H979" s="2"/>
      <c r="I979" s="2"/>
    </row>
    <row r="980" spans="1:9" ht="15.75" customHeight="1" x14ac:dyDescent="0.2">
      <c r="A980" s="2"/>
      <c r="B980" s="2"/>
      <c r="C980" s="2"/>
      <c r="D980" s="2"/>
      <c r="E980" s="2"/>
      <c r="F980" s="2"/>
      <c r="G980" s="2"/>
      <c r="H980" s="2"/>
      <c r="I980" s="2"/>
    </row>
    <row r="981" spans="1:9" ht="15.75" customHeight="1" x14ac:dyDescent="0.2">
      <c r="A981" s="2"/>
      <c r="B981" s="2"/>
      <c r="C981" s="2"/>
      <c r="D981" s="2"/>
      <c r="E981" s="2"/>
      <c r="F981" s="2"/>
      <c r="G981" s="2"/>
      <c r="H981" s="2"/>
      <c r="I981" s="2"/>
    </row>
    <row r="982" spans="1:9" ht="15.75" customHeight="1" x14ac:dyDescent="0.2">
      <c r="A982" s="2"/>
      <c r="B982" s="2"/>
      <c r="C982" s="2"/>
      <c r="D982" s="2"/>
      <c r="E982" s="2"/>
      <c r="F982" s="2"/>
      <c r="G982" s="2"/>
      <c r="H982" s="2"/>
      <c r="I982" s="2"/>
    </row>
    <row r="983" spans="1:9" ht="15.75" customHeight="1" x14ac:dyDescent="0.2">
      <c r="A983" s="2"/>
      <c r="B983" s="2"/>
      <c r="C983" s="2"/>
      <c r="D983" s="2"/>
      <c r="E983" s="2"/>
      <c r="F983" s="2"/>
      <c r="G983" s="2"/>
      <c r="H983" s="2"/>
      <c r="I983" s="2"/>
    </row>
    <row r="984" spans="1:9" ht="15.75" customHeight="1" x14ac:dyDescent="0.2">
      <c r="A984" s="2"/>
      <c r="B984" s="2"/>
      <c r="C984" s="2"/>
      <c r="D984" s="2"/>
      <c r="E984" s="2"/>
      <c r="F984" s="2"/>
      <c r="G984" s="2"/>
      <c r="H984" s="2"/>
      <c r="I984" s="2"/>
    </row>
    <row r="985" spans="1:9" ht="15.75" customHeight="1" x14ac:dyDescent="0.2">
      <c r="A985" s="2"/>
      <c r="B985" s="2"/>
      <c r="C985" s="2"/>
      <c r="D985" s="2"/>
      <c r="E985" s="2"/>
      <c r="F985" s="2"/>
      <c r="G985" s="2"/>
      <c r="H985" s="2"/>
      <c r="I985" s="2"/>
    </row>
    <row r="986" spans="1:9" ht="15.75" customHeight="1" x14ac:dyDescent="0.2">
      <c r="A986" s="2"/>
      <c r="B986" s="2"/>
      <c r="C986" s="2"/>
      <c r="D986" s="2"/>
      <c r="E986" s="2"/>
      <c r="F986" s="2"/>
      <c r="G986" s="2"/>
      <c r="H986" s="2"/>
      <c r="I986" s="2"/>
    </row>
    <row r="987" spans="1:9" ht="15.75" customHeight="1" x14ac:dyDescent="0.2">
      <c r="A987" s="2"/>
      <c r="B987" s="2"/>
      <c r="C987" s="2"/>
      <c r="D987" s="2"/>
      <c r="E987" s="2"/>
      <c r="F987" s="2"/>
      <c r="G987" s="2"/>
      <c r="H987" s="2"/>
      <c r="I987" s="2"/>
    </row>
    <row r="988" spans="1:9" ht="15.75" customHeight="1" x14ac:dyDescent="0.2">
      <c r="A988" s="2"/>
      <c r="B988" s="2"/>
      <c r="C988" s="2"/>
      <c r="D988" s="2"/>
      <c r="E988" s="2"/>
      <c r="F988" s="2"/>
      <c r="G988" s="2"/>
      <c r="H988" s="2"/>
      <c r="I988" s="2"/>
    </row>
    <row r="989" spans="1:9" ht="15.75" customHeight="1" x14ac:dyDescent="0.2">
      <c r="A989" s="2"/>
      <c r="B989" s="2"/>
      <c r="C989" s="2"/>
      <c r="D989" s="2"/>
      <c r="E989" s="2"/>
      <c r="F989" s="2"/>
      <c r="G989" s="2"/>
      <c r="H989" s="2"/>
      <c r="I989" s="2"/>
    </row>
    <row r="990" spans="1:9" ht="15.75" customHeight="1" x14ac:dyDescent="0.2">
      <c r="A990" s="2"/>
      <c r="B990" s="2"/>
      <c r="C990" s="2"/>
      <c r="D990" s="2"/>
      <c r="E990" s="2"/>
      <c r="F990" s="2"/>
      <c r="G990" s="2"/>
      <c r="H990" s="2"/>
      <c r="I990" s="2"/>
    </row>
    <row r="991" spans="1:9" ht="15.75" customHeight="1" x14ac:dyDescent="0.2">
      <c r="A991" s="2"/>
      <c r="B991" s="2"/>
      <c r="C991" s="2"/>
      <c r="D991" s="2"/>
      <c r="E991" s="2"/>
      <c r="F991" s="2"/>
      <c r="G991" s="2"/>
      <c r="H991" s="2"/>
      <c r="I991" s="2"/>
    </row>
    <row r="992" spans="1:9" ht="15.75" customHeight="1" x14ac:dyDescent="0.2">
      <c r="A992" s="2"/>
      <c r="B992" s="2"/>
      <c r="C992" s="2"/>
      <c r="D992" s="2"/>
      <c r="E992" s="2"/>
      <c r="F992" s="2"/>
      <c r="G992" s="2"/>
      <c r="H992" s="2"/>
      <c r="I992" s="2"/>
    </row>
    <row r="993" spans="1:9" ht="15.75" customHeight="1" x14ac:dyDescent="0.2">
      <c r="A993" s="2"/>
      <c r="B993" s="2"/>
      <c r="C993" s="2"/>
      <c r="D993" s="2"/>
      <c r="E993" s="2"/>
      <c r="F993" s="2"/>
      <c r="G993" s="2"/>
      <c r="H993" s="2"/>
      <c r="I993" s="2"/>
    </row>
    <row r="994" spans="1:9" ht="15.75" customHeight="1" x14ac:dyDescent="0.2">
      <c r="A994" s="2"/>
      <c r="B994" s="2"/>
      <c r="C994" s="2"/>
      <c r="D994" s="2"/>
      <c r="E994" s="2"/>
      <c r="F994" s="2"/>
      <c r="G994" s="2"/>
      <c r="H994" s="2"/>
      <c r="I994" s="2"/>
    </row>
    <row r="995" spans="1:9" ht="15.75" customHeight="1" x14ac:dyDescent="0.2">
      <c r="A995" s="2"/>
      <c r="B995" s="2"/>
      <c r="C995" s="2"/>
      <c r="D995" s="2"/>
      <c r="E995" s="2"/>
      <c r="F995" s="2"/>
      <c r="G995" s="2"/>
      <c r="H995" s="2"/>
      <c r="I995" s="2"/>
    </row>
    <row r="996" spans="1:9" ht="15.75" customHeight="1" x14ac:dyDescent="0.2">
      <c r="A996" s="2"/>
      <c r="B996" s="2"/>
      <c r="C996" s="2"/>
      <c r="D996" s="2"/>
      <c r="E996" s="2"/>
      <c r="F996" s="2"/>
      <c r="G996" s="2"/>
      <c r="H996" s="2"/>
      <c r="I996" s="2"/>
    </row>
    <row r="997" spans="1:9" ht="15.75" customHeight="1" x14ac:dyDescent="0.2">
      <c r="A997" s="2"/>
      <c r="B997" s="2"/>
      <c r="C997" s="2"/>
      <c r="D997" s="2"/>
      <c r="E997" s="2"/>
      <c r="F997" s="2"/>
      <c r="G997" s="2"/>
      <c r="H997" s="2"/>
      <c r="I997" s="2"/>
    </row>
    <row r="998" spans="1:9" ht="15.75" customHeight="1" x14ac:dyDescent="0.2">
      <c r="A998" s="2"/>
      <c r="B998" s="2"/>
      <c r="C998" s="2"/>
      <c r="D998" s="2"/>
      <c r="E998" s="2"/>
      <c r="F998" s="2"/>
      <c r="G998" s="2"/>
      <c r="H998" s="2"/>
      <c r="I998" s="2"/>
    </row>
    <row r="999" spans="1:9" ht="15.75" customHeight="1" x14ac:dyDescent="0.2">
      <c r="A999" s="2"/>
      <c r="B999" s="2"/>
      <c r="C999" s="2"/>
      <c r="D999" s="2"/>
      <c r="E999" s="2"/>
      <c r="F999" s="2"/>
      <c r="G999" s="2"/>
      <c r="H999" s="2"/>
      <c r="I999" s="2"/>
    </row>
    <row r="1000" spans="1:9" ht="15.75" customHeight="1" x14ac:dyDescent="0.2">
      <c r="A1000" s="2"/>
      <c r="B1000" s="2"/>
      <c r="C1000" s="2"/>
      <c r="D1000" s="2"/>
      <c r="E1000" s="2"/>
      <c r="F1000" s="2"/>
      <c r="G1000" s="2"/>
      <c r="H1000" s="2"/>
      <c r="I1000" s="2"/>
    </row>
  </sheetData>
  <mergeCells count="1">
    <mergeCell ref="A1:G1"/>
  </mergeCells>
  <pageMargins left="0.7" right="0.7" top="0.75" bottom="0.75" header="0" footer="0"/>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5C856-3661-401A-A743-E426E2471BB3}">
  <dimension ref="A1:N1000"/>
  <sheetViews>
    <sheetView workbookViewId="0">
      <selection sqref="A1:G1"/>
    </sheetView>
  </sheetViews>
  <sheetFormatPr baseColWidth="10" defaultColWidth="8.7109375" defaultRowHeight="16" x14ac:dyDescent="0.2"/>
  <cols>
    <col min="1" max="1" width="26.7109375" style="34" customWidth="1"/>
    <col min="2" max="6" width="10.7109375" style="34" customWidth="1"/>
    <col min="7" max="7" width="14" style="34" customWidth="1"/>
    <col min="8" max="8" width="10.7109375" style="34" customWidth="1"/>
    <col min="9" max="9" width="39" style="34" customWidth="1"/>
  </cols>
  <sheetData>
    <row r="1" spans="1:14" ht="28.25" customHeight="1" x14ac:dyDescent="0.2">
      <c r="A1" s="57" t="s">
        <v>5251</v>
      </c>
      <c r="B1" s="58"/>
      <c r="C1" s="58"/>
      <c r="D1" s="58"/>
      <c r="E1" s="58"/>
      <c r="F1" s="58"/>
      <c r="G1" s="58"/>
      <c r="H1" s="23"/>
      <c r="I1" s="23"/>
    </row>
    <row r="2" spans="1:14" x14ac:dyDescent="0.2">
      <c r="A2" s="24" t="s">
        <v>0</v>
      </c>
      <c r="B2" s="24" t="s">
        <v>1</v>
      </c>
      <c r="C2" s="24" t="s">
        <v>2</v>
      </c>
      <c r="D2" s="24" t="s">
        <v>3</v>
      </c>
      <c r="E2" s="24" t="s">
        <v>4</v>
      </c>
      <c r="F2" s="24" t="s">
        <v>5</v>
      </c>
      <c r="G2" s="24" t="s">
        <v>6</v>
      </c>
      <c r="H2" s="24" t="s">
        <v>7</v>
      </c>
      <c r="I2" s="25" t="s">
        <v>8</v>
      </c>
      <c r="J2" s="39" t="s">
        <v>3155</v>
      </c>
    </row>
    <row r="3" spans="1:14" x14ac:dyDescent="0.2">
      <c r="A3" s="35" t="s">
        <v>1799</v>
      </c>
      <c r="B3" s="35">
        <v>1211.05633874567</v>
      </c>
      <c r="C3" s="35">
        <v>-3.0172410166761701</v>
      </c>
      <c r="D3" s="35">
        <v>0.19355068896209801</v>
      </c>
      <c r="E3" s="35">
        <v>-15.5888931879081</v>
      </c>
      <c r="F3" s="40">
        <v>8.6621344654021599E-55</v>
      </c>
      <c r="G3" s="40">
        <v>3.9098276336485699E-50</v>
      </c>
      <c r="H3" s="24" t="s">
        <v>10</v>
      </c>
      <c r="I3" t="s">
        <v>10</v>
      </c>
      <c r="J3" t="s">
        <v>10</v>
      </c>
      <c r="L3" s="34"/>
      <c r="M3" s="35"/>
      <c r="N3" s="35"/>
    </row>
    <row r="4" spans="1:14" x14ac:dyDescent="0.2">
      <c r="A4" s="35" t="s">
        <v>1776</v>
      </c>
      <c r="B4" s="35">
        <v>1031.3026053712199</v>
      </c>
      <c r="C4" s="35">
        <v>-3.4364877638484601</v>
      </c>
      <c r="D4" s="35">
        <v>0.24801588439207101</v>
      </c>
      <c r="E4" s="35">
        <v>-13.855918028282201</v>
      </c>
      <c r="F4" s="40">
        <v>1.1714946966893501E-43</v>
      </c>
      <c r="G4" s="40">
        <v>2.64388780622336E-39</v>
      </c>
      <c r="H4" s="24" t="s">
        <v>10</v>
      </c>
      <c r="I4" s="34" t="s">
        <v>1778</v>
      </c>
      <c r="J4" s="34" t="s">
        <v>10</v>
      </c>
      <c r="K4" s="34"/>
      <c r="L4" s="34"/>
      <c r="M4" s="35"/>
      <c r="N4" s="35"/>
    </row>
    <row r="5" spans="1:14" x14ac:dyDescent="0.2">
      <c r="A5" s="35" t="s">
        <v>1813</v>
      </c>
      <c r="B5" s="35">
        <v>571.15146321279599</v>
      </c>
      <c r="C5" s="35">
        <v>-2.7203549952152999</v>
      </c>
      <c r="D5" s="35">
        <v>0.19777335457334999</v>
      </c>
      <c r="E5" s="35">
        <v>-13.7549115303416</v>
      </c>
      <c r="F5" s="40">
        <v>4.7586246412402397E-43</v>
      </c>
      <c r="G5" s="40">
        <v>7.1596680143886795E-39</v>
      </c>
      <c r="H5" s="24" t="s">
        <v>10</v>
      </c>
      <c r="I5" s="34" t="s">
        <v>10</v>
      </c>
      <c r="J5" s="34" t="s">
        <v>10</v>
      </c>
      <c r="K5" s="34"/>
      <c r="L5" s="34"/>
      <c r="M5" s="35"/>
      <c r="N5" s="35"/>
    </row>
    <row r="6" spans="1:14" x14ac:dyDescent="0.2">
      <c r="A6" s="35" t="s">
        <v>1792</v>
      </c>
      <c r="B6" s="35">
        <v>177.86999952960701</v>
      </c>
      <c r="C6" s="35">
        <v>-3.20177574262771</v>
      </c>
      <c r="D6" s="35">
        <v>0.28050994458303902</v>
      </c>
      <c r="E6" s="35">
        <v>-11.414125611079299</v>
      </c>
      <c r="F6" s="40">
        <v>3.5546065539911802E-30</v>
      </c>
      <c r="G6" s="40">
        <v>3.04361670879429E-26</v>
      </c>
      <c r="H6" s="24" t="s">
        <v>10</v>
      </c>
      <c r="I6" s="34" t="s">
        <v>10</v>
      </c>
      <c r="J6" s="34" t="s">
        <v>10</v>
      </c>
      <c r="K6" s="34"/>
      <c r="L6" s="34"/>
      <c r="M6" s="35"/>
      <c r="N6" s="35"/>
    </row>
    <row r="7" spans="1:14" x14ac:dyDescent="0.2">
      <c r="A7" s="35" t="s">
        <v>1783</v>
      </c>
      <c r="B7" s="35">
        <v>273.87819269628602</v>
      </c>
      <c r="C7" s="35">
        <v>-3.2783289206036201</v>
      </c>
      <c r="D7" s="35">
        <v>0.29388413122356299</v>
      </c>
      <c r="E7" s="35">
        <v>-11.1551750240973</v>
      </c>
      <c r="F7" s="40">
        <v>6.7559741526968703E-29</v>
      </c>
      <c r="G7" s="40">
        <v>4.3563486475754099E-25</v>
      </c>
      <c r="H7" s="24" t="s">
        <v>10</v>
      </c>
      <c r="I7" s="34" t="s">
        <v>10</v>
      </c>
      <c r="J7" s="34" t="s">
        <v>10</v>
      </c>
      <c r="K7" s="34"/>
      <c r="L7" s="34"/>
      <c r="M7" s="35"/>
      <c r="N7" s="35"/>
    </row>
    <row r="8" spans="1:14" x14ac:dyDescent="0.2">
      <c r="A8" s="35" t="s">
        <v>1811</v>
      </c>
      <c r="B8" s="35">
        <v>523.06832843494306</v>
      </c>
      <c r="C8" s="35">
        <v>-2.74976692426951</v>
      </c>
      <c r="D8" s="35">
        <v>0.25299031513377601</v>
      </c>
      <c r="E8" s="35">
        <v>-10.8690600381896</v>
      </c>
      <c r="F8" s="40">
        <v>1.6185977077254E-27</v>
      </c>
      <c r="G8" s="40">
        <v>9.1323305917001794E-24</v>
      </c>
      <c r="H8" s="34" t="str">
        <f>VLOOKUP(A8,TableS7!A:I,8,FALSE)</f>
        <v>K00521</v>
      </c>
      <c r="I8" s="34" t="s">
        <v>1750</v>
      </c>
      <c r="J8" s="34" t="s">
        <v>10</v>
      </c>
      <c r="K8" s="34"/>
      <c r="L8" s="34"/>
      <c r="M8" s="35"/>
      <c r="N8" s="35"/>
    </row>
    <row r="9" spans="1:14" x14ac:dyDescent="0.2">
      <c r="A9" s="35" t="s">
        <v>1765</v>
      </c>
      <c r="B9" s="35">
        <v>216.44977235114601</v>
      </c>
      <c r="C9" s="35">
        <v>-3.7566459100406702</v>
      </c>
      <c r="D9" s="35">
        <v>0.35607934736869601</v>
      </c>
      <c r="E9" s="35">
        <v>-10.550024700396101</v>
      </c>
      <c r="F9" s="40">
        <v>5.07837425454927E-26</v>
      </c>
      <c r="G9" s="40">
        <v>2.54691754141767E-22</v>
      </c>
      <c r="H9" s="24" t="s">
        <v>1767</v>
      </c>
      <c r="I9" s="34" t="s">
        <v>1768</v>
      </c>
      <c r="J9" s="34" t="s">
        <v>4358</v>
      </c>
      <c r="K9" s="34"/>
      <c r="L9" s="34"/>
      <c r="M9" s="35"/>
      <c r="N9" s="35"/>
    </row>
    <row r="10" spans="1:14" x14ac:dyDescent="0.2">
      <c r="A10" s="35" t="s">
        <v>1852</v>
      </c>
      <c r="B10" s="35">
        <v>1147.2152371074501</v>
      </c>
      <c r="C10" s="35">
        <v>-2.2128160417682601</v>
      </c>
      <c r="D10" s="35">
        <v>0.21009058026702301</v>
      </c>
      <c r="E10" s="35">
        <v>-10.532676138815001</v>
      </c>
      <c r="F10" s="40">
        <v>6.1073065004529601E-26</v>
      </c>
      <c r="G10" s="40">
        <v>2.7566549351094498E-22</v>
      </c>
      <c r="H10" s="24" t="s">
        <v>1749</v>
      </c>
      <c r="I10" s="34" t="s">
        <v>4416</v>
      </c>
      <c r="J10" s="34" t="s">
        <v>4359</v>
      </c>
      <c r="K10" s="34"/>
      <c r="L10" s="34"/>
      <c r="M10" s="35"/>
      <c r="N10" s="35"/>
    </row>
    <row r="11" spans="1:14" x14ac:dyDescent="0.2">
      <c r="A11" s="35" t="s">
        <v>1864</v>
      </c>
      <c r="B11" s="35">
        <v>657.877111722167</v>
      </c>
      <c r="C11" s="35">
        <v>-2.1168559755887402</v>
      </c>
      <c r="D11" s="35">
        <v>0.20914470626762099</v>
      </c>
      <c r="E11" s="35">
        <v>-10.121489629673</v>
      </c>
      <c r="F11" s="40">
        <v>4.4361193130195603E-24</v>
      </c>
      <c r="G11" s="40">
        <v>1.8203010675614899E-20</v>
      </c>
      <c r="H11" s="34" t="str">
        <f>VLOOKUP(A11,TableS7!A:I,8,FALSE)</f>
        <v>K00521</v>
      </c>
      <c r="I11" s="34" t="s">
        <v>1750</v>
      </c>
      <c r="J11" s="34" t="s">
        <v>10</v>
      </c>
      <c r="K11" s="34"/>
      <c r="L11" s="34"/>
      <c r="M11" s="35"/>
      <c r="N11" s="35"/>
    </row>
    <row r="12" spans="1:14" x14ac:dyDescent="0.2">
      <c r="A12" s="35" t="s">
        <v>1787</v>
      </c>
      <c r="B12" s="35">
        <v>106.17210899066001</v>
      </c>
      <c r="C12" s="35">
        <v>-3.2556597382240899</v>
      </c>
      <c r="D12" s="35">
        <v>0.37071377485914397</v>
      </c>
      <c r="E12" s="35">
        <v>-8.7821385635349394</v>
      </c>
      <c r="F12" s="40">
        <v>1.6039531851566301E-18</v>
      </c>
      <c r="G12" s="40">
        <v>4.0220908288008301E-15</v>
      </c>
      <c r="H12" s="34" t="str">
        <f>VLOOKUP(A12,TableS7!A:I,8,FALSE)</f>
        <v>K00521</v>
      </c>
      <c r="I12" s="34" t="s">
        <v>1790</v>
      </c>
      <c r="J12" s="34" t="s">
        <v>10</v>
      </c>
      <c r="K12" s="34"/>
      <c r="L12" s="34"/>
      <c r="M12" s="35"/>
      <c r="N12" s="35"/>
    </row>
    <row r="13" spans="1:14" x14ac:dyDescent="0.2">
      <c r="A13" s="35" t="s">
        <v>1831</v>
      </c>
      <c r="B13" s="35">
        <v>204.92170574345701</v>
      </c>
      <c r="C13" s="35">
        <v>-2.4309242586999402</v>
      </c>
      <c r="D13" s="35">
        <v>0.279234365409959</v>
      </c>
      <c r="E13" s="35">
        <v>-8.7056772368650694</v>
      </c>
      <c r="F13" s="40">
        <v>3.1568402829747298E-18</v>
      </c>
      <c r="G13" s="40">
        <v>7.4608364034347901E-15</v>
      </c>
      <c r="H13" s="24" t="s">
        <v>10</v>
      </c>
      <c r="I13" s="34" t="s">
        <v>1832</v>
      </c>
      <c r="J13" s="34" t="s">
        <v>10</v>
      </c>
      <c r="K13" s="34"/>
      <c r="L13" s="34"/>
      <c r="M13" s="35"/>
      <c r="N13" s="35"/>
    </row>
    <row r="14" spans="1:14" x14ac:dyDescent="0.2">
      <c r="A14" s="35" t="s">
        <v>1801</v>
      </c>
      <c r="B14" s="35">
        <v>109.351075368624</v>
      </c>
      <c r="C14" s="35">
        <v>-2.9990909403138502</v>
      </c>
      <c r="D14" s="35">
        <v>0.367460286123236</v>
      </c>
      <c r="E14" s="35">
        <v>-8.1616736653496105</v>
      </c>
      <c r="F14" s="40">
        <v>3.3041389116401901E-16</v>
      </c>
      <c r="G14" s="40">
        <v>5.1427213122311401E-13</v>
      </c>
      <c r="H14" s="34" t="str">
        <f>VLOOKUP(A14,TableS7!A:I,8,FALSE)</f>
        <v>K00521</v>
      </c>
      <c r="I14" s="34" t="s">
        <v>1750</v>
      </c>
      <c r="J14" s="34" t="s">
        <v>10</v>
      </c>
      <c r="K14" s="34"/>
      <c r="L14" s="34"/>
      <c r="M14" s="35"/>
      <c r="N14" s="35"/>
    </row>
    <row r="15" spans="1:14" x14ac:dyDescent="0.2">
      <c r="A15" s="35" t="s">
        <v>1848</v>
      </c>
      <c r="B15" s="35">
        <v>292.94550905236099</v>
      </c>
      <c r="C15" s="35">
        <v>-2.29638430680984</v>
      </c>
      <c r="D15" s="35">
        <v>0.30535451027938199</v>
      </c>
      <c r="E15" s="35">
        <v>-7.5203877116757898</v>
      </c>
      <c r="F15" s="40">
        <v>5.4614041535211698E-14</v>
      </c>
      <c r="G15" s="40">
        <v>6.1627849819371295E-11</v>
      </c>
      <c r="H15" s="24" t="s">
        <v>10</v>
      </c>
      <c r="I15" s="34" t="s">
        <v>1849</v>
      </c>
      <c r="J15" s="34" t="s">
        <v>10</v>
      </c>
      <c r="K15" s="34"/>
      <c r="L15" s="34"/>
      <c r="M15" s="35"/>
      <c r="N15" s="35"/>
    </row>
    <row r="16" spans="1:14" x14ac:dyDescent="0.2">
      <c r="A16" s="35" t="s">
        <v>1803</v>
      </c>
      <c r="B16" s="35">
        <v>88.013512119953106</v>
      </c>
      <c r="C16" s="35">
        <v>-2.9508732885630402</v>
      </c>
      <c r="D16" s="35">
        <v>0.404955389476502</v>
      </c>
      <c r="E16" s="35">
        <v>-7.2869095343507304</v>
      </c>
      <c r="F16" s="40">
        <v>3.1714570525694E-13</v>
      </c>
      <c r="G16" s="40">
        <v>3.3290710926005798E-10</v>
      </c>
      <c r="H16" s="24" t="s">
        <v>10</v>
      </c>
      <c r="I16" s="34" t="s">
        <v>1805</v>
      </c>
      <c r="J16" s="34" t="s">
        <v>10</v>
      </c>
      <c r="K16" s="34"/>
      <c r="L16" s="34"/>
      <c r="M16" s="35"/>
      <c r="N16" s="35"/>
    </row>
    <row r="17" spans="1:14" x14ac:dyDescent="0.2">
      <c r="A17" s="35" t="s">
        <v>1867</v>
      </c>
      <c r="B17" s="35">
        <v>146.845891602091</v>
      </c>
      <c r="C17" s="35">
        <v>-2.1046137592482599</v>
      </c>
      <c r="D17" s="35">
        <v>0.29303651854624901</v>
      </c>
      <c r="E17" s="35">
        <v>-7.1820869620251599</v>
      </c>
      <c r="F17" s="40">
        <v>6.8655226349913798E-13</v>
      </c>
      <c r="G17" s="40">
        <v>6.5933850037362999E-10</v>
      </c>
      <c r="H17" s="24" t="s">
        <v>4325</v>
      </c>
      <c r="I17" s="34" t="s">
        <v>4389</v>
      </c>
      <c r="J17" s="34" t="s">
        <v>10</v>
      </c>
      <c r="L17" s="34"/>
      <c r="M17" s="35"/>
      <c r="N17" s="35"/>
    </row>
    <row r="18" spans="1:14" x14ac:dyDescent="0.2">
      <c r="A18" s="35" t="s">
        <v>1865</v>
      </c>
      <c r="B18" s="35">
        <v>136.741301690227</v>
      </c>
      <c r="C18" s="35">
        <v>-2.1135061556789401</v>
      </c>
      <c r="D18" s="35">
        <v>0.29700971745612098</v>
      </c>
      <c r="E18" s="35">
        <v>-7.1159495176826404</v>
      </c>
      <c r="F18" s="40">
        <v>1.11144973993779E-12</v>
      </c>
      <c r="G18" s="40">
        <v>9.8367660610925492E-10</v>
      </c>
      <c r="H18" s="24" t="s">
        <v>10</v>
      </c>
      <c r="I18" s="34" t="s">
        <v>4417</v>
      </c>
      <c r="J18" s="34" t="s">
        <v>10</v>
      </c>
      <c r="K18" s="34"/>
      <c r="L18" s="34"/>
      <c r="M18" s="35"/>
      <c r="N18" s="35"/>
    </row>
    <row r="19" spans="1:14" x14ac:dyDescent="0.2">
      <c r="A19" s="35" t="s">
        <v>1851</v>
      </c>
      <c r="B19" s="35">
        <v>306.20182151890901</v>
      </c>
      <c r="C19" s="35">
        <v>-2.2312131868009901</v>
      </c>
      <c r="D19" s="35">
        <v>0.31798056008152797</v>
      </c>
      <c r="E19" s="35">
        <v>-7.0168226203165602</v>
      </c>
      <c r="F19" s="40">
        <v>2.2697045251932102E-12</v>
      </c>
      <c r="G19" s="40">
        <v>1.9329745878046401E-9</v>
      </c>
      <c r="H19" s="24" t="s">
        <v>4348</v>
      </c>
      <c r="I19" s="34" t="s">
        <v>10</v>
      </c>
      <c r="J19" s="34" t="s">
        <v>10</v>
      </c>
      <c r="K19" s="34"/>
      <c r="L19" s="34"/>
      <c r="M19" s="35"/>
      <c r="N19" s="35"/>
    </row>
    <row r="20" spans="1:14" x14ac:dyDescent="0.2">
      <c r="A20" s="35" t="s">
        <v>1833</v>
      </c>
      <c r="B20" s="35">
        <v>243.75616723782301</v>
      </c>
      <c r="C20" s="35">
        <v>-2.4299960952531401</v>
      </c>
      <c r="D20" s="35">
        <v>0.35265420923088098</v>
      </c>
      <c r="E20" s="35">
        <v>-6.8905914962785202</v>
      </c>
      <c r="F20" s="40">
        <v>5.5560876838972103E-12</v>
      </c>
      <c r="G20" s="40">
        <v>4.5597296325103303E-9</v>
      </c>
      <c r="H20" s="24" t="s">
        <v>10</v>
      </c>
      <c r="I20" s="34" t="s">
        <v>1834</v>
      </c>
      <c r="J20" s="34" t="s">
        <v>10</v>
      </c>
      <c r="K20" s="34"/>
      <c r="L20" s="34"/>
      <c r="M20" s="35"/>
      <c r="N20" s="35"/>
    </row>
    <row r="21" spans="1:14" x14ac:dyDescent="0.2">
      <c r="A21" s="35" t="s">
        <v>1712</v>
      </c>
      <c r="B21" s="35">
        <v>39.986248841740803</v>
      </c>
      <c r="C21" s="35">
        <v>-8.5693354673175808</v>
      </c>
      <c r="D21" s="35">
        <v>1.26518227977811</v>
      </c>
      <c r="E21" s="35">
        <v>-6.7732022525801403</v>
      </c>
      <c r="F21" s="40">
        <v>1.25962662363684E-11</v>
      </c>
      <c r="G21" s="40">
        <v>9.4974319756824792E-9</v>
      </c>
      <c r="H21" s="24" t="s">
        <v>1715</v>
      </c>
      <c r="I21" s="34" t="s">
        <v>1716</v>
      </c>
      <c r="J21" s="34" t="s">
        <v>10</v>
      </c>
      <c r="K21" s="34"/>
      <c r="L21" s="34"/>
      <c r="M21" s="35"/>
      <c r="N21" s="35"/>
    </row>
    <row r="22" spans="1:14" x14ac:dyDescent="0.2">
      <c r="A22" s="35" t="s">
        <v>1818</v>
      </c>
      <c r="B22" s="35">
        <v>123.03759079324701</v>
      </c>
      <c r="C22" s="35">
        <v>-2.61717567934034</v>
      </c>
      <c r="D22" s="35">
        <v>0.38642019808355199</v>
      </c>
      <c r="E22" s="35">
        <v>-6.7728749488774298</v>
      </c>
      <c r="F22" s="40">
        <v>1.2624807110374E-11</v>
      </c>
      <c r="G22" s="40">
        <v>9.4974319756824792E-9</v>
      </c>
      <c r="H22" s="24" t="s">
        <v>10</v>
      </c>
      <c r="I22" s="34" t="s">
        <v>10</v>
      </c>
      <c r="J22" s="34" t="s">
        <v>10</v>
      </c>
      <c r="K22" s="34"/>
      <c r="L22" s="34"/>
      <c r="M22" s="35"/>
      <c r="N22" s="35"/>
    </row>
    <row r="23" spans="1:14" x14ac:dyDescent="0.2">
      <c r="A23" s="35" t="s">
        <v>1871</v>
      </c>
      <c r="B23" s="35">
        <v>397.38695358460899</v>
      </c>
      <c r="C23" s="35">
        <v>-2.02884662011349</v>
      </c>
      <c r="D23" s="35">
        <v>0.30258824490154101</v>
      </c>
      <c r="E23" s="35">
        <v>-6.7049750091040501</v>
      </c>
      <c r="F23" s="40">
        <v>2.01440839429193E-11</v>
      </c>
      <c r="G23" s="40">
        <v>1.4665218015025001E-8</v>
      </c>
      <c r="H23" s="24" t="s">
        <v>4321</v>
      </c>
      <c r="I23" s="34" t="s">
        <v>1872</v>
      </c>
      <c r="J23" s="34" t="s">
        <v>10</v>
      </c>
      <c r="K23" s="34"/>
      <c r="L23" s="34"/>
      <c r="M23" s="35"/>
      <c r="N23" s="35"/>
    </row>
    <row r="24" spans="1:14" x14ac:dyDescent="0.2">
      <c r="A24" s="35" t="s">
        <v>1839</v>
      </c>
      <c r="B24" s="35">
        <v>223.83150394414099</v>
      </c>
      <c r="C24" s="35">
        <v>-2.4066747816342402</v>
      </c>
      <c r="D24" s="35">
        <v>0.36112088331467801</v>
      </c>
      <c r="E24" s="35">
        <v>-6.6644575067044398</v>
      </c>
      <c r="F24" s="40">
        <v>2.6564474655583899E-11</v>
      </c>
      <c r="G24" s="40">
        <v>1.9032391944906202E-8</v>
      </c>
      <c r="H24" s="24" t="s">
        <v>10</v>
      </c>
      <c r="I24" s="34" t="s">
        <v>1174</v>
      </c>
      <c r="J24" s="34" t="s">
        <v>10</v>
      </c>
      <c r="K24" s="34"/>
      <c r="L24" s="34"/>
      <c r="M24" s="35"/>
      <c r="N24" s="35"/>
    </row>
    <row r="25" spans="1:14" x14ac:dyDescent="0.2">
      <c r="A25" s="35" t="s">
        <v>1717</v>
      </c>
      <c r="B25" s="35">
        <v>35.968375528575699</v>
      </c>
      <c r="C25" s="35">
        <v>-8.4110412975763005</v>
      </c>
      <c r="D25" s="35">
        <v>1.27014270439108</v>
      </c>
      <c r="E25" s="35">
        <v>-6.62212306420217</v>
      </c>
      <c r="F25" s="40">
        <v>3.5407607420069397E-11</v>
      </c>
      <c r="G25" s="40">
        <v>2.4587587324917999E-8</v>
      </c>
      <c r="H25" s="34" t="str">
        <f>VLOOKUP(A25,TableS7!A:I,8,FALSE)</f>
        <v>K00521</v>
      </c>
      <c r="I25" s="34" t="s">
        <v>1719</v>
      </c>
      <c r="J25" s="34" t="s">
        <v>10</v>
      </c>
      <c r="K25" s="34"/>
      <c r="L25" s="34"/>
      <c r="M25" s="35"/>
      <c r="N25" s="35"/>
    </row>
    <row r="26" spans="1:14" x14ac:dyDescent="0.2">
      <c r="A26" s="35" t="s">
        <v>1754</v>
      </c>
      <c r="B26" s="35">
        <v>44.843614526491599</v>
      </c>
      <c r="C26" s="35">
        <v>-4.26494281732933</v>
      </c>
      <c r="D26" s="35">
        <v>0.65319839417099201</v>
      </c>
      <c r="E26" s="35">
        <v>-6.5293222631727197</v>
      </c>
      <c r="F26" s="40">
        <v>6.6067960753645803E-11</v>
      </c>
      <c r="G26" s="40">
        <v>4.3854552125548601E-8</v>
      </c>
      <c r="H26" s="24" t="s">
        <v>10</v>
      </c>
      <c r="I26" s="34" t="s">
        <v>10</v>
      </c>
      <c r="J26" s="34" t="s">
        <v>10</v>
      </c>
      <c r="K26" s="34"/>
      <c r="L26" s="34"/>
      <c r="M26" s="35"/>
      <c r="N26" s="35"/>
    </row>
    <row r="27" spans="1:14" x14ac:dyDescent="0.2">
      <c r="A27" s="35" t="s">
        <v>1828</v>
      </c>
      <c r="B27" s="35">
        <v>149.46974743811899</v>
      </c>
      <c r="C27" s="35">
        <v>-2.4430434868973401</v>
      </c>
      <c r="D27" s="35">
        <v>0.390080546833588</v>
      </c>
      <c r="E27" s="35">
        <v>-6.2629205858336903</v>
      </c>
      <c r="F27" s="40">
        <v>3.7783306559605299E-10</v>
      </c>
      <c r="G27" s="40">
        <v>2.0302679859296501E-7</v>
      </c>
      <c r="H27" s="24" t="s">
        <v>10</v>
      </c>
      <c r="I27" s="34" t="s">
        <v>10</v>
      </c>
      <c r="J27" s="34" t="s">
        <v>10</v>
      </c>
      <c r="K27" s="34"/>
      <c r="L27" s="34"/>
      <c r="M27" s="35"/>
      <c r="N27" s="35"/>
    </row>
    <row r="28" spans="1:14" x14ac:dyDescent="0.2">
      <c r="A28" s="35" t="s">
        <v>1770</v>
      </c>
      <c r="B28" s="35">
        <v>49.1441186052148</v>
      </c>
      <c r="C28" s="35">
        <v>-3.64790278893333</v>
      </c>
      <c r="D28" s="35">
        <v>0.58347006295333004</v>
      </c>
      <c r="E28" s="35">
        <v>-6.25208218990511</v>
      </c>
      <c r="F28" s="40">
        <v>4.05016137830234E-10</v>
      </c>
      <c r="G28" s="40">
        <v>2.12572248991201E-7</v>
      </c>
      <c r="H28" s="24" t="s">
        <v>1771</v>
      </c>
      <c r="I28" s="34" t="s">
        <v>1773</v>
      </c>
      <c r="J28" s="34" t="s">
        <v>4372</v>
      </c>
      <c r="K28" s="34"/>
      <c r="L28" s="34"/>
      <c r="M28" s="35"/>
      <c r="N28" s="35"/>
    </row>
    <row r="29" spans="1:14" x14ac:dyDescent="0.2">
      <c r="A29" s="35" t="s">
        <v>1720</v>
      </c>
      <c r="B29" s="35">
        <v>29.4252160139004</v>
      </c>
      <c r="C29" s="35">
        <v>-8.1344141131335395</v>
      </c>
      <c r="D29" s="35">
        <v>1.3099274736630699</v>
      </c>
      <c r="E29" s="35">
        <v>-6.2098202203413102</v>
      </c>
      <c r="F29" s="40">
        <v>5.3045251966548601E-10</v>
      </c>
      <c r="G29" s="40">
        <v>2.6902286943978701E-7</v>
      </c>
      <c r="H29" s="34" t="str">
        <f>VLOOKUP(A29,TableS7!A:I,8,FALSE)</f>
        <v>K00521</v>
      </c>
      <c r="I29" s="34" t="s">
        <v>1722</v>
      </c>
      <c r="J29" s="34" t="s">
        <v>10</v>
      </c>
      <c r="K29" s="34"/>
      <c r="L29" s="34"/>
      <c r="M29" s="35"/>
      <c r="N29" s="35"/>
    </row>
    <row r="30" spans="1:14" x14ac:dyDescent="0.2">
      <c r="A30" s="35" t="s">
        <v>1862</v>
      </c>
      <c r="B30" s="35">
        <v>116.532232180642</v>
      </c>
      <c r="C30" s="35">
        <v>-2.1242595404399198</v>
      </c>
      <c r="D30" s="35">
        <v>0.34356952415698799</v>
      </c>
      <c r="E30" s="35">
        <v>-6.1829102731162902</v>
      </c>
      <c r="F30" s="40">
        <v>6.2930487371089205E-10</v>
      </c>
      <c r="G30" s="40">
        <v>3.0542939876009199E-7</v>
      </c>
      <c r="H30" s="34" t="str">
        <f>VLOOKUP(A30,TableS7!A:I,8,FALSE)</f>
        <v>K00521</v>
      </c>
      <c r="I30" s="34" t="s">
        <v>4418</v>
      </c>
      <c r="J30" s="34" t="s">
        <v>10</v>
      </c>
      <c r="K30" s="34"/>
      <c r="L30" s="34"/>
      <c r="M30" s="35"/>
      <c r="N30" s="35"/>
    </row>
    <row r="31" spans="1:14" x14ac:dyDescent="0.2">
      <c r="A31" s="35" t="s">
        <v>1850</v>
      </c>
      <c r="B31" s="35">
        <v>72.942183696187698</v>
      </c>
      <c r="C31" s="35">
        <v>-2.2720238283565002</v>
      </c>
      <c r="D31" s="35">
        <v>0.37005831997818001</v>
      </c>
      <c r="E31" s="35">
        <v>-6.1396372022941303</v>
      </c>
      <c r="F31" s="40">
        <v>8.2710160150097398E-10</v>
      </c>
      <c r="G31" s="40">
        <v>3.92977736704731E-7</v>
      </c>
      <c r="H31" s="24" t="s">
        <v>10</v>
      </c>
      <c r="I31" s="34" t="s">
        <v>10</v>
      </c>
      <c r="J31" s="34" t="s">
        <v>10</v>
      </c>
      <c r="K31" s="34"/>
      <c r="L31" s="34"/>
      <c r="M31" s="35"/>
      <c r="N31" s="35"/>
    </row>
    <row r="32" spans="1:14" x14ac:dyDescent="0.2">
      <c r="A32" s="35" t="s">
        <v>1844</v>
      </c>
      <c r="B32" s="35">
        <v>155.28369553436099</v>
      </c>
      <c r="C32" s="35">
        <v>-2.38588675567541</v>
      </c>
      <c r="D32" s="35">
        <v>0.393099729011403</v>
      </c>
      <c r="E32" s="35">
        <v>-6.0694184696479399</v>
      </c>
      <c r="F32" s="40">
        <v>1.2837424232572399E-9</v>
      </c>
      <c r="G32" s="40">
        <v>5.9126818120981604E-7</v>
      </c>
      <c r="H32" s="34" t="str">
        <f>VLOOKUP(A32,TableS7!A:I,8,FALSE)</f>
        <v>K00521</v>
      </c>
      <c r="I32" s="34" t="s">
        <v>1174</v>
      </c>
      <c r="J32" s="34" t="s">
        <v>10</v>
      </c>
      <c r="K32" s="34"/>
      <c r="L32" s="34"/>
      <c r="M32" s="35"/>
      <c r="N32" s="35"/>
    </row>
    <row r="33" spans="1:14" x14ac:dyDescent="0.2">
      <c r="A33" s="35" t="s">
        <v>1873</v>
      </c>
      <c r="B33" s="35">
        <v>105.405557472265</v>
      </c>
      <c r="C33" s="35">
        <v>-2.0035123833135402</v>
      </c>
      <c r="D33" s="35">
        <v>0.33291049891810598</v>
      </c>
      <c r="E33" s="35">
        <v>-6.0181712196658399</v>
      </c>
      <c r="F33" s="40">
        <v>1.7639855819285E-9</v>
      </c>
      <c r="G33" s="40">
        <v>7.7301958457773496E-7</v>
      </c>
      <c r="H33" s="24" t="s">
        <v>10</v>
      </c>
      <c r="I33" s="34" t="s">
        <v>1874</v>
      </c>
      <c r="J33" s="34" t="s">
        <v>10</v>
      </c>
      <c r="K33" s="34"/>
      <c r="L33" s="34"/>
      <c r="M33" s="35"/>
      <c r="N33" s="35"/>
    </row>
    <row r="34" spans="1:14" x14ac:dyDescent="0.2">
      <c r="A34" s="35" t="s">
        <v>1809</v>
      </c>
      <c r="B34" s="35">
        <v>72.509445964085401</v>
      </c>
      <c r="C34" s="35">
        <v>-2.8022586816247599</v>
      </c>
      <c r="D34" s="35">
        <v>0.46887639485081101</v>
      </c>
      <c r="E34" s="35">
        <v>-5.9765403257641001</v>
      </c>
      <c r="F34" s="40">
        <v>2.2792615317912202E-9</v>
      </c>
      <c r="G34" s="40">
        <v>9.7980026438533798E-7</v>
      </c>
      <c r="H34" s="24" t="s">
        <v>10</v>
      </c>
      <c r="I34" s="34" t="s">
        <v>10</v>
      </c>
      <c r="J34" s="34" t="s">
        <v>10</v>
      </c>
      <c r="K34" s="34"/>
      <c r="L34" s="34"/>
      <c r="M34" s="35"/>
      <c r="N34" s="35"/>
    </row>
    <row r="35" spans="1:14" x14ac:dyDescent="0.2">
      <c r="A35" s="35" t="s">
        <v>1806</v>
      </c>
      <c r="B35" s="35">
        <v>65.636882308914295</v>
      </c>
      <c r="C35" s="35">
        <v>-2.9493702728583302</v>
      </c>
      <c r="D35" s="35">
        <v>0.49410522792706002</v>
      </c>
      <c r="E35" s="35">
        <v>-5.9691136748986704</v>
      </c>
      <c r="F35" s="40">
        <v>2.3854587570048299E-9</v>
      </c>
      <c r="G35" s="40">
        <v>1.01577784825403E-6</v>
      </c>
      <c r="H35" s="34" t="str">
        <f>VLOOKUP(A35,TableS7!A:I,8,FALSE)</f>
        <v>K00521</v>
      </c>
      <c r="I35" s="34" t="s">
        <v>1808</v>
      </c>
      <c r="J35" s="34" t="s">
        <v>10</v>
      </c>
      <c r="K35" s="34"/>
      <c r="L35" s="34"/>
      <c r="M35" s="35"/>
      <c r="N35" s="35"/>
    </row>
    <row r="36" spans="1:14" x14ac:dyDescent="0.2">
      <c r="A36" s="35" t="s">
        <v>1840</v>
      </c>
      <c r="B36" s="35">
        <v>72.014174779361497</v>
      </c>
      <c r="C36" s="35">
        <v>-2.4043377064613298</v>
      </c>
      <c r="D36" s="35">
        <v>0.403543516133687</v>
      </c>
      <c r="E36" s="35">
        <v>-5.9580630349288404</v>
      </c>
      <c r="F36" s="40">
        <v>2.55245071507481E-9</v>
      </c>
      <c r="G36" s="40">
        <v>1.06675896228085E-6</v>
      </c>
      <c r="H36" s="24" t="s">
        <v>1749</v>
      </c>
      <c r="I36" s="34" t="s">
        <v>1750</v>
      </c>
      <c r="J36" s="34" t="s">
        <v>4359</v>
      </c>
      <c r="K36" s="34"/>
      <c r="L36" s="34"/>
      <c r="M36" s="35"/>
      <c r="N36" s="35"/>
    </row>
    <row r="37" spans="1:14" x14ac:dyDescent="0.2">
      <c r="A37" s="35" t="s">
        <v>1746</v>
      </c>
      <c r="B37" s="35">
        <v>30.735359315420599</v>
      </c>
      <c r="C37" s="35">
        <v>-4.4869645742148201</v>
      </c>
      <c r="D37" s="35">
        <v>0.76187861045462901</v>
      </c>
      <c r="E37" s="35">
        <v>-5.8893431481654996</v>
      </c>
      <c r="F37" s="40">
        <v>3.8773361068010304E-9</v>
      </c>
      <c r="G37" s="40">
        <v>1.5351870162515599E-6</v>
      </c>
      <c r="H37" s="24" t="s">
        <v>1749</v>
      </c>
      <c r="I37" s="34" t="s">
        <v>1750</v>
      </c>
      <c r="J37" s="34" t="s">
        <v>10</v>
      </c>
      <c r="K37" s="34"/>
      <c r="L37" s="34"/>
      <c r="M37" s="35"/>
      <c r="N37" s="35"/>
    </row>
    <row r="38" spans="1:14" x14ac:dyDescent="0.2">
      <c r="A38" s="35" t="s">
        <v>1858</v>
      </c>
      <c r="B38" s="35">
        <v>78.327917349333902</v>
      </c>
      <c r="C38" s="35">
        <v>-2.1366504489379401</v>
      </c>
      <c r="D38" s="35">
        <v>0.363278017789814</v>
      </c>
      <c r="E38" s="35">
        <v>-5.8815847486102601</v>
      </c>
      <c r="F38" s="40">
        <v>4.0635678772473397E-9</v>
      </c>
      <c r="G38" s="40">
        <v>1.59493272413316E-6</v>
      </c>
      <c r="H38" s="34" t="str">
        <f>VLOOKUP(A38,TableS7!A:I,8,FALSE)</f>
        <v>K00521</v>
      </c>
      <c r="I38" s="34" t="s">
        <v>1857</v>
      </c>
      <c r="J38" s="34" t="s">
        <v>10</v>
      </c>
      <c r="K38" s="34"/>
      <c r="L38" s="34"/>
      <c r="M38" s="35"/>
      <c r="N38" s="35"/>
    </row>
    <row r="39" spans="1:14" x14ac:dyDescent="0.2">
      <c r="A39" s="35" t="s">
        <v>1868</v>
      </c>
      <c r="B39" s="35">
        <v>211.408645290507</v>
      </c>
      <c r="C39" s="35">
        <v>-2.0930844389116401</v>
      </c>
      <c r="D39" s="35">
        <v>0.35746361608042498</v>
      </c>
      <c r="E39" s="35">
        <v>-5.8553775678270004</v>
      </c>
      <c r="F39" s="40">
        <v>4.7592752302671903E-9</v>
      </c>
      <c r="G39" s="40">
        <v>1.83606329973137E-6</v>
      </c>
      <c r="H39" s="24" t="s">
        <v>10</v>
      </c>
      <c r="I39" s="34" t="s">
        <v>1869</v>
      </c>
      <c r="J39" s="34" t="s">
        <v>10</v>
      </c>
      <c r="K39" s="34"/>
      <c r="L39" s="34"/>
      <c r="M39" s="35"/>
      <c r="N39" s="35"/>
    </row>
    <row r="40" spans="1:14" x14ac:dyDescent="0.2">
      <c r="A40" s="35" t="s">
        <v>1853</v>
      </c>
      <c r="B40" s="35">
        <v>75.934610777703995</v>
      </c>
      <c r="C40" s="35">
        <v>-2.18363011626978</v>
      </c>
      <c r="D40" s="35">
        <v>0.37440636113652298</v>
      </c>
      <c r="E40" s="35">
        <v>-5.8322463049006403</v>
      </c>
      <c r="F40" s="40">
        <v>5.4686113609804399E-9</v>
      </c>
      <c r="G40" s="40">
        <v>2.05697259167145E-6</v>
      </c>
      <c r="H40" s="34" t="str">
        <f>VLOOKUP(A40,TableS7!A:I,8,FALSE)</f>
        <v>K00521</v>
      </c>
      <c r="I40" s="34" t="s">
        <v>1854</v>
      </c>
      <c r="J40" s="34" t="s">
        <v>10</v>
      </c>
      <c r="K40" s="34"/>
      <c r="L40" s="34"/>
      <c r="M40" s="35"/>
      <c r="N40" s="35"/>
    </row>
    <row r="41" spans="1:14" x14ac:dyDescent="0.2">
      <c r="A41" s="35" t="s">
        <v>1856</v>
      </c>
      <c r="B41" s="35">
        <v>74.601013379063104</v>
      </c>
      <c r="C41" s="35">
        <v>-2.1717006077551702</v>
      </c>
      <c r="D41" s="35">
        <v>0.37277452940362799</v>
      </c>
      <c r="E41" s="35">
        <v>-5.8257751977569301</v>
      </c>
      <c r="F41" s="40">
        <v>5.6848096662307103E-9</v>
      </c>
      <c r="G41" s="40">
        <v>2.12062193309633E-6</v>
      </c>
      <c r="H41" s="34" t="str">
        <f>VLOOKUP(A41,TableS7!A:I,8,FALSE)</f>
        <v>K00521</v>
      </c>
      <c r="I41" s="34" t="s">
        <v>1857</v>
      </c>
      <c r="J41" s="34" t="s">
        <v>10</v>
      </c>
      <c r="K41" s="34"/>
      <c r="L41" s="34"/>
      <c r="M41" s="35"/>
      <c r="N41" s="35"/>
    </row>
    <row r="42" spans="1:14" x14ac:dyDescent="0.2">
      <c r="A42" s="35" t="s">
        <v>1835</v>
      </c>
      <c r="B42" s="35">
        <v>57.140406318170498</v>
      </c>
      <c r="C42" s="35">
        <v>-2.4219512727179402</v>
      </c>
      <c r="D42" s="35">
        <v>0.41864135779503298</v>
      </c>
      <c r="E42" s="35">
        <v>-5.7852651861112196</v>
      </c>
      <c r="F42" s="40">
        <v>7.2398026581340497E-9</v>
      </c>
      <c r="G42" s="40">
        <v>2.59351565539839E-6</v>
      </c>
      <c r="H42" s="24" t="s">
        <v>1836</v>
      </c>
      <c r="I42" s="34" t="s">
        <v>1837</v>
      </c>
      <c r="J42" s="34" t="s">
        <v>4364</v>
      </c>
      <c r="K42" s="34"/>
      <c r="L42" s="34"/>
      <c r="M42" s="35"/>
      <c r="N42" s="35"/>
    </row>
    <row r="43" spans="1:14" x14ac:dyDescent="0.2">
      <c r="A43" s="35" t="s">
        <v>1780</v>
      </c>
      <c r="B43" s="35">
        <v>35.452455161749803</v>
      </c>
      <c r="C43" s="35">
        <v>-3.3766549061061202</v>
      </c>
      <c r="D43" s="35">
        <v>0.60411176301032699</v>
      </c>
      <c r="E43" s="35">
        <v>-5.5894539932148302</v>
      </c>
      <c r="F43" s="40">
        <v>2.2778470504044301E-8</v>
      </c>
      <c r="G43" s="40">
        <v>6.8543454876069898E-6</v>
      </c>
      <c r="H43" s="24" t="s">
        <v>4323</v>
      </c>
      <c r="I43" s="34" t="s">
        <v>1782</v>
      </c>
      <c r="J43" s="34" t="s">
        <v>10</v>
      </c>
      <c r="K43" s="34"/>
      <c r="L43" s="34"/>
      <c r="M43" s="35"/>
      <c r="N43" s="35"/>
    </row>
    <row r="44" spans="1:14" x14ac:dyDescent="0.2">
      <c r="A44" s="35" t="s">
        <v>1751</v>
      </c>
      <c r="B44" s="35">
        <v>33.252872577145702</v>
      </c>
      <c r="C44" s="35">
        <v>-4.3412116992588601</v>
      </c>
      <c r="D44" s="35">
        <v>0.78036262533022205</v>
      </c>
      <c r="E44" s="35">
        <v>-5.5630697298218399</v>
      </c>
      <c r="F44" s="40">
        <v>2.6506991000464701E-8</v>
      </c>
      <c r="G44" s="40">
        <v>7.7190067921804894E-6</v>
      </c>
      <c r="H44" s="24" t="s">
        <v>10</v>
      </c>
      <c r="I44" s="34" t="s">
        <v>10</v>
      </c>
      <c r="J44" s="34" t="s">
        <v>10</v>
      </c>
      <c r="K44" s="34"/>
      <c r="L44" s="34"/>
      <c r="M44" s="35"/>
      <c r="N44" s="35"/>
    </row>
    <row r="45" spans="1:14" x14ac:dyDescent="0.2">
      <c r="A45" s="35" t="s">
        <v>1859</v>
      </c>
      <c r="B45" s="35">
        <v>69.077936681747701</v>
      </c>
      <c r="C45" s="35">
        <v>-2.1362189054715102</v>
      </c>
      <c r="D45" s="35">
        <v>0.38788585085291699</v>
      </c>
      <c r="E45" s="35">
        <v>-5.5073390812637504</v>
      </c>
      <c r="F45" s="40">
        <v>3.6429815351723298E-8</v>
      </c>
      <c r="G45" s="40">
        <v>1.00879299112315E-5</v>
      </c>
      <c r="H45" s="24" t="s">
        <v>10</v>
      </c>
      <c r="I45" s="34" t="s">
        <v>10</v>
      </c>
      <c r="J45" s="34" t="s">
        <v>10</v>
      </c>
      <c r="K45" s="34"/>
      <c r="L45" s="34"/>
      <c r="M45" s="35"/>
      <c r="N45" s="35"/>
    </row>
    <row r="46" spans="1:14" x14ac:dyDescent="0.2">
      <c r="A46" s="35" t="s">
        <v>1866</v>
      </c>
      <c r="B46" s="35">
        <v>87.970121064357699</v>
      </c>
      <c r="C46" s="35">
        <v>-2.1105264437801199</v>
      </c>
      <c r="D46" s="35">
        <v>0.38374382933221901</v>
      </c>
      <c r="E46" s="35">
        <v>-5.4998316128048401</v>
      </c>
      <c r="F46" s="40">
        <v>3.8015411525777003E-8</v>
      </c>
      <c r="G46" s="40">
        <v>1.0462814817311001E-5</v>
      </c>
      <c r="H46" s="24" t="s">
        <v>10</v>
      </c>
      <c r="I46" s="34" t="s">
        <v>10</v>
      </c>
      <c r="J46" s="34" t="s">
        <v>10</v>
      </c>
      <c r="K46" s="34"/>
      <c r="L46" s="34"/>
      <c r="M46" s="35"/>
      <c r="N46" s="35"/>
    </row>
    <row r="47" spans="1:14" x14ac:dyDescent="0.2">
      <c r="A47" s="35" t="s">
        <v>1863</v>
      </c>
      <c r="B47" s="35">
        <v>75.812317583854707</v>
      </c>
      <c r="C47" s="35">
        <v>-2.1232909372363702</v>
      </c>
      <c r="D47" s="35">
        <v>0.39086541713100997</v>
      </c>
      <c r="E47" s="35">
        <v>-5.4322814047390704</v>
      </c>
      <c r="F47" s="40">
        <v>5.5638089755981799E-8</v>
      </c>
      <c r="G47" s="40">
        <v>1.4656256791313401E-5</v>
      </c>
      <c r="H47" s="24" t="s">
        <v>10</v>
      </c>
      <c r="I47" s="34" t="s">
        <v>4419</v>
      </c>
      <c r="J47" s="34" t="s">
        <v>10</v>
      </c>
      <c r="K47" s="34"/>
      <c r="L47" s="34"/>
      <c r="M47" s="35"/>
      <c r="N47" s="35"/>
    </row>
    <row r="48" spans="1:14" x14ac:dyDescent="0.2">
      <c r="A48" s="35" t="s">
        <v>1819</v>
      </c>
      <c r="B48" s="35">
        <v>44.565922123891802</v>
      </c>
      <c r="C48" s="35">
        <v>-2.5544660172937501</v>
      </c>
      <c r="D48" s="35">
        <v>0.47164587448469403</v>
      </c>
      <c r="E48" s="35">
        <v>-5.4160677650041604</v>
      </c>
      <c r="F48" s="40">
        <v>6.0924018730973402E-8</v>
      </c>
      <c r="G48" s="40">
        <v>1.5624587690113301E-5</v>
      </c>
      <c r="H48" s="34" t="str">
        <f>VLOOKUP(A48,TableS7!A:I,8,FALSE)</f>
        <v>K00521</v>
      </c>
      <c r="I48" s="34" t="s">
        <v>1821</v>
      </c>
      <c r="J48" s="34" t="s">
        <v>10</v>
      </c>
      <c r="K48" s="34"/>
      <c r="L48" s="34"/>
      <c r="M48" s="35"/>
      <c r="N48" s="35"/>
    </row>
    <row r="49" spans="1:14" x14ac:dyDescent="0.2">
      <c r="A49" s="35" t="s">
        <v>1760</v>
      </c>
      <c r="B49" s="35">
        <v>24.652167281866699</v>
      </c>
      <c r="C49" s="35">
        <v>-3.9859000757566601</v>
      </c>
      <c r="D49" s="35">
        <v>0.73974873472081604</v>
      </c>
      <c r="E49" s="35">
        <v>-5.38818099805329</v>
      </c>
      <c r="F49" s="40">
        <v>7.1174355606788096E-8</v>
      </c>
      <c r="G49" s="40">
        <v>1.81502649097378E-5</v>
      </c>
      <c r="H49" s="24" t="s">
        <v>10</v>
      </c>
      <c r="I49" s="34" t="s">
        <v>10</v>
      </c>
      <c r="J49" s="34" t="s">
        <v>10</v>
      </c>
      <c r="K49" s="34"/>
      <c r="L49" s="34"/>
      <c r="M49" s="35"/>
      <c r="N49" s="35"/>
    </row>
    <row r="50" spans="1:14" x14ac:dyDescent="0.2">
      <c r="A50" s="35" t="s">
        <v>1855</v>
      </c>
      <c r="B50" s="35">
        <v>184.297593534166</v>
      </c>
      <c r="C50" s="35">
        <v>-2.1773874700442901</v>
      </c>
      <c r="D50" s="35">
        <v>0.40584313481938999</v>
      </c>
      <c r="E50" s="35">
        <v>-5.3650962237251703</v>
      </c>
      <c r="F50" s="40">
        <v>8.0906076089909604E-8</v>
      </c>
      <c r="G50" s="40">
        <v>2.00651514091772E-5</v>
      </c>
      <c r="H50" s="24" t="s">
        <v>10</v>
      </c>
      <c r="I50" s="34" t="s">
        <v>1174</v>
      </c>
      <c r="J50" s="34" t="s">
        <v>10</v>
      </c>
      <c r="K50" s="34"/>
      <c r="L50" s="34"/>
      <c r="M50" s="35"/>
      <c r="N50" s="35"/>
    </row>
    <row r="51" spans="1:14" x14ac:dyDescent="0.2">
      <c r="A51" s="35" t="s">
        <v>1838</v>
      </c>
      <c r="B51" s="35">
        <v>79.001980975559803</v>
      </c>
      <c r="C51" s="35">
        <v>-2.4188590238060299</v>
      </c>
      <c r="D51" s="35">
        <v>0.45301736186994102</v>
      </c>
      <c r="E51" s="35">
        <v>-5.3394400025235198</v>
      </c>
      <c r="F51" s="40">
        <v>9.3234117198218694E-8</v>
      </c>
      <c r="G51" s="40">
        <v>2.2996220480743198E-5</v>
      </c>
      <c r="H51" s="24" t="s">
        <v>10</v>
      </c>
      <c r="I51" s="34" t="s">
        <v>10</v>
      </c>
      <c r="J51" s="34" t="s">
        <v>10</v>
      </c>
      <c r="K51" s="34"/>
      <c r="L51" s="34"/>
      <c r="M51" s="35"/>
      <c r="N51" s="35"/>
    </row>
    <row r="52" spans="1:14" x14ac:dyDescent="0.2">
      <c r="A52" s="35" t="s">
        <v>1723</v>
      </c>
      <c r="B52" s="35">
        <v>16.364216927926702</v>
      </c>
      <c r="C52" s="35">
        <v>-7.2894075991902003</v>
      </c>
      <c r="D52" s="35">
        <v>1.3719030348110901</v>
      </c>
      <c r="E52" s="35">
        <v>-5.3133548175246403</v>
      </c>
      <c r="F52" s="40">
        <v>1.07625187522999E-7</v>
      </c>
      <c r="G52" s="40">
        <v>2.6258800482300699E-5</v>
      </c>
      <c r="H52" s="24" t="s">
        <v>1725</v>
      </c>
      <c r="I52" s="34" t="s">
        <v>1726</v>
      </c>
      <c r="J52" s="34" t="s">
        <v>10</v>
      </c>
      <c r="K52" s="34"/>
      <c r="L52" s="34"/>
      <c r="M52" s="35"/>
      <c r="N52" s="35"/>
    </row>
    <row r="53" spans="1:14" x14ac:dyDescent="0.2">
      <c r="A53" s="35" t="s">
        <v>1846</v>
      </c>
      <c r="B53" s="35">
        <v>58.774011915889197</v>
      </c>
      <c r="C53" s="35">
        <v>-2.32130626061294</v>
      </c>
      <c r="D53" s="35">
        <v>0.44399155584201699</v>
      </c>
      <c r="E53" s="35">
        <v>-5.22826668676311</v>
      </c>
      <c r="F53" s="40">
        <v>1.7110658082604499E-7</v>
      </c>
      <c r="G53" s="40">
        <v>3.9204252480939997E-5</v>
      </c>
      <c r="H53" s="24" t="s">
        <v>10</v>
      </c>
      <c r="I53" s="34" t="s">
        <v>1847</v>
      </c>
      <c r="J53" s="34" t="s">
        <v>10</v>
      </c>
      <c r="K53" s="34"/>
      <c r="L53" s="34"/>
      <c r="M53" s="35"/>
      <c r="N53" s="35"/>
    </row>
    <row r="54" spans="1:14" x14ac:dyDescent="0.2">
      <c r="A54" s="35" t="s">
        <v>1727</v>
      </c>
      <c r="B54" s="35">
        <v>15.070873186395</v>
      </c>
      <c r="C54" s="35">
        <v>-7.1679871923596403</v>
      </c>
      <c r="D54" s="35">
        <v>1.37563685597282</v>
      </c>
      <c r="E54" s="35">
        <v>-5.2106681797868903</v>
      </c>
      <c r="F54" s="40">
        <v>1.8816172298587701E-7</v>
      </c>
      <c r="G54" s="40">
        <v>4.1429539953236703E-5</v>
      </c>
      <c r="H54" s="34" t="str">
        <f>VLOOKUP(A54,TableS7!A:I,8,FALSE)</f>
        <v>K00521</v>
      </c>
      <c r="I54" s="34" t="s">
        <v>4420</v>
      </c>
      <c r="J54" s="34" t="s">
        <v>10</v>
      </c>
      <c r="K54" s="34"/>
      <c r="L54" s="34"/>
      <c r="M54" s="35"/>
      <c r="N54" s="35"/>
    </row>
    <row r="55" spans="1:14" x14ac:dyDescent="0.2">
      <c r="A55" s="35" t="s">
        <v>1774</v>
      </c>
      <c r="B55" s="35">
        <v>23.810712072660301</v>
      </c>
      <c r="C55" s="35">
        <v>-3.5700974101943399</v>
      </c>
      <c r="D55" s="35">
        <v>0.71457504028520202</v>
      </c>
      <c r="E55" s="35">
        <v>-4.9961126668648204</v>
      </c>
      <c r="F55" s="40">
        <v>5.8497492538011197E-7</v>
      </c>
      <c r="G55" s="35">
        <v>1.0956022077544501E-4</v>
      </c>
      <c r="H55" s="24" t="s">
        <v>10</v>
      </c>
      <c r="I55" s="34" t="s">
        <v>10</v>
      </c>
      <c r="J55" s="34" t="s">
        <v>10</v>
      </c>
      <c r="K55" s="34"/>
      <c r="L55" s="34"/>
      <c r="M55" s="35"/>
      <c r="N55" s="35"/>
    </row>
    <row r="56" spans="1:14" x14ac:dyDescent="0.2">
      <c r="A56" s="35" t="s">
        <v>1729</v>
      </c>
      <c r="B56" s="35">
        <v>15.1385914134451</v>
      </c>
      <c r="C56" s="35">
        <v>-7.1538978903674701</v>
      </c>
      <c r="D56" s="35">
        <v>1.4395616934031701</v>
      </c>
      <c r="E56" s="35">
        <v>-4.9694972595828304</v>
      </c>
      <c r="F56" s="40">
        <v>6.7126719451895203E-7</v>
      </c>
      <c r="G56" s="35">
        <v>1.2366933615919201E-4</v>
      </c>
      <c r="H56" s="24" t="s">
        <v>4349</v>
      </c>
      <c r="I56" s="34" t="s">
        <v>4387</v>
      </c>
      <c r="J56" s="34" t="s">
        <v>4357</v>
      </c>
      <c r="L56" s="34"/>
      <c r="M56" s="35"/>
      <c r="N56" s="35"/>
    </row>
    <row r="57" spans="1:14" x14ac:dyDescent="0.2">
      <c r="A57" s="35" t="s">
        <v>1731</v>
      </c>
      <c r="B57" s="35">
        <v>13.4944834721116</v>
      </c>
      <c r="C57" s="35">
        <v>-6.9894044610792596</v>
      </c>
      <c r="D57" s="35">
        <v>1.4223552625240901</v>
      </c>
      <c r="E57" s="35">
        <v>-4.9139653399080903</v>
      </c>
      <c r="F57" s="40">
        <v>8.9252535095004696E-7</v>
      </c>
      <c r="G57" s="35">
        <v>1.59864749070763E-4</v>
      </c>
      <c r="H57" s="24" t="s">
        <v>10</v>
      </c>
      <c r="I57" s="34" t="s">
        <v>10</v>
      </c>
      <c r="J57" s="34" t="s">
        <v>10</v>
      </c>
      <c r="K57" s="34"/>
      <c r="L57" s="34"/>
      <c r="M57" s="35"/>
      <c r="N57" s="35"/>
    </row>
    <row r="58" spans="1:14" x14ac:dyDescent="0.2">
      <c r="A58" s="35" t="s">
        <v>1841</v>
      </c>
      <c r="B58" s="35">
        <v>40.557154740440602</v>
      </c>
      <c r="C58" s="35">
        <v>-2.40114140142822</v>
      </c>
      <c r="D58" s="35">
        <v>0.49104837599314999</v>
      </c>
      <c r="E58" s="35">
        <v>-4.8898265808778802</v>
      </c>
      <c r="F58" s="40">
        <v>1.0092485165786701E-6</v>
      </c>
      <c r="G58" s="35">
        <v>1.77254670400044E-4</v>
      </c>
      <c r="H58" s="24" t="s">
        <v>10</v>
      </c>
      <c r="I58" s="34" t="s">
        <v>1842</v>
      </c>
      <c r="J58" s="34" t="s">
        <v>10</v>
      </c>
      <c r="K58" s="34"/>
      <c r="L58" s="34"/>
      <c r="M58" s="35"/>
      <c r="N58" s="35"/>
    </row>
    <row r="59" spans="1:14" x14ac:dyDescent="0.2">
      <c r="A59" s="35" t="s">
        <v>1755</v>
      </c>
      <c r="B59" s="35">
        <v>23.1944553396924</v>
      </c>
      <c r="C59" s="35">
        <v>-4.1931584519043099</v>
      </c>
      <c r="D59" s="35">
        <v>0.85888113882267703</v>
      </c>
      <c r="E59" s="35">
        <v>-4.8821172830179203</v>
      </c>
      <c r="F59" s="40">
        <v>1.0495279942770001E-6</v>
      </c>
      <c r="G59" s="35">
        <v>1.83614515804965E-4</v>
      </c>
      <c r="H59" s="24" t="s">
        <v>10</v>
      </c>
      <c r="I59" s="34" t="s">
        <v>1759</v>
      </c>
      <c r="J59" s="34" t="s">
        <v>10</v>
      </c>
      <c r="K59" s="34"/>
      <c r="L59" s="34"/>
      <c r="M59" s="35"/>
      <c r="N59" s="35"/>
    </row>
    <row r="60" spans="1:14" x14ac:dyDescent="0.2">
      <c r="A60" s="35" t="s">
        <v>1860</v>
      </c>
      <c r="B60" s="35">
        <v>82.531346986958496</v>
      </c>
      <c r="C60" s="35">
        <v>-2.1337629383882</v>
      </c>
      <c r="D60" s="35">
        <v>0.44143660779273503</v>
      </c>
      <c r="E60" s="35">
        <v>-4.8336791754934199</v>
      </c>
      <c r="F60" s="40">
        <v>1.3403253105896999E-6</v>
      </c>
      <c r="G60" s="35">
        <v>2.24900607970585E-4</v>
      </c>
      <c r="H60" s="24" t="s">
        <v>10</v>
      </c>
      <c r="I60" s="34" t="s">
        <v>1861</v>
      </c>
      <c r="J60" s="34" t="s">
        <v>10</v>
      </c>
      <c r="K60" s="34"/>
      <c r="L60" s="34"/>
      <c r="M60" s="35"/>
      <c r="N60" s="35"/>
    </row>
    <row r="61" spans="1:14" x14ac:dyDescent="0.2">
      <c r="A61" s="35" t="s">
        <v>1822</v>
      </c>
      <c r="B61" s="35">
        <v>34.924690278401599</v>
      </c>
      <c r="C61" s="35">
        <v>-2.5419499675211501</v>
      </c>
      <c r="D61" s="35">
        <v>0.53058052631950703</v>
      </c>
      <c r="E61" s="35">
        <v>-4.7908844019473698</v>
      </c>
      <c r="F61" s="40">
        <v>1.6604777603883299E-6</v>
      </c>
      <c r="G61" s="35">
        <v>2.71554292284957E-4</v>
      </c>
      <c r="H61" s="24" t="s">
        <v>10</v>
      </c>
      <c r="I61" s="34" t="s">
        <v>10</v>
      </c>
      <c r="J61" s="34" t="s">
        <v>10</v>
      </c>
      <c r="K61" s="34"/>
      <c r="L61" s="34"/>
      <c r="M61" s="35"/>
      <c r="N61" s="35"/>
    </row>
    <row r="62" spans="1:14" x14ac:dyDescent="0.2">
      <c r="A62" s="35" t="s">
        <v>1743</v>
      </c>
      <c r="B62" s="35">
        <v>19.796098843572501</v>
      </c>
      <c r="C62" s="35">
        <v>-4.7632535514566801</v>
      </c>
      <c r="D62" s="35">
        <v>1.00708079051545</v>
      </c>
      <c r="E62" s="35">
        <v>-4.7297630898298904</v>
      </c>
      <c r="F62" s="40">
        <v>2.2478198934934602E-6</v>
      </c>
      <c r="G62" s="35">
        <v>3.49861539767636E-4</v>
      </c>
      <c r="H62" s="34" t="str">
        <f>VLOOKUP(A62,TableS7!A:I,8,FALSE)</f>
        <v>K00521</v>
      </c>
      <c r="I62" s="34" t="s">
        <v>1745</v>
      </c>
      <c r="J62" s="34" t="s">
        <v>10</v>
      </c>
      <c r="K62" s="34"/>
      <c r="L62" s="34"/>
      <c r="M62" s="35"/>
      <c r="N62" s="35"/>
    </row>
    <row r="63" spans="1:14" x14ac:dyDescent="0.2">
      <c r="A63" s="35" t="s">
        <v>1870</v>
      </c>
      <c r="B63" s="35">
        <v>127.33342875779501</v>
      </c>
      <c r="C63" s="35">
        <v>-2.0584747668601402</v>
      </c>
      <c r="D63" s="35">
        <v>0.44281769243103503</v>
      </c>
      <c r="E63" s="35">
        <v>-4.6485829316332596</v>
      </c>
      <c r="F63" s="40">
        <v>3.34223240303847E-6</v>
      </c>
      <c r="G63" s="35">
        <v>4.85075061015908E-4</v>
      </c>
      <c r="H63" s="34" t="str">
        <f>VLOOKUP(A63,TableS7!A:I,8,FALSE)</f>
        <v>K00521</v>
      </c>
      <c r="I63" s="34" t="s">
        <v>4421</v>
      </c>
      <c r="J63" s="34" t="s">
        <v>10</v>
      </c>
      <c r="K63" s="34"/>
      <c r="L63" s="34"/>
      <c r="M63" s="35"/>
      <c r="N63" s="35"/>
    </row>
    <row r="64" spans="1:14" x14ac:dyDescent="0.2">
      <c r="A64" s="35" t="s">
        <v>1824</v>
      </c>
      <c r="B64" s="35">
        <v>33.809457761224799</v>
      </c>
      <c r="C64" s="35">
        <v>-2.4685810863537601</v>
      </c>
      <c r="D64" s="35">
        <v>0.53161264430284205</v>
      </c>
      <c r="E64" s="35">
        <v>-4.6435710527372098</v>
      </c>
      <c r="F64" s="40">
        <v>3.4243815052915199E-6</v>
      </c>
      <c r="G64" s="35">
        <v>4.9382207030141605E-4</v>
      </c>
      <c r="H64" s="24" t="s">
        <v>10</v>
      </c>
      <c r="I64" s="34" t="s">
        <v>10</v>
      </c>
      <c r="J64" s="34" t="s">
        <v>10</v>
      </c>
      <c r="K64" s="34"/>
      <c r="L64" s="34"/>
      <c r="M64" s="35"/>
      <c r="N64" s="35"/>
    </row>
    <row r="65" spans="1:14" x14ac:dyDescent="0.2">
      <c r="A65" s="35" t="s">
        <v>1733</v>
      </c>
      <c r="B65" s="35">
        <v>10.918406775912301</v>
      </c>
      <c r="C65" s="35">
        <v>-6.7060145338682098</v>
      </c>
      <c r="D65" s="35">
        <v>1.4456858857575401</v>
      </c>
      <c r="E65" s="35">
        <v>-4.63863872500509</v>
      </c>
      <c r="F65" s="40">
        <v>3.5071149362532601E-6</v>
      </c>
      <c r="G65" s="35">
        <v>5.0355933612106197E-4</v>
      </c>
      <c r="H65" s="24" t="s">
        <v>10</v>
      </c>
      <c r="I65" s="34" t="s">
        <v>1735</v>
      </c>
      <c r="J65" s="34" t="s">
        <v>10</v>
      </c>
      <c r="K65" s="34"/>
      <c r="L65" s="34"/>
      <c r="M65" s="35"/>
      <c r="N65" s="35"/>
    </row>
    <row r="66" spans="1:14" x14ac:dyDescent="0.2">
      <c r="A66" s="35" t="s">
        <v>1736</v>
      </c>
      <c r="B66" s="35">
        <v>10.728902615556599</v>
      </c>
      <c r="C66" s="35">
        <v>-6.67132329971622</v>
      </c>
      <c r="D66" s="35">
        <v>1.4411238236189301</v>
      </c>
      <c r="E66" s="35">
        <v>-4.6292505823429604</v>
      </c>
      <c r="F66" s="40">
        <v>3.6699145917802201E-6</v>
      </c>
      <c r="G66" s="35">
        <v>5.1927565808521504E-4</v>
      </c>
      <c r="H66" s="24" t="s">
        <v>10</v>
      </c>
      <c r="I66" s="34" t="s">
        <v>4397</v>
      </c>
      <c r="J66" s="34" t="s">
        <v>10</v>
      </c>
      <c r="L66" s="34"/>
      <c r="M66" s="35"/>
      <c r="N66" s="35"/>
    </row>
    <row r="67" spans="1:14" x14ac:dyDescent="0.2">
      <c r="A67" s="35" t="s">
        <v>1843</v>
      </c>
      <c r="B67" s="35">
        <v>49.924538386860199</v>
      </c>
      <c r="C67" s="35">
        <v>-2.38994769893401</v>
      </c>
      <c r="D67" s="35">
        <v>0.52667834135382496</v>
      </c>
      <c r="E67" s="35">
        <v>-4.5377747882904398</v>
      </c>
      <c r="F67" s="40">
        <v>5.6850926170479402E-6</v>
      </c>
      <c r="G67" s="35">
        <v>7.2900007231730898E-4</v>
      </c>
      <c r="H67" s="34" t="str">
        <f>VLOOKUP(A67,TableS7!A:I,8,FALSE)</f>
        <v>K00521</v>
      </c>
      <c r="I67" s="34" t="s">
        <v>4409</v>
      </c>
      <c r="J67" s="34" t="s">
        <v>10</v>
      </c>
      <c r="L67" s="34"/>
      <c r="M67" s="35"/>
      <c r="N67" s="35"/>
    </row>
    <row r="68" spans="1:14" x14ac:dyDescent="0.2">
      <c r="A68" s="35" t="s">
        <v>1845</v>
      </c>
      <c r="B68" s="35">
        <v>41.807620161859198</v>
      </c>
      <c r="C68" s="35">
        <v>-2.3324183060306201</v>
      </c>
      <c r="D68" s="35">
        <v>0.51477431187085099</v>
      </c>
      <c r="E68" s="35">
        <v>-4.5309531813152804</v>
      </c>
      <c r="F68" s="40">
        <v>5.8718151677311096E-6</v>
      </c>
      <c r="G68" s="35">
        <v>7.4868960798270896E-4</v>
      </c>
      <c r="H68" s="24" t="s">
        <v>10</v>
      </c>
      <c r="I68" s="34" t="s">
        <v>10</v>
      </c>
      <c r="J68" s="34" t="s">
        <v>10</v>
      </c>
      <c r="K68" s="34"/>
      <c r="L68" s="34"/>
      <c r="M68" s="35"/>
      <c r="N68" s="35"/>
    </row>
    <row r="69" spans="1:14" x14ac:dyDescent="0.2">
      <c r="A69" s="35" t="s">
        <v>1738</v>
      </c>
      <c r="B69" s="35">
        <v>9.8979841032767606</v>
      </c>
      <c r="C69" s="35">
        <v>-6.5519714152712902</v>
      </c>
      <c r="D69" s="35">
        <v>1.45556093177421</v>
      </c>
      <c r="E69" s="35">
        <v>-4.5013377813630902</v>
      </c>
      <c r="F69" s="40">
        <v>6.7527092268143798E-6</v>
      </c>
      <c r="G69" s="35">
        <v>8.4431312014050103E-4</v>
      </c>
      <c r="H69" s="24" t="s">
        <v>1741</v>
      </c>
      <c r="I69" s="34" t="s">
        <v>1742</v>
      </c>
      <c r="J69" s="34" t="s">
        <v>10</v>
      </c>
      <c r="K69" s="34"/>
      <c r="L69" s="34"/>
      <c r="M69" s="35"/>
      <c r="N69" s="35"/>
    </row>
    <row r="70" spans="1:14" x14ac:dyDescent="0.2">
      <c r="A70" s="35" t="s">
        <v>1796</v>
      </c>
      <c r="B70" s="35">
        <v>38.311410683372799</v>
      </c>
      <c r="C70" s="35">
        <v>-3.0521304361466601</v>
      </c>
      <c r="D70" s="35">
        <v>0.68003222827341603</v>
      </c>
      <c r="E70" s="35">
        <v>-4.48821439521467</v>
      </c>
      <c r="F70" s="40">
        <v>7.1822629425738304E-6</v>
      </c>
      <c r="G70" s="35">
        <v>8.9062033637075596E-4</v>
      </c>
      <c r="H70" s="24" t="s">
        <v>10</v>
      </c>
      <c r="I70" s="34" t="s">
        <v>10</v>
      </c>
      <c r="J70" s="34" t="s">
        <v>10</v>
      </c>
      <c r="K70" s="34"/>
      <c r="L70" s="34"/>
      <c r="M70" s="35"/>
      <c r="N70" s="35"/>
    </row>
    <row r="71" spans="1:14" x14ac:dyDescent="0.2">
      <c r="A71" s="35" t="s">
        <v>4217</v>
      </c>
      <c r="B71" s="35">
        <v>16.5382209316199</v>
      </c>
      <c r="C71" s="35">
        <v>-4.8248046851722997</v>
      </c>
      <c r="D71" s="35">
        <v>1.0873619235437399</v>
      </c>
      <c r="E71" s="35">
        <v>-4.4371653822934496</v>
      </c>
      <c r="F71" s="40">
        <v>9.1151261226592998E-6</v>
      </c>
      <c r="G71" s="35">
        <v>1.0880747733085601E-3</v>
      </c>
      <c r="H71" s="24" t="s">
        <v>10</v>
      </c>
      <c r="I71" s="34" t="s">
        <v>10</v>
      </c>
      <c r="J71" s="34" t="s">
        <v>10</v>
      </c>
      <c r="K71" s="34"/>
      <c r="L71" s="34"/>
      <c r="M71" s="35"/>
      <c r="N71" s="35"/>
    </row>
    <row r="72" spans="1:14" x14ac:dyDescent="0.2">
      <c r="A72" s="35" t="s">
        <v>4218</v>
      </c>
      <c r="B72" s="35">
        <v>19.819912048713299</v>
      </c>
      <c r="C72" s="35">
        <v>-3.7363698751586498</v>
      </c>
      <c r="D72" s="35">
        <v>0.84677188267952996</v>
      </c>
      <c r="E72" s="35">
        <v>-4.4124869419793002</v>
      </c>
      <c r="F72" s="40">
        <v>1.0218995970303E-5</v>
      </c>
      <c r="G72" s="35">
        <v>1.1888010853390899E-3</v>
      </c>
      <c r="H72" s="24" t="s">
        <v>10</v>
      </c>
      <c r="I72" s="34" t="s">
        <v>10</v>
      </c>
      <c r="J72" s="34" t="s">
        <v>10</v>
      </c>
      <c r="K72" s="34"/>
      <c r="L72" s="34"/>
      <c r="M72" s="35"/>
      <c r="N72" s="35"/>
    </row>
    <row r="73" spans="1:14" x14ac:dyDescent="0.2">
      <c r="A73" s="35" t="s">
        <v>4219</v>
      </c>
      <c r="B73" s="35">
        <v>9.7324795259868306</v>
      </c>
      <c r="C73" s="35">
        <v>-6.5218714001427101</v>
      </c>
      <c r="D73" s="35">
        <v>1.4933397610341701</v>
      </c>
      <c r="E73" s="35">
        <v>-4.3673058002729297</v>
      </c>
      <c r="F73" s="40">
        <v>1.2578855403367301E-5</v>
      </c>
      <c r="G73" s="35">
        <v>1.41236765259152E-3</v>
      </c>
      <c r="H73" s="24" t="s">
        <v>10</v>
      </c>
      <c r="I73" s="34" t="s">
        <v>10</v>
      </c>
      <c r="J73" s="34" t="s">
        <v>10</v>
      </c>
      <c r="K73" s="34"/>
      <c r="L73" s="34"/>
      <c r="M73" s="35"/>
      <c r="N73" s="35"/>
    </row>
    <row r="74" spans="1:14" x14ac:dyDescent="0.2">
      <c r="A74" s="35" t="s">
        <v>4220</v>
      </c>
      <c r="B74" s="35">
        <v>18.118040478473802</v>
      </c>
      <c r="C74" s="35">
        <v>-4.3126700276771404</v>
      </c>
      <c r="D74" s="35">
        <v>0.98913735884814902</v>
      </c>
      <c r="E74" s="35">
        <v>-4.3600314851106701</v>
      </c>
      <c r="F74" s="40">
        <v>1.30043731456428E-5</v>
      </c>
      <c r="G74" s="35">
        <v>1.4508511327758699E-3</v>
      </c>
      <c r="H74" s="24" t="s">
        <v>4335</v>
      </c>
      <c r="I74" s="34" t="s">
        <v>4404</v>
      </c>
      <c r="J74" s="34" t="s">
        <v>4376</v>
      </c>
      <c r="L74" s="34"/>
      <c r="M74" s="35"/>
      <c r="N74" s="35"/>
    </row>
    <row r="75" spans="1:14" x14ac:dyDescent="0.2">
      <c r="A75" s="35" t="s">
        <v>4221</v>
      </c>
      <c r="B75" s="35">
        <v>25.473205745417399</v>
      </c>
      <c r="C75" s="35">
        <v>-3.0977765012206802</v>
      </c>
      <c r="D75" s="35">
        <v>0.71423056422507203</v>
      </c>
      <c r="E75" s="35">
        <v>-4.3372219789861797</v>
      </c>
      <c r="F75" s="40">
        <v>1.44294878560203E-5</v>
      </c>
      <c r="G75" s="35">
        <v>1.56563411864709E-3</v>
      </c>
      <c r="H75" s="24" t="s">
        <v>10</v>
      </c>
      <c r="I75" s="34" t="s">
        <v>10</v>
      </c>
      <c r="J75" s="34" t="s">
        <v>10</v>
      </c>
      <c r="K75" s="34"/>
      <c r="L75" s="34"/>
      <c r="M75" s="35"/>
      <c r="N75" s="35"/>
    </row>
    <row r="76" spans="1:14" x14ac:dyDescent="0.2">
      <c r="A76" s="35" t="s">
        <v>4222</v>
      </c>
      <c r="B76" s="35">
        <v>32.777993601015403</v>
      </c>
      <c r="C76" s="35">
        <v>-2.4267827309357601</v>
      </c>
      <c r="D76" s="35">
        <v>0.56186945078466499</v>
      </c>
      <c r="E76" s="35">
        <v>-4.3191220443586902</v>
      </c>
      <c r="F76" s="40">
        <v>1.5665113971665201E-5</v>
      </c>
      <c r="G76" s="35">
        <v>1.6766259035378599E-3</v>
      </c>
      <c r="H76" s="24" t="s">
        <v>10</v>
      </c>
      <c r="I76" s="34" t="s">
        <v>10</v>
      </c>
      <c r="J76" s="34" t="s">
        <v>10</v>
      </c>
      <c r="K76" s="34"/>
      <c r="L76" s="34"/>
      <c r="M76" s="35"/>
      <c r="N76" s="35"/>
    </row>
    <row r="77" spans="1:14" x14ac:dyDescent="0.2">
      <c r="A77" s="35" t="s">
        <v>4223</v>
      </c>
      <c r="B77" s="35">
        <v>84.090554661896803</v>
      </c>
      <c r="C77" s="35">
        <v>-2.0501130410774602</v>
      </c>
      <c r="D77" s="35">
        <v>0.47722979388655101</v>
      </c>
      <c r="E77" s="35">
        <v>-4.2958613802825996</v>
      </c>
      <c r="F77" s="40">
        <v>1.7401630141852701E-5</v>
      </c>
      <c r="G77" s="35">
        <v>1.81398932959078E-3</v>
      </c>
      <c r="H77" s="24" t="s">
        <v>10</v>
      </c>
      <c r="I77" s="34" t="s">
        <v>10</v>
      </c>
      <c r="J77" s="34" t="s">
        <v>10</v>
      </c>
      <c r="K77" s="34"/>
      <c r="L77" s="34"/>
      <c r="M77" s="35"/>
      <c r="N77" s="35"/>
    </row>
    <row r="78" spans="1:14" x14ac:dyDescent="0.2">
      <c r="A78" s="35" t="s">
        <v>4224</v>
      </c>
      <c r="B78" s="35">
        <v>28.780351417251499</v>
      </c>
      <c r="C78" s="35">
        <v>-2.6368610366033902</v>
      </c>
      <c r="D78" s="35">
        <v>0.614359288920173</v>
      </c>
      <c r="E78" s="35">
        <v>-4.2920504078941502</v>
      </c>
      <c r="F78" s="40">
        <v>1.7703074522691101E-5</v>
      </c>
      <c r="G78" s="35">
        <v>1.83373763238406E-3</v>
      </c>
      <c r="H78" s="24" t="s">
        <v>10</v>
      </c>
      <c r="I78" s="34" t="s">
        <v>10</v>
      </c>
      <c r="J78" s="34" t="s">
        <v>10</v>
      </c>
      <c r="K78" s="34"/>
      <c r="L78" s="34"/>
      <c r="M78" s="35"/>
      <c r="N78" s="35"/>
    </row>
    <row r="79" spans="1:14" x14ac:dyDescent="0.2">
      <c r="A79" s="35" t="s">
        <v>4225</v>
      </c>
      <c r="B79" s="35">
        <v>32.521865971347601</v>
      </c>
      <c r="C79" s="35">
        <v>-2.2666444180784202</v>
      </c>
      <c r="D79" s="35">
        <v>0.52968807710770904</v>
      </c>
      <c r="E79" s="35">
        <v>-4.2792060384955697</v>
      </c>
      <c r="F79" s="40">
        <v>1.8756117666255301E-5</v>
      </c>
      <c r="G79" s="35">
        <v>1.92043382395789E-3</v>
      </c>
      <c r="H79" s="24" t="s">
        <v>10</v>
      </c>
      <c r="I79" s="34" t="s">
        <v>10</v>
      </c>
      <c r="J79" s="34" t="s">
        <v>10</v>
      </c>
      <c r="K79" s="34"/>
      <c r="L79" s="34"/>
      <c r="M79" s="35"/>
      <c r="N79" s="35"/>
    </row>
    <row r="80" spans="1:14" x14ac:dyDescent="0.2">
      <c r="A80" s="35" t="s">
        <v>4226</v>
      </c>
      <c r="B80" s="35">
        <v>29.684895336874501</v>
      </c>
      <c r="C80" s="35">
        <v>-2.7408212935236902</v>
      </c>
      <c r="D80" s="35">
        <v>0.64420084165204605</v>
      </c>
      <c r="E80" s="35">
        <v>-4.2546068187288899</v>
      </c>
      <c r="F80" s="40">
        <v>2.0941666981264E-5</v>
      </c>
      <c r="G80" s="35">
        <v>2.0787440133198899E-3</v>
      </c>
      <c r="H80" s="24" t="s">
        <v>10</v>
      </c>
      <c r="I80" s="34" t="s">
        <v>10</v>
      </c>
      <c r="J80" s="34" t="s">
        <v>10</v>
      </c>
      <c r="K80" s="34"/>
      <c r="L80" s="34"/>
      <c r="M80" s="35"/>
      <c r="N80" s="35"/>
    </row>
    <row r="81" spans="1:14" x14ac:dyDescent="0.2">
      <c r="A81" s="35" t="s">
        <v>4227</v>
      </c>
      <c r="B81" s="35">
        <v>22.744324307379099</v>
      </c>
      <c r="C81" s="35">
        <v>-2.9589098706344301</v>
      </c>
      <c r="D81" s="35">
        <v>0.698782913491793</v>
      </c>
      <c r="E81" s="35">
        <v>-4.2343763900134102</v>
      </c>
      <c r="F81" s="40">
        <v>2.2918680583216401E-5</v>
      </c>
      <c r="G81" s="35">
        <v>2.24399237632243E-3</v>
      </c>
      <c r="H81" s="24" t="s">
        <v>4326</v>
      </c>
      <c r="I81" s="34" t="s">
        <v>4391</v>
      </c>
      <c r="J81" s="34" t="s">
        <v>4363</v>
      </c>
      <c r="L81" s="34"/>
      <c r="M81" s="35"/>
      <c r="N81" s="35"/>
    </row>
    <row r="82" spans="1:14" x14ac:dyDescent="0.2">
      <c r="A82" s="35" t="s">
        <v>4228</v>
      </c>
      <c r="B82" s="35">
        <v>24.527395053350102</v>
      </c>
      <c r="C82" s="35">
        <v>-3.1741953842231498</v>
      </c>
      <c r="D82" s="35">
        <v>0.75752209937244697</v>
      </c>
      <c r="E82" s="35">
        <v>-4.1902346965887096</v>
      </c>
      <c r="F82" s="40">
        <v>2.7866606822945399E-5</v>
      </c>
      <c r="G82" s="35">
        <v>2.6592283978166698E-3</v>
      </c>
      <c r="H82" s="24" t="s">
        <v>10</v>
      </c>
      <c r="I82" s="34" t="s">
        <v>10</v>
      </c>
      <c r="J82" s="34" t="s">
        <v>10</v>
      </c>
      <c r="K82" s="34"/>
      <c r="L82" s="34"/>
      <c r="M82" s="35"/>
      <c r="N82" s="35"/>
    </row>
    <row r="83" spans="1:14" x14ac:dyDescent="0.2">
      <c r="A83" s="35" t="s">
        <v>4229</v>
      </c>
      <c r="B83" s="35">
        <v>66.786624793681298</v>
      </c>
      <c r="C83" s="35">
        <v>-2.1996229174508102</v>
      </c>
      <c r="D83" s="35">
        <v>0.52746459195270001</v>
      </c>
      <c r="E83" s="35">
        <v>-4.17018118563694</v>
      </c>
      <c r="F83" s="40">
        <v>3.0435756497767301E-5</v>
      </c>
      <c r="G83" s="35">
        <v>2.8591966443737198E-3</v>
      </c>
      <c r="H83" s="24" t="s">
        <v>10</v>
      </c>
      <c r="I83" s="34" t="s">
        <v>10</v>
      </c>
      <c r="J83" s="34" t="s">
        <v>10</v>
      </c>
      <c r="K83" s="34"/>
      <c r="L83" s="34"/>
      <c r="M83" s="35"/>
      <c r="N83" s="35"/>
    </row>
    <row r="84" spans="1:14" x14ac:dyDescent="0.2">
      <c r="A84" s="35" t="s">
        <v>4230</v>
      </c>
      <c r="B84" s="35">
        <v>13.7504462699236</v>
      </c>
      <c r="C84" s="35">
        <v>-5.1362005022367203</v>
      </c>
      <c r="D84" s="35">
        <v>1.2518746616449199</v>
      </c>
      <c r="E84" s="35">
        <v>-4.1028073014018203</v>
      </c>
      <c r="F84" s="40">
        <v>4.0816718903207997E-5</v>
      </c>
      <c r="G84" s="35">
        <v>3.5159241243017201E-3</v>
      </c>
      <c r="H84" s="24" t="s">
        <v>10</v>
      </c>
      <c r="I84" s="34" t="s">
        <v>10</v>
      </c>
      <c r="J84" s="34" t="s">
        <v>10</v>
      </c>
      <c r="K84" s="34"/>
      <c r="L84" s="34"/>
      <c r="M84" s="35"/>
      <c r="N84" s="35"/>
    </row>
    <row r="85" spans="1:14" x14ac:dyDescent="0.2">
      <c r="A85" s="35" t="s">
        <v>4231</v>
      </c>
      <c r="B85" s="35">
        <v>27.937401568474101</v>
      </c>
      <c r="C85" s="35">
        <v>-2.4464509740659102</v>
      </c>
      <c r="D85" s="35">
        <v>0.59797968173802896</v>
      </c>
      <c r="E85" s="35">
        <v>-4.0911941471912501</v>
      </c>
      <c r="F85" s="40">
        <v>4.2915766256280403E-5</v>
      </c>
      <c r="G85" s="35">
        <v>3.6826785960261E-3</v>
      </c>
      <c r="H85" s="24" t="s">
        <v>10</v>
      </c>
      <c r="I85" s="34" t="s">
        <v>4392</v>
      </c>
      <c r="J85" s="34" t="s">
        <v>10</v>
      </c>
      <c r="L85" s="34"/>
      <c r="M85" s="35"/>
      <c r="N85" s="35"/>
    </row>
    <row r="86" spans="1:14" x14ac:dyDescent="0.2">
      <c r="A86" s="35" t="s">
        <v>4232</v>
      </c>
      <c r="B86" s="35">
        <v>23.671232948417799</v>
      </c>
      <c r="C86" s="35">
        <v>-2.5850118074597299</v>
      </c>
      <c r="D86" s="35">
        <v>0.63316822217349</v>
      </c>
      <c r="E86" s="35">
        <v>-4.08266194817248</v>
      </c>
      <c r="F86" s="40">
        <v>4.4522764911737199E-5</v>
      </c>
      <c r="G86" s="35">
        <v>3.7917434713605298E-3</v>
      </c>
      <c r="H86" s="24" t="s">
        <v>10</v>
      </c>
      <c r="I86" s="34" t="s">
        <v>10</v>
      </c>
      <c r="J86" s="34" t="s">
        <v>10</v>
      </c>
      <c r="K86" s="34"/>
      <c r="L86" s="34"/>
      <c r="M86" s="35"/>
      <c r="N86" s="35"/>
    </row>
    <row r="87" spans="1:14" x14ac:dyDescent="0.2">
      <c r="A87" s="35" t="s">
        <v>4233</v>
      </c>
      <c r="B87" s="35">
        <v>8.6047001266224896</v>
      </c>
      <c r="C87" s="35">
        <v>-6.3455544988431303</v>
      </c>
      <c r="D87" s="35">
        <v>1.5587343235373401</v>
      </c>
      <c r="E87" s="35">
        <v>-4.0709660415013804</v>
      </c>
      <c r="F87" s="40">
        <v>4.6818574873786999E-5</v>
      </c>
      <c r="G87" s="35">
        <v>3.9206864825197096E-3</v>
      </c>
      <c r="H87" s="24" t="s">
        <v>4334</v>
      </c>
      <c r="I87" s="34" t="s">
        <v>4403</v>
      </c>
      <c r="J87" s="34" t="s">
        <v>4375</v>
      </c>
      <c r="L87" s="34"/>
      <c r="M87" s="35"/>
      <c r="N87" s="35"/>
    </row>
    <row r="88" spans="1:14" x14ac:dyDescent="0.2">
      <c r="A88" s="35" t="s">
        <v>4234</v>
      </c>
      <c r="B88" s="35">
        <v>7.6020065372132004</v>
      </c>
      <c r="C88" s="35">
        <v>-6.1663692095523999</v>
      </c>
      <c r="D88" s="35">
        <v>1.53762672775577</v>
      </c>
      <c r="E88" s="35">
        <v>-4.0103160918335901</v>
      </c>
      <c r="F88" s="40">
        <v>6.0637515549565897E-5</v>
      </c>
      <c r="G88" s="35">
        <v>4.7622396363126204E-3</v>
      </c>
      <c r="H88" s="24" t="s">
        <v>10</v>
      </c>
      <c r="I88" s="34" t="s">
        <v>10</v>
      </c>
      <c r="J88" s="34" t="s">
        <v>10</v>
      </c>
      <c r="K88" s="34"/>
      <c r="L88" s="34"/>
      <c r="M88" s="35"/>
      <c r="N88" s="35"/>
    </row>
    <row r="89" spans="1:14" x14ac:dyDescent="0.2">
      <c r="A89" s="35" t="s">
        <v>4235</v>
      </c>
      <c r="B89" s="35">
        <v>46.406696592859703</v>
      </c>
      <c r="C89" s="35">
        <v>-2.1823506715222201</v>
      </c>
      <c r="D89" s="35">
        <v>0.54734073804040295</v>
      </c>
      <c r="E89" s="35">
        <v>-3.9871884547375398</v>
      </c>
      <c r="F89" s="40">
        <v>6.6860915785024399E-5</v>
      </c>
      <c r="G89" s="35">
        <v>5.1412285447847402E-3</v>
      </c>
      <c r="H89" s="24" t="s">
        <v>10</v>
      </c>
      <c r="I89" s="34" t="s">
        <v>10</v>
      </c>
      <c r="J89" s="34" t="s">
        <v>10</v>
      </c>
      <c r="K89" s="34"/>
      <c r="L89" s="34"/>
      <c r="M89" s="35"/>
      <c r="N89" s="35"/>
    </row>
    <row r="90" spans="1:14" x14ac:dyDescent="0.2">
      <c r="A90" s="35" t="s">
        <v>4236</v>
      </c>
      <c r="B90" s="35">
        <v>30.629922832291999</v>
      </c>
      <c r="C90" s="35">
        <v>-2.4534472575997599</v>
      </c>
      <c r="D90" s="35">
        <v>0.615677876077104</v>
      </c>
      <c r="E90" s="35">
        <v>-3.9849527698352798</v>
      </c>
      <c r="F90" s="40">
        <v>6.7493548780546802E-5</v>
      </c>
      <c r="G90" s="35">
        <v>5.1810481484822098E-3</v>
      </c>
      <c r="H90" s="24" t="s">
        <v>10</v>
      </c>
      <c r="I90" s="34" t="s">
        <v>10</v>
      </c>
      <c r="J90" s="34" t="s">
        <v>10</v>
      </c>
      <c r="K90" s="34"/>
      <c r="L90" s="34"/>
      <c r="M90" s="35"/>
      <c r="N90" s="35"/>
    </row>
    <row r="91" spans="1:14" x14ac:dyDescent="0.2">
      <c r="A91" s="35" t="s">
        <v>4237</v>
      </c>
      <c r="B91" s="35">
        <v>16.320552073099801</v>
      </c>
      <c r="C91" s="35">
        <v>-3.3145902264956901</v>
      </c>
      <c r="D91" s="35">
        <v>0.83535765007074803</v>
      </c>
      <c r="E91" s="35">
        <v>-3.9678696019782298</v>
      </c>
      <c r="F91" s="40">
        <v>7.2517992318245895E-5</v>
      </c>
      <c r="G91" s="35">
        <v>5.4463304813122601E-3</v>
      </c>
      <c r="H91" s="24" t="s">
        <v>10</v>
      </c>
      <c r="I91" s="34" t="s">
        <v>10</v>
      </c>
      <c r="J91" s="34" t="s">
        <v>10</v>
      </c>
      <c r="K91" s="34"/>
      <c r="L91" s="34"/>
      <c r="M91" s="35"/>
      <c r="N91" s="35"/>
    </row>
    <row r="92" spans="1:14" x14ac:dyDescent="0.2">
      <c r="A92" s="35" t="s">
        <v>4238</v>
      </c>
      <c r="B92" s="35">
        <v>19.618810127066801</v>
      </c>
      <c r="C92" s="35">
        <v>-2.8387312978694301</v>
      </c>
      <c r="D92" s="35">
        <v>0.722269664548431</v>
      </c>
      <c r="E92" s="35">
        <v>-3.9302928493393501</v>
      </c>
      <c r="F92" s="40">
        <v>8.48424624220044E-5</v>
      </c>
      <c r="G92" s="35">
        <v>6.1866465692116497E-3</v>
      </c>
      <c r="H92" s="24" t="s">
        <v>10</v>
      </c>
      <c r="I92" s="34" t="s">
        <v>10</v>
      </c>
      <c r="J92" s="34" t="s">
        <v>10</v>
      </c>
      <c r="K92" s="34"/>
      <c r="L92" s="34"/>
      <c r="M92" s="35"/>
      <c r="N92" s="35"/>
    </row>
    <row r="93" spans="1:14" x14ac:dyDescent="0.2">
      <c r="A93" s="35" t="s">
        <v>4239</v>
      </c>
      <c r="B93" s="35">
        <v>7.5914001900891197</v>
      </c>
      <c r="C93" s="35">
        <v>-6.1595436589219403</v>
      </c>
      <c r="D93" s="35">
        <v>1.5759130959460601</v>
      </c>
      <c r="E93" s="35">
        <v>-3.9085554113148699</v>
      </c>
      <c r="F93" s="40">
        <v>9.2849652795194695E-5</v>
      </c>
      <c r="G93" s="35">
        <v>6.6523091717725497E-3</v>
      </c>
      <c r="H93" s="24" t="s">
        <v>10</v>
      </c>
      <c r="I93" s="34" t="s">
        <v>10</v>
      </c>
      <c r="J93" s="34" t="s">
        <v>10</v>
      </c>
      <c r="K93" s="34"/>
      <c r="L93" s="34"/>
      <c r="M93" s="35"/>
      <c r="N93" s="35"/>
    </row>
    <row r="94" spans="1:14" x14ac:dyDescent="0.2">
      <c r="A94" s="35" t="s">
        <v>4240</v>
      </c>
      <c r="B94" s="35">
        <v>40.826289639828097</v>
      </c>
      <c r="C94" s="35">
        <v>-2.0655850207733999</v>
      </c>
      <c r="D94" s="35">
        <v>0.52884700970389598</v>
      </c>
      <c r="E94" s="35">
        <v>-3.9058271728338401</v>
      </c>
      <c r="F94" s="40">
        <v>9.3903610804810998E-5</v>
      </c>
      <c r="G94" s="35">
        <v>6.6853742600895098E-3</v>
      </c>
      <c r="H94" s="24" t="s">
        <v>10</v>
      </c>
      <c r="I94" s="34" t="s">
        <v>10</v>
      </c>
      <c r="J94" s="34" t="s">
        <v>10</v>
      </c>
      <c r="K94" s="34"/>
      <c r="L94" s="34"/>
      <c r="M94" s="35"/>
      <c r="N94" s="35"/>
    </row>
    <row r="95" spans="1:14" x14ac:dyDescent="0.2">
      <c r="A95" s="35" t="s">
        <v>4241</v>
      </c>
      <c r="B95" s="35">
        <v>6.9873188922948701</v>
      </c>
      <c r="C95" s="35">
        <v>-6.0521107589694703</v>
      </c>
      <c r="D95" s="35">
        <v>1.55226361023314</v>
      </c>
      <c r="E95" s="35">
        <v>-3.8988936666887799</v>
      </c>
      <c r="F95" s="40">
        <v>9.6633195922629501E-5</v>
      </c>
      <c r="G95" s="35">
        <v>6.8152071318120701E-3</v>
      </c>
      <c r="H95" s="24" t="s">
        <v>4328</v>
      </c>
      <c r="I95" s="34" t="s">
        <v>142</v>
      </c>
      <c r="J95" s="34" t="s">
        <v>4365</v>
      </c>
      <c r="L95" s="34"/>
      <c r="M95" s="35"/>
      <c r="N95" s="35"/>
    </row>
    <row r="96" spans="1:14" x14ac:dyDescent="0.2">
      <c r="A96" s="35" t="s">
        <v>4242</v>
      </c>
      <c r="B96" s="35">
        <v>62.385561814017599</v>
      </c>
      <c r="C96" s="35">
        <v>-2.0282482186766102</v>
      </c>
      <c r="D96" s="35">
        <v>0.52559189678434304</v>
      </c>
      <c r="E96" s="35">
        <v>-3.8589792405205698</v>
      </c>
      <c r="F96" s="35">
        <v>1.13861608143653E-4</v>
      </c>
      <c r="G96" s="35">
        <v>7.7634009165862203E-3</v>
      </c>
      <c r="H96" s="24" t="s">
        <v>10</v>
      </c>
      <c r="I96" s="34" t="s">
        <v>10</v>
      </c>
      <c r="J96" s="34" t="s">
        <v>10</v>
      </c>
      <c r="K96" s="34"/>
      <c r="L96" s="34"/>
      <c r="M96" s="35"/>
      <c r="N96" s="35"/>
    </row>
    <row r="97" spans="1:14" x14ac:dyDescent="0.2">
      <c r="A97" s="35" t="s">
        <v>4243</v>
      </c>
      <c r="B97" s="35">
        <v>20.934497298970001</v>
      </c>
      <c r="C97" s="35">
        <v>-2.6267060886337199</v>
      </c>
      <c r="D97" s="35">
        <v>0.68186891661207005</v>
      </c>
      <c r="E97" s="35">
        <v>-3.85221561599369</v>
      </c>
      <c r="F97" s="35">
        <v>1.17053882126502E-4</v>
      </c>
      <c r="G97" s="35">
        <v>7.9212310008154492E-3</v>
      </c>
      <c r="H97" s="24" t="s">
        <v>10</v>
      </c>
      <c r="I97" s="34" t="s">
        <v>10</v>
      </c>
      <c r="J97" s="34" t="s">
        <v>10</v>
      </c>
      <c r="K97" s="34"/>
      <c r="L97" s="34"/>
      <c r="M97" s="35"/>
      <c r="N97" s="35"/>
    </row>
    <row r="98" spans="1:14" x14ac:dyDescent="0.2">
      <c r="A98" s="35" t="s">
        <v>4244</v>
      </c>
      <c r="B98" s="35">
        <v>385.86755278077999</v>
      </c>
      <c r="C98" s="35">
        <v>-2.38431597846265</v>
      </c>
      <c r="D98" s="35">
        <v>0.62307399928214602</v>
      </c>
      <c r="E98" s="35">
        <v>-3.8266979222526598</v>
      </c>
      <c r="F98" s="35">
        <v>1.2987373086295099E-4</v>
      </c>
      <c r="G98" s="35">
        <v>8.5828851976003494E-3</v>
      </c>
      <c r="H98" s="24" t="s">
        <v>10</v>
      </c>
      <c r="I98" s="34" t="s">
        <v>10</v>
      </c>
      <c r="J98" s="34" t="s">
        <v>10</v>
      </c>
      <c r="K98" s="34"/>
      <c r="L98" s="34"/>
      <c r="M98" s="35"/>
      <c r="N98" s="35"/>
    </row>
    <row r="99" spans="1:14" x14ac:dyDescent="0.2">
      <c r="A99" s="35" t="s">
        <v>4245</v>
      </c>
      <c r="B99" s="35">
        <v>17.7968129947302</v>
      </c>
      <c r="C99" s="35">
        <v>-3.1039507858256998</v>
      </c>
      <c r="D99" s="35">
        <v>0.81207986855170999</v>
      </c>
      <c r="E99" s="35">
        <v>-3.8222235349355298</v>
      </c>
      <c r="F99" s="35">
        <v>1.3225371730453799E-4</v>
      </c>
      <c r="G99" s="35">
        <v>8.6870302498657202E-3</v>
      </c>
      <c r="H99" s="24" t="s">
        <v>10</v>
      </c>
      <c r="I99" s="34" t="s">
        <v>10</v>
      </c>
      <c r="J99" s="34" t="s">
        <v>10</v>
      </c>
      <c r="K99" s="34"/>
      <c r="L99" s="34"/>
      <c r="M99" s="35"/>
      <c r="N99" s="35"/>
    </row>
    <row r="100" spans="1:14" x14ac:dyDescent="0.2">
      <c r="A100" s="35" t="s">
        <v>4246</v>
      </c>
      <c r="B100" s="35">
        <v>7.2059702952201201</v>
      </c>
      <c r="C100" s="35">
        <v>-6.0899478932221101</v>
      </c>
      <c r="D100" s="35">
        <v>1.5946363771359799</v>
      </c>
      <c r="E100" s="35">
        <v>-3.8190197969519999</v>
      </c>
      <c r="F100" s="35">
        <v>1.3398301095764799E-4</v>
      </c>
      <c r="G100" s="35">
        <v>8.7773456684983701E-3</v>
      </c>
      <c r="H100" s="24" t="s">
        <v>4337</v>
      </c>
      <c r="I100" s="34" t="s">
        <v>4406</v>
      </c>
      <c r="J100" s="34" t="s">
        <v>10</v>
      </c>
      <c r="L100" s="34"/>
      <c r="M100" s="35"/>
      <c r="N100" s="35"/>
    </row>
    <row r="101" spans="1:14" x14ac:dyDescent="0.2">
      <c r="A101" s="35" t="s">
        <v>4247</v>
      </c>
      <c r="B101" s="35">
        <v>7.9091671830454597</v>
      </c>
      <c r="C101" s="35">
        <v>-6.2186214203247596</v>
      </c>
      <c r="D101" s="35">
        <v>1.6304719247464099</v>
      </c>
      <c r="E101" s="35">
        <v>-3.8140009195754501</v>
      </c>
      <c r="F101" s="35">
        <v>1.3673495829935001E-4</v>
      </c>
      <c r="G101" s="35">
        <v>8.9317016103585695E-3</v>
      </c>
      <c r="H101" s="24" t="s">
        <v>10</v>
      </c>
      <c r="I101" s="34" t="s">
        <v>4394</v>
      </c>
      <c r="J101" s="34" t="s">
        <v>10</v>
      </c>
      <c r="L101" s="34"/>
      <c r="M101" s="35"/>
      <c r="N101" s="35"/>
    </row>
    <row r="102" spans="1:14" x14ac:dyDescent="0.2">
      <c r="A102" s="35" t="s">
        <v>4248</v>
      </c>
      <c r="B102" s="35">
        <v>13.7770238056533</v>
      </c>
      <c r="C102" s="35">
        <v>-3.5634401191318799</v>
      </c>
      <c r="D102" s="35">
        <v>0.93625824875261099</v>
      </c>
      <c r="E102" s="35">
        <v>-3.8060440309919801</v>
      </c>
      <c r="F102" s="35">
        <v>1.41207254610316E-4</v>
      </c>
      <c r="G102" s="35">
        <v>9.1444359416726299E-3</v>
      </c>
      <c r="H102" s="24" t="s">
        <v>10</v>
      </c>
      <c r="I102" s="34" t="s">
        <v>10</v>
      </c>
      <c r="J102" s="34" t="s">
        <v>10</v>
      </c>
      <c r="K102" s="34"/>
      <c r="L102" s="34"/>
      <c r="M102" s="35"/>
      <c r="N102" s="35"/>
    </row>
    <row r="103" spans="1:14" x14ac:dyDescent="0.2">
      <c r="A103" s="35" t="s">
        <v>4249</v>
      </c>
      <c r="B103" s="35">
        <v>41.655115447013102</v>
      </c>
      <c r="C103" s="35">
        <v>-2.03588736169631</v>
      </c>
      <c r="D103" s="35">
        <v>0.53567980038741503</v>
      </c>
      <c r="E103" s="35">
        <v>-3.8005677276311598</v>
      </c>
      <c r="F103" s="35">
        <v>1.4436495251315501E-4</v>
      </c>
      <c r="G103" s="35">
        <v>9.3221757676484693E-3</v>
      </c>
      <c r="H103" s="24" t="s">
        <v>10</v>
      </c>
      <c r="I103" s="34" t="s">
        <v>10</v>
      </c>
      <c r="J103" s="34" t="s">
        <v>10</v>
      </c>
      <c r="K103" s="34"/>
      <c r="L103" s="34"/>
      <c r="M103" s="35"/>
      <c r="N103" s="35"/>
    </row>
    <row r="104" spans="1:14" x14ac:dyDescent="0.2">
      <c r="A104" s="35" t="s">
        <v>1406</v>
      </c>
      <c r="B104" s="35">
        <v>2673.5407526761901</v>
      </c>
      <c r="C104" s="35">
        <v>2.3802048823295601</v>
      </c>
      <c r="D104" s="35">
        <v>0.173772218869193</v>
      </c>
      <c r="E104" s="35">
        <v>13.697269320829999</v>
      </c>
      <c r="F104" s="40">
        <v>1.05414688643713E-42</v>
      </c>
      <c r="G104" s="40">
        <v>1.1895257003278199E-38</v>
      </c>
      <c r="H104" s="24" t="s">
        <v>10</v>
      </c>
      <c r="I104" s="34" t="s">
        <v>10</v>
      </c>
      <c r="J104" s="34" t="s">
        <v>10</v>
      </c>
      <c r="K104" s="34"/>
      <c r="L104" s="34"/>
      <c r="M104" s="35"/>
      <c r="N104" s="35"/>
    </row>
    <row r="105" spans="1:14" x14ac:dyDescent="0.2">
      <c r="A105" s="35" t="s">
        <v>1508</v>
      </c>
      <c r="B105" s="35">
        <v>132.27412978236799</v>
      </c>
      <c r="C105" s="35">
        <v>3.7648747545458301</v>
      </c>
      <c r="D105" s="35">
        <v>0.33016920816298101</v>
      </c>
      <c r="E105" s="35">
        <v>11.402864535712199</v>
      </c>
      <c r="F105" s="40">
        <v>4.0458382818454398E-30</v>
      </c>
      <c r="G105" s="40">
        <v>3.04361670879429E-26</v>
      </c>
      <c r="H105" s="34" t="str">
        <f>VLOOKUP(A105,TableS7!A:I,8,FALSE)</f>
        <v>K00521</v>
      </c>
      <c r="I105" s="34" t="s">
        <v>1511</v>
      </c>
      <c r="J105" s="34" t="s">
        <v>4361</v>
      </c>
      <c r="K105" s="34"/>
    </row>
    <row r="106" spans="1:14" x14ac:dyDescent="0.2">
      <c r="A106" s="35" t="s">
        <v>1524</v>
      </c>
      <c r="B106" s="35">
        <v>84.427323442329396</v>
      </c>
      <c r="C106" s="35">
        <v>3.9439228104367801</v>
      </c>
      <c r="D106" s="35">
        <v>0.39328681708931701</v>
      </c>
      <c r="E106" s="35">
        <v>10.028108339927099</v>
      </c>
      <c r="F106" s="40">
        <v>1.14692817577549E-23</v>
      </c>
      <c r="G106" s="40">
        <v>4.3140747558315299E-20</v>
      </c>
      <c r="H106" s="24" t="s">
        <v>10</v>
      </c>
      <c r="I106" s="34" t="s">
        <v>10</v>
      </c>
      <c r="J106" s="34" t="s">
        <v>10</v>
      </c>
      <c r="K106" s="34"/>
    </row>
    <row r="107" spans="1:14" x14ac:dyDescent="0.2">
      <c r="A107" s="35" t="s">
        <v>1542</v>
      </c>
      <c r="B107" s="35">
        <v>77.180849924621697</v>
      </c>
      <c r="C107" s="35">
        <v>4.3012016276036098</v>
      </c>
      <c r="D107" s="35">
        <v>0.43308712061812998</v>
      </c>
      <c r="E107" s="35">
        <v>9.9314928171141403</v>
      </c>
      <c r="F107" s="40">
        <v>3.03674656272743E-23</v>
      </c>
      <c r="G107" s="40">
        <v>1.05438176616791E-19</v>
      </c>
      <c r="H107" s="24" t="s">
        <v>10</v>
      </c>
      <c r="I107" s="34" t="s">
        <v>10</v>
      </c>
      <c r="J107" s="34" t="s">
        <v>10</v>
      </c>
      <c r="K107" s="34"/>
    </row>
    <row r="108" spans="1:14" x14ac:dyDescent="0.2">
      <c r="A108" s="35" t="s">
        <v>1523</v>
      </c>
      <c r="B108" s="35">
        <v>107.131190387133</v>
      </c>
      <c r="C108" s="35">
        <v>3.8909085951339</v>
      </c>
      <c r="D108" s="35">
        <v>0.39862302844594</v>
      </c>
      <c r="E108" s="35">
        <v>9.7608725976090494</v>
      </c>
      <c r="F108" s="40">
        <v>1.6572309635976299E-22</v>
      </c>
      <c r="G108" s="40">
        <v>5.34303100027903E-19</v>
      </c>
      <c r="H108" s="24" t="s">
        <v>10</v>
      </c>
      <c r="I108" s="34" t="s">
        <v>10</v>
      </c>
      <c r="J108" s="34" t="s">
        <v>10</v>
      </c>
      <c r="K108" s="34"/>
    </row>
    <row r="109" spans="1:14" x14ac:dyDescent="0.2">
      <c r="A109" s="35" t="s">
        <v>1565</v>
      </c>
      <c r="B109" s="35">
        <v>62.160355360104099</v>
      </c>
      <c r="C109" s="35">
        <v>4.9567519214731703</v>
      </c>
      <c r="D109" s="35">
        <v>0.54097116597311101</v>
      </c>
      <c r="E109" s="35">
        <v>9.1626915319171491</v>
      </c>
      <c r="F109" s="40">
        <v>5.06187403485272E-20</v>
      </c>
      <c r="G109" s="40">
        <v>1.52318538874098E-16</v>
      </c>
      <c r="H109" s="24" t="s">
        <v>10</v>
      </c>
      <c r="I109" s="34" t="s">
        <v>10</v>
      </c>
      <c r="J109" s="34" t="s">
        <v>10</v>
      </c>
      <c r="K109" s="34"/>
    </row>
    <row r="110" spans="1:14" x14ac:dyDescent="0.2">
      <c r="A110" s="35" t="s">
        <v>1474</v>
      </c>
      <c r="B110" s="35">
        <v>98.802564360369402</v>
      </c>
      <c r="C110" s="35">
        <v>3.3078082628649401</v>
      </c>
      <c r="D110" s="35">
        <v>0.36233346476528999</v>
      </c>
      <c r="E110" s="35">
        <v>9.1291823265832104</v>
      </c>
      <c r="F110" s="40">
        <v>6.9018598111105596E-20</v>
      </c>
      <c r="G110" s="40">
        <v>1.9470577893381101E-16</v>
      </c>
      <c r="H110" s="24" t="s">
        <v>10</v>
      </c>
      <c r="I110" s="34" t="s">
        <v>10</v>
      </c>
      <c r="J110" s="34" t="s">
        <v>10</v>
      </c>
      <c r="K110" s="34"/>
    </row>
    <row r="111" spans="1:14" x14ac:dyDescent="0.2">
      <c r="A111" s="35" t="s">
        <v>1408</v>
      </c>
      <c r="B111" s="35">
        <v>259.01634802557498</v>
      </c>
      <c r="C111" s="35">
        <v>2.43337490123873</v>
      </c>
      <c r="D111" s="35">
        <v>0.27046936914886099</v>
      </c>
      <c r="E111" s="35">
        <v>8.9968594554581394</v>
      </c>
      <c r="F111" s="40">
        <v>2.3226660419671399E-19</v>
      </c>
      <c r="G111" s="40">
        <v>6.1669515962512297E-16</v>
      </c>
      <c r="H111" s="24" t="s">
        <v>10</v>
      </c>
      <c r="I111" s="34" t="s">
        <v>10</v>
      </c>
      <c r="J111" s="34" t="s">
        <v>10</v>
      </c>
      <c r="K111" s="34"/>
    </row>
    <row r="112" spans="1:14" x14ac:dyDescent="0.2">
      <c r="A112" s="35" t="s">
        <v>1563</v>
      </c>
      <c r="B112" s="35">
        <v>54.805384996756999</v>
      </c>
      <c r="C112" s="35">
        <v>4.9192702082597402</v>
      </c>
      <c r="D112" s="35">
        <v>0.56540446016146395</v>
      </c>
      <c r="E112" s="35">
        <v>8.7004446460414009</v>
      </c>
      <c r="F112" s="40">
        <v>3.3058627748564601E-18</v>
      </c>
      <c r="G112" s="40">
        <v>7.4608364034347901E-15</v>
      </c>
      <c r="H112" s="24" t="s">
        <v>10</v>
      </c>
      <c r="I112" s="34" t="s">
        <v>10</v>
      </c>
      <c r="J112" s="34" t="s">
        <v>10</v>
      </c>
      <c r="K112" s="34"/>
    </row>
    <row r="113" spans="1:11" x14ac:dyDescent="0.2">
      <c r="A113" s="35" t="s">
        <v>1527</v>
      </c>
      <c r="B113" s="35">
        <v>70.378593301152705</v>
      </c>
      <c r="C113" s="35">
        <v>4.0448592656376103</v>
      </c>
      <c r="D113" s="35">
        <v>0.46884387159920898</v>
      </c>
      <c r="E113" s="35">
        <v>8.6273054009232197</v>
      </c>
      <c r="F113" s="40">
        <v>6.2814284597856201E-18</v>
      </c>
      <c r="G113" s="40">
        <v>1.3321385845209701E-14</v>
      </c>
      <c r="H113" s="24" t="s">
        <v>10</v>
      </c>
      <c r="I113" s="34" t="s">
        <v>10</v>
      </c>
      <c r="J113" s="34" t="s">
        <v>10</v>
      </c>
      <c r="K113" s="34"/>
    </row>
    <row r="114" spans="1:11" x14ac:dyDescent="0.2">
      <c r="A114" s="35" t="s">
        <v>1540</v>
      </c>
      <c r="B114" s="35">
        <v>63.166167898755297</v>
      </c>
      <c r="C114" s="35">
        <v>4.2934940561390604</v>
      </c>
      <c r="D114" s="35">
        <v>0.50044712513697698</v>
      </c>
      <c r="E114" s="35">
        <v>8.5793160565442097</v>
      </c>
      <c r="F114" s="40">
        <v>9.5438907160526205E-18</v>
      </c>
      <c r="G114" s="40">
        <v>1.8729678054368099E-14</v>
      </c>
      <c r="H114" s="24" t="s">
        <v>10</v>
      </c>
      <c r="I114" s="34" t="s">
        <v>10</v>
      </c>
      <c r="J114" s="34" t="s">
        <v>10</v>
      </c>
      <c r="K114" s="34"/>
    </row>
    <row r="115" spans="1:11" x14ac:dyDescent="0.2">
      <c r="A115" s="35" t="s">
        <v>1447</v>
      </c>
      <c r="B115" s="35">
        <v>102.046937016291</v>
      </c>
      <c r="C115" s="35">
        <v>2.82691252043373</v>
      </c>
      <c r="D115" s="35">
        <v>0.33178076649951799</v>
      </c>
      <c r="E115" s="35">
        <v>8.5204231404349304</v>
      </c>
      <c r="F115" s="40">
        <v>1.58971436908131E-17</v>
      </c>
      <c r="G115" s="40">
        <v>2.9897890615509698E-14</v>
      </c>
      <c r="H115" s="24" t="s">
        <v>10</v>
      </c>
      <c r="I115" s="34" t="s">
        <v>1449</v>
      </c>
      <c r="J115" s="34" t="s">
        <v>10</v>
      </c>
      <c r="K115" s="34"/>
    </row>
    <row r="116" spans="1:11" x14ac:dyDescent="0.2">
      <c r="A116" s="35" t="s">
        <v>1551</v>
      </c>
      <c r="B116" s="35">
        <v>67.370498373897505</v>
      </c>
      <c r="C116" s="35">
        <v>4.5352557294068401</v>
      </c>
      <c r="D116" s="35">
        <v>0.536446358746407</v>
      </c>
      <c r="E116" s="35">
        <v>8.45425764470661</v>
      </c>
      <c r="F116" s="40">
        <v>2.8086852055377401E-17</v>
      </c>
      <c r="G116" s="40">
        <v>5.0710249648942702E-14</v>
      </c>
      <c r="H116" s="24" t="s">
        <v>10</v>
      </c>
      <c r="I116" s="34" t="s">
        <v>10</v>
      </c>
      <c r="J116" s="34" t="s">
        <v>10</v>
      </c>
      <c r="K116" s="34"/>
    </row>
    <row r="117" spans="1:11" x14ac:dyDescent="0.2">
      <c r="A117" s="35" t="s">
        <v>1512</v>
      </c>
      <c r="B117" s="35">
        <v>57.856747618590802</v>
      </c>
      <c r="C117" s="35">
        <v>3.8071202713563999</v>
      </c>
      <c r="D117" s="35">
        <v>0.46493907553902097</v>
      </c>
      <c r="E117" s="35">
        <v>8.1884282729789106</v>
      </c>
      <c r="F117" s="40">
        <v>2.6465958372973699E-16</v>
      </c>
      <c r="G117" s="40">
        <v>4.26640701100326E-13</v>
      </c>
      <c r="H117" s="24" t="s">
        <v>10</v>
      </c>
      <c r="I117" s="34" t="s">
        <v>10</v>
      </c>
      <c r="J117" s="34" t="s">
        <v>10</v>
      </c>
      <c r="K117" s="34"/>
    </row>
    <row r="118" spans="1:11" x14ac:dyDescent="0.2">
      <c r="A118" s="35" t="s">
        <v>1431</v>
      </c>
      <c r="B118" s="35">
        <v>123.733904728149</v>
      </c>
      <c r="C118" s="35">
        <v>2.6719571550794501</v>
      </c>
      <c r="D118" s="35">
        <v>0.33252339733637798</v>
      </c>
      <c r="E118" s="35">
        <v>8.0353959344897508</v>
      </c>
      <c r="F118" s="40">
        <v>9.3277199641214997E-16</v>
      </c>
      <c r="G118" s="40">
        <v>1.35814611619533E-12</v>
      </c>
      <c r="H118" s="34" t="str">
        <f>VLOOKUP(A118,TableS7!A:I,8,FALSE)</f>
        <v>K00521</v>
      </c>
      <c r="I118" s="34" t="s">
        <v>1433</v>
      </c>
      <c r="J118" s="34" t="s">
        <v>10</v>
      </c>
      <c r="K118" s="34"/>
    </row>
    <row r="119" spans="1:11" x14ac:dyDescent="0.2">
      <c r="A119" s="35" t="s">
        <v>1484</v>
      </c>
      <c r="B119" s="35">
        <v>64.344454809779705</v>
      </c>
      <c r="C119" s="35">
        <v>3.4097680116206899</v>
      </c>
      <c r="D119" s="35">
        <v>0.42739341815885901</v>
      </c>
      <c r="E119" s="35">
        <v>7.9780545669360396</v>
      </c>
      <c r="F119" s="40">
        <v>1.4865767747047901E-15</v>
      </c>
      <c r="G119" s="40">
        <v>2.0333216933287801E-12</v>
      </c>
      <c r="H119" s="24" t="s">
        <v>4350</v>
      </c>
      <c r="I119" s="34" t="s">
        <v>1486</v>
      </c>
      <c r="J119" s="34" t="s">
        <v>4368</v>
      </c>
      <c r="K119" s="34"/>
    </row>
    <row r="120" spans="1:11" x14ac:dyDescent="0.2">
      <c r="A120" s="35" t="s">
        <v>1499</v>
      </c>
      <c r="B120" s="35">
        <v>82.717371864656897</v>
      </c>
      <c r="C120" s="35">
        <v>3.7185958577691798</v>
      </c>
      <c r="D120" s="35">
        <v>0.46834490521060101</v>
      </c>
      <c r="E120" s="35">
        <v>7.9398661465037996</v>
      </c>
      <c r="F120" s="40">
        <v>2.02399555547317E-15</v>
      </c>
      <c r="G120" s="40">
        <v>2.68697315845272E-12</v>
      </c>
      <c r="H120" s="24" t="s">
        <v>10</v>
      </c>
      <c r="I120" s="34" t="s">
        <v>10</v>
      </c>
      <c r="J120" s="34" t="s">
        <v>10</v>
      </c>
      <c r="K120" s="34"/>
    </row>
    <row r="121" spans="1:11" x14ac:dyDescent="0.2">
      <c r="A121" s="35" t="s">
        <v>1372</v>
      </c>
      <c r="B121" s="35">
        <v>191.88144785037301</v>
      </c>
      <c r="C121" s="35">
        <v>2.0380169196426898</v>
      </c>
      <c r="D121" s="35">
        <v>0.261072453814511</v>
      </c>
      <c r="E121" s="35">
        <v>7.8063269022271999</v>
      </c>
      <c r="F121" s="40">
        <v>5.8878741730136498E-15</v>
      </c>
      <c r="G121" s="40">
        <v>7.5931707584947794E-12</v>
      </c>
      <c r="H121" s="24" t="s">
        <v>1375</v>
      </c>
      <c r="I121" s="34" t="s">
        <v>1376</v>
      </c>
      <c r="J121" s="34" t="s">
        <v>4366</v>
      </c>
      <c r="K121" s="34"/>
    </row>
    <row r="122" spans="1:11" x14ac:dyDescent="0.2">
      <c r="A122" s="35" t="s">
        <v>1571</v>
      </c>
      <c r="B122" s="35">
        <v>44.101936302001398</v>
      </c>
      <c r="C122" s="35">
        <v>5.0070131700200502</v>
      </c>
      <c r="D122" s="35">
        <v>0.64301928154864096</v>
      </c>
      <c r="E122" s="35">
        <v>7.7867232191874702</v>
      </c>
      <c r="F122" s="40">
        <v>6.8769372609952504E-15</v>
      </c>
      <c r="G122" s="40">
        <v>8.6223421430428503E-12</v>
      </c>
      <c r="H122" s="24" t="s">
        <v>10</v>
      </c>
      <c r="I122" s="34" t="s">
        <v>10</v>
      </c>
      <c r="J122" s="34" t="s">
        <v>10</v>
      </c>
      <c r="K122" s="34"/>
    </row>
    <row r="123" spans="1:11" x14ac:dyDescent="0.2">
      <c r="A123" s="35" t="s">
        <v>1377</v>
      </c>
      <c r="B123" s="35">
        <v>393.14489349809401</v>
      </c>
      <c r="C123" s="35">
        <v>2.06756846744877</v>
      </c>
      <c r="D123" s="35">
        <v>0.26686395203693303</v>
      </c>
      <c r="E123" s="35">
        <v>7.7476498855215103</v>
      </c>
      <c r="F123" s="40">
        <v>9.3608810403687607E-15</v>
      </c>
      <c r="G123" s="40">
        <v>1.14195158788953E-11</v>
      </c>
      <c r="H123" s="24" t="s">
        <v>10</v>
      </c>
      <c r="I123" s="34" t="s">
        <v>10</v>
      </c>
      <c r="J123" s="34" t="s">
        <v>10</v>
      </c>
      <c r="K123" s="34"/>
    </row>
    <row r="124" spans="1:11" x14ac:dyDescent="0.2">
      <c r="A124" s="35" t="s">
        <v>1538</v>
      </c>
      <c r="B124" s="35">
        <v>43.6292764124454</v>
      </c>
      <c r="C124" s="35">
        <v>4.2337028396646099</v>
      </c>
      <c r="D124" s="35">
        <v>0.55676654176310802</v>
      </c>
      <c r="E124" s="35">
        <v>7.6040899050035797</v>
      </c>
      <c r="F124" s="40">
        <v>2.8691575109158599E-14</v>
      </c>
      <c r="G124" s="40">
        <v>3.3206451941079299E-11</v>
      </c>
      <c r="H124" s="24" t="s">
        <v>10</v>
      </c>
      <c r="I124" s="34" t="s">
        <v>10</v>
      </c>
      <c r="J124" s="34" t="s">
        <v>10</v>
      </c>
      <c r="K124" s="34"/>
    </row>
    <row r="125" spans="1:11" x14ac:dyDescent="0.2">
      <c r="A125" s="35" t="s">
        <v>1402</v>
      </c>
      <c r="B125" s="35">
        <v>130.16527229172701</v>
      </c>
      <c r="C125" s="35">
        <v>2.3524332785507398</v>
      </c>
      <c r="D125" s="35">
        <v>0.32165523243464</v>
      </c>
      <c r="E125" s="35">
        <v>7.3135240510311101</v>
      </c>
      <c r="F125" s="40">
        <v>2.6022570364593298E-13</v>
      </c>
      <c r="G125" s="40">
        <v>2.86483111840646E-10</v>
      </c>
      <c r="H125" s="24" t="s">
        <v>10</v>
      </c>
      <c r="I125" s="34" t="s">
        <v>10</v>
      </c>
      <c r="J125" s="34" t="s">
        <v>10</v>
      </c>
      <c r="K125" s="34"/>
    </row>
    <row r="126" spans="1:11" x14ac:dyDescent="0.2">
      <c r="A126" s="35" t="s">
        <v>1703</v>
      </c>
      <c r="B126" s="35">
        <v>46.067419362033803</v>
      </c>
      <c r="C126" s="35">
        <v>9.2091950319236897</v>
      </c>
      <c r="D126" s="35">
        <v>1.2704273477202901</v>
      </c>
      <c r="E126" s="35">
        <v>7.2488954590351504</v>
      </c>
      <c r="F126" s="40">
        <v>4.20184032310002E-13</v>
      </c>
      <c r="G126" s="40">
        <v>4.3104196969037599E-10</v>
      </c>
      <c r="H126" s="24" t="s">
        <v>10</v>
      </c>
      <c r="I126" s="34" t="s">
        <v>10</v>
      </c>
      <c r="J126" s="34" t="s">
        <v>10</v>
      </c>
      <c r="K126" s="34"/>
    </row>
    <row r="127" spans="1:11" x14ac:dyDescent="0.2">
      <c r="A127" s="35" t="s">
        <v>1705</v>
      </c>
      <c r="B127" s="35">
        <v>49.703251288098897</v>
      </c>
      <c r="C127" s="35">
        <v>9.3262362983635008</v>
      </c>
      <c r="D127" s="35">
        <v>1.28916365695579</v>
      </c>
      <c r="E127" s="35">
        <v>7.2343307601350997</v>
      </c>
      <c r="F127" s="40">
        <v>4.6783032836390699E-13</v>
      </c>
      <c r="G127" s="40">
        <v>4.6925461180803698E-10</v>
      </c>
      <c r="H127" s="34" t="str">
        <f>VLOOKUP(A127,TableS7!A:I,8,FALSE)</f>
        <v>K00521</v>
      </c>
      <c r="I127" s="34" t="s">
        <v>1707</v>
      </c>
      <c r="J127" s="34" t="s">
        <v>10</v>
      </c>
      <c r="K127" s="34"/>
    </row>
    <row r="128" spans="1:11" x14ac:dyDescent="0.2">
      <c r="A128" s="35" t="s">
        <v>1490</v>
      </c>
      <c r="B128" s="35">
        <v>47.015175756804503</v>
      </c>
      <c r="C128" s="35">
        <v>3.4575483733050798</v>
      </c>
      <c r="D128" s="35">
        <v>0.48370410498684802</v>
      </c>
      <c r="E128" s="35">
        <v>7.14806497951695</v>
      </c>
      <c r="F128" s="40">
        <v>8.8009652646889502E-13</v>
      </c>
      <c r="G128" s="40">
        <v>8.2760243573388602E-10</v>
      </c>
      <c r="H128" s="24" t="s">
        <v>4347</v>
      </c>
      <c r="I128" s="34" t="s">
        <v>4415</v>
      </c>
      <c r="J128" s="34" t="s">
        <v>10</v>
      </c>
    </row>
    <row r="129" spans="1:11" x14ac:dyDescent="0.2">
      <c r="A129" s="35" t="s">
        <v>1701</v>
      </c>
      <c r="B129" s="35">
        <v>40.983422418358302</v>
      </c>
      <c r="C129" s="35">
        <v>9.0420298761158495</v>
      </c>
      <c r="D129" s="35">
        <v>1.2668448314718901</v>
      </c>
      <c r="E129" s="35">
        <v>7.1374407121433503</v>
      </c>
      <c r="F129" s="40">
        <v>9.5084610980566202E-13</v>
      </c>
      <c r="G129" s="40">
        <v>8.6588563548711497E-10</v>
      </c>
      <c r="H129" s="24" t="s">
        <v>1715</v>
      </c>
      <c r="I129" s="34" t="s">
        <v>1702</v>
      </c>
      <c r="J129" s="34" t="s">
        <v>10</v>
      </c>
      <c r="K129" s="34"/>
    </row>
    <row r="130" spans="1:11" x14ac:dyDescent="0.2">
      <c r="A130" s="35" t="s">
        <v>763</v>
      </c>
      <c r="B130" s="35">
        <v>419.79685072348599</v>
      </c>
      <c r="C130" s="35">
        <v>5.8814074730153498</v>
      </c>
      <c r="D130" s="35">
        <v>0.82416038671449698</v>
      </c>
      <c r="E130" s="35">
        <v>7.1362414013387498</v>
      </c>
      <c r="F130" s="40">
        <v>9.5917499555477208E-13</v>
      </c>
      <c r="G130" s="40">
        <v>8.6588563548711497E-10</v>
      </c>
      <c r="H130" s="24" t="s">
        <v>10</v>
      </c>
      <c r="I130" s="34" t="s">
        <v>10</v>
      </c>
      <c r="J130" s="34" t="s">
        <v>10</v>
      </c>
      <c r="K130" s="34"/>
    </row>
    <row r="131" spans="1:11" x14ac:dyDescent="0.2">
      <c r="A131" s="35" t="s">
        <v>1554</v>
      </c>
      <c r="B131" s="35">
        <v>34.644277189903598</v>
      </c>
      <c r="C131" s="35">
        <v>4.6577996989266301</v>
      </c>
      <c r="D131" s="35">
        <v>0.66175230240400096</v>
      </c>
      <c r="E131" s="35">
        <v>7.03858480281197</v>
      </c>
      <c r="F131" s="40">
        <v>1.9420209612399899E-12</v>
      </c>
      <c r="G131" s="40">
        <v>1.6857115409132599E-9</v>
      </c>
      <c r="H131" s="24" t="s">
        <v>10</v>
      </c>
      <c r="I131" s="34" t="s">
        <v>10</v>
      </c>
      <c r="J131" s="34" t="s">
        <v>10</v>
      </c>
      <c r="K131" s="34"/>
    </row>
    <row r="132" spans="1:11" x14ac:dyDescent="0.2">
      <c r="A132" s="35" t="s">
        <v>1480</v>
      </c>
      <c r="B132" s="35">
        <v>48.662619565053198</v>
      </c>
      <c r="C132" s="35">
        <v>3.3418604448740998</v>
      </c>
      <c r="D132" s="35">
        <v>0.48730560897074099</v>
      </c>
      <c r="E132" s="35">
        <v>6.8578329150214099</v>
      </c>
      <c r="F132" s="40">
        <v>6.9912959317141903E-12</v>
      </c>
      <c r="G132" s="40">
        <v>5.5362477977155003E-9</v>
      </c>
      <c r="H132" s="24" t="s">
        <v>1481</v>
      </c>
      <c r="I132" s="34" t="s">
        <v>4422</v>
      </c>
      <c r="J132" s="34" t="s">
        <v>3066</v>
      </c>
      <c r="K132" s="34"/>
    </row>
    <row r="133" spans="1:11" x14ac:dyDescent="0.2">
      <c r="A133" s="35" t="s">
        <v>1429</v>
      </c>
      <c r="B133" s="35">
        <v>90.687630370085898</v>
      </c>
      <c r="C133" s="35">
        <v>2.6576737248723399</v>
      </c>
      <c r="D133" s="35">
        <v>0.38934227111889402</v>
      </c>
      <c r="E133" s="35">
        <v>6.8260600556798003</v>
      </c>
      <c r="F133" s="40">
        <v>8.7278404682074707E-12</v>
      </c>
      <c r="G133" s="40">
        <v>6.7922161243703604E-9</v>
      </c>
      <c r="H133" s="24" t="s">
        <v>10</v>
      </c>
      <c r="I133" s="34" t="s">
        <v>573</v>
      </c>
      <c r="J133" s="34" t="s">
        <v>10</v>
      </c>
      <c r="K133" s="34"/>
    </row>
    <row r="134" spans="1:11" x14ac:dyDescent="0.2">
      <c r="A134" s="35" t="s">
        <v>1544</v>
      </c>
      <c r="B134" s="35">
        <v>30.439700444046</v>
      </c>
      <c r="C134" s="35">
        <v>4.3398394232613597</v>
      </c>
      <c r="D134" s="35">
        <v>0.66233669672392503</v>
      </c>
      <c r="E134" s="35">
        <v>6.5523161327572996</v>
      </c>
      <c r="F134" s="40">
        <v>5.6651451035660102E-11</v>
      </c>
      <c r="G134" s="40">
        <v>3.8165321573083498E-8</v>
      </c>
      <c r="H134" s="24" t="s">
        <v>10</v>
      </c>
      <c r="I134" s="34" t="s">
        <v>10</v>
      </c>
      <c r="J134" s="34" t="s">
        <v>10</v>
      </c>
      <c r="K134" s="34"/>
    </row>
    <row r="135" spans="1:11" x14ac:dyDescent="0.2">
      <c r="A135" s="35" t="s">
        <v>1694</v>
      </c>
      <c r="B135" s="35">
        <v>28.666148835768801</v>
      </c>
      <c r="C135" s="35">
        <v>8.5214073808896007</v>
      </c>
      <c r="D135" s="35">
        <v>1.3093608452036301</v>
      </c>
      <c r="E135" s="35">
        <v>6.5080664448648502</v>
      </c>
      <c r="F135" s="40">
        <v>7.6124248590586602E-11</v>
      </c>
      <c r="G135" s="40">
        <v>4.9086002980475802E-8</v>
      </c>
      <c r="H135" s="24" t="s">
        <v>10</v>
      </c>
      <c r="I135" s="34" t="s">
        <v>10</v>
      </c>
      <c r="J135" s="34" t="s">
        <v>10</v>
      </c>
      <c r="K135" s="34"/>
    </row>
    <row r="136" spans="1:11" x14ac:dyDescent="0.2">
      <c r="A136" s="35" t="s">
        <v>1691</v>
      </c>
      <c r="B136" s="35">
        <v>25.695082745691099</v>
      </c>
      <c r="C136" s="35">
        <v>8.3715489769424494</v>
      </c>
      <c r="D136" s="35">
        <v>1.2988939877921299</v>
      </c>
      <c r="E136" s="35">
        <v>6.4451364434848903</v>
      </c>
      <c r="F136" s="40">
        <v>1.15496464252322E-10</v>
      </c>
      <c r="G136" s="40">
        <v>7.2405054263292201E-8</v>
      </c>
      <c r="H136" s="24" t="s">
        <v>1692</v>
      </c>
      <c r="I136" s="34" t="s">
        <v>4423</v>
      </c>
      <c r="J136" s="34" t="s">
        <v>10</v>
      </c>
      <c r="K136" s="34"/>
    </row>
    <row r="137" spans="1:11" x14ac:dyDescent="0.2">
      <c r="A137" s="35" t="s">
        <v>1503</v>
      </c>
      <c r="B137" s="35">
        <v>40.683652510739698</v>
      </c>
      <c r="C137" s="35">
        <v>3.7487934291906102</v>
      </c>
      <c r="D137" s="35">
        <v>0.58294098794903004</v>
      </c>
      <c r="E137" s="35">
        <v>6.4308283457302302</v>
      </c>
      <c r="F137" s="40">
        <v>1.2691041634428701E-10</v>
      </c>
      <c r="G137" s="40">
        <v>7.8470622774412002E-8</v>
      </c>
      <c r="H137" s="34" t="str">
        <f>VLOOKUP(A137,TableS7!A:I,8,FALSE)</f>
        <v>K00521</v>
      </c>
      <c r="I137" s="34" t="s">
        <v>1504</v>
      </c>
      <c r="J137" s="34" t="s">
        <v>10</v>
      </c>
      <c r="K137" s="34"/>
    </row>
    <row r="138" spans="1:11" x14ac:dyDescent="0.2">
      <c r="A138" s="35" t="s">
        <v>1415</v>
      </c>
      <c r="B138" s="35">
        <v>150.70801625941499</v>
      </c>
      <c r="C138" s="35">
        <v>2.5735468589889199</v>
      </c>
      <c r="D138" s="35">
        <v>0.40353854999577998</v>
      </c>
      <c r="E138" s="35">
        <v>6.3774498347576296</v>
      </c>
      <c r="F138" s="40">
        <v>1.80061001804985E-10</v>
      </c>
      <c r="G138" s="40">
        <v>1.04197608185534E-7</v>
      </c>
      <c r="H138" s="24" t="s">
        <v>10</v>
      </c>
      <c r="I138" s="34" t="s">
        <v>10</v>
      </c>
      <c r="J138" s="34" t="s">
        <v>10</v>
      </c>
      <c r="K138" s="34"/>
    </row>
    <row r="139" spans="1:11" x14ac:dyDescent="0.2">
      <c r="A139" s="35" t="s">
        <v>1587</v>
      </c>
      <c r="B139" s="35">
        <v>33.157905258216999</v>
      </c>
      <c r="C139" s="35">
        <v>6.2714917351172197</v>
      </c>
      <c r="D139" s="35">
        <v>0.987227306312917</v>
      </c>
      <c r="E139" s="35">
        <v>6.3526319572134797</v>
      </c>
      <c r="F139" s="40">
        <v>2.1166171758288799E-10</v>
      </c>
      <c r="G139" s="40">
        <v>1.2093386008277001E-7</v>
      </c>
      <c r="H139" s="24" t="s">
        <v>4351</v>
      </c>
      <c r="I139" s="34" t="s">
        <v>1589</v>
      </c>
      <c r="J139" s="34" t="s">
        <v>4373</v>
      </c>
      <c r="K139" s="34"/>
    </row>
    <row r="140" spans="1:11" x14ac:dyDescent="0.2">
      <c r="A140" s="35" t="s">
        <v>1390</v>
      </c>
      <c r="B140" s="35">
        <v>85.674101007237795</v>
      </c>
      <c r="C140" s="35">
        <v>2.1830754932572698</v>
      </c>
      <c r="D140" s="35">
        <v>0.34783647687029201</v>
      </c>
      <c r="E140" s="35">
        <v>6.2761545680884296</v>
      </c>
      <c r="F140" s="40">
        <v>3.4704918395134999E-10</v>
      </c>
      <c r="G140" s="40">
        <v>1.93392086617433E-7</v>
      </c>
      <c r="H140" s="24" t="s">
        <v>10</v>
      </c>
      <c r="I140" s="34" t="s">
        <v>4400</v>
      </c>
      <c r="J140" s="34" t="s">
        <v>10</v>
      </c>
      <c r="K140" s="34"/>
    </row>
    <row r="141" spans="1:11" x14ac:dyDescent="0.2">
      <c r="A141" s="35" t="s">
        <v>1517</v>
      </c>
      <c r="B141" s="35">
        <v>46.452979646353398</v>
      </c>
      <c r="C141" s="35">
        <v>3.8819611470072002</v>
      </c>
      <c r="D141" s="35">
        <v>0.61926114235370799</v>
      </c>
      <c r="E141" s="35">
        <v>6.26869810085695</v>
      </c>
      <c r="F141" s="40">
        <v>3.6407922643545998E-10</v>
      </c>
      <c r="G141" s="40">
        <v>2.00407854190456E-7</v>
      </c>
      <c r="H141" s="24" t="s">
        <v>1518</v>
      </c>
      <c r="I141" s="34" t="s">
        <v>1519</v>
      </c>
      <c r="J141" s="34" t="s">
        <v>4371</v>
      </c>
      <c r="K141" s="34"/>
    </row>
    <row r="142" spans="1:11" x14ac:dyDescent="0.2">
      <c r="A142" s="35" t="s">
        <v>1584</v>
      </c>
      <c r="B142" s="35">
        <v>30.856201563675601</v>
      </c>
      <c r="C142" s="35">
        <v>5.2348437073941101</v>
      </c>
      <c r="D142" s="35">
        <v>0.83692139827170997</v>
      </c>
      <c r="E142" s="35">
        <v>6.2548809460534303</v>
      </c>
      <c r="F142" s="40">
        <v>3.9781926828285802E-10</v>
      </c>
      <c r="G142" s="40">
        <v>2.11251391911569E-7</v>
      </c>
      <c r="H142" s="24" t="s">
        <v>10</v>
      </c>
      <c r="I142" s="34" t="s">
        <v>10</v>
      </c>
      <c r="J142" s="34" t="s">
        <v>10</v>
      </c>
      <c r="K142" s="34"/>
    </row>
    <row r="143" spans="1:11" x14ac:dyDescent="0.2">
      <c r="A143" s="35" t="s">
        <v>1686</v>
      </c>
      <c r="B143" s="35">
        <v>23.568346622924299</v>
      </c>
      <c r="C143" s="35">
        <v>8.2529841702631099</v>
      </c>
      <c r="D143" s="35">
        <v>1.3266575213317</v>
      </c>
      <c r="E143" s="35">
        <v>6.22088522287107</v>
      </c>
      <c r="F143" s="40">
        <v>4.9435771569149796E-10</v>
      </c>
      <c r="G143" s="40">
        <v>2.5464138601275002E-7</v>
      </c>
      <c r="H143" s="34" t="str">
        <f>VLOOKUP(A143,TableS7!A:I,8,FALSE)</f>
        <v>K00521</v>
      </c>
      <c r="I143" s="34" t="s">
        <v>1689</v>
      </c>
      <c r="J143" s="34" t="s">
        <v>10</v>
      </c>
      <c r="K143" s="34"/>
    </row>
    <row r="144" spans="1:11" x14ac:dyDescent="0.2">
      <c r="A144" s="35" t="s">
        <v>1483</v>
      </c>
      <c r="B144" s="35">
        <v>41.378823963164599</v>
      </c>
      <c r="C144" s="35">
        <v>3.40122830763337</v>
      </c>
      <c r="D144" s="35">
        <v>0.54862598505750404</v>
      </c>
      <c r="E144" s="35">
        <v>6.1995392129974896</v>
      </c>
      <c r="F144" s="40">
        <v>5.6628707558081005E-10</v>
      </c>
      <c r="G144" s="40">
        <v>2.8088461242297798E-7</v>
      </c>
      <c r="H144" s="24" t="s">
        <v>10</v>
      </c>
      <c r="I144" s="34" t="s">
        <v>10</v>
      </c>
      <c r="J144" s="34" t="s">
        <v>10</v>
      </c>
      <c r="K144" s="34"/>
    </row>
    <row r="145" spans="1:11" x14ac:dyDescent="0.2">
      <c r="A145" s="35" t="s">
        <v>1530</v>
      </c>
      <c r="B145" s="35">
        <v>31.373698259210201</v>
      </c>
      <c r="C145" s="35">
        <v>4.0794137163569104</v>
      </c>
      <c r="D145" s="35">
        <v>0.66109392011011603</v>
      </c>
      <c r="E145" s="35">
        <v>6.1707022138055896</v>
      </c>
      <c r="F145" s="40">
        <v>6.7987362564402201E-10</v>
      </c>
      <c r="G145" s="40">
        <v>3.2646229617759802E-7</v>
      </c>
      <c r="H145" s="24" t="s">
        <v>10</v>
      </c>
      <c r="I145" s="34" t="s">
        <v>10</v>
      </c>
      <c r="J145" s="34" t="s">
        <v>10</v>
      </c>
      <c r="K145" s="34"/>
    </row>
    <row r="146" spans="1:11" x14ac:dyDescent="0.2">
      <c r="A146" s="35" t="s">
        <v>1451</v>
      </c>
      <c r="B146" s="35">
        <v>55.1691709692033</v>
      </c>
      <c r="C146" s="35">
        <v>2.84434818717305</v>
      </c>
      <c r="D146" s="35">
        <v>0.466338022268866</v>
      </c>
      <c r="E146" s="35">
        <v>6.0993272076218297</v>
      </c>
      <c r="F146" s="40">
        <v>1.0651583204762999E-9</v>
      </c>
      <c r="G146" s="40">
        <v>5.0081303240977801E-7</v>
      </c>
      <c r="H146" s="24" t="s">
        <v>10</v>
      </c>
      <c r="I146" s="34" t="s">
        <v>1449</v>
      </c>
      <c r="J146" s="34" t="s">
        <v>10</v>
      </c>
      <c r="K146" s="34"/>
    </row>
    <row r="147" spans="1:11" x14ac:dyDescent="0.2">
      <c r="A147" s="35" t="s">
        <v>1676</v>
      </c>
      <c r="B147" s="35">
        <v>21.395949487483001</v>
      </c>
      <c r="C147" s="35">
        <v>8.1041419832649595</v>
      </c>
      <c r="D147" s="35">
        <v>1.3307208540917499</v>
      </c>
      <c r="E147" s="35">
        <v>6.0900390629229797</v>
      </c>
      <c r="F147" s="40">
        <v>1.12883140703576E-9</v>
      </c>
      <c r="G147" s="40">
        <v>5.2527900226157704E-7</v>
      </c>
      <c r="H147" s="24" t="s">
        <v>1678</v>
      </c>
      <c r="I147" s="34" t="s">
        <v>1679</v>
      </c>
      <c r="J147" s="34" t="s">
        <v>4360</v>
      </c>
      <c r="K147" s="34"/>
    </row>
    <row r="148" spans="1:11" x14ac:dyDescent="0.2">
      <c r="A148" s="35" t="s">
        <v>1491</v>
      </c>
      <c r="B148" s="35">
        <v>44.179251365020903</v>
      </c>
      <c r="C148" s="35">
        <v>3.5477936973205901</v>
      </c>
      <c r="D148" s="35">
        <v>0.58532481564900896</v>
      </c>
      <c r="E148" s="35">
        <v>6.0612391657900098</v>
      </c>
      <c r="F148" s="40">
        <v>1.35076801103756E-9</v>
      </c>
      <c r="G148" s="40">
        <v>6.1585470418386302E-7</v>
      </c>
      <c r="H148" s="24" t="s">
        <v>10</v>
      </c>
      <c r="I148" s="34" t="s">
        <v>1494</v>
      </c>
      <c r="J148" s="34" t="s">
        <v>10</v>
      </c>
      <c r="K148" s="34"/>
    </row>
    <row r="149" spans="1:11" x14ac:dyDescent="0.2">
      <c r="A149" s="35" t="s">
        <v>1683</v>
      </c>
      <c r="B149" s="35">
        <v>22.8295445209185</v>
      </c>
      <c r="C149" s="35">
        <v>8.1911691499611905</v>
      </c>
      <c r="D149" s="35">
        <v>1.35291652398317</v>
      </c>
      <c r="E149" s="35">
        <v>6.0544527358164499</v>
      </c>
      <c r="F149" s="40">
        <v>1.4089583434118699E-9</v>
      </c>
      <c r="G149" s="40">
        <v>6.3596152746581499E-7</v>
      </c>
      <c r="H149" s="24" t="s">
        <v>10</v>
      </c>
      <c r="I149" s="34" t="s">
        <v>1685</v>
      </c>
      <c r="J149" s="34" t="s">
        <v>10</v>
      </c>
      <c r="K149" s="34"/>
    </row>
    <row r="150" spans="1:11" x14ac:dyDescent="0.2">
      <c r="A150" s="35" t="s">
        <v>1394</v>
      </c>
      <c r="B150" s="35">
        <v>84.799043275345298</v>
      </c>
      <c r="C150" s="35">
        <v>2.21070025930362</v>
      </c>
      <c r="D150" s="35">
        <v>0.365916728962694</v>
      </c>
      <c r="E150" s="35">
        <v>6.0415391927298598</v>
      </c>
      <c r="F150" s="40">
        <v>1.5265091573756801E-9</v>
      </c>
      <c r="G150" s="40">
        <v>6.8219845382639595E-7</v>
      </c>
      <c r="H150" s="24" t="s">
        <v>10</v>
      </c>
      <c r="I150" s="34" t="s">
        <v>1396</v>
      </c>
      <c r="J150" s="34" t="s">
        <v>10</v>
      </c>
      <c r="K150" s="34"/>
    </row>
    <row r="151" spans="1:11" x14ac:dyDescent="0.2">
      <c r="A151" s="35" t="s">
        <v>1399</v>
      </c>
      <c r="B151" s="35">
        <v>69.004338931698101</v>
      </c>
      <c r="C151" s="35">
        <v>2.2519867167516101</v>
      </c>
      <c r="D151" s="35">
        <v>0.37612261142706399</v>
      </c>
      <c r="E151" s="35">
        <v>5.9873739263035697</v>
      </c>
      <c r="F151" s="40">
        <v>2.1325612630537301E-9</v>
      </c>
      <c r="G151" s="40">
        <v>9.2555209356207999E-7</v>
      </c>
      <c r="H151" s="34" t="str">
        <f>VLOOKUP(A151,TableS7!A:I,8,FALSE)</f>
        <v>K00521</v>
      </c>
      <c r="I151" s="34" t="s">
        <v>1401</v>
      </c>
      <c r="J151" s="34" t="s">
        <v>10</v>
      </c>
      <c r="K151" s="34"/>
    </row>
    <row r="152" spans="1:11" x14ac:dyDescent="0.2">
      <c r="A152" s="35" t="s">
        <v>1443</v>
      </c>
      <c r="B152" s="35">
        <v>51.0312528637306</v>
      </c>
      <c r="C152" s="35">
        <v>2.8184333634572298</v>
      </c>
      <c r="D152" s="35">
        <v>0.47269767489886699</v>
      </c>
      <c r="E152" s="35">
        <v>5.9624438898715297</v>
      </c>
      <c r="F152" s="40">
        <v>2.48492994050967E-9</v>
      </c>
      <c r="G152" s="40">
        <v>1.04824563294192E-6</v>
      </c>
      <c r="H152" s="24" t="s">
        <v>10</v>
      </c>
      <c r="I152" s="34" t="s">
        <v>10</v>
      </c>
      <c r="J152" s="34" t="s">
        <v>10</v>
      </c>
      <c r="K152" s="34"/>
    </row>
    <row r="153" spans="1:11" x14ac:dyDescent="0.2">
      <c r="A153" s="35" t="s">
        <v>1468</v>
      </c>
      <c r="B153" s="35">
        <v>36.787928749249197</v>
      </c>
      <c r="C153" s="35">
        <v>3.2844199106195</v>
      </c>
      <c r="D153" s="35">
        <v>0.55194302127138795</v>
      </c>
      <c r="E153" s="35">
        <v>5.9506503099793102</v>
      </c>
      <c r="F153" s="40">
        <v>2.6707916558041102E-9</v>
      </c>
      <c r="G153" s="40">
        <v>1.1059772749360599E-6</v>
      </c>
      <c r="H153" s="24" t="s">
        <v>10</v>
      </c>
      <c r="I153" s="34" t="s">
        <v>10</v>
      </c>
      <c r="J153" s="34" t="s">
        <v>10</v>
      </c>
      <c r="K153" s="34"/>
    </row>
    <row r="154" spans="1:11" x14ac:dyDescent="0.2">
      <c r="A154" s="35" t="s">
        <v>1385</v>
      </c>
      <c r="B154" s="35">
        <v>129.243292761199</v>
      </c>
      <c r="C154" s="35">
        <v>2.1505311601646899</v>
      </c>
      <c r="D154" s="35">
        <v>0.36447916792342</v>
      </c>
      <c r="E154" s="35">
        <v>5.9002855291212102</v>
      </c>
      <c r="F154" s="40">
        <v>3.6287303793726201E-9</v>
      </c>
      <c r="G154" s="40">
        <v>1.4624107422655501E-6</v>
      </c>
      <c r="H154" s="24" t="s">
        <v>10</v>
      </c>
      <c r="I154" s="34" t="s">
        <v>10</v>
      </c>
      <c r="J154" s="34" t="s">
        <v>10</v>
      </c>
      <c r="K154" s="34"/>
    </row>
    <row r="155" spans="1:11" x14ac:dyDescent="0.2">
      <c r="A155" s="35" t="s">
        <v>1670</v>
      </c>
      <c r="B155" s="35">
        <v>18.303224086046399</v>
      </c>
      <c r="C155" s="35">
        <v>7.8834741328450004</v>
      </c>
      <c r="D155" s="35">
        <v>1.3452641182051099</v>
      </c>
      <c r="E155" s="35">
        <v>5.8601682942107898</v>
      </c>
      <c r="F155" s="40">
        <v>4.62398307791107E-9</v>
      </c>
      <c r="G155" s="40">
        <v>1.79924762230752E-6</v>
      </c>
      <c r="H155" s="34" t="str">
        <f>VLOOKUP(A155,TableS7!A:I,8,FALSE)</f>
        <v>K00521</v>
      </c>
      <c r="I155" s="34" t="s">
        <v>1672</v>
      </c>
      <c r="J155" s="34" t="s">
        <v>10</v>
      </c>
      <c r="K155" s="34"/>
    </row>
    <row r="156" spans="1:11" x14ac:dyDescent="0.2">
      <c r="A156" s="35" t="s">
        <v>1674</v>
      </c>
      <c r="B156" s="35">
        <v>19.7165460041095</v>
      </c>
      <c r="C156" s="35">
        <v>7.9783125877396603</v>
      </c>
      <c r="D156" s="35">
        <v>1.3674076257805301</v>
      </c>
      <c r="E156" s="35">
        <v>5.8346263669441996</v>
      </c>
      <c r="F156" s="40">
        <v>5.3911236703228497E-9</v>
      </c>
      <c r="G156" s="40">
        <v>2.0448667992215301E-6</v>
      </c>
      <c r="H156" s="24" t="s">
        <v>10</v>
      </c>
      <c r="I156" s="34" t="s">
        <v>10</v>
      </c>
      <c r="J156" s="34" t="s">
        <v>10</v>
      </c>
      <c r="K156" s="34"/>
    </row>
    <row r="157" spans="1:11" x14ac:dyDescent="0.2">
      <c r="A157" s="35" t="s">
        <v>1680</v>
      </c>
      <c r="B157" s="35">
        <v>22.417330070978799</v>
      </c>
      <c r="C157" s="35">
        <v>8.1692147330585207</v>
      </c>
      <c r="D157" s="35">
        <v>1.40503789788137</v>
      </c>
      <c r="E157" s="35">
        <v>5.8142308797340796</v>
      </c>
      <c r="F157" s="40">
        <v>6.0913294922906102E-9</v>
      </c>
      <c r="G157" s="40">
        <v>2.2353198316546401E-6</v>
      </c>
      <c r="H157" s="24" t="s">
        <v>4352</v>
      </c>
      <c r="I157" s="34" t="s">
        <v>1682</v>
      </c>
      <c r="J157" s="34" t="s">
        <v>10</v>
      </c>
      <c r="K157" s="34"/>
    </row>
    <row r="158" spans="1:11" x14ac:dyDescent="0.2">
      <c r="A158" s="35" t="s">
        <v>1708</v>
      </c>
      <c r="B158" s="35">
        <v>126.950344481092</v>
      </c>
      <c r="C158" s="35">
        <v>9.6894383236335102</v>
      </c>
      <c r="D158" s="35">
        <v>1.6671787868786201</v>
      </c>
      <c r="E158" s="35">
        <v>5.8118771663203397</v>
      </c>
      <c r="F158" s="40">
        <v>6.17761639081217E-9</v>
      </c>
      <c r="G158" s="40">
        <v>2.2487021857426501E-6</v>
      </c>
      <c r="H158" s="24" t="s">
        <v>10</v>
      </c>
      <c r="I158" s="34" t="s">
        <v>1711</v>
      </c>
      <c r="J158" s="34" t="s">
        <v>10</v>
      </c>
      <c r="K158" s="34"/>
    </row>
    <row r="159" spans="1:11" x14ac:dyDescent="0.2">
      <c r="A159" s="35" t="s">
        <v>1457</v>
      </c>
      <c r="B159" s="35">
        <v>43.1272477996338</v>
      </c>
      <c r="C159" s="35">
        <v>3.0813144055831398</v>
      </c>
      <c r="D159" s="35">
        <v>0.53486070537494301</v>
      </c>
      <c r="E159" s="35">
        <v>5.7609661256066698</v>
      </c>
      <c r="F159" s="40">
        <v>8.3633825321974607E-9</v>
      </c>
      <c r="G159" s="40">
        <v>2.9492031043421601E-6</v>
      </c>
      <c r="H159" s="24" t="s">
        <v>10</v>
      </c>
      <c r="I159" s="34" t="s">
        <v>1459</v>
      </c>
      <c r="J159" s="34" t="s">
        <v>10</v>
      </c>
      <c r="K159" s="34"/>
    </row>
    <row r="160" spans="1:11" x14ac:dyDescent="0.2">
      <c r="A160" s="35" t="s">
        <v>1548</v>
      </c>
      <c r="B160" s="35">
        <v>28.3252905308842</v>
      </c>
      <c r="C160" s="35">
        <v>4.4864193417146598</v>
      </c>
      <c r="D160" s="35">
        <v>0.78009167971328397</v>
      </c>
      <c r="E160" s="35">
        <v>5.7511436903975302</v>
      </c>
      <c r="F160" s="40">
        <v>8.8641734459991001E-9</v>
      </c>
      <c r="G160" s="40">
        <v>3.1015674173027998E-6</v>
      </c>
      <c r="H160" s="34" t="str">
        <f>VLOOKUP(A160,TableS7!A:I,8,FALSE)</f>
        <v>K00521</v>
      </c>
      <c r="I160" s="34" t="s">
        <v>1549</v>
      </c>
      <c r="J160" s="34" t="s">
        <v>10</v>
      </c>
      <c r="K160" s="34"/>
    </row>
    <row r="161" spans="1:11" x14ac:dyDescent="0.2">
      <c r="A161" s="35" t="s">
        <v>1445</v>
      </c>
      <c r="B161" s="35">
        <v>49.478369348698301</v>
      </c>
      <c r="C161" s="35">
        <v>2.8253437150748102</v>
      </c>
      <c r="D161" s="35">
        <v>0.49152055013044499</v>
      </c>
      <c r="E161" s="35">
        <v>5.7481700700509704</v>
      </c>
      <c r="F161" s="40">
        <v>9.02144742253514E-9</v>
      </c>
      <c r="G161" s="40">
        <v>3.1323159408535999E-6</v>
      </c>
      <c r="H161" s="24" t="s">
        <v>10</v>
      </c>
      <c r="I161" s="34" t="s">
        <v>10</v>
      </c>
      <c r="J161" s="34" t="s">
        <v>10</v>
      </c>
      <c r="K161" s="34"/>
    </row>
    <row r="162" spans="1:11" x14ac:dyDescent="0.2">
      <c r="A162" s="35" t="s">
        <v>1663</v>
      </c>
      <c r="B162" s="35">
        <v>16.845416087710301</v>
      </c>
      <c r="C162" s="35">
        <v>7.7621299255264402</v>
      </c>
      <c r="D162" s="35">
        <v>1.35345281091874</v>
      </c>
      <c r="E162" s="35">
        <v>5.7350576709485699</v>
      </c>
      <c r="F162" s="40">
        <v>9.7479171664822602E-9</v>
      </c>
      <c r="G162" s="40">
        <v>3.3587155507138099E-6</v>
      </c>
      <c r="H162" s="24" t="s">
        <v>10</v>
      </c>
      <c r="I162" s="34" t="s">
        <v>10</v>
      </c>
      <c r="J162" s="34" t="s">
        <v>10</v>
      </c>
      <c r="K162" s="34"/>
    </row>
    <row r="163" spans="1:11" x14ac:dyDescent="0.2">
      <c r="A163" s="35" t="s">
        <v>1472</v>
      </c>
      <c r="B163" s="35">
        <v>36.352878577793597</v>
      </c>
      <c r="C163" s="35">
        <v>3.2913747637120001</v>
      </c>
      <c r="D163" s="35">
        <v>0.58055523561279099</v>
      </c>
      <c r="E163" s="35">
        <v>5.66935678435122</v>
      </c>
      <c r="F163" s="40">
        <v>1.43334605646856E-8</v>
      </c>
      <c r="G163" s="40">
        <v>4.72240444896505E-6</v>
      </c>
      <c r="H163" s="24" t="s">
        <v>10</v>
      </c>
      <c r="I163" s="34" t="s">
        <v>10</v>
      </c>
      <c r="J163" s="34" t="s">
        <v>10</v>
      </c>
      <c r="K163" s="34"/>
    </row>
    <row r="164" spans="1:11" x14ac:dyDescent="0.2">
      <c r="A164" s="35" t="s">
        <v>1498</v>
      </c>
      <c r="B164" s="35">
        <v>27.633917751210699</v>
      </c>
      <c r="C164" s="35">
        <v>3.7064296964142902</v>
      </c>
      <c r="D164" s="35">
        <v>0.65566130441761605</v>
      </c>
      <c r="E164" s="35">
        <v>5.6529639181718698</v>
      </c>
      <c r="F164" s="40">
        <v>1.5770442184547998E-8</v>
      </c>
      <c r="G164" s="40">
        <v>5.12108236607153E-6</v>
      </c>
      <c r="H164" s="24" t="s">
        <v>10</v>
      </c>
      <c r="I164" s="34" t="s">
        <v>10</v>
      </c>
      <c r="J164" s="34" t="s">
        <v>10</v>
      </c>
      <c r="K164" s="34"/>
    </row>
    <row r="165" spans="1:11" x14ac:dyDescent="0.2">
      <c r="A165" s="35" t="s">
        <v>1673</v>
      </c>
      <c r="B165" s="35">
        <v>18.512294096072502</v>
      </c>
      <c r="C165" s="35">
        <v>7.8858199319566804</v>
      </c>
      <c r="D165" s="35">
        <v>1.40152367776667</v>
      </c>
      <c r="E165" s="35">
        <v>5.6266048565963303</v>
      </c>
      <c r="F165" s="40">
        <v>1.83791082980782E-8</v>
      </c>
      <c r="G165" s="40">
        <v>5.9255557946453798E-6</v>
      </c>
      <c r="H165" s="24" t="s">
        <v>10</v>
      </c>
      <c r="I165" s="34" t="s">
        <v>10</v>
      </c>
      <c r="J165" s="34" t="s">
        <v>10</v>
      </c>
      <c r="K165" s="34"/>
    </row>
    <row r="166" spans="1:11" x14ac:dyDescent="0.2">
      <c r="A166" s="35" t="s">
        <v>1661</v>
      </c>
      <c r="B166" s="35">
        <v>15.9904208850917</v>
      </c>
      <c r="C166" s="35">
        <v>7.6825550988084599</v>
      </c>
      <c r="D166" s="35">
        <v>1.3678304896262401</v>
      </c>
      <c r="E166" s="35">
        <v>5.6165988088975398</v>
      </c>
      <c r="F166" s="40">
        <v>1.9475290001761799E-8</v>
      </c>
      <c r="G166" s="40">
        <v>6.1905363718980601E-6</v>
      </c>
      <c r="H166" s="24" t="s">
        <v>10</v>
      </c>
      <c r="I166" s="34" t="s">
        <v>10</v>
      </c>
      <c r="J166" s="34" t="s">
        <v>10</v>
      </c>
      <c r="K166" s="34"/>
    </row>
    <row r="167" spans="1:11" x14ac:dyDescent="0.2">
      <c r="A167" s="35" t="s">
        <v>1666</v>
      </c>
      <c r="B167" s="35">
        <v>17.4226422351291</v>
      </c>
      <c r="C167" s="35">
        <v>7.8040539894518899</v>
      </c>
      <c r="D167" s="35">
        <v>1.39068841725915</v>
      </c>
      <c r="E167" s="35">
        <v>5.6116480820575196</v>
      </c>
      <c r="F167" s="40">
        <v>2.0040868457132E-8</v>
      </c>
      <c r="G167" s="40">
        <v>6.3257669898571102E-6</v>
      </c>
      <c r="H167" s="24" t="s">
        <v>1667</v>
      </c>
      <c r="I167" s="34" t="s">
        <v>1668</v>
      </c>
      <c r="J167" s="34" t="s">
        <v>10</v>
      </c>
      <c r="K167" s="34"/>
    </row>
    <row r="168" spans="1:11" x14ac:dyDescent="0.2">
      <c r="A168" s="35" t="s">
        <v>1452</v>
      </c>
      <c r="B168" s="35">
        <v>38.984727703285699</v>
      </c>
      <c r="C168" s="35">
        <v>2.87946796770068</v>
      </c>
      <c r="D168" s="35">
        <v>0.51366906512875699</v>
      </c>
      <c r="E168" s="35">
        <v>5.6056869357684702</v>
      </c>
      <c r="F168" s="40">
        <v>2.0743060379229302E-8</v>
      </c>
      <c r="G168" s="40">
        <v>6.5019410856754997E-6</v>
      </c>
      <c r="H168" s="24" t="s">
        <v>10</v>
      </c>
      <c r="I168" s="34" t="s">
        <v>10</v>
      </c>
      <c r="J168" s="34" t="s">
        <v>10</v>
      </c>
      <c r="K168" s="34"/>
    </row>
    <row r="169" spans="1:11" x14ac:dyDescent="0.2">
      <c r="A169" s="35" t="s">
        <v>1505</v>
      </c>
      <c r="B169" s="35">
        <v>25.722872654369599</v>
      </c>
      <c r="C169" s="35">
        <v>3.7638163961775599</v>
      </c>
      <c r="D169" s="35">
        <v>0.67290621906743797</v>
      </c>
      <c r="E169" s="35">
        <v>5.5933743655894999</v>
      </c>
      <c r="F169" s="40">
        <v>2.2269838770535001E-8</v>
      </c>
      <c r="G169" s="40">
        <v>6.8380524665689698E-6</v>
      </c>
      <c r="H169" s="24" t="s">
        <v>10</v>
      </c>
      <c r="I169" s="34" t="s">
        <v>1507</v>
      </c>
      <c r="J169" s="34" t="s">
        <v>10</v>
      </c>
      <c r="K169" s="34"/>
    </row>
    <row r="170" spans="1:11" x14ac:dyDescent="0.2">
      <c r="A170" s="35" t="s">
        <v>1424</v>
      </c>
      <c r="B170" s="35">
        <v>41.892024880612098</v>
      </c>
      <c r="C170" s="35">
        <v>2.6081274395814198</v>
      </c>
      <c r="D170" s="35">
        <v>0.46648450444438999</v>
      </c>
      <c r="E170" s="35">
        <v>5.5910269574502802</v>
      </c>
      <c r="F170" s="40">
        <v>2.2573052858049699E-8</v>
      </c>
      <c r="G170" s="40">
        <v>6.8457990284496703E-6</v>
      </c>
      <c r="H170" s="24" t="s">
        <v>10</v>
      </c>
      <c r="I170" s="34" t="s">
        <v>10</v>
      </c>
      <c r="J170" s="34" t="s">
        <v>10</v>
      </c>
      <c r="K170" s="34"/>
    </row>
    <row r="171" spans="1:11" x14ac:dyDescent="0.2">
      <c r="A171" s="35" t="s">
        <v>1417</v>
      </c>
      <c r="B171" s="35">
        <v>44.178141954081802</v>
      </c>
      <c r="C171" s="35">
        <v>2.5750783859733399</v>
      </c>
      <c r="D171" s="35">
        <v>0.46111454690138298</v>
      </c>
      <c r="E171" s="35">
        <v>5.5844657325982601</v>
      </c>
      <c r="F171" s="40">
        <v>2.3441973142139001E-8</v>
      </c>
      <c r="G171" s="40">
        <v>7.0072870312366101E-6</v>
      </c>
      <c r="H171" s="24" t="s">
        <v>10</v>
      </c>
      <c r="I171" s="34" t="s">
        <v>10</v>
      </c>
      <c r="J171" s="34" t="s">
        <v>10</v>
      </c>
      <c r="K171" s="34"/>
    </row>
    <row r="172" spans="1:11" x14ac:dyDescent="0.2">
      <c r="A172" s="35" t="s">
        <v>1392</v>
      </c>
      <c r="B172" s="35">
        <v>107.374496510716</v>
      </c>
      <c r="C172" s="35">
        <v>2.2055866407535198</v>
      </c>
      <c r="D172" s="35">
        <v>0.39640297835919702</v>
      </c>
      <c r="E172" s="35">
        <v>5.5640011835505003</v>
      </c>
      <c r="F172" s="40">
        <v>2.6365815554567201E-8</v>
      </c>
      <c r="G172" s="40">
        <v>7.7190067921804894E-6</v>
      </c>
      <c r="H172" s="24" t="s">
        <v>10</v>
      </c>
      <c r="I172" s="34" t="s">
        <v>10</v>
      </c>
      <c r="J172" s="34" t="s">
        <v>10</v>
      </c>
      <c r="K172" s="34"/>
    </row>
    <row r="173" spans="1:11" x14ac:dyDescent="0.2">
      <c r="A173" s="35" t="s">
        <v>1461</v>
      </c>
      <c r="B173" s="35">
        <v>33.800853013083199</v>
      </c>
      <c r="C173" s="35">
        <v>3.1425469006438602</v>
      </c>
      <c r="D173" s="35">
        <v>0.56773536803110103</v>
      </c>
      <c r="E173" s="35">
        <v>5.5352318661107498</v>
      </c>
      <c r="F173" s="40">
        <v>3.1081689491486199E-8</v>
      </c>
      <c r="G173" s="40">
        <v>8.7138771340199501E-6</v>
      </c>
      <c r="H173" s="24" t="s">
        <v>10</v>
      </c>
      <c r="I173" s="34" t="s">
        <v>10</v>
      </c>
      <c r="J173" s="34" t="s">
        <v>10</v>
      </c>
      <c r="K173" s="34"/>
    </row>
    <row r="174" spans="1:11" x14ac:dyDescent="0.2">
      <c r="A174" s="35" t="s">
        <v>1501</v>
      </c>
      <c r="B174" s="35">
        <v>29.5390822207406</v>
      </c>
      <c r="C174" s="35">
        <v>3.7398075169685998</v>
      </c>
      <c r="D174" s="35">
        <v>0.68517099650848401</v>
      </c>
      <c r="E174" s="35">
        <v>5.4582104847199204</v>
      </c>
      <c r="F174" s="40">
        <v>4.8095730240276098E-8</v>
      </c>
      <c r="G174" s="40">
        <v>1.2845544235830399E-5</v>
      </c>
      <c r="H174" s="24" t="s">
        <v>10</v>
      </c>
      <c r="I174" s="34" t="s">
        <v>10</v>
      </c>
      <c r="J174" s="34" t="s">
        <v>10</v>
      </c>
      <c r="K174" s="34"/>
    </row>
    <row r="175" spans="1:11" x14ac:dyDescent="0.2">
      <c r="A175" s="35" t="s">
        <v>1410</v>
      </c>
      <c r="B175" s="35">
        <v>43.330649687450197</v>
      </c>
      <c r="C175" s="35">
        <v>2.4943553923040098</v>
      </c>
      <c r="D175" s="35">
        <v>0.45931736630627601</v>
      </c>
      <c r="E175" s="35">
        <v>5.430570614743</v>
      </c>
      <c r="F175" s="40">
        <v>5.6174145931214199E-8</v>
      </c>
      <c r="G175" s="40">
        <v>1.4656256791313401E-5</v>
      </c>
      <c r="H175" s="24" t="s">
        <v>10</v>
      </c>
      <c r="I175" s="34" t="s">
        <v>4410</v>
      </c>
      <c r="J175" s="34" t="s">
        <v>10</v>
      </c>
    </row>
    <row r="176" spans="1:11" x14ac:dyDescent="0.2">
      <c r="A176" s="35" t="s">
        <v>1573</v>
      </c>
      <c r="B176" s="35">
        <v>22.8198846726394</v>
      </c>
      <c r="C176" s="35">
        <v>5.2093234390554297</v>
      </c>
      <c r="D176" s="35">
        <v>0.96096015627698905</v>
      </c>
      <c r="E176" s="35">
        <v>5.4209567431366903</v>
      </c>
      <c r="F176" s="40">
        <v>5.9280904706580997E-8</v>
      </c>
      <c r="G176" s="40">
        <v>1.5290069689948302E-5</v>
      </c>
      <c r="H176" s="24" t="s">
        <v>10</v>
      </c>
      <c r="I176" s="34" t="s">
        <v>1582</v>
      </c>
      <c r="J176" s="34" t="s">
        <v>10</v>
      </c>
      <c r="K176" s="34"/>
    </row>
    <row r="177" spans="1:11" x14ac:dyDescent="0.2">
      <c r="A177" s="35" t="s">
        <v>1455</v>
      </c>
      <c r="B177" s="35">
        <v>60.706868675026598</v>
      </c>
      <c r="C177" s="35">
        <v>2.9637002074089498</v>
      </c>
      <c r="D177" s="35">
        <v>0.55132465773042605</v>
      </c>
      <c r="E177" s="35">
        <v>5.3755988705625297</v>
      </c>
      <c r="F177" s="40">
        <v>7.6328552846484901E-8</v>
      </c>
      <c r="G177" s="40">
        <v>1.9247161395708302E-5</v>
      </c>
      <c r="H177" s="24" t="s">
        <v>10</v>
      </c>
      <c r="I177" s="34" t="s">
        <v>10</v>
      </c>
      <c r="J177" s="34" t="s">
        <v>10</v>
      </c>
      <c r="K177" s="34"/>
    </row>
    <row r="178" spans="1:11" x14ac:dyDescent="0.2">
      <c r="A178" s="35" t="s">
        <v>1655</v>
      </c>
      <c r="B178" s="35">
        <v>15.1695422364694</v>
      </c>
      <c r="C178" s="35">
        <v>7.5997044849957502</v>
      </c>
      <c r="D178" s="35">
        <v>1.42584455272343</v>
      </c>
      <c r="E178" s="35">
        <v>5.3299670503912697</v>
      </c>
      <c r="F178" s="40">
        <v>9.8230586929538306E-8</v>
      </c>
      <c r="G178" s="40">
        <v>2.4096923925209602E-5</v>
      </c>
      <c r="H178" s="24" t="s">
        <v>10</v>
      </c>
      <c r="I178" s="34" t="s">
        <v>10</v>
      </c>
      <c r="J178" s="34" t="s">
        <v>10</v>
      </c>
      <c r="K178" s="34"/>
    </row>
    <row r="179" spans="1:11" x14ac:dyDescent="0.2">
      <c r="A179" s="35" t="s">
        <v>1620</v>
      </c>
      <c r="B179" s="35">
        <v>19.187749664147798</v>
      </c>
      <c r="C179" s="35">
        <v>6.99645083031068</v>
      </c>
      <c r="D179" s="35">
        <v>1.3177911447533599</v>
      </c>
      <c r="E179" s="35">
        <v>5.3092258649378996</v>
      </c>
      <c r="F179" s="40">
        <v>1.1009183455858701E-7</v>
      </c>
      <c r="G179" s="40">
        <v>2.6716210411134001E-5</v>
      </c>
      <c r="H179" s="24" t="s">
        <v>10</v>
      </c>
      <c r="I179" s="34" t="s">
        <v>10</v>
      </c>
      <c r="J179" s="34" t="s">
        <v>10</v>
      </c>
      <c r="K179" s="34"/>
    </row>
    <row r="180" spans="1:11" x14ac:dyDescent="0.2">
      <c r="A180" s="35" t="s">
        <v>1526</v>
      </c>
      <c r="B180" s="35">
        <v>23.9374503085137</v>
      </c>
      <c r="C180" s="35">
        <v>4.0212863975250404</v>
      </c>
      <c r="D180" s="35">
        <v>0.75931084266527904</v>
      </c>
      <c r="E180" s="35">
        <v>5.2959686225601699</v>
      </c>
      <c r="F180" s="40">
        <v>1.18387167107486E-7</v>
      </c>
      <c r="G180" s="40">
        <v>2.7977180951468998E-5</v>
      </c>
      <c r="H180" s="24" t="s">
        <v>10</v>
      </c>
      <c r="I180" s="34" t="s">
        <v>10</v>
      </c>
      <c r="J180" s="34" t="s">
        <v>10</v>
      </c>
      <c r="K180" s="34"/>
    </row>
    <row r="181" spans="1:11" x14ac:dyDescent="0.2">
      <c r="A181" s="35" t="s">
        <v>1657</v>
      </c>
      <c r="B181" s="35">
        <v>15.383630070391</v>
      </c>
      <c r="C181" s="35">
        <v>7.6164780281851101</v>
      </c>
      <c r="D181" s="35">
        <v>1.45847096262873</v>
      </c>
      <c r="E181" s="35">
        <v>5.2222349456017199</v>
      </c>
      <c r="F181" s="40">
        <v>1.7677648235871599E-7</v>
      </c>
      <c r="G181" s="40">
        <v>4.0298788304168401E-5</v>
      </c>
      <c r="H181" s="34" t="str">
        <f>VLOOKUP(A181,TableS7!A:I,8,FALSE)</f>
        <v>K00521</v>
      </c>
      <c r="I181" s="34" t="s">
        <v>1660</v>
      </c>
      <c r="J181" s="34" t="s">
        <v>10</v>
      </c>
      <c r="K181" s="34"/>
    </row>
    <row r="182" spans="1:11" x14ac:dyDescent="0.2">
      <c r="A182" s="35" t="s">
        <v>1558</v>
      </c>
      <c r="B182" s="35">
        <v>24.301840413809899</v>
      </c>
      <c r="C182" s="35">
        <v>4.9052323122995602</v>
      </c>
      <c r="D182" s="35">
        <v>0.94075058219699303</v>
      </c>
      <c r="E182" s="35">
        <v>5.2141687766422198</v>
      </c>
      <c r="F182" s="40">
        <v>1.8464330006589299E-7</v>
      </c>
      <c r="G182" s="40">
        <v>4.12586368072981E-5</v>
      </c>
      <c r="H182" s="24" t="s">
        <v>4338</v>
      </c>
      <c r="I182" s="34" t="s">
        <v>1562</v>
      </c>
      <c r="J182" s="34" t="s">
        <v>4378</v>
      </c>
      <c r="K182" s="34"/>
    </row>
    <row r="183" spans="1:11" x14ac:dyDescent="0.2">
      <c r="A183" s="35" t="s">
        <v>1464</v>
      </c>
      <c r="B183" s="35">
        <v>30.082410220726501</v>
      </c>
      <c r="C183" s="35">
        <v>3.23355423110113</v>
      </c>
      <c r="D183" s="35">
        <v>0.62598565499845005</v>
      </c>
      <c r="E183" s="35">
        <v>5.1655404645161296</v>
      </c>
      <c r="F183" s="40">
        <v>2.3974515301989999E-7</v>
      </c>
      <c r="G183" s="40">
        <v>5.2025850826246199E-5</v>
      </c>
      <c r="H183" s="24" t="s">
        <v>10</v>
      </c>
      <c r="I183" s="34" t="s">
        <v>10</v>
      </c>
      <c r="J183" s="34" t="s">
        <v>10</v>
      </c>
      <c r="K183" s="34"/>
    </row>
    <row r="184" spans="1:11" x14ac:dyDescent="0.2">
      <c r="A184" s="35" t="s">
        <v>1488</v>
      </c>
      <c r="B184" s="35">
        <v>25.667128639153798</v>
      </c>
      <c r="C184" s="35">
        <v>3.4400857804977099</v>
      </c>
      <c r="D184" s="35">
        <v>0.66694716557130795</v>
      </c>
      <c r="E184" s="35">
        <v>5.1579584681957797</v>
      </c>
      <c r="F184" s="40">
        <v>2.4965697697254498E-7</v>
      </c>
      <c r="G184" s="40">
        <v>5.3522221583167403E-5</v>
      </c>
      <c r="H184" s="24" t="s">
        <v>10</v>
      </c>
      <c r="I184" s="34" t="s">
        <v>10</v>
      </c>
      <c r="J184" s="34" t="s">
        <v>10</v>
      </c>
      <c r="K184" s="34"/>
    </row>
    <row r="185" spans="1:11" x14ac:dyDescent="0.2">
      <c r="A185" s="35" t="s">
        <v>1651</v>
      </c>
      <c r="B185" s="35">
        <v>13.6658538553377</v>
      </c>
      <c r="C185" s="35">
        <v>7.4509187064919802</v>
      </c>
      <c r="D185" s="35">
        <v>1.4490254748751701</v>
      </c>
      <c r="E185" s="35">
        <v>5.1420205066676603</v>
      </c>
      <c r="F185" s="40">
        <v>2.7179944156900002E-7</v>
      </c>
      <c r="G185" s="40">
        <v>5.7597236592018503E-5</v>
      </c>
      <c r="H185" s="24" t="s">
        <v>4344</v>
      </c>
      <c r="I185" s="34" t="s">
        <v>1653</v>
      </c>
      <c r="J185" s="34" t="s">
        <v>10</v>
      </c>
      <c r="K185" s="34"/>
    </row>
    <row r="186" spans="1:11" x14ac:dyDescent="0.2">
      <c r="A186" s="35" t="s">
        <v>1644</v>
      </c>
      <c r="B186" s="35">
        <v>12.044856229771</v>
      </c>
      <c r="C186" s="35">
        <v>7.2846239649323197</v>
      </c>
      <c r="D186" s="35">
        <v>1.41964527714737</v>
      </c>
      <c r="E186" s="35">
        <v>5.1312986998907197</v>
      </c>
      <c r="F186" s="40">
        <v>2.8774985163175403E-7</v>
      </c>
      <c r="G186" s="40">
        <v>6.0410070014430098E-5</v>
      </c>
      <c r="H186" s="24" t="s">
        <v>4353</v>
      </c>
      <c r="I186" s="34" t="s">
        <v>4424</v>
      </c>
      <c r="J186" s="34" t="s">
        <v>10</v>
      </c>
      <c r="K186" s="34"/>
    </row>
    <row r="187" spans="1:11" x14ac:dyDescent="0.2">
      <c r="A187" s="35" t="s">
        <v>1654</v>
      </c>
      <c r="B187" s="35">
        <v>13.914802339136999</v>
      </c>
      <c r="C187" s="35">
        <v>7.4740931869616096</v>
      </c>
      <c r="D187" s="35">
        <v>1.4584009375709099</v>
      </c>
      <c r="E187" s="35">
        <v>5.1248548971796204</v>
      </c>
      <c r="F187" s="40">
        <v>2.9776697529395901E-7</v>
      </c>
      <c r="G187" s="40">
        <v>6.1936903059186198E-5</v>
      </c>
      <c r="H187" s="24" t="s">
        <v>10</v>
      </c>
      <c r="I187" s="34" t="s">
        <v>10</v>
      </c>
      <c r="J187" s="34" t="s">
        <v>10</v>
      </c>
      <c r="K187" s="34"/>
    </row>
    <row r="188" spans="1:11" x14ac:dyDescent="0.2">
      <c r="A188" s="35" t="s">
        <v>1585</v>
      </c>
      <c r="B188" s="35">
        <v>18.461773432701602</v>
      </c>
      <c r="C188" s="35">
        <v>5.6364228438293704</v>
      </c>
      <c r="D188" s="35">
        <v>1.1028417346380399</v>
      </c>
      <c r="E188" s="35">
        <v>5.1108175060851204</v>
      </c>
      <c r="F188" s="40">
        <v>3.2076772704635699E-7</v>
      </c>
      <c r="G188" s="40">
        <v>6.6164670431775605E-5</v>
      </c>
      <c r="H188" s="24" t="s">
        <v>10</v>
      </c>
      <c r="I188" s="34" t="s">
        <v>10</v>
      </c>
      <c r="J188" s="34" t="s">
        <v>10</v>
      </c>
      <c r="K188" s="34"/>
    </row>
    <row r="189" spans="1:11" x14ac:dyDescent="0.2">
      <c r="A189" s="35" t="s">
        <v>1592</v>
      </c>
      <c r="B189" s="35">
        <v>16.7365352732341</v>
      </c>
      <c r="C189" s="35">
        <v>6.7708600335917897</v>
      </c>
      <c r="D189" s="35">
        <v>1.32484870351845</v>
      </c>
      <c r="E189" s="35">
        <v>5.11066661091954</v>
      </c>
      <c r="F189" s="40">
        <v>3.2102405619688597E-7</v>
      </c>
      <c r="G189" s="40">
        <v>6.6164670431775605E-5</v>
      </c>
      <c r="H189" s="24" t="s">
        <v>10</v>
      </c>
      <c r="I189" s="34" t="s">
        <v>10</v>
      </c>
      <c r="J189" s="34" t="s">
        <v>10</v>
      </c>
      <c r="K189" s="34"/>
    </row>
    <row r="190" spans="1:11" x14ac:dyDescent="0.2">
      <c r="A190" s="35" t="s">
        <v>1426</v>
      </c>
      <c r="B190" s="35">
        <v>34.912154558284101</v>
      </c>
      <c r="C190" s="35">
        <v>2.64072484746058</v>
      </c>
      <c r="D190" s="35">
        <v>0.51814670830282095</v>
      </c>
      <c r="E190" s="35">
        <v>5.0964809872289303</v>
      </c>
      <c r="F190" s="40">
        <v>3.46025297477007E-7</v>
      </c>
      <c r="G190" s="40">
        <v>7.0672144127690702E-5</v>
      </c>
      <c r="H190" s="24" t="s">
        <v>4327</v>
      </c>
      <c r="I190" s="34" t="s">
        <v>4393</v>
      </c>
      <c r="J190" s="34" t="s">
        <v>10</v>
      </c>
    </row>
    <row r="191" spans="1:11" x14ac:dyDescent="0.2">
      <c r="A191" s="35" t="s">
        <v>1646</v>
      </c>
      <c r="B191" s="35">
        <v>12.480129331334201</v>
      </c>
      <c r="C191" s="35">
        <v>7.3245348254357703</v>
      </c>
      <c r="D191" s="35">
        <v>1.4392754838237001</v>
      </c>
      <c r="E191" s="35">
        <v>5.0890429995908804</v>
      </c>
      <c r="F191" s="40">
        <v>3.5987501253568098E-7</v>
      </c>
      <c r="G191" s="40">
        <v>7.3169722706410101E-5</v>
      </c>
      <c r="H191" s="24" t="s">
        <v>4354</v>
      </c>
      <c r="I191" s="34" t="s">
        <v>1647</v>
      </c>
      <c r="J191" s="34" t="s">
        <v>10</v>
      </c>
      <c r="K191" s="34"/>
    </row>
    <row r="192" spans="1:11" x14ac:dyDescent="0.2">
      <c r="A192" s="35" t="s">
        <v>1495</v>
      </c>
      <c r="B192" s="35">
        <v>25.480151141487099</v>
      </c>
      <c r="C192" s="35">
        <v>3.6438134231897998</v>
      </c>
      <c r="D192" s="35">
        <v>0.72264172556064399</v>
      </c>
      <c r="E192" s="35">
        <v>5.0423512707667602</v>
      </c>
      <c r="F192" s="40">
        <v>4.5984614257899902E-7</v>
      </c>
      <c r="G192" s="40">
        <v>9.0243805815601105E-5</v>
      </c>
      <c r="H192" s="24" t="s">
        <v>10</v>
      </c>
      <c r="I192" s="34" t="s">
        <v>1496</v>
      </c>
      <c r="J192" s="34" t="s">
        <v>10</v>
      </c>
      <c r="K192" s="34"/>
    </row>
    <row r="193" spans="1:11" x14ac:dyDescent="0.2">
      <c r="A193" s="35" t="s">
        <v>1419</v>
      </c>
      <c r="B193" s="35">
        <v>38.279898011304802</v>
      </c>
      <c r="C193" s="35">
        <v>2.6060449809428299</v>
      </c>
      <c r="D193" s="35">
        <v>0.51980562309742695</v>
      </c>
      <c r="E193" s="35">
        <v>5.0134990179865504</v>
      </c>
      <c r="F193" s="40">
        <v>5.3449040344203404E-7</v>
      </c>
      <c r="G193" s="35">
        <v>1.01794486667355E-4</v>
      </c>
      <c r="H193" s="24" t="s">
        <v>1421</v>
      </c>
      <c r="I193" s="34" t="s">
        <v>1422</v>
      </c>
      <c r="J193" s="34" t="s">
        <v>4370</v>
      </c>
      <c r="K193" s="34"/>
    </row>
    <row r="194" spans="1:11" x14ac:dyDescent="0.2">
      <c r="A194" s="35" t="s">
        <v>1471</v>
      </c>
      <c r="B194" s="35">
        <v>23.838552976189899</v>
      </c>
      <c r="C194" s="35">
        <v>3.2903046437019801</v>
      </c>
      <c r="D194" s="35">
        <v>0.65678128032294603</v>
      </c>
      <c r="E194" s="35">
        <v>5.0097418155464197</v>
      </c>
      <c r="F194" s="40">
        <v>5.4503104529354195E-7</v>
      </c>
      <c r="G194" s="35">
        <v>1.03365824753843E-4</v>
      </c>
      <c r="H194" s="24" t="s">
        <v>10</v>
      </c>
      <c r="I194" s="34" t="s">
        <v>10</v>
      </c>
      <c r="J194" s="34" t="s">
        <v>10</v>
      </c>
      <c r="K194" s="34"/>
    </row>
    <row r="195" spans="1:11" x14ac:dyDescent="0.2">
      <c r="A195" s="35" t="s">
        <v>1640</v>
      </c>
      <c r="B195" s="35">
        <v>11.692365601250801</v>
      </c>
      <c r="C195" s="35">
        <v>7.2282633682058197</v>
      </c>
      <c r="D195" s="35">
        <v>1.4435744609122301</v>
      </c>
      <c r="E195" s="35">
        <v>5.0071981487107298</v>
      </c>
      <c r="F195" s="40">
        <v>5.5228064745840998E-7</v>
      </c>
      <c r="G195" s="35">
        <v>1.04302475248244E-4</v>
      </c>
      <c r="H195" s="24" t="s">
        <v>4355</v>
      </c>
      <c r="I195" s="34" t="s">
        <v>1643</v>
      </c>
      <c r="J195" s="34" t="s">
        <v>10</v>
      </c>
      <c r="K195" s="34"/>
    </row>
    <row r="196" spans="1:11" x14ac:dyDescent="0.2">
      <c r="A196" s="35" t="s">
        <v>1649</v>
      </c>
      <c r="B196" s="35">
        <v>13.0964516871899</v>
      </c>
      <c r="C196" s="35">
        <v>7.38808041023914</v>
      </c>
      <c r="D196" s="35">
        <v>1.47640444995105</v>
      </c>
      <c r="E196" s="35">
        <v>5.0041033203903504</v>
      </c>
      <c r="F196" s="40">
        <v>5.6122651413954705E-7</v>
      </c>
      <c r="G196" s="35">
        <v>1.0555033820298601E-4</v>
      </c>
      <c r="H196" s="24" t="s">
        <v>10</v>
      </c>
      <c r="I196" s="34" t="s">
        <v>1650</v>
      </c>
      <c r="J196" s="34" t="s">
        <v>10</v>
      </c>
      <c r="K196" s="34"/>
    </row>
    <row r="197" spans="1:11" x14ac:dyDescent="0.2">
      <c r="A197" s="35" t="s">
        <v>1637</v>
      </c>
      <c r="B197" s="35">
        <v>10.908169672754999</v>
      </c>
      <c r="C197" s="35">
        <v>7.1355943510758104</v>
      </c>
      <c r="D197" s="35">
        <v>1.44236189781511</v>
      </c>
      <c r="E197" s="35">
        <v>4.9471594901978602</v>
      </c>
      <c r="F197" s="40">
        <v>7.5304274430380496E-7</v>
      </c>
      <c r="G197" s="35">
        <v>1.37056815925971E-4</v>
      </c>
      <c r="H197" s="24" t="s">
        <v>4356</v>
      </c>
      <c r="I197" s="34" t="s">
        <v>1639</v>
      </c>
      <c r="J197" s="34" t="s">
        <v>10</v>
      </c>
      <c r="K197" s="34"/>
    </row>
    <row r="198" spans="1:11" x14ac:dyDescent="0.2">
      <c r="A198" s="35" t="s">
        <v>1383</v>
      </c>
      <c r="B198" s="35">
        <v>63.214874306498501</v>
      </c>
      <c r="C198" s="35">
        <v>2.13642572703331</v>
      </c>
      <c r="D198" s="35">
        <v>0.43431037974238601</v>
      </c>
      <c r="E198" s="35">
        <v>4.9191219613506503</v>
      </c>
      <c r="F198" s="40">
        <v>8.6933292516602903E-7</v>
      </c>
      <c r="G198" s="35">
        <v>1.56330996984936E-4</v>
      </c>
      <c r="H198" s="24" t="s">
        <v>10</v>
      </c>
      <c r="I198" s="34" t="s">
        <v>10</v>
      </c>
      <c r="J198" s="34" t="s">
        <v>10</v>
      </c>
      <c r="K198" s="34"/>
    </row>
    <row r="199" spans="1:11" x14ac:dyDescent="0.2">
      <c r="A199" s="35" t="s">
        <v>1475</v>
      </c>
      <c r="B199" s="35">
        <v>21.688264136858699</v>
      </c>
      <c r="C199" s="35">
        <v>3.3262802043661499</v>
      </c>
      <c r="D199" s="35">
        <v>0.679803607143313</v>
      </c>
      <c r="E199" s="35">
        <v>4.8930016984521902</v>
      </c>
      <c r="F199" s="40">
        <v>9.9309549130490891E-7</v>
      </c>
      <c r="G199" s="35">
        <v>1.7509902808996E-4</v>
      </c>
      <c r="H199" s="24" t="s">
        <v>10</v>
      </c>
      <c r="I199" s="34" t="s">
        <v>1478</v>
      </c>
      <c r="J199" s="34" t="s">
        <v>10</v>
      </c>
      <c r="K199" s="34"/>
    </row>
    <row r="200" spans="1:11" x14ac:dyDescent="0.2">
      <c r="A200" s="35" t="s">
        <v>1434</v>
      </c>
      <c r="B200" s="35">
        <v>31.012535316240701</v>
      </c>
      <c r="C200" s="35">
        <v>2.7407278079579198</v>
      </c>
      <c r="D200" s="35">
        <v>0.56401395984225999</v>
      </c>
      <c r="E200" s="35">
        <v>4.8593261924304603</v>
      </c>
      <c r="F200" s="40">
        <v>1.17785933675651E-6</v>
      </c>
      <c r="G200" s="35">
        <v>2.0291998810373601E-4</v>
      </c>
      <c r="H200" s="24" t="s">
        <v>1436</v>
      </c>
      <c r="I200" s="34" t="s">
        <v>1437</v>
      </c>
      <c r="J200" s="34" t="s">
        <v>10</v>
      </c>
      <c r="K200" s="34"/>
    </row>
    <row r="201" spans="1:11" x14ac:dyDescent="0.2">
      <c r="A201" s="35" t="s">
        <v>1536</v>
      </c>
      <c r="B201" s="35">
        <v>18.707081527574601</v>
      </c>
      <c r="C201" s="35">
        <v>4.2177862483100403</v>
      </c>
      <c r="D201" s="35">
        <v>0.871671239575455</v>
      </c>
      <c r="E201" s="35">
        <v>4.83873512950169</v>
      </c>
      <c r="F201" s="40">
        <v>1.3066804672199801E-6</v>
      </c>
      <c r="G201" s="35">
        <v>2.2256466509022E-4</v>
      </c>
      <c r="H201" s="24" t="s">
        <v>10</v>
      </c>
      <c r="I201" s="34" t="s">
        <v>10</v>
      </c>
      <c r="J201" s="34" t="s">
        <v>10</v>
      </c>
      <c r="K201" s="34"/>
    </row>
    <row r="202" spans="1:11" x14ac:dyDescent="0.2">
      <c r="A202" s="35" t="s">
        <v>1629</v>
      </c>
      <c r="B202" s="35">
        <v>10.5055631028801</v>
      </c>
      <c r="C202" s="35">
        <v>7.0762134765187303</v>
      </c>
      <c r="D202" s="35">
        <v>1.46275602990308</v>
      </c>
      <c r="E202" s="35">
        <v>4.83758968130015</v>
      </c>
      <c r="F202" s="40">
        <v>1.31423092883625E-6</v>
      </c>
      <c r="G202" s="35">
        <v>2.2300917832662401E-4</v>
      </c>
      <c r="H202" s="24" t="s">
        <v>1630</v>
      </c>
      <c r="I202" s="34" t="s">
        <v>1631</v>
      </c>
      <c r="J202" s="34" t="s">
        <v>4380</v>
      </c>
      <c r="K202" s="34"/>
    </row>
    <row r="203" spans="1:11" x14ac:dyDescent="0.2">
      <c r="A203" s="35" t="s">
        <v>1624</v>
      </c>
      <c r="B203" s="35">
        <v>10.101916728093</v>
      </c>
      <c r="C203" s="35">
        <v>7.0209956975804602</v>
      </c>
      <c r="D203" s="35">
        <v>1.46013551211822</v>
      </c>
      <c r="E203" s="35">
        <v>4.8084548586830103</v>
      </c>
      <c r="F203" s="40">
        <v>1.5210136535235E-6</v>
      </c>
      <c r="G203" s="35">
        <v>2.5147982886113601E-4</v>
      </c>
      <c r="H203" s="24" t="s">
        <v>10</v>
      </c>
      <c r="I203" s="34" t="s">
        <v>10</v>
      </c>
      <c r="J203" s="34" t="s">
        <v>10</v>
      </c>
      <c r="K203" s="34"/>
    </row>
    <row r="204" spans="1:11" x14ac:dyDescent="0.2">
      <c r="A204" s="35" t="s">
        <v>1545</v>
      </c>
      <c r="B204" s="35">
        <v>21.108752688692402</v>
      </c>
      <c r="C204" s="35">
        <v>4.3626092366338902</v>
      </c>
      <c r="D204" s="35">
        <v>0.91153062915182104</v>
      </c>
      <c r="E204" s="35">
        <v>4.7860259404484298</v>
      </c>
      <c r="F204" s="40">
        <v>1.70116079370747E-6</v>
      </c>
      <c r="G204" s="35">
        <v>2.76206096207102E-4</v>
      </c>
      <c r="H204" s="34" t="str">
        <f>VLOOKUP(A204,TableS7!A:I,8,FALSE)</f>
        <v>K00521</v>
      </c>
      <c r="I204" s="34" t="s">
        <v>1547</v>
      </c>
      <c r="J204" s="34" t="s">
        <v>3365</v>
      </c>
      <c r="K204" s="34"/>
    </row>
    <row r="205" spans="1:11" x14ac:dyDescent="0.2">
      <c r="A205" s="35" t="s">
        <v>1618</v>
      </c>
      <c r="B205" s="35">
        <v>9.9009664063688092</v>
      </c>
      <c r="C205" s="35">
        <v>6.9889284674129897</v>
      </c>
      <c r="D205" s="35">
        <v>1.4696745415358601</v>
      </c>
      <c r="E205" s="35">
        <v>4.7554259598926798</v>
      </c>
      <c r="F205" s="40">
        <v>1.9802842855061699E-6</v>
      </c>
      <c r="G205" s="35">
        <v>3.1696486452089398E-4</v>
      </c>
      <c r="H205" s="24" t="s">
        <v>10</v>
      </c>
      <c r="I205" s="34" t="s">
        <v>10</v>
      </c>
      <c r="J205" s="34" t="s">
        <v>10</v>
      </c>
      <c r="K205" s="34"/>
    </row>
    <row r="206" spans="1:11" x14ac:dyDescent="0.2">
      <c r="A206" s="35" t="s">
        <v>1698</v>
      </c>
      <c r="B206" s="35">
        <v>34.760506630022398</v>
      </c>
      <c r="C206" s="35">
        <v>8.8076988707982498</v>
      </c>
      <c r="D206" s="35">
        <v>1.8609815405208401</v>
      </c>
      <c r="E206" s="35">
        <v>4.7328244149768297</v>
      </c>
      <c r="F206" s="40">
        <v>2.2141701596347798E-6</v>
      </c>
      <c r="G206" s="35">
        <v>3.4701735588692797E-4</v>
      </c>
      <c r="H206" s="24" t="s">
        <v>10</v>
      </c>
      <c r="I206" s="34" t="s">
        <v>1699</v>
      </c>
      <c r="J206" s="34" t="s">
        <v>10</v>
      </c>
      <c r="K206" s="34"/>
    </row>
    <row r="207" spans="1:11" x14ac:dyDescent="0.2">
      <c r="A207" s="35" t="s">
        <v>1590</v>
      </c>
      <c r="B207" s="35">
        <v>13.3300528054198</v>
      </c>
      <c r="C207" s="35">
        <v>6.4362885396145604</v>
      </c>
      <c r="D207" s="35">
        <v>1.36271951591844</v>
      </c>
      <c r="E207" s="35">
        <v>4.7231205427307899</v>
      </c>
      <c r="F207" s="40">
        <v>2.32253092842084E-6</v>
      </c>
      <c r="G207" s="35">
        <v>3.6024769249529701E-4</v>
      </c>
      <c r="H207" s="24" t="s">
        <v>10</v>
      </c>
      <c r="I207" s="34" t="s">
        <v>10</v>
      </c>
      <c r="J207" s="34" t="s">
        <v>10</v>
      </c>
      <c r="K207" s="34"/>
    </row>
    <row r="208" spans="1:11" x14ac:dyDescent="0.2">
      <c r="A208" s="35" t="s">
        <v>1466</v>
      </c>
      <c r="B208" s="35">
        <v>20.774033484957801</v>
      </c>
      <c r="C208" s="35">
        <v>3.2724401000016501</v>
      </c>
      <c r="D208" s="35">
        <v>0.69651527978746397</v>
      </c>
      <c r="E208" s="35">
        <v>4.6983033896976503</v>
      </c>
      <c r="F208" s="40">
        <v>2.6233155256078002E-6</v>
      </c>
      <c r="G208" s="35">
        <v>3.98682130906933E-4</v>
      </c>
      <c r="H208" s="24" t="s">
        <v>10</v>
      </c>
      <c r="I208" s="34" t="s">
        <v>10</v>
      </c>
      <c r="J208" s="34" t="s">
        <v>10</v>
      </c>
      <c r="K208" s="34"/>
    </row>
    <row r="209" spans="1:11" x14ac:dyDescent="0.2">
      <c r="A209" s="35" t="s">
        <v>1462</v>
      </c>
      <c r="B209" s="35">
        <v>21.581721675493402</v>
      </c>
      <c r="C209" s="35">
        <v>3.1935261385064102</v>
      </c>
      <c r="D209" s="35">
        <v>0.68118478454435405</v>
      </c>
      <c r="E209" s="35">
        <v>4.6881935870640001</v>
      </c>
      <c r="F209" s="40">
        <v>2.7562722337638299E-6</v>
      </c>
      <c r="G209" s="35">
        <v>4.1195317819668202E-4</v>
      </c>
      <c r="H209" s="24" t="s">
        <v>10</v>
      </c>
      <c r="I209" s="34" t="s">
        <v>10</v>
      </c>
      <c r="J209" s="34" t="s">
        <v>10</v>
      </c>
      <c r="K209" s="34"/>
    </row>
    <row r="210" spans="1:11" x14ac:dyDescent="0.2">
      <c r="A210" s="35" t="s">
        <v>1622</v>
      </c>
      <c r="B210" s="35">
        <v>10.0336072811905</v>
      </c>
      <c r="C210" s="35">
        <v>7.0013809980016797</v>
      </c>
      <c r="D210" s="35">
        <v>1.49585289341769</v>
      </c>
      <c r="E210" s="35">
        <v>4.6805277636660296</v>
      </c>
      <c r="F210" s="40">
        <v>2.8613735651997202E-6</v>
      </c>
      <c r="G210" s="35">
        <v>4.2625022644362999E-4</v>
      </c>
      <c r="H210" s="24" t="s">
        <v>10</v>
      </c>
      <c r="I210" s="34" t="s">
        <v>1174</v>
      </c>
      <c r="J210" s="34" t="s">
        <v>10</v>
      </c>
      <c r="K210" s="34"/>
    </row>
    <row r="211" spans="1:11" x14ac:dyDescent="0.2">
      <c r="A211" s="35" t="s">
        <v>1535</v>
      </c>
      <c r="B211" s="35">
        <v>17.169345542965999</v>
      </c>
      <c r="C211" s="35">
        <v>4.2044840928316196</v>
      </c>
      <c r="D211" s="35">
        <v>0.89911490967503704</v>
      </c>
      <c r="E211" s="35">
        <v>4.6762477716571702</v>
      </c>
      <c r="F211" s="40">
        <v>2.92171567739334E-6</v>
      </c>
      <c r="G211" s="35">
        <v>4.3238518206722401E-4</v>
      </c>
      <c r="H211" s="24" t="s">
        <v>10</v>
      </c>
      <c r="I211" s="34" t="s">
        <v>10</v>
      </c>
      <c r="J211" s="34" t="s">
        <v>10</v>
      </c>
      <c r="K211" s="34"/>
    </row>
    <row r="212" spans="1:11" x14ac:dyDescent="0.2">
      <c r="A212" s="35" t="s">
        <v>1615</v>
      </c>
      <c r="B212" s="35">
        <v>9.6854285501392905</v>
      </c>
      <c r="C212" s="35">
        <v>6.9567491896732996</v>
      </c>
      <c r="D212" s="35">
        <v>1.49112101929247</v>
      </c>
      <c r="E212" s="35">
        <v>4.6654490813725102</v>
      </c>
      <c r="F212" s="40">
        <v>3.0794374728868601E-6</v>
      </c>
      <c r="G212" s="35">
        <v>4.4982708483396199E-4</v>
      </c>
      <c r="H212" s="24" t="s">
        <v>10</v>
      </c>
      <c r="I212" s="34" t="s">
        <v>1617</v>
      </c>
      <c r="J212" s="34" t="s">
        <v>4383</v>
      </c>
      <c r="K212" s="34"/>
    </row>
    <row r="213" spans="1:11" x14ac:dyDescent="0.2">
      <c r="A213" s="35" t="s">
        <v>1626</v>
      </c>
      <c r="B213" s="35">
        <v>10.567070825093399</v>
      </c>
      <c r="C213" s="35">
        <v>7.0724945396862697</v>
      </c>
      <c r="D213" s="35">
        <v>1.52620993205495</v>
      </c>
      <c r="E213" s="35">
        <v>4.6340247112424402</v>
      </c>
      <c r="F213" s="40">
        <v>3.58624157792483E-6</v>
      </c>
      <c r="G213" s="35">
        <v>5.1138563234218496E-4</v>
      </c>
      <c r="H213" s="34" t="str">
        <f>VLOOKUP(A213,TableS7!A:I,8,FALSE)</f>
        <v>K00521</v>
      </c>
      <c r="I213" s="34" t="s">
        <v>1628</v>
      </c>
      <c r="J213" s="34" t="s">
        <v>10</v>
      </c>
      <c r="K213" s="34"/>
    </row>
    <row r="214" spans="1:11" x14ac:dyDescent="0.2">
      <c r="A214" s="35" t="s">
        <v>1387</v>
      </c>
      <c r="B214" s="35">
        <v>47.454230693167801</v>
      </c>
      <c r="C214" s="35">
        <v>2.1693068145827001</v>
      </c>
      <c r="D214" s="35">
        <v>0.46887589525819401</v>
      </c>
      <c r="E214" s="35">
        <v>4.6266119383000897</v>
      </c>
      <c r="F214" s="40">
        <v>3.7169601482331098E-6</v>
      </c>
      <c r="G214" s="35">
        <v>5.2265554582803101E-4</v>
      </c>
      <c r="H214" s="24" t="s">
        <v>4322</v>
      </c>
      <c r="I214" s="34" t="s">
        <v>1389</v>
      </c>
      <c r="J214" s="34" t="s">
        <v>10</v>
      </c>
      <c r="K214" s="34"/>
    </row>
    <row r="215" spans="1:11" x14ac:dyDescent="0.2">
      <c r="A215" s="35" t="s">
        <v>1612</v>
      </c>
      <c r="B215" s="35">
        <v>9.1370435932453304</v>
      </c>
      <c r="C215" s="35">
        <v>6.8908555406052203</v>
      </c>
      <c r="D215" s="35">
        <v>1.4941503409127701</v>
      </c>
      <c r="E215" s="35">
        <v>4.6118890127184997</v>
      </c>
      <c r="F215" s="40">
        <v>3.9902604634285097E-6</v>
      </c>
      <c r="G215" s="35">
        <v>5.5232170300744603E-4</v>
      </c>
      <c r="H215" s="34" t="str">
        <f>VLOOKUP(A215,TableS7!A:I,8,FALSE)</f>
        <v>K00521</v>
      </c>
      <c r="I215" s="34" t="s">
        <v>1614</v>
      </c>
      <c r="J215" s="34" t="s">
        <v>10</v>
      </c>
      <c r="K215" s="34"/>
    </row>
    <row r="216" spans="1:11" x14ac:dyDescent="0.2">
      <c r="A216" s="35" t="s">
        <v>1633</v>
      </c>
      <c r="B216" s="35">
        <v>10.589833767686001</v>
      </c>
      <c r="C216" s="35">
        <v>7.0855524145324003</v>
      </c>
      <c r="D216" s="35">
        <v>1.53877699544827</v>
      </c>
      <c r="E216" s="35">
        <v>4.6046648965325101</v>
      </c>
      <c r="F216" s="40">
        <v>4.1313055867017696E-6</v>
      </c>
      <c r="G216" s="35">
        <v>5.6679252360777399E-4</v>
      </c>
      <c r="H216" s="24" t="s">
        <v>10</v>
      </c>
      <c r="I216" s="34" t="s">
        <v>10</v>
      </c>
      <c r="J216" s="34" t="s">
        <v>10</v>
      </c>
      <c r="K216" s="34"/>
    </row>
    <row r="217" spans="1:11" x14ac:dyDescent="0.2">
      <c r="A217" s="35" t="s">
        <v>1412</v>
      </c>
      <c r="B217" s="35">
        <v>40.107479153628397</v>
      </c>
      <c r="C217" s="35">
        <v>2.5672285941821298</v>
      </c>
      <c r="D217" s="35">
        <v>0.55762721495827305</v>
      </c>
      <c r="E217" s="35">
        <v>4.6038437962075403</v>
      </c>
      <c r="F217" s="40">
        <v>4.1476360250741497E-6</v>
      </c>
      <c r="G217" s="35">
        <v>5.6730862807203599E-4</v>
      </c>
      <c r="H217" s="34" t="str">
        <f>VLOOKUP(A217,TableS7!A:I,8,FALSE)</f>
        <v>K00521</v>
      </c>
      <c r="I217" s="34" t="s">
        <v>1414</v>
      </c>
      <c r="J217" s="34" t="s">
        <v>10</v>
      </c>
      <c r="K217" s="34"/>
    </row>
    <row r="218" spans="1:11" x14ac:dyDescent="0.2">
      <c r="A218" s="35" t="s">
        <v>1533</v>
      </c>
      <c r="B218" s="35">
        <v>14.745392004698701</v>
      </c>
      <c r="C218" s="35">
        <v>4.13985326857002</v>
      </c>
      <c r="D218" s="35">
        <v>0.90207328245773899</v>
      </c>
      <c r="E218" s="35">
        <v>4.5892649179131002</v>
      </c>
      <c r="F218" s="40">
        <v>4.4480962143158999E-6</v>
      </c>
      <c r="G218" s="35">
        <v>5.9997125620528001E-4</v>
      </c>
      <c r="H218" s="24" t="s">
        <v>10</v>
      </c>
      <c r="I218" s="34" t="s">
        <v>10</v>
      </c>
      <c r="J218" s="34" t="s">
        <v>10</v>
      </c>
      <c r="K218" s="34"/>
    </row>
    <row r="219" spans="1:11" x14ac:dyDescent="0.2">
      <c r="A219" s="35" t="s">
        <v>1454</v>
      </c>
      <c r="B219" s="35">
        <v>35.750842200943097</v>
      </c>
      <c r="C219" s="35">
        <v>2.9389103484352601</v>
      </c>
      <c r="D219" s="35">
        <v>0.64051359251176698</v>
      </c>
      <c r="E219" s="35">
        <v>4.5883653099544004</v>
      </c>
      <c r="F219" s="40">
        <v>4.4673039211234996E-6</v>
      </c>
      <c r="G219" s="35">
        <v>6.0012112228497502E-4</v>
      </c>
      <c r="H219" s="24" t="s">
        <v>10</v>
      </c>
      <c r="I219" s="34" t="s">
        <v>10</v>
      </c>
      <c r="J219" s="34" t="s">
        <v>10</v>
      </c>
      <c r="K219" s="34"/>
    </row>
    <row r="220" spans="1:11" x14ac:dyDescent="0.2">
      <c r="A220" s="35" t="s">
        <v>1521</v>
      </c>
      <c r="B220" s="35">
        <v>29.404633661546399</v>
      </c>
      <c r="C220" s="35">
        <v>3.88935117017206</v>
      </c>
      <c r="D220" s="35">
        <v>0.84871623802010598</v>
      </c>
      <c r="E220" s="35">
        <v>4.5826284403903701</v>
      </c>
      <c r="F220" s="40">
        <v>4.5916749867191904E-6</v>
      </c>
      <c r="G220" s="35">
        <v>6.1499832010547203E-4</v>
      </c>
      <c r="H220" s="24" t="s">
        <v>10</v>
      </c>
      <c r="I220" s="34" t="s">
        <v>10</v>
      </c>
      <c r="J220" s="34" t="s">
        <v>10</v>
      </c>
      <c r="K220" s="34"/>
    </row>
    <row r="221" spans="1:11" x14ac:dyDescent="0.2">
      <c r="A221" s="35" t="s">
        <v>1601</v>
      </c>
      <c r="B221" s="35">
        <v>8.7828072333863201</v>
      </c>
      <c r="C221" s="35">
        <v>6.82454242422072</v>
      </c>
      <c r="D221" s="35">
        <v>1.4898854289227601</v>
      </c>
      <c r="E221" s="35">
        <v>4.5805820311667196</v>
      </c>
      <c r="F221" s="40">
        <v>4.6368369893900202E-6</v>
      </c>
      <c r="G221" s="35">
        <v>6.1920979642040598E-4</v>
      </c>
      <c r="H221" s="24" t="s">
        <v>10</v>
      </c>
      <c r="I221" s="34" t="s">
        <v>10</v>
      </c>
      <c r="J221" s="34" t="s">
        <v>10</v>
      </c>
      <c r="K221" s="34"/>
    </row>
    <row r="222" spans="1:11" x14ac:dyDescent="0.2">
      <c r="A222" s="35" t="s">
        <v>1440</v>
      </c>
      <c r="B222" s="35">
        <v>36.847457151974602</v>
      </c>
      <c r="C222" s="35">
        <v>2.7447706925859401</v>
      </c>
      <c r="D222" s="35">
        <v>0.60189163025132197</v>
      </c>
      <c r="E222" s="35">
        <v>4.5602406722948698</v>
      </c>
      <c r="F222" s="40">
        <v>5.1095026539382797E-6</v>
      </c>
      <c r="G222" s="35">
        <v>6.70429131659338E-4</v>
      </c>
      <c r="H222" s="24" t="s">
        <v>10</v>
      </c>
      <c r="I222" s="34" t="s">
        <v>10</v>
      </c>
      <c r="J222" s="34" t="s">
        <v>10</v>
      </c>
      <c r="K222" s="34"/>
    </row>
    <row r="223" spans="1:11" x14ac:dyDescent="0.2">
      <c r="A223" s="35" t="s">
        <v>1397</v>
      </c>
      <c r="B223" s="35">
        <v>46.605366124315701</v>
      </c>
      <c r="C223" s="35">
        <v>2.2117489516429201</v>
      </c>
      <c r="D223" s="35">
        <v>0.485242049507632</v>
      </c>
      <c r="E223" s="35">
        <v>4.5580323343518003</v>
      </c>
      <c r="F223" s="40">
        <v>5.16350894648418E-6</v>
      </c>
      <c r="G223" s="35">
        <v>6.7555160381871403E-4</v>
      </c>
      <c r="H223" s="24" t="s">
        <v>10</v>
      </c>
      <c r="I223" s="34" t="s">
        <v>10</v>
      </c>
      <c r="J223" s="34" t="s">
        <v>10</v>
      </c>
      <c r="K223" s="34"/>
    </row>
    <row r="224" spans="1:11" x14ac:dyDescent="0.2">
      <c r="A224" s="35" t="s">
        <v>1555</v>
      </c>
      <c r="B224" s="35">
        <v>16.7413540233077</v>
      </c>
      <c r="C224" s="35">
        <v>4.8338335877395204</v>
      </c>
      <c r="D224" s="35">
        <v>1.0613127604364001</v>
      </c>
      <c r="E224" s="35">
        <v>4.5545797317577703</v>
      </c>
      <c r="F224" s="40">
        <v>5.2490413256608601E-6</v>
      </c>
      <c r="G224" s="35">
        <v>6.8475716276403004E-4</v>
      </c>
      <c r="H224" s="24" t="s">
        <v>10</v>
      </c>
      <c r="I224" s="34" t="s">
        <v>10</v>
      </c>
      <c r="J224" s="34" t="s">
        <v>10</v>
      </c>
      <c r="K224" s="34"/>
    </row>
    <row r="225" spans="1:11" x14ac:dyDescent="0.2">
      <c r="A225" s="35" t="s">
        <v>40</v>
      </c>
      <c r="B225" s="35">
        <v>8.9994230639830803</v>
      </c>
      <c r="C225" s="35">
        <v>6.8667559279847898</v>
      </c>
      <c r="D225" s="35">
        <v>1.5127327100980601</v>
      </c>
      <c r="E225" s="35">
        <v>4.5393055112424197</v>
      </c>
      <c r="F225" s="40">
        <v>5.6439811159420098E-6</v>
      </c>
      <c r="G225" s="35">
        <v>7.2786393037221203E-4</v>
      </c>
      <c r="H225" s="34" t="str">
        <f>VLOOKUP(A225,TableS7!A:I,8,FALSE)</f>
        <v>K00521</v>
      </c>
      <c r="I225" s="34" t="s">
        <v>1611</v>
      </c>
      <c r="J225" s="34" t="s">
        <v>10</v>
      </c>
      <c r="K225" s="34"/>
    </row>
    <row r="226" spans="1:11" x14ac:dyDescent="0.2">
      <c r="A226" s="35" t="s">
        <v>1598</v>
      </c>
      <c r="B226" s="35">
        <v>8.7646518972934704</v>
      </c>
      <c r="C226" s="35">
        <v>6.8115687715334703</v>
      </c>
      <c r="D226" s="35">
        <v>1.5104707180124199</v>
      </c>
      <c r="E226" s="35">
        <v>4.50956691202635</v>
      </c>
      <c r="F226" s="40">
        <v>6.4960103753197501E-6</v>
      </c>
      <c r="G226" s="35">
        <v>8.1674211785740197E-4</v>
      </c>
      <c r="H226" s="24" t="s">
        <v>10</v>
      </c>
      <c r="I226" s="34" t="s">
        <v>10</v>
      </c>
      <c r="J226" s="34" t="s">
        <v>10</v>
      </c>
      <c r="K226" s="34"/>
    </row>
    <row r="227" spans="1:11" x14ac:dyDescent="0.2">
      <c r="A227" s="35" t="s">
        <v>1514</v>
      </c>
      <c r="B227" s="35">
        <v>16.515548848569399</v>
      </c>
      <c r="C227" s="35">
        <v>3.8556501693690901</v>
      </c>
      <c r="D227" s="35">
        <v>0.859447024507901</v>
      </c>
      <c r="E227" s="35">
        <v>4.48619875271166</v>
      </c>
      <c r="F227" s="40">
        <v>7.2505110040573204E-6</v>
      </c>
      <c r="G227" s="35">
        <v>8.9662004161680895E-4</v>
      </c>
      <c r="H227" s="24" t="s">
        <v>10</v>
      </c>
      <c r="I227" s="34" t="s">
        <v>10</v>
      </c>
      <c r="J227" s="34" t="s">
        <v>10</v>
      </c>
      <c r="K227" s="34"/>
    </row>
    <row r="228" spans="1:11" x14ac:dyDescent="0.2">
      <c r="A228" s="35" t="s">
        <v>1595</v>
      </c>
      <c r="B228" s="35">
        <v>8.6138556863788995</v>
      </c>
      <c r="C228" s="35">
        <v>6.7857969385177004</v>
      </c>
      <c r="D228" s="35">
        <v>1.5163832519409599</v>
      </c>
      <c r="E228" s="35">
        <v>4.4749880545250997</v>
      </c>
      <c r="F228" s="40">
        <v>7.6415584856861101E-6</v>
      </c>
      <c r="G228" s="35">
        <v>9.3982840699840305E-4</v>
      </c>
      <c r="H228" s="24" t="s">
        <v>4345</v>
      </c>
      <c r="I228" s="34" t="s">
        <v>1597</v>
      </c>
      <c r="J228" s="34" t="s">
        <v>4384</v>
      </c>
      <c r="K228" s="34"/>
    </row>
    <row r="229" spans="1:11" x14ac:dyDescent="0.2">
      <c r="A229" s="35" t="s">
        <v>1567</v>
      </c>
      <c r="B229" s="35">
        <v>14.760413029028699</v>
      </c>
      <c r="C229" s="35">
        <v>5.0034856626087301</v>
      </c>
      <c r="D229" s="35">
        <v>1.1202497423689399</v>
      </c>
      <c r="E229" s="35">
        <v>4.4664019757130999</v>
      </c>
      <c r="F229" s="40">
        <v>7.9546084214132792E-6</v>
      </c>
      <c r="G229" s="35">
        <v>9.7039773058738195E-4</v>
      </c>
      <c r="H229" s="24" t="s">
        <v>1568</v>
      </c>
      <c r="I229" s="34" t="s">
        <v>1569</v>
      </c>
      <c r="J229" s="34" t="s">
        <v>4367</v>
      </c>
      <c r="K229" s="34"/>
    </row>
    <row r="230" spans="1:11" x14ac:dyDescent="0.2">
      <c r="A230" s="35" t="s">
        <v>4250</v>
      </c>
      <c r="B230" s="35">
        <v>8.2788526369799804</v>
      </c>
      <c r="C230" s="35">
        <v>6.73547353829081</v>
      </c>
      <c r="D230" s="35">
        <v>1.5132857628742</v>
      </c>
      <c r="E230" s="35">
        <v>4.4508933497781999</v>
      </c>
      <c r="F230" s="40">
        <v>8.5513805158193508E-6</v>
      </c>
      <c r="G230" s="35">
        <v>1.0348087462266401E-3</v>
      </c>
      <c r="H230" s="24" t="s">
        <v>10</v>
      </c>
      <c r="I230" s="34" t="s">
        <v>10</v>
      </c>
      <c r="J230" s="34" t="s">
        <v>10</v>
      </c>
      <c r="K230" s="34"/>
    </row>
    <row r="231" spans="1:11" x14ac:dyDescent="0.2">
      <c r="A231" s="35" t="s">
        <v>4251</v>
      </c>
      <c r="B231" s="35">
        <v>8.8958809192621704</v>
      </c>
      <c r="C231" s="35">
        <v>6.8263430589772298</v>
      </c>
      <c r="D231" s="35">
        <v>1.5350703383084501</v>
      </c>
      <c r="E231" s="35">
        <v>4.4469252571836</v>
      </c>
      <c r="F231" s="40">
        <v>8.7108129247442806E-6</v>
      </c>
      <c r="G231" s="35">
        <v>1.05128332348712E-3</v>
      </c>
      <c r="H231" s="24" t="s">
        <v>10</v>
      </c>
      <c r="I231" s="34" t="s">
        <v>10</v>
      </c>
      <c r="J231" s="34" t="s">
        <v>10</v>
      </c>
      <c r="K231" s="34"/>
    </row>
    <row r="232" spans="1:11" x14ac:dyDescent="0.2">
      <c r="A232" s="35" t="s">
        <v>4252</v>
      </c>
      <c r="B232" s="35">
        <v>8.99581709294063</v>
      </c>
      <c r="C232" s="35">
        <v>6.8415838095035602</v>
      </c>
      <c r="D232" s="35">
        <v>1.54079992955128</v>
      </c>
      <c r="E232" s="35">
        <v>4.4402804532162801</v>
      </c>
      <c r="F232" s="40">
        <v>8.9841718607069797E-6</v>
      </c>
      <c r="G232" s="35">
        <v>1.0785068225445001E-3</v>
      </c>
      <c r="H232" s="24" t="s">
        <v>4346</v>
      </c>
      <c r="I232" s="34" t="s">
        <v>4414</v>
      </c>
      <c r="J232" s="34" t="s">
        <v>10</v>
      </c>
      <c r="K232" s="34"/>
    </row>
    <row r="233" spans="1:11" x14ac:dyDescent="0.2">
      <c r="A233" s="35" t="s">
        <v>4253</v>
      </c>
      <c r="B233" s="35">
        <v>8.2286985261703798</v>
      </c>
      <c r="C233" s="35">
        <v>6.7235806118122499</v>
      </c>
      <c r="D233" s="35">
        <v>1.5157494885560101</v>
      </c>
      <c r="E233" s="35">
        <v>4.4358125551587797</v>
      </c>
      <c r="F233" s="40">
        <v>9.1725637732371293E-6</v>
      </c>
      <c r="G233" s="35">
        <v>1.0889220061355599E-3</v>
      </c>
      <c r="H233" s="24" t="s">
        <v>10</v>
      </c>
      <c r="I233" s="34" t="s">
        <v>10</v>
      </c>
      <c r="J233" s="34" t="s">
        <v>10</v>
      </c>
      <c r="K233" s="34"/>
    </row>
    <row r="234" spans="1:11" x14ac:dyDescent="0.2">
      <c r="A234" s="35" t="s">
        <v>4254</v>
      </c>
      <c r="B234" s="35">
        <v>8.3122632645497507</v>
      </c>
      <c r="C234" s="35">
        <v>6.73286953762985</v>
      </c>
      <c r="D234" s="35">
        <v>1.5296754411359099</v>
      </c>
      <c r="E234" s="35">
        <v>4.4015020157675497</v>
      </c>
      <c r="F234" s="40">
        <v>1.07504069231673E-5</v>
      </c>
      <c r="G234" s="35">
        <v>1.2474064711851E-3</v>
      </c>
      <c r="H234" s="24" t="s">
        <v>10</v>
      </c>
      <c r="I234" s="34" t="s">
        <v>10</v>
      </c>
      <c r="J234" s="34" t="s">
        <v>10</v>
      </c>
      <c r="K234" s="34"/>
    </row>
    <row r="235" spans="1:11" x14ac:dyDescent="0.2">
      <c r="A235" s="35" t="s">
        <v>4255</v>
      </c>
      <c r="B235" s="35">
        <v>29.658069863199501</v>
      </c>
      <c r="C235" s="35">
        <v>3.0714615506463998</v>
      </c>
      <c r="D235" s="35">
        <v>0.69904528406493005</v>
      </c>
      <c r="E235" s="35">
        <v>4.3937948236857096</v>
      </c>
      <c r="F235" s="40">
        <v>1.1138895090856E-5</v>
      </c>
      <c r="G235" s="35">
        <v>1.2793290272670899E-3</v>
      </c>
      <c r="H235" s="24" t="s">
        <v>10</v>
      </c>
      <c r="I235" s="34" t="s">
        <v>10</v>
      </c>
      <c r="J235" s="34" t="s">
        <v>10</v>
      </c>
      <c r="K235" s="34"/>
    </row>
    <row r="236" spans="1:11" x14ac:dyDescent="0.2">
      <c r="A236" s="35" t="s">
        <v>4256</v>
      </c>
      <c r="B236" s="35">
        <v>8.0142386443081008</v>
      </c>
      <c r="C236" s="35">
        <v>6.69213765573895</v>
      </c>
      <c r="D236" s="35">
        <v>1.52377128969106</v>
      </c>
      <c r="E236" s="35">
        <v>4.3918255324890403</v>
      </c>
      <c r="F236" s="40">
        <v>1.1240288208027901E-5</v>
      </c>
      <c r="G236" s="35">
        <v>1.2876976874257799E-3</v>
      </c>
      <c r="H236" s="24" t="s">
        <v>10</v>
      </c>
      <c r="I236" s="34" t="s">
        <v>10</v>
      </c>
      <c r="J236" s="34" t="s">
        <v>10</v>
      </c>
      <c r="K236" s="34"/>
    </row>
    <row r="237" spans="1:11" x14ac:dyDescent="0.2">
      <c r="A237" s="35" t="s">
        <v>4257</v>
      </c>
      <c r="B237" s="35">
        <v>8.1461735927033097</v>
      </c>
      <c r="C237" s="35">
        <v>6.7062258668002901</v>
      </c>
      <c r="D237" s="35">
        <v>1.5363507455071499</v>
      </c>
      <c r="E237" s="35">
        <v>4.3650357097243102</v>
      </c>
      <c r="F237" s="40">
        <v>1.2710199329469101E-5</v>
      </c>
      <c r="G237" s="35">
        <v>1.42357386385669E-3</v>
      </c>
      <c r="H237" s="24" t="s">
        <v>10</v>
      </c>
      <c r="I237" s="34" t="s">
        <v>10</v>
      </c>
      <c r="J237" s="34" t="s">
        <v>10</v>
      </c>
      <c r="K237" s="34"/>
    </row>
    <row r="238" spans="1:11" x14ac:dyDescent="0.2">
      <c r="A238" s="35" t="s">
        <v>4258</v>
      </c>
      <c r="B238" s="35">
        <v>43.613005401805999</v>
      </c>
      <c r="C238" s="35">
        <v>2.19919468866087</v>
      </c>
      <c r="D238" s="35">
        <v>0.50453860623147895</v>
      </c>
      <c r="E238" s="35">
        <v>4.3588234111304001</v>
      </c>
      <c r="F238" s="40">
        <v>1.3076357140600699E-5</v>
      </c>
      <c r="G238" s="35">
        <v>1.45376239471747E-3</v>
      </c>
      <c r="H238" s="24" t="s">
        <v>10</v>
      </c>
      <c r="I238" s="34" t="s">
        <v>10</v>
      </c>
      <c r="J238" s="34" t="s">
        <v>10</v>
      </c>
      <c r="K238" s="34"/>
    </row>
    <row r="239" spans="1:11" x14ac:dyDescent="0.2">
      <c r="A239" s="35" t="s">
        <v>4259</v>
      </c>
      <c r="B239" s="35">
        <v>13.4502071835471</v>
      </c>
      <c r="C239" s="35">
        <v>5.6273607514260702</v>
      </c>
      <c r="D239" s="35">
        <v>1.2957451462205001</v>
      </c>
      <c r="E239" s="35">
        <v>4.3429533715331603</v>
      </c>
      <c r="F239" s="40">
        <v>1.4057997972645099E-5</v>
      </c>
      <c r="G239" s="35">
        <v>1.5364064273396701E-3</v>
      </c>
      <c r="H239" s="24" t="s">
        <v>10</v>
      </c>
      <c r="I239" s="34" t="s">
        <v>10</v>
      </c>
      <c r="J239" s="34" t="s">
        <v>10</v>
      </c>
      <c r="K239" s="34"/>
    </row>
    <row r="240" spans="1:11" x14ac:dyDescent="0.2">
      <c r="A240" s="35" t="s">
        <v>4260</v>
      </c>
      <c r="B240" s="35">
        <v>14.7526393234156</v>
      </c>
      <c r="C240" s="35">
        <v>6.5584947933659103</v>
      </c>
      <c r="D240" s="35">
        <v>1.5108628153880601</v>
      </c>
      <c r="E240" s="35">
        <v>4.3408936447227298</v>
      </c>
      <c r="F240" s="40">
        <v>1.41904401090362E-5</v>
      </c>
      <c r="G240" s="35">
        <v>1.5434069763893201E-3</v>
      </c>
      <c r="H240" s="24" t="s">
        <v>4330</v>
      </c>
      <c r="I240" s="34" t="s">
        <v>4398</v>
      </c>
      <c r="J240" s="34" t="s">
        <v>10</v>
      </c>
    </row>
    <row r="241" spans="1:11" x14ac:dyDescent="0.2">
      <c r="A241" s="35" t="s">
        <v>4261</v>
      </c>
      <c r="B241" s="35">
        <v>41.238544354865397</v>
      </c>
      <c r="C241" s="35">
        <v>2.0728935606515</v>
      </c>
      <c r="D241" s="35">
        <v>0.48472582137137998</v>
      </c>
      <c r="E241" s="35">
        <v>4.2764248762050601</v>
      </c>
      <c r="F241" s="40">
        <v>1.8991860416139E-5</v>
      </c>
      <c r="G241" s="35">
        <v>1.9394470669757101E-3</v>
      </c>
      <c r="H241" s="24" t="s">
        <v>10</v>
      </c>
      <c r="I241" s="34" t="s">
        <v>10</v>
      </c>
      <c r="J241" s="34" t="s">
        <v>10</v>
      </c>
      <c r="K241" s="34"/>
    </row>
    <row r="242" spans="1:11" x14ac:dyDescent="0.2">
      <c r="A242" s="35" t="s">
        <v>4262</v>
      </c>
      <c r="B242" s="35">
        <v>18.3356266626338</v>
      </c>
      <c r="C242" s="35">
        <v>3.7299908154258201</v>
      </c>
      <c r="D242" s="35">
        <v>0.874546018335289</v>
      </c>
      <c r="E242" s="35">
        <v>4.2650595134214999</v>
      </c>
      <c r="F242" s="40">
        <v>1.9984892444531399E-5</v>
      </c>
      <c r="G242" s="35">
        <v>2.0273932137604002E-3</v>
      </c>
      <c r="H242" s="24" t="s">
        <v>10</v>
      </c>
      <c r="I242" s="34" t="s">
        <v>4390</v>
      </c>
      <c r="J242" s="34" t="s">
        <v>10</v>
      </c>
    </row>
    <row r="243" spans="1:11" x14ac:dyDescent="0.2">
      <c r="A243" s="35" t="s">
        <v>4263</v>
      </c>
      <c r="B243" s="35">
        <v>7.3772711251393099</v>
      </c>
      <c r="C243" s="35">
        <v>6.5709196294185501</v>
      </c>
      <c r="D243" s="35">
        <v>1.5421790194713501</v>
      </c>
      <c r="E243" s="35">
        <v>4.2608021160027203</v>
      </c>
      <c r="F243" s="40">
        <v>2.0369452761557701E-5</v>
      </c>
      <c r="G243" s="35">
        <v>2.0476970808428301E-3</v>
      </c>
      <c r="H243" s="24" t="s">
        <v>10</v>
      </c>
      <c r="I243" s="34" t="s">
        <v>4401</v>
      </c>
      <c r="J243" s="34" t="s">
        <v>10</v>
      </c>
    </row>
    <row r="244" spans="1:11" x14ac:dyDescent="0.2">
      <c r="A244" s="35" t="s">
        <v>4264</v>
      </c>
      <c r="B244" s="35">
        <v>38.242621360598598</v>
      </c>
      <c r="C244" s="35">
        <v>2.2750779567754198</v>
      </c>
      <c r="D244" s="35">
        <v>0.53454753793425602</v>
      </c>
      <c r="E244" s="35">
        <v>4.2560816303960296</v>
      </c>
      <c r="F244" s="40">
        <v>2.08040775906589E-5</v>
      </c>
      <c r="G244" s="35">
        <v>2.0787440133198899E-3</v>
      </c>
      <c r="H244" s="24" t="s">
        <v>10</v>
      </c>
      <c r="I244" s="34" t="s">
        <v>10</v>
      </c>
      <c r="J244" s="34" t="s">
        <v>10</v>
      </c>
      <c r="K244" s="34"/>
    </row>
    <row r="245" spans="1:11" x14ac:dyDescent="0.2">
      <c r="A245" s="35" t="s">
        <v>4265</v>
      </c>
      <c r="B245" s="35">
        <v>7.4754233980240299</v>
      </c>
      <c r="C245" s="35">
        <v>6.5805919808560303</v>
      </c>
      <c r="D245" s="35">
        <v>1.5562221348824501</v>
      </c>
      <c r="E245" s="35">
        <v>4.2285685528776398</v>
      </c>
      <c r="F245" s="40">
        <v>2.3518285857418198E-5</v>
      </c>
      <c r="G245" s="35">
        <v>2.2853242445508102E-3</v>
      </c>
      <c r="H245" s="24" t="s">
        <v>4333</v>
      </c>
      <c r="I245" s="34" t="s">
        <v>4402</v>
      </c>
      <c r="J245" s="34" t="s">
        <v>4374</v>
      </c>
    </row>
    <row r="246" spans="1:11" x14ac:dyDescent="0.2">
      <c r="A246" s="35" t="s">
        <v>4266</v>
      </c>
      <c r="B246" s="35">
        <v>14.6435723188875</v>
      </c>
      <c r="C246" s="35">
        <v>3.6003612493700499</v>
      </c>
      <c r="D246" s="35">
        <v>0.86301385506316297</v>
      </c>
      <c r="E246" s="35">
        <v>4.1718464057642999</v>
      </c>
      <c r="F246" s="40">
        <v>3.0214128479916399E-5</v>
      </c>
      <c r="G246" s="35">
        <v>2.8530860192426499E-3</v>
      </c>
      <c r="H246" s="24" t="s">
        <v>10</v>
      </c>
      <c r="I246" s="34" t="s">
        <v>10</v>
      </c>
      <c r="J246" s="34" t="s">
        <v>10</v>
      </c>
      <c r="K246" s="34"/>
    </row>
    <row r="247" spans="1:11" x14ac:dyDescent="0.2">
      <c r="A247" s="35" t="s">
        <v>4267</v>
      </c>
      <c r="B247" s="35">
        <v>43.040870192255802</v>
      </c>
      <c r="C247" s="35">
        <v>2.0127153019751298</v>
      </c>
      <c r="D247" s="35">
        <v>0.48277427856111799</v>
      </c>
      <c r="E247" s="35">
        <v>4.1690607626692797</v>
      </c>
      <c r="F247" s="40">
        <v>3.0585744722923398E-5</v>
      </c>
      <c r="G247" s="35">
        <v>2.8591966443737198E-3</v>
      </c>
      <c r="H247" s="24" t="s">
        <v>10</v>
      </c>
      <c r="I247" s="34" t="s">
        <v>10</v>
      </c>
      <c r="J247" s="34" t="s">
        <v>10</v>
      </c>
      <c r="K247" s="34"/>
    </row>
    <row r="248" spans="1:11" x14ac:dyDescent="0.2">
      <c r="A248" s="35" t="s">
        <v>4268</v>
      </c>
      <c r="B248" s="35">
        <v>7.5632618644174103</v>
      </c>
      <c r="C248" s="35">
        <v>6.6057119515050404</v>
      </c>
      <c r="D248" s="35">
        <v>1.5867136887695601</v>
      </c>
      <c r="E248" s="35">
        <v>4.1631404570710799</v>
      </c>
      <c r="F248" s="40">
        <v>3.13900139039577E-5</v>
      </c>
      <c r="G248" s="35">
        <v>2.91630027778656E-3</v>
      </c>
      <c r="H248" s="24" t="s">
        <v>10</v>
      </c>
      <c r="I248" s="34" t="s">
        <v>10</v>
      </c>
      <c r="J248" s="34" t="s">
        <v>10</v>
      </c>
      <c r="K248" s="34"/>
    </row>
    <row r="249" spans="1:11" x14ac:dyDescent="0.2">
      <c r="A249" s="35" t="s">
        <v>4269</v>
      </c>
      <c r="B249" s="35">
        <v>7.4238574343614099</v>
      </c>
      <c r="C249" s="35">
        <v>6.5692350357402098</v>
      </c>
      <c r="D249" s="35">
        <v>1.58136079818224</v>
      </c>
      <c r="E249" s="35">
        <v>4.1541658572107503</v>
      </c>
      <c r="F249" s="40">
        <v>3.2647631227904501E-5</v>
      </c>
      <c r="G249" s="35">
        <v>3.01352991970128E-3</v>
      </c>
      <c r="H249" s="24" t="s">
        <v>4343</v>
      </c>
      <c r="I249" s="34" t="s">
        <v>4411</v>
      </c>
      <c r="J249" s="34" t="s">
        <v>4382</v>
      </c>
    </row>
    <row r="250" spans="1:11" x14ac:dyDescent="0.2">
      <c r="A250" s="35" t="s">
        <v>4270</v>
      </c>
      <c r="B250" s="35">
        <v>40.749063857687503</v>
      </c>
      <c r="C250" s="35">
        <v>2.04941103924835</v>
      </c>
      <c r="D250" s="35">
        <v>0.493577763349904</v>
      </c>
      <c r="E250" s="35">
        <v>4.1521543137175101</v>
      </c>
      <c r="F250" s="40">
        <v>3.2936004271292099E-5</v>
      </c>
      <c r="G250" s="35">
        <v>3.03202302969208E-3</v>
      </c>
      <c r="H250" s="24" t="s">
        <v>10</v>
      </c>
      <c r="I250" s="34" t="s">
        <v>10</v>
      </c>
      <c r="J250" s="34" t="s">
        <v>10</v>
      </c>
      <c r="K250" s="34"/>
    </row>
    <row r="251" spans="1:11" x14ac:dyDescent="0.2">
      <c r="A251" s="35" t="s">
        <v>4271</v>
      </c>
      <c r="B251" s="35">
        <v>18.879416819618601</v>
      </c>
      <c r="C251" s="35">
        <v>3.1424788551001201</v>
      </c>
      <c r="D251" s="35">
        <v>0.75688955829440396</v>
      </c>
      <c r="E251" s="35">
        <v>4.1518327484679096</v>
      </c>
      <c r="F251" s="40">
        <v>3.2982327305288602E-5</v>
      </c>
      <c r="G251" s="35">
        <v>3.03202302969208E-3</v>
      </c>
      <c r="H251" s="24" t="s">
        <v>10</v>
      </c>
      <c r="I251" s="34" t="s">
        <v>10</v>
      </c>
      <c r="J251" s="34" t="s">
        <v>10</v>
      </c>
      <c r="K251" s="34"/>
    </row>
    <row r="252" spans="1:11" x14ac:dyDescent="0.2">
      <c r="A252" s="35" t="s">
        <v>4272</v>
      </c>
      <c r="B252" s="35">
        <v>7.2296706678715204</v>
      </c>
      <c r="C252" s="35">
        <v>6.5474216667118101</v>
      </c>
      <c r="D252" s="35">
        <v>1.57818713121665</v>
      </c>
      <c r="E252" s="35">
        <v>4.1486979187723501</v>
      </c>
      <c r="F252" s="40">
        <v>3.3437169042461302E-5</v>
      </c>
      <c r="G252" s="35">
        <v>3.0658240767424301E-3</v>
      </c>
      <c r="H252" s="24" t="s">
        <v>10</v>
      </c>
      <c r="I252" s="34" t="s">
        <v>10</v>
      </c>
      <c r="J252" s="34" t="s">
        <v>10</v>
      </c>
      <c r="K252" s="34"/>
    </row>
    <row r="253" spans="1:11" x14ac:dyDescent="0.2">
      <c r="A253" s="35" t="s">
        <v>4273</v>
      </c>
      <c r="B253" s="35">
        <v>40.251898280014203</v>
      </c>
      <c r="C253" s="35">
        <v>2.1516487719178801</v>
      </c>
      <c r="D253" s="35">
        <v>0.51925775510055605</v>
      </c>
      <c r="E253" s="35">
        <v>4.1437007936476702</v>
      </c>
      <c r="F253" s="40">
        <v>3.4174557087044703E-5</v>
      </c>
      <c r="G253" s="35">
        <v>3.10995359523777E-3</v>
      </c>
      <c r="H253" s="24" t="s">
        <v>10</v>
      </c>
      <c r="I253" s="34" t="s">
        <v>10</v>
      </c>
      <c r="J253" s="34" t="s">
        <v>10</v>
      </c>
      <c r="K253" s="34"/>
    </row>
    <row r="254" spans="1:11" x14ac:dyDescent="0.2">
      <c r="A254" s="35" t="s">
        <v>4274</v>
      </c>
      <c r="B254" s="35">
        <v>15.5727745795743</v>
      </c>
      <c r="C254" s="35">
        <v>3.5444494695900102</v>
      </c>
      <c r="D254" s="35">
        <v>0.856724862257216</v>
      </c>
      <c r="E254" s="35">
        <v>4.1372086018975001</v>
      </c>
      <c r="F254" s="40">
        <v>3.5155648059180997E-5</v>
      </c>
      <c r="G254" s="35">
        <v>3.16099698495469E-3</v>
      </c>
      <c r="H254" s="24" t="s">
        <v>10</v>
      </c>
      <c r="I254" s="34" t="s">
        <v>10</v>
      </c>
      <c r="J254" s="34" t="s">
        <v>10</v>
      </c>
      <c r="K254" s="34"/>
    </row>
    <row r="255" spans="1:11" x14ac:dyDescent="0.2">
      <c r="A255" s="35" t="s">
        <v>4275</v>
      </c>
      <c r="B255" s="35">
        <v>7.1770267298416597</v>
      </c>
      <c r="C255" s="35">
        <v>6.5266430425164303</v>
      </c>
      <c r="D255" s="35">
        <v>1.5783570960978801</v>
      </c>
      <c r="E255" s="35">
        <v>4.1350864507480898</v>
      </c>
      <c r="F255" s="40">
        <v>3.54821037779313E-5</v>
      </c>
      <c r="G255" s="35">
        <v>3.17918603626592E-3</v>
      </c>
      <c r="H255" s="24" t="s">
        <v>4324</v>
      </c>
      <c r="I255" s="34" t="s">
        <v>4388</v>
      </c>
      <c r="J255" s="34" t="s">
        <v>4362</v>
      </c>
    </row>
    <row r="256" spans="1:11" x14ac:dyDescent="0.2">
      <c r="A256" s="35" t="s">
        <v>4276</v>
      </c>
      <c r="B256" s="35">
        <v>13.4233285607386</v>
      </c>
      <c r="C256" s="35">
        <v>3.7232657105360998</v>
      </c>
      <c r="D256" s="35">
        <v>0.90043172955470296</v>
      </c>
      <c r="E256" s="35">
        <v>4.1349783535253604</v>
      </c>
      <c r="F256" s="40">
        <v>3.5498809452954898E-5</v>
      </c>
      <c r="G256" s="35">
        <v>3.17918603626592E-3</v>
      </c>
      <c r="H256" s="24" t="s">
        <v>10</v>
      </c>
      <c r="I256" s="34" t="s">
        <v>10</v>
      </c>
      <c r="J256" s="34" t="s">
        <v>10</v>
      </c>
      <c r="K256" s="34"/>
    </row>
    <row r="257" spans="1:11" x14ac:dyDescent="0.2">
      <c r="A257" s="35" t="s">
        <v>4277</v>
      </c>
      <c r="B257" s="35">
        <v>27.303132521923999</v>
      </c>
      <c r="C257" s="35">
        <v>2.4323556195846998</v>
      </c>
      <c r="D257" s="35">
        <v>0.58865917793364197</v>
      </c>
      <c r="E257" s="35">
        <v>4.1320270043575098</v>
      </c>
      <c r="F257" s="40">
        <v>3.5957816359031801E-5</v>
      </c>
      <c r="G257" s="35">
        <v>3.2139167465299401E-3</v>
      </c>
      <c r="H257" s="24" t="s">
        <v>4342</v>
      </c>
      <c r="I257" s="34" t="s">
        <v>4386</v>
      </c>
      <c r="J257" s="34" t="s">
        <v>4381</v>
      </c>
    </row>
    <row r="258" spans="1:11" x14ac:dyDescent="0.2">
      <c r="A258" s="35" t="s">
        <v>4278</v>
      </c>
      <c r="B258" s="35">
        <v>19.7608113764962</v>
      </c>
      <c r="C258" s="35">
        <v>3.7774550540140801</v>
      </c>
      <c r="D258" s="35">
        <v>0.91450503550141904</v>
      </c>
      <c r="E258" s="35">
        <v>4.1306006061988603</v>
      </c>
      <c r="F258" s="40">
        <v>3.6181670836211001E-5</v>
      </c>
      <c r="G258" s="35">
        <v>3.22753374809102E-3</v>
      </c>
      <c r="H258" s="24" t="s">
        <v>4336</v>
      </c>
      <c r="I258" s="34" t="s">
        <v>4405</v>
      </c>
      <c r="J258" s="34" t="s">
        <v>4377</v>
      </c>
    </row>
    <row r="259" spans="1:11" x14ac:dyDescent="0.2">
      <c r="A259" s="35" t="s">
        <v>4279</v>
      </c>
      <c r="B259" s="35">
        <v>14.0376603613201</v>
      </c>
      <c r="C259" s="35">
        <v>4.0213738017266802</v>
      </c>
      <c r="D259" s="35">
        <v>0.97376894352691401</v>
      </c>
      <c r="E259" s="35">
        <v>4.12970020091376</v>
      </c>
      <c r="F259" s="40">
        <v>3.6323658228864702E-5</v>
      </c>
      <c r="G259" s="35">
        <v>3.2338086025172899E-3</v>
      </c>
      <c r="H259" s="24" t="s">
        <v>10</v>
      </c>
      <c r="I259" s="34" t="s">
        <v>10</v>
      </c>
      <c r="J259" s="34" t="s">
        <v>10</v>
      </c>
      <c r="K259" s="34"/>
    </row>
    <row r="260" spans="1:11" x14ac:dyDescent="0.2">
      <c r="A260" s="35" t="s">
        <v>4280</v>
      </c>
      <c r="B260" s="35">
        <v>20.430422495364699</v>
      </c>
      <c r="C260" s="35">
        <v>3.0761365810029702</v>
      </c>
      <c r="D260" s="35">
        <v>0.74558755120563802</v>
      </c>
      <c r="E260" s="35">
        <v>4.12578854894877</v>
      </c>
      <c r="F260" s="40">
        <v>3.69466618929931E-5</v>
      </c>
      <c r="G260" s="35">
        <v>3.27110378473283E-3</v>
      </c>
      <c r="H260" s="24" t="s">
        <v>10</v>
      </c>
      <c r="I260" s="34" t="s">
        <v>10</v>
      </c>
      <c r="J260" s="34" t="s">
        <v>10</v>
      </c>
      <c r="K260" s="34"/>
    </row>
    <row r="261" spans="1:11" x14ac:dyDescent="0.2">
      <c r="A261" s="35" t="s">
        <v>4281</v>
      </c>
      <c r="B261" s="35">
        <v>6.7758701822747698</v>
      </c>
      <c r="C261" s="35">
        <v>6.4535465824946598</v>
      </c>
      <c r="D261" s="35">
        <v>1.57050621269666</v>
      </c>
      <c r="E261" s="35">
        <v>4.1092142968434997</v>
      </c>
      <c r="F261" s="40">
        <v>3.9700754304512802E-5</v>
      </c>
      <c r="G261" s="35">
        <v>3.43289836598237E-3</v>
      </c>
      <c r="H261" s="24" t="s">
        <v>10</v>
      </c>
      <c r="I261" s="34" t="s">
        <v>4413</v>
      </c>
      <c r="J261" s="34" t="s">
        <v>10</v>
      </c>
    </row>
    <row r="262" spans="1:11" x14ac:dyDescent="0.2">
      <c r="A262" s="35" t="s">
        <v>4282</v>
      </c>
      <c r="B262" s="35">
        <v>6.7403036059705199</v>
      </c>
      <c r="C262" s="35">
        <v>6.4386235233073998</v>
      </c>
      <c r="D262" s="35">
        <v>1.57593664354966</v>
      </c>
      <c r="E262" s="35">
        <v>4.0855852610958703</v>
      </c>
      <c r="F262" s="40">
        <v>4.3965851643460597E-5</v>
      </c>
      <c r="G262" s="35">
        <v>3.7656293085974999E-3</v>
      </c>
      <c r="H262" s="24" t="s">
        <v>10</v>
      </c>
      <c r="I262" s="34" t="s">
        <v>10</v>
      </c>
      <c r="J262" s="34" t="s">
        <v>10</v>
      </c>
      <c r="K262" s="34"/>
    </row>
    <row r="263" spans="1:11" x14ac:dyDescent="0.2">
      <c r="A263" s="35" t="s">
        <v>4283</v>
      </c>
      <c r="B263" s="35">
        <v>7.6987646144001198</v>
      </c>
      <c r="C263" s="35">
        <v>6.6351089109058501</v>
      </c>
      <c r="D263" s="35">
        <v>1.6248354414413799</v>
      </c>
      <c r="E263" s="35">
        <v>4.0835574739924896</v>
      </c>
      <c r="F263" s="40">
        <v>4.4351453495502702E-5</v>
      </c>
      <c r="G263" s="35">
        <v>3.7901957566630201E-3</v>
      </c>
      <c r="H263" s="24" t="s">
        <v>10</v>
      </c>
      <c r="I263" s="34" t="s">
        <v>10</v>
      </c>
      <c r="J263" s="34" t="s">
        <v>10</v>
      </c>
      <c r="K263" s="34"/>
    </row>
    <row r="264" spans="1:11" x14ac:dyDescent="0.2">
      <c r="A264" s="35" t="s">
        <v>4284</v>
      </c>
      <c r="B264" s="35">
        <v>41.685377621678299</v>
      </c>
      <c r="C264" s="35">
        <v>2.0397007227450201</v>
      </c>
      <c r="D264" s="35">
        <v>0.50036563495806996</v>
      </c>
      <c r="E264" s="35">
        <v>4.0764204818261502</v>
      </c>
      <c r="F264" s="40">
        <v>4.5734285433743101E-5</v>
      </c>
      <c r="G264" s="35">
        <v>3.86391543782368E-3</v>
      </c>
      <c r="H264" s="24" t="s">
        <v>4341</v>
      </c>
      <c r="I264" s="34" t="s">
        <v>4408</v>
      </c>
      <c r="J264" s="34" t="s">
        <v>10</v>
      </c>
    </row>
    <row r="265" spans="1:11" x14ac:dyDescent="0.2">
      <c r="A265" s="35" t="s">
        <v>4285</v>
      </c>
      <c r="B265" s="35">
        <v>7.1560476880427499</v>
      </c>
      <c r="C265" s="35">
        <v>6.5137474656711403</v>
      </c>
      <c r="D265" s="35">
        <v>1.6051261641130801</v>
      </c>
      <c r="E265" s="35">
        <v>4.0580906419093496</v>
      </c>
      <c r="F265" s="40">
        <v>4.9475565900794801E-5</v>
      </c>
      <c r="G265" s="35">
        <v>4.12929481107383E-3</v>
      </c>
      <c r="H265" s="24" t="s">
        <v>4332</v>
      </c>
      <c r="I265" s="34" t="s">
        <v>4399</v>
      </c>
      <c r="J265" s="34" t="s">
        <v>10</v>
      </c>
    </row>
    <row r="266" spans="1:11" x14ac:dyDescent="0.2">
      <c r="A266" s="35" t="s">
        <v>4286</v>
      </c>
      <c r="B266" s="35">
        <v>28.339722618172001</v>
      </c>
      <c r="C266" s="35">
        <v>2.5844864601012398</v>
      </c>
      <c r="D266" s="35">
        <v>0.63688516773164905</v>
      </c>
      <c r="E266" s="35">
        <v>4.0580101265448301</v>
      </c>
      <c r="F266" s="40">
        <v>4.9492622300793998E-5</v>
      </c>
      <c r="G266" s="35">
        <v>4.12929481107383E-3</v>
      </c>
      <c r="H266" s="24" t="s">
        <v>10</v>
      </c>
      <c r="I266" s="34" t="s">
        <v>1617</v>
      </c>
      <c r="J266" s="34" t="s">
        <v>4383</v>
      </c>
    </row>
    <row r="267" spans="1:11" x14ac:dyDescent="0.2">
      <c r="A267" s="35" t="s">
        <v>4287</v>
      </c>
      <c r="B267" s="35">
        <v>35.058503777968198</v>
      </c>
      <c r="C267" s="35">
        <v>2.1772245909036898</v>
      </c>
      <c r="D267" s="35">
        <v>0.53942423151803698</v>
      </c>
      <c r="E267" s="35">
        <v>4.0362009410971096</v>
      </c>
      <c r="F267" s="40">
        <v>5.4323693961452798E-5</v>
      </c>
      <c r="G267" s="35">
        <v>4.4501063055137902E-3</v>
      </c>
      <c r="H267" s="24" t="s">
        <v>10</v>
      </c>
      <c r="I267" s="34" t="s">
        <v>10</v>
      </c>
      <c r="J267" s="34" t="s">
        <v>10</v>
      </c>
      <c r="K267" s="34"/>
    </row>
    <row r="268" spans="1:11" x14ac:dyDescent="0.2">
      <c r="A268" s="35" t="s">
        <v>4288</v>
      </c>
      <c r="B268" s="35">
        <v>6.4895712213774797</v>
      </c>
      <c r="C268" s="35">
        <v>6.3854055651622499</v>
      </c>
      <c r="D268" s="35">
        <v>1.58827808180107</v>
      </c>
      <c r="E268" s="35">
        <v>4.0203322316966998</v>
      </c>
      <c r="F268" s="40">
        <v>5.8116124238433503E-5</v>
      </c>
      <c r="G268" s="35">
        <v>4.6842633924110196E-3</v>
      </c>
      <c r="H268" s="24" t="s">
        <v>10</v>
      </c>
      <c r="I268" s="34" t="s">
        <v>10</v>
      </c>
      <c r="J268" s="34" t="s">
        <v>10</v>
      </c>
      <c r="K268" s="34"/>
    </row>
    <row r="269" spans="1:11" x14ac:dyDescent="0.2">
      <c r="A269" s="35" t="s">
        <v>4289</v>
      </c>
      <c r="B269" s="35">
        <v>6.4895712213774797</v>
      </c>
      <c r="C269" s="35">
        <v>6.3854055651622499</v>
      </c>
      <c r="D269" s="35">
        <v>1.58827808180107</v>
      </c>
      <c r="E269" s="35">
        <v>4.0203322316966998</v>
      </c>
      <c r="F269" s="40">
        <v>5.8116124238433503E-5</v>
      </c>
      <c r="G269" s="35">
        <v>4.6842633924110196E-3</v>
      </c>
      <c r="H269" s="24" t="s">
        <v>10</v>
      </c>
      <c r="I269" s="34" t="s">
        <v>10</v>
      </c>
      <c r="J269" s="34" t="s">
        <v>10</v>
      </c>
      <c r="K269" s="34"/>
    </row>
    <row r="270" spans="1:11" x14ac:dyDescent="0.2">
      <c r="A270" s="35" t="s">
        <v>4290</v>
      </c>
      <c r="B270" s="35">
        <v>17.409567691896498</v>
      </c>
      <c r="C270" s="35">
        <v>2.9464161581145398</v>
      </c>
      <c r="D270" s="35">
        <v>0.73320377733400499</v>
      </c>
      <c r="E270" s="35">
        <v>4.0185501619044697</v>
      </c>
      <c r="F270" s="40">
        <v>5.8557343938256099E-5</v>
      </c>
      <c r="G270" s="35">
        <v>4.70302995256417E-3</v>
      </c>
      <c r="H270" s="24" t="s">
        <v>10</v>
      </c>
      <c r="I270" s="34" t="s">
        <v>10</v>
      </c>
      <c r="J270" s="34" t="s">
        <v>10</v>
      </c>
      <c r="K270" s="34"/>
    </row>
    <row r="271" spans="1:11" x14ac:dyDescent="0.2">
      <c r="A271" s="35" t="s">
        <v>4291</v>
      </c>
      <c r="B271" s="35">
        <v>6.5557247195454504</v>
      </c>
      <c r="C271" s="35">
        <v>6.3990236786750598</v>
      </c>
      <c r="D271" s="35">
        <v>1.59382065544705</v>
      </c>
      <c r="E271" s="35">
        <v>4.01489568905117</v>
      </c>
      <c r="F271" s="40">
        <v>5.9472091330830101E-5</v>
      </c>
      <c r="G271" s="35">
        <v>4.7443714617651997E-3</v>
      </c>
      <c r="H271" s="24" t="s">
        <v>10</v>
      </c>
      <c r="I271" s="34" t="s">
        <v>10</v>
      </c>
      <c r="J271" s="34" t="s">
        <v>10</v>
      </c>
      <c r="K271" s="34"/>
    </row>
    <row r="272" spans="1:11" x14ac:dyDescent="0.2">
      <c r="A272" s="35" t="s">
        <v>4292</v>
      </c>
      <c r="B272" s="35">
        <v>19.233388719932499</v>
      </c>
      <c r="C272" s="35">
        <v>3.6387330435203098</v>
      </c>
      <c r="D272" s="35">
        <v>0.90710847705618003</v>
      </c>
      <c r="E272" s="35">
        <v>4.01135380779266</v>
      </c>
      <c r="F272" s="40">
        <v>6.0371556196335199E-5</v>
      </c>
      <c r="G272" s="35">
        <v>4.7622396363126204E-3</v>
      </c>
      <c r="H272" s="24" t="s">
        <v>4329</v>
      </c>
      <c r="I272" s="34" t="s">
        <v>4396</v>
      </c>
      <c r="J272" s="34" t="s">
        <v>10</v>
      </c>
    </row>
    <row r="273" spans="1:11" x14ac:dyDescent="0.2">
      <c r="A273" s="35" t="s">
        <v>4293</v>
      </c>
      <c r="B273" s="35">
        <v>6.9092169835229997</v>
      </c>
      <c r="C273" s="35">
        <v>6.4694525114433201</v>
      </c>
      <c r="D273" s="35">
        <v>1.61357158896029</v>
      </c>
      <c r="E273" s="35">
        <v>4.0093991216168803</v>
      </c>
      <c r="F273" s="40">
        <v>6.0873451514739698E-5</v>
      </c>
      <c r="G273" s="35">
        <v>4.7702169809389003E-3</v>
      </c>
      <c r="H273" s="24" t="s">
        <v>10</v>
      </c>
      <c r="I273" s="34" t="s">
        <v>10</v>
      </c>
      <c r="J273" s="34" t="s">
        <v>10</v>
      </c>
      <c r="K273" s="34"/>
    </row>
    <row r="274" spans="1:11" x14ac:dyDescent="0.2">
      <c r="A274" s="35" t="s">
        <v>4294</v>
      </c>
      <c r="B274" s="35">
        <v>75.8581300366031</v>
      </c>
      <c r="C274" s="35">
        <v>2.1200421681949799</v>
      </c>
      <c r="D274" s="35">
        <v>0.52883250872978704</v>
      </c>
      <c r="E274" s="35">
        <v>4.0089104455532496</v>
      </c>
      <c r="F274" s="40">
        <v>6.0999542387620003E-5</v>
      </c>
      <c r="G274" s="35">
        <v>4.7718134224436796E-3</v>
      </c>
      <c r="H274" s="24" t="s">
        <v>10</v>
      </c>
      <c r="I274" s="34" t="s">
        <v>10</v>
      </c>
      <c r="J274" s="34" t="s">
        <v>10</v>
      </c>
      <c r="K274" s="34"/>
    </row>
    <row r="275" spans="1:11" x14ac:dyDescent="0.2">
      <c r="A275" s="35" t="s">
        <v>4295</v>
      </c>
      <c r="B275" s="35">
        <v>30.883384453125501</v>
      </c>
      <c r="C275" s="35">
        <v>2.7778450375013</v>
      </c>
      <c r="D275" s="35">
        <v>0.69323289401587196</v>
      </c>
      <c r="E275" s="35">
        <v>4.0070877499902702</v>
      </c>
      <c r="F275" s="40">
        <v>6.1472028989460894E-5</v>
      </c>
      <c r="G275" s="35">
        <v>4.8004549697184999E-3</v>
      </c>
      <c r="H275" s="24" t="s">
        <v>10</v>
      </c>
      <c r="I275" s="34" t="s">
        <v>10</v>
      </c>
      <c r="J275" s="34" t="s">
        <v>10</v>
      </c>
      <c r="K275" s="34"/>
    </row>
    <row r="276" spans="1:11" x14ac:dyDescent="0.2">
      <c r="A276" s="35" t="s">
        <v>4296</v>
      </c>
      <c r="B276" s="35">
        <v>6.9053153034497203</v>
      </c>
      <c r="C276" s="35">
        <v>6.4629110536713901</v>
      </c>
      <c r="D276" s="35">
        <v>1.61321205345533</v>
      </c>
      <c r="E276" s="35">
        <v>4.0062377663423199</v>
      </c>
      <c r="F276" s="40">
        <v>6.1693547966788597E-5</v>
      </c>
      <c r="G276" s="35">
        <v>4.8094329440016197E-3</v>
      </c>
      <c r="H276" s="24" t="s">
        <v>4340</v>
      </c>
      <c r="I276" s="34" t="s">
        <v>223</v>
      </c>
      <c r="J276" s="34" t="s">
        <v>10</v>
      </c>
    </row>
    <row r="277" spans="1:11" x14ac:dyDescent="0.2">
      <c r="A277" s="35" t="s">
        <v>4297</v>
      </c>
      <c r="B277" s="35">
        <v>6.4554164979262598</v>
      </c>
      <c r="C277" s="35">
        <v>6.3689492156629104</v>
      </c>
      <c r="D277" s="35">
        <v>1.6036132723460299</v>
      </c>
      <c r="E277" s="35">
        <v>3.9716241599480799</v>
      </c>
      <c r="F277" s="40">
        <v>7.1384279409665401E-5</v>
      </c>
      <c r="G277" s="35">
        <v>5.3790855087046197E-3</v>
      </c>
      <c r="H277" s="24" t="s">
        <v>10</v>
      </c>
      <c r="I277" s="34" t="s">
        <v>10</v>
      </c>
      <c r="J277" s="34" t="s">
        <v>10</v>
      </c>
      <c r="K277" s="34"/>
    </row>
    <row r="278" spans="1:11" x14ac:dyDescent="0.2">
      <c r="A278" s="35" t="s">
        <v>4298</v>
      </c>
      <c r="B278" s="35">
        <v>14.215125881418199</v>
      </c>
      <c r="C278" s="35">
        <v>3.7136600406511402</v>
      </c>
      <c r="D278" s="35">
        <v>0.93526622747786103</v>
      </c>
      <c r="E278" s="35">
        <v>3.97069832262178</v>
      </c>
      <c r="F278" s="40">
        <v>7.1662274150984499E-5</v>
      </c>
      <c r="G278" s="35">
        <v>5.3910334472549804E-3</v>
      </c>
      <c r="H278" s="24" t="s">
        <v>10</v>
      </c>
      <c r="I278" s="34" t="s">
        <v>10</v>
      </c>
      <c r="J278" s="34" t="s">
        <v>10</v>
      </c>
      <c r="K278" s="34"/>
    </row>
    <row r="279" spans="1:11" x14ac:dyDescent="0.2">
      <c r="A279" s="35" t="s">
        <v>4299</v>
      </c>
      <c r="B279" s="35">
        <v>15.4762572860442</v>
      </c>
      <c r="C279" s="35">
        <v>3.8602501194443199</v>
      </c>
      <c r="D279" s="35">
        <v>0.97390443638458901</v>
      </c>
      <c r="E279" s="35">
        <v>3.96368470583691</v>
      </c>
      <c r="F279" s="40">
        <v>7.3801712613226302E-5</v>
      </c>
      <c r="G279" s="35">
        <v>5.53353472130099E-3</v>
      </c>
      <c r="H279" s="24" t="s">
        <v>4339</v>
      </c>
      <c r="I279" s="34" t="s">
        <v>4407</v>
      </c>
      <c r="J279" s="34" t="s">
        <v>4379</v>
      </c>
    </row>
    <row r="280" spans="1:11" x14ac:dyDescent="0.2">
      <c r="A280" s="35" t="s">
        <v>4300</v>
      </c>
      <c r="B280" s="35">
        <v>27.5869537587736</v>
      </c>
      <c r="C280" s="35">
        <v>2.6277959817913299</v>
      </c>
      <c r="D280" s="35">
        <v>0.66328873690825696</v>
      </c>
      <c r="E280" s="35">
        <v>3.96176783287487</v>
      </c>
      <c r="F280" s="40">
        <v>7.4396864655525399E-5</v>
      </c>
      <c r="G280" s="35">
        <v>5.5596875495967698E-3</v>
      </c>
      <c r="H280" s="24" t="s">
        <v>10</v>
      </c>
      <c r="I280" s="34" t="s">
        <v>10</v>
      </c>
      <c r="J280" s="34" t="s">
        <v>10</v>
      </c>
      <c r="K280" s="34"/>
    </row>
    <row r="281" spans="1:11" x14ac:dyDescent="0.2">
      <c r="A281" s="35" t="s">
        <v>4301</v>
      </c>
      <c r="B281" s="35">
        <v>12.743493199182801</v>
      </c>
      <c r="C281" s="35">
        <v>3.7935350611362102</v>
      </c>
      <c r="D281" s="35">
        <v>0.95837691413833803</v>
      </c>
      <c r="E281" s="35">
        <v>3.9582913623779401</v>
      </c>
      <c r="F281" s="40">
        <v>7.5487839519127194E-5</v>
      </c>
      <c r="G281" s="35">
        <v>5.6225983702555202E-3</v>
      </c>
      <c r="H281" s="24" t="s">
        <v>10</v>
      </c>
      <c r="I281" s="34" t="s">
        <v>10</v>
      </c>
      <c r="J281" s="34" t="s">
        <v>10</v>
      </c>
      <c r="K281" s="34"/>
    </row>
    <row r="282" spans="1:11" x14ac:dyDescent="0.2">
      <c r="A282" s="35" t="s">
        <v>4302</v>
      </c>
      <c r="B282" s="35">
        <v>13.121637491128199</v>
      </c>
      <c r="C282" s="35">
        <v>4.8033028651943797</v>
      </c>
      <c r="D282" s="35">
        <v>1.2138662057707501</v>
      </c>
      <c r="E282" s="35">
        <v>3.9570282477256198</v>
      </c>
      <c r="F282" s="40">
        <v>7.5887959810703599E-5</v>
      </c>
      <c r="G282" s="35">
        <v>5.6338073058811297E-3</v>
      </c>
      <c r="H282" s="24" t="s">
        <v>3291</v>
      </c>
      <c r="I282" s="34" t="s">
        <v>4395</v>
      </c>
      <c r="J282" s="34" t="s">
        <v>10</v>
      </c>
    </row>
    <row r="283" spans="1:11" x14ac:dyDescent="0.2">
      <c r="A283" s="35" t="s">
        <v>4303</v>
      </c>
      <c r="B283" s="35">
        <v>7.3740372020375897</v>
      </c>
      <c r="C283" s="35">
        <v>6.5515318654041002</v>
      </c>
      <c r="D283" s="35">
        <v>1.65998545022109</v>
      </c>
      <c r="E283" s="35">
        <v>3.9467405359074199</v>
      </c>
      <c r="F283" s="40">
        <v>7.9222328685561198E-5</v>
      </c>
      <c r="G283" s="35">
        <v>5.8524684940755699E-3</v>
      </c>
      <c r="H283" s="24" t="s">
        <v>10</v>
      </c>
      <c r="I283" s="34" t="s">
        <v>10</v>
      </c>
      <c r="J283" s="34" t="s">
        <v>10</v>
      </c>
      <c r="K283" s="34"/>
    </row>
    <row r="284" spans="1:11" x14ac:dyDescent="0.2">
      <c r="A284" s="35" t="s">
        <v>4304</v>
      </c>
      <c r="B284" s="35">
        <v>20.717902645367001</v>
      </c>
      <c r="C284" s="35">
        <v>2.8245190828537301</v>
      </c>
      <c r="D284" s="35">
        <v>0.71786486295575502</v>
      </c>
      <c r="E284" s="35">
        <v>3.93461113450237</v>
      </c>
      <c r="F284" s="40">
        <v>8.3331503947506506E-5</v>
      </c>
      <c r="G284" s="35">
        <v>6.1060618403873399E-3</v>
      </c>
      <c r="H284" s="24" t="s">
        <v>10</v>
      </c>
      <c r="I284" s="34" t="s">
        <v>10</v>
      </c>
      <c r="J284" s="34" t="s">
        <v>10</v>
      </c>
      <c r="K284" s="34"/>
    </row>
    <row r="285" spans="1:11" x14ac:dyDescent="0.2">
      <c r="A285" s="35" t="s">
        <v>4305</v>
      </c>
      <c r="B285" s="35">
        <v>17.575899168136299</v>
      </c>
      <c r="C285" s="35">
        <v>2.8369457271787502</v>
      </c>
      <c r="D285" s="35">
        <v>0.72122061590183195</v>
      </c>
      <c r="E285" s="35">
        <v>3.9335338794099299</v>
      </c>
      <c r="F285" s="40">
        <v>8.3706034313995399E-5</v>
      </c>
      <c r="G285" s="35">
        <v>6.1136557780433797E-3</v>
      </c>
      <c r="H285" s="24" t="s">
        <v>10</v>
      </c>
      <c r="I285" s="34" t="s">
        <v>10</v>
      </c>
      <c r="J285" s="34" t="s">
        <v>10</v>
      </c>
      <c r="K285" s="34"/>
    </row>
    <row r="286" spans="1:11" x14ac:dyDescent="0.2">
      <c r="A286" s="35" t="s">
        <v>4306</v>
      </c>
      <c r="B286" s="35">
        <v>24.385549438800499</v>
      </c>
      <c r="C286" s="35">
        <v>2.5326762054190501</v>
      </c>
      <c r="D286" s="35">
        <v>0.64464767970468295</v>
      </c>
      <c r="E286" s="35">
        <v>3.9287758028994801</v>
      </c>
      <c r="F286" s="40">
        <v>8.5379391434444195E-5</v>
      </c>
      <c r="G286" s="35">
        <v>6.2157574051233998E-3</v>
      </c>
      <c r="H286" s="24" t="s">
        <v>10</v>
      </c>
      <c r="I286" s="34" t="s">
        <v>10</v>
      </c>
      <c r="J286" s="34" t="s">
        <v>10</v>
      </c>
      <c r="K286" s="34"/>
    </row>
    <row r="287" spans="1:11" x14ac:dyDescent="0.2">
      <c r="A287" s="35" t="s">
        <v>4307</v>
      </c>
      <c r="B287" s="35">
        <v>18.1702715795785</v>
      </c>
      <c r="C287" s="35">
        <v>2.8186928619198701</v>
      </c>
      <c r="D287" s="35">
        <v>0.72095114976683305</v>
      </c>
      <c r="E287" s="35">
        <v>3.9096863398185602</v>
      </c>
      <c r="F287" s="40">
        <v>9.2416042611382295E-5</v>
      </c>
      <c r="G287" s="35">
        <v>6.6423294830413497E-3</v>
      </c>
      <c r="H287" s="24" t="s">
        <v>10</v>
      </c>
      <c r="I287" s="34" t="s">
        <v>10</v>
      </c>
      <c r="J287" s="34" t="s">
        <v>10</v>
      </c>
      <c r="K287" s="34"/>
    </row>
    <row r="288" spans="1:11" x14ac:dyDescent="0.2">
      <c r="A288" s="35" t="s">
        <v>4308</v>
      </c>
      <c r="B288" s="35">
        <v>6.5567645244577504</v>
      </c>
      <c r="C288" s="35">
        <v>6.3891945637998697</v>
      </c>
      <c r="D288" s="35">
        <v>1.6366767800172199</v>
      </c>
      <c r="E288" s="35">
        <v>3.9037607436042601</v>
      </c>
      <c r="F288" s="40">
        <v>9.4709411084654697E-5</v>
      </c>
      <c r="G288" s="35">
        <v>6.7321239183119001E-3</v>
      </c>
      <c r="H288" s="24" t="s">
        <v>10</v>
      </c>
      <c r="I288" s="34" t="s">
        <v>10</v>
      </c>
      <c r="J288" s="34" t="s">
        <v>10</v>
      </c>
      <c r="K288" s="34"/>
    </row>
    <row r="289" spans="1:11" x14ac:dyDescent="0.2">
      <c r="A289" s="35" t="s">
        <v>4309</v>
      </c>
      <c r="B289" s="35">
        <v>26.6473013141695</v>
      </c>
      <c r="C289" s="35">
        <v>2.96035275529304</v>
      </c>
      <c r="D289" s="35">
        <v>0.76019105886844296</v>
      </c>
      <c r="E289" s="35">
        <v>3.8942220126866198</v>
      </c>
      <c r="F289" s="40">
        <v>9.8514393361647399E-5</v>
      </c>
      <c r="G289" s="35">
        <v>6.9154652770834803E-3</v>
      </c>
      <c r="H289" s="24" t="s">
        <v>10</v>
      </c>
      <c r="I289" s="34" t="s">
        <v>10</v>
      </c>
      <c r="J289" s="34" t="s">
        <v>10</v>
      </c>
      <c r="K289" s="34"/>
    </row>
    <row r="290" spans="1:11" x14ac:dyDescent="0.2">
      <c r="A290" s="35" t="s">
        <v>4310</v>
      </c>
      <c r="B290" s="35">
        <v>40.753634088274097</v>
      </c>
      <c r="C290" s="35">
        <v>2.0473472528252601</v>
      </c>
      <c r="D290" s="35">
        <v>0.528697759053672</v>
      </c>
      <c r="E290" s="35">
        <v>3.8724341417483101</v>
      </c>
      <c r="F290" s="35">
        <v>1.0775379720363301E-4</v>
      </c>
      <c r="G290" s="35">
        <v>7.4596367245097902E-3</v>
      </c>
      <c r="H290" s="24" t="s">
        <v>10</v>
      </c>
      <c r="I290" s="34" t="s">
        <v>4412</v>
      </c>
      <c r="J290" s="34" t="s">
        <v>10</v>
      </c>
    </row>
    <row r="291" spans="1:11" x14ac:dyDescent="0.2">
      <c r="A291" s="35" t="s">
        <v>4311</v>
      </c>
      <c r="B291" s="35">
        <v>21.0476908096208</v>
      </c>
      <c r="C291" s="35">
        <v>2.5367228419814798</v>
      </c>
      <c r="D291" s="35">
        <v>0.65522716110805301</v>
      </c>
      <c r="E291" s="35">
        <v>3.87151661675873</v>
      </c>
      <c r="F291" s="35">
        <v>1.08160282421748E-4</v>
      </c>
      <c r="G291" s="35">
        <v>7.4763103639670101E-3</v>
      </c>
      <c r="H291" s="24" t="s">
        <v>10</v>
      </c>
      <c r="I291" s="34" t="s">
        <v>10</v>
      </c>
      <c r="J291" s="34" t="s">
        <v>10</v>
      </c>
      <c r="K291" s="34"/>
    </row>
    <row r="292" spans="1:11" x14ac:dyDescent="0.2">
      <c r="A292" s="35" t="s">
        <v>4312</v>
      </c>
      <c r="B292" s="35">
        <v>12.435420933421399</v>
      </c>
      <c r="C292" s="35">
        <v>5.3198649265284299</v>
      </c>
      <c r="D292" s="35">
        <v>1.3746126624075199</v>
      </c>
      <c r="E292" s="35">
        <v>3.8700828764454598</v>
      </c>
      <c r="F292" s="35">
        <v>1.08798361164552E-4</v>
      </c>
      <c r="G292" s="35">
        <v>7.4974528669990402E-3</v>
      </c>
      <c r="H292" s="24" t="s">
        <v>10</v>
      </c>
      <c r="I292" s="34" t="s">
        <v>10</v>
      </c>
      <c r="J292" s="34" t="s">
        <v>10</v>
      </c>
      <c r="K292" s="34"/>
    </row>
    <row r="293" spans="1:11" x14ac:dyDescent="0.2">
      <c r="A293" s="35" t="s">
        <v>4313</v>
      </c>
      <c r="B293" s="35">
        <v>11.9650721035286</v>
      </c>
      <c r="C293" s="35">
        <v>4.10614083994464</v>
      </c>
      <c r="D293" s="35">
        <v>1.0622733506552</v>
      </c>
      <c r="E293" s="35">
        <v>3.86542770503657</v>
      </c>
      <c r="F293" s="35">
        <v>1.10894694460379E-4</v>
      </c>
      <c r="G293" s="35">
        <v>7.6070726806354598E-3</v>
      </c>
      <c r="H293" s="24" t="s">
        <v>10</v>
      </c>
      <c r="I293" s="34" t="s">
        <v>10</v>
      </c>
      <c r="J293" s="34" t="s">
        <v>10</v>
      </c>
      <c r="K293" s="34"/>
    </row>
    <row r="294" spans="1:11" x14ac:dyDescent="0.2">
      <c r="A294" s="35" t="s">
        <v>4314</v>
      </c>
      <c r="B294" s="35">
        <v>6.3213256007965697</v>
      </c>
      <c r="C294" s="35">
        <v>6.3329755527650802</v>
      </c>
      <c r="D294" s="35">
        <v>1.64135869469903</v>
      </c>
      <c r="E294" s="35">
        <v>3.8583739028027302</v>
      </c>
      <c r="F294" s="35">
        <v>1.14143932951682E-4</v>
      </c>
      <c r="G294" s="35">
        <v>7.7709120688387399E-3</v>
      </c>
      <c r="H294" s="24" t="s">
        <v>10</v>
      </c>
      <c r="I294" s="34" t="s">
        <v>10</v>
      </c>
      <c r="J294" s="34" t="s">
        <v>10</v>
      </c>
      <c r="K294" s="34"/>
    </row>
    <row r="295" spans="1:11" x14ac:dyDescent="0.2">
      <c r="A295" s="35" t="s">
        <v>4315</v>
      </c>
      <c r="B295" s="35">
        <v>5.9208749796562001</v>
      </c>
      <c r="C295" s="35">
        <v>6.2471383477755298</v>
      </c>
      <c r="D295" s="35">
        <v>1.62664152229824</v>
      </c>
      <c r="E295" s="35">
        <v>3.84051326745249</v>
      </c>
      <c r="F295" s="35">
        <v>1.2277733618212E-4</v>
      </c>
      <c r="G295" s="35">
        <v>8.2413855562222197E-3</v>
      </c>
      <c r="H295" s="24" t="s">
        <v>10</v>
      </c>
      <c r="I295" s="34" t="s">
        <v>10</v>
      </c>
      <c r="J295" s="34" t="s">
        <v>10</v>
      </c>
      <c r="K295" s="34"/>
    </row>
    <row r="296" spans="1:11" x14ac:dyDescent="0.2">
      <c r="A296" s="35" t="s">
        <v>4316</v>
      </c>
      <c r="B296" s="35">
        <v>13.774454858938901</v>
      </c>
      <c r="C296" s="35">
        <v>4.0531676840489697</v>
      </c>
      <c r="D296" s="35">
        <v>1.0569476588600799</v>
      </c>
      <c r="E296" s="35">
        <v>3.8347856207187498</v>
      </c>
      <c r="F296" s="35">
        <v>1.2567385850089499E-4</v>
      </c>
      <c r="G296" s="35">
        <v>8.3913327679806405E-3</v>
      </c>
      <c r="H296" s="24" t="s">
        <v>10</v>
      </c>
      <c r="I296" s="34" t="s">
        <v>10</v>
      </c>
      <c r="J296" s="34" t="s">
        <v>10</v>
      </c>
      <c r="K296" s="34"/>
    </row>
    <row r="297" spans="1:11" x14ac:dyDescent="0.2">
      <c r="A297" s="35" t="s">
        <v>4317</v>
      </c>
      <c r="B297" s="35">
        <v>11.681339380784699</v>
      </c>
      <c r="C297" s="35">
        <v>3.4976635513812702</v>
      </c>
      <c r="D297" s="35">
        <v>0.92219149756298902</v>
      </c>
      <c r="E297" s="35">
        <v>3.7927735840379202</v>
      </c>
      <c r="F297" s="35">
        <v>1.4897397815480501E-4</v>
      </c>
      <c r="G297" s="35">
        <v>9.5379268822317897E-3</v>
      </c>
      <c r="H297" s="24" t="s">
        <v>10</v>
      </c>
      <c r="I297" s="34" t="s">
        <v>10</v>
      </c>
      <c r="J297" s="34" t="s">
        <v>10</v>
      </c>
      <c r="K297" s="34"/>
    </row>
    <row r="298" spans="1:11" x14ac:dyDescent="0.2">
      <c r="A298" s="35" t="s">
        <v>4318</v>
      </c>
      <c r="B298" s="35">
        <v>6.4372611618334101</v>
      </c>
      <c r="C298" s="35">
        <v>6.3547247086908403</v>
      </c>
      <c r="D298" s="35">
        <v>1.67706055133566</v>
      </c>
      <c r="E298" s="35">
        <v>3.78920409500406</v>
      </c>
      <c r="F298" s="35">
        <v>1.5113071269791799E-4</v>
      </c>
      <c r="G298" s="35">
        <v>9.62142028074176E-3</v>
      </c>
      <c r="H298" s="24" t="s">
        <v>3103</v>
      </c>
      <c r="I298" s="34" t="s">
        <v>3144</v>
      </c>
      <c r="J298" s="34" t="s">
        <v>10</v>
      </c>
    </row>
    <row r="299" spans="1:11" x14ac:dyDescent="0.2">
      <c r="A299" s="22" t="s">
        <v>4319</v>
      </c>
      <c r="B299" s="35">
        <v>32.309367057253397</v>
      </c>
      <c r="C299" s="35">
        <v>2.2787661032678201</v>
      </c>
      <c r="D299" s="35">
        <v>0.60176902582636604</v>
      </c>
      <c r="E299" s="35">
        <v>3.7867786567089601</v>
      </c>
      <c r="F299" s="35">
        <v>1.5261293143946399E-4</v>
      </c>
      <c r="G299" s="35">
        <v>9.6748453460436395E-3</v>
      </c>
      <c r="H299" s="24" t="s">
        <v>4331</v>
      </c>
      <c r="I299" s="34" t="s">
        <v>4385</v>
      </c>
      <c r="J299" s="34" t="s">
        <v>4369</v>
      </c>
    </row>
    <row r="300" spans="1:11" x14ac:dyDescent="0.2">
      <c r="A300" s="35" t="s">
        <v>4320</v>
      </c>
      <c r="B300" s="35">
        <v>5.73629609323112</v>
      </c>
      <c r="C300" s="35">
        <v>6.2017654403399796</v>
      </c>
      <c r="D300" s="35">
        <v>1.6407410666007101</v>
      </c>
      <c r="E300" s="35">
        <v>3.77985628968794</v>
      </c>
      <c r="F300" s="35">
        <v>1.5691890269281701E-4</v>
      </c>
      <c r="G300" s="35">
        <v>9.8784498059214503E-3</v>
      </c>
      <c r="H300" s="24" t="s">
        <v>10</v>
      </c>
      <c r="I300" s="34" t="s">
        <v>10</v>
      </c>
      <c r="J300" s="34" t="s">
        <v>10</v>
      </c>
      <c r="K300" s="34"/>
    </row>
    <row r="301" spans="1:11" x14ac:dyDescent="0.2">
      <c r="A301" s="2"/>
      <c r="B301" s="2"/>
      <c r="C301" s="2"/>
      <c r="D301" s="2"/>
      <c r="E301" s="2"/>
      <c r="F301" s="2"/>
      <c r="G301" s="2"/>
      <c r="H301" s="2"/>
      <c r="I301" s="2"/>
    </row>
    <row r="302" spans="1:11" x14ac:dyDescent="0.2">
      <c r="A302" s="2"/>
      <c r="B302" s="2"/>
      <c r="C302" s="2"/>
      <c r="D302" s="2"/>
      <c r="E302" s="2"/>
      <c r="F302" s="2"/>
      <c r="G302" s="2"/>
      <c r="H302" s="2"/>
      <c r="I302" s="2"/>
    </row>
    <row r="303" spans="1:11" x14ac:dyDescent="0.2">
      <c r="A303" s="2"/>
      <c r="B303" s="2"/>
      <c r="C303" s="2"/>
      <c r="D303" s="2"/>
      <c r="E303" s="2"/>
      <c r="F303" s="2"/>
      <c r="G303" s="2"/>
      <c r="H303" s="2"/>
      <c r="I303" s="2"/>
    </row>
    <row r="304" spans="1:11" x14ac:dyDescent="0.2">
      <c r="A304" s="2"/>
      <c r="B304" s="2"/>
      <c r="C304" s="2"/>
      <c r="D304" s="2"/>
      <c r="E304" s="2"/>
      <c r="F304" s="2"/>
      <c r="G304" s="2"/>
      <c r="H304" s="2"/>
      <c r="I304" s="2"/>
    </row>
    <row r="305" spans="1:9" x14ac:dyDescent="0.2">
      <c r="A305" s="2"/>
      <c r="B305" s="2"/>
      <c r="C305" s="2"/>
      <c r="D305" s="2"/>
      <c r="E305" s="2"/>
      <c r="F305" s="2"/>
      <c r="G305" s="2"/>
      <c r="H305" s="2"/>
      <c r="I305" s="2"/>
    </row>
    <row r="306" spans="1:9" x14ac:dyDescent="0.2">
      <c r="A306" s="2"/>
      <c r="B306" s="2"/>
      <c r="C306" s="2"/>
      <c r="D306" s="2"/>
      <c r="E306" s="2"/>
      <c r="F306" s="2"/>
      <c r="G306" s="2"/>
      <c r="H306" s="2"/>
      <c r="I306" s="2"/>
    </row>
    <row r="307" spans="1:9" x14ac:dyDescent="0.2">
      <c r="A307" s="2"/>
      <c r="B307" s="2"/>
      <c r="C307" s="2"/>
      <c r="D307" s="2"/>
      <c r="E307" s="2"/>
      <c r="F307" s="2"/>
      <c r="G307" s="2"/>
      <c r="H307" s="2"/>
      <c r="I307" s="2"/>
    </row>
    <row r="308" spans="1:9" x14ac:dyDescent="0.2">
      <c r="A308" s="2"/>
      <c r="B308" s="2"/>
      <c r="C308" s="2"/>
      <c r="D308" s="2"/>
      <c r="E308" s="2"/>
      <c r="F308" s="2"/>
      <c r="G308" s="2"/>
      <c r="H308" s="2"/>
      <c r="I308" s="2"/>
    </row>
    <row r="309" spans="1:9" x14ac:dyDescent="0.2">
      <c r="A309" s="2"/>
      <c r="B309" s="2"/>
      <c r="C309" s="2"/>
      <c r="D309" s="2"/>
      <c r="E309" s="2"/>
      <c r="F309" s="2"/>
      <c r="G309" s="2"/>
      <c r="H309" s="2"/>
      <c r="I309" s="2"/>
    </row>
    <row r="310" spans="1:9" x14ac:dyDescent="0.2">
      <c r="A310" s="2"/>
      <c r="B310" s="2"/>
      <c r="C310" s="2"/>
      <c r="D310" s="2"/>
      <c r="E310" s="2"/>
      <c r="F310" s="2"/>
      <c r="G310" s="2"/>
      <c r="H310" s="2"/>
      <c r="I310" s="2"/>
    </row>
    <row r="311" spans="1:9" x14ac:dyDescent="0.2">
      <c r="A311" s="2"/>
      <c r="B311" s="2"/>
      <c r="C311" s="2"/>
      <c r="D311" s="2"/>
      <c r="E311" s="2"/>
      <c r="F311" s="2"/>
      <c r="G311" s="2"/>
      <c r="H311" s="2"/>
      <c r="I311" s="2"/>
    </row>
    <row r="312" spans="1:9" x14ac:dyDescent="0.2">
      <c r="A312" s="2"/>
      <c r="B312" s="2"/>
      <c r="C312" s="2"/>
      <c r="D312" s="2"/>
      <c r="E312" s="2"/>
      <c r="F312" s="2"/>
      <c r="G312" s="2"/>
      <c r="H312" s="2"/>
      <c r="I312" s="2"/>
    </row>
    <row r="313" spans="1:9" x14ac:dyDescent="0.2">
      <c r="A313" s="2"/>
      <c r="B313" s="2"/>
      <c r="C313" s="2"/>
      <c r="D313" s="2"/>
      <c r="E313" s="2"/>
      <c r="F313" s="2"/>
      <c r="G313" s="2"/>
      <c r="H313" s="2"/>
      <c r="I313" s="2"/>
    </row>
    <row r="314" spans="1:9" x14ac:dyDescent="0.2">
      <c r="A314" s="2"/>
      <c r="B314" s="2"/>
      <c r="C314" s="2"/>
      <c r="D314" s="2"/>
      <c r="E314" s="2"/>
      <c r="F314" s="2"/>
      <c r="G314" s="2"/>
      <c r="H314" s="2"/>
      <c r="I314" s="2"/>
    </row>
    <row r="315" spans="1:9" x14ac:dyDescent="0.2">
      <c r="A315" s="2"/>
      <c r="B315" s="2"/>
      <c r="C315" s="2"/>
      <c r="D315" s="2"/>
      <c r="E315" s="2"/>
      <c r="F315" s="2"/>
      <c r="G315" s="2"/>
      <c r="H315" s="2"/>
      <c r="I315" s="2"/>
    </row>
    <row r="316" spans="1:9" x14ac:dyDescent="0.2">
      <c r="A316" s="2"/>
      <c r="B316" s="2"/>
      <c r="C316" s="2"/>
      <c r="D316" s="2"/>
      <c r="E316" s="2"/>
      <c r="F316" s="2"/>
      <c r="G316" s="2"/>
      <c r="H316" s="2"/>
      <c r="I316" s="2"/>
    </row>
    <row r="317" spans="1:9" x14ac:dyDescent="0.2">
      <c r="A317" s="2"/>
      <c r="B317" s="2"/>
      <c r="C317" s="2"/>
      <c r="D317" s="2"/>
      <c r="E317" s="2"/>
      <c r="F317" s="2"/>
      <c r="G317" s="2"/>
      <c r="H317" s="2"/>
      <c r="I317" s="2"/>
    </row>
    <row r="318" spans="1:9" x14ac:dyDescent="0.2">
      <c r="A318" s="2"/>
      <c r="B318" s="2"/>
      <c r="C318" s="2"/>
      <c r="D318" s="2"/>
      <c r="E318" s="2"/>
      <c r="F318" s="2"/>
      <c r="G318" s="2"/>
      <c r="H318" s="2"/>
      <c r="I318" s="2"/>
    </row>
    <row r="319" spans="1:9" x14ac:dyDescent="0.2">
      <c r="A319" s="2"/>
      <c r="B319" s="2"/>
      <c r="C319" s="2"/>
      <c r="D319" s="2"/>
      <c r="E319" s="2"/>
      <c r="F319" s="2"/>
      <c r="G319" s="2"/>
      <c r="H319" s="2"/>
      <c r="I319" s="2"/>
    </row>
    <row r="320" spans="1:9" x14ac:dyDescent="0.2">
      <c r="A320" s="2"/>
      <c r="B320" s="2"/>
      <c r="C320" s="2"/>
      <c r="D320" s="2"/>
      <c r="E320" s="2"/>
      <c r="F320" s="2"/>
      <c r="G320" s="2"/>
      <c r="H320" s="2"/>
      <c r="I320" s="2"/>
    </row>
    <row r="321" spans="1:9" x14ac:dyDescent="0.2">
      <c r="A321" s="2"/>
      <c r="B321" s="2"/>
      <c r="C321" s="2"/>
      <c r="D321" s="2"/>
      <c r="E321" s="2"/>
      <c r="F321" s="2"/>
      <c r="G321" s="2"/>
      <c r="H321" s="2"/>
      <c r="I321" s="2"/>
    </row>
    <row r="322" spans="1:9" x14ac:dyDescent="0.2">
      <c r="A322" s="2"/>
      <c r="B322" s="2"/>
      <c r="C322" s="2"/>
      <c r="D322" s="2"/>
      <c r="E322" s="2"/>
      <c r="F322" s="2"/>
      <c r="G322" s="2"/>
      <c r="H322" s="2"/>
      <c r="I322" s="2"/>
    </row>
    <row r="323" spans="1:9" x14ac:dyDescent="0.2">
      <c r="A323" s="2"/>
      <c r="B323" s="2"/>
      <c r="C323" s="2"/>
      <c r="D323" s="2"/>
      <c r="E323" s="2"/>
      <c r="F323" s="2"/>
      <c r="G323" s="2"/>
      <c r="H323" s="2"/>
      <c r="I323" s="2"/>
    </row>
    <row r="324" spans="1:9" x14ac:dyDescent="0.2">
      <c r="A324" s="2"/>
      <c r="B324" s="2"/>
      <c r="C324" s="2"/>
      <c r="D324" s="2"/>
      <c r="E324" s="2"/>
      <c r="F324" s="2"/>
      <c r="G324" s="2"/>
      <c r="H324" s="2"/>
      <c r="I324" s="2"/>
    </row>
    <row r="325" spans="1:9" x14ac:dyDescent="0.2">
      <c r="A325" s="2"/>
      <c r="B325" s="2"/>
      <c r="C325" s="2"/>
      <c r="D325" s="2"/>
      <c r="E325" s="2"/>
      <c r="F325" s="2"/>
      <c r="G325" s="2"/>
      <c r="H325" s="2"/>
      <c r="I325" s="2"/>
    </row>
    <row r="326" spans="1:9" x14ac:dyDescent="0.2">
      <c r="A326" s="2"/>
      <c r="B326" s="2"/>
      <c r="C326" s="2"/>
      <c r="D326" s="2"/>
      <c r="E326" s="2"/>
      <c r="F326" s="2"/>
      <c r="G326" s="2"/>
      <c r="H326" s="2"/>
      <c r="I326" s="2"/>
    </row>
    <row r="327" spans="1:9" x14ac:dyDescent="0.2">
      <c r="A327" s="2"/>
      <c r="B327" s="2"/>
      <c r="C327" s="2"/>
      <c r="D327" s="2"/>
      <c r="E327" s="2"/>
      <c r="F327" s="2"/>
      <c r="G327" s="2"/>
      <c r="H327" s="2"/>
      <c r="I327" s="2"/>
    </row>
    <row r="328" spans="1:9" x14ac:dyDescent="0.2">
      <c r="A328" s="2"/>
      <c r="B328" s="2"/>
      <c r="C328" s="2"/>
      <c r="D328" s="2"/>
      <c r="E328" s="2"/>
      <c r="F328" s="2"/>
      <c r="G328" s="2"/>
      <c r="H328" s="2"/>
      <c r="I328" s="2"/>
    </row>
    <row r="329" spans="1:9" x14ac:dyDescent="0.2">
      <c r="A329" s="2"/>
      <c r="B329" s="2"/>
      <c r="C329" s="2"/>
      <c r="D329" s="2"/>
      <c r="E329" s="2"/>
      <c r="F329" s="2"/>
      <c r="G329" s="2"/>
      <c r="H329" s="2"/>
      <c r="I329" s="2"/>
    </row>
    <row r="330" spans="1:9" x14ac:dyDescent="0.2">
      <c r="A330" s="2"/>
      <c r="B330" s="2"/>
      <c r="C330" s="2"/>
      <c r="D330" s="2"/>
      <c r="E330" s="2"/>
      <c r="F330" s="2"/>
      <c r="G330" s="2"/>
      <c r="H330" s="2"/>
      <c r="I330" s="2"/>
    </row>
    <row r="331" spans="1:9" x14ac:dyDescent="0.2">
      <c r="A331" s="2"/>
      <c r="B331" s="2"/>
      <c r="C331" s="2"/>
      <c r="D331" s="2"/>
      <c r="E331" s="2"/>
      <c r="F331" s="2"/>
      <c r="G331" s="2"/>
      <c r="H331" s="2"/>
      <c r="I331" s="2"/>
    </row>
    <row r="332" spans="1:9" x14ac:dyDescent="0.2">
      <c r="A332" s="2"/>
      <c r="B332" s="2"/>
      <c r="C332" s="2"/>
      <c r="D332" s="2"/>
      <c r="E332" s="2"/>
      <c r="F332" s="2"/>
      <c r="G332" s="2"/>
      <c r="H332" s="2"/>
      <c r="I332" s="2"/>
    </row>
    <row r="333" spans="1:9" x14ac:dyDescent="0.2">
      <c r="A333" s="2"/>
      <c r="B333" s="2"/>
      <c r="C333" s="2"/>
      <c r="D333" s="2"/>
      <c r="E333" s="2"/>
      <c r="F333" s="2"/>
      <c r="G333" s="2"/>
      <c r="H333" s="2"/>
      <c r="I333" s="2"/>
    </row>
    <row r="334" spans="1:9" x14ac:dyDescent="0.2">
      <c r="A334" s="2"/>
      <c r="B334" s="2"/>
      <c r="C334" s="2"/>
      <c r="D334" s="2"/>
      <c r="E334" s="2"/>
      <c r="F334" s="2"/>
      <c r="G334" s="2"/>
      <c r="H334" s="2"/>
      <c r="I334" s="2"/>
    </row>
    <row r="335" spans="1:9" x14ac:dyDescent="0.2">
      <c r="A335" s="2"/>
      <c r="B335" s="2"/>
      <c r="C335" s="2"/>
      <c r="D335" s="2"/>
      <c r="E335" s="2"/>
      <c r="F335" s="2"/>
      <c r="G335" s="2"/>
      <c r="H335" s="2"/>
      <c r="I335" s="2"/>
    </row>
    <row r="336" spans="1:9" x14ac:dyDescent="0.2">
      <c r="A336" s="2"/>
      <c r="B336" s="2"/>
      <c r="C336" s="2"/>
      <c r="D336" s="2"/>
      <c r="E336" s="2"/>
      <c r="F336" s="2"/>
      <c r="G336" s="2"/>
      <c r="H336" s="2"/>
      <c r="I336" s="2"/>
    </row>
    <row r="337" spans="1:9" x14ac:dyDescent="0.2">
      <c r="A337" s="2"/>
      <c r="B337" s="2"/>
      <c r="C337" s="2"/>
      <c r="D337" s="2"/>
      <c r="E337" s="2"/>
      <c r="F337" s="2"/>
      <c r="G337" s="2"/>
      <c r="H337" s="2"/>
      <c r="I337" s="2"/>
    </row>
    <row r="338" spans="1:9" x14ac:dyDescent="0.2">
      <c r="A338" s="2"/>
      <c r="B338" s="2"/>
      <c r="C338" s="2"/>
      <c r="D338" s="2"/>
      <c r="E338" s="2"/>
      <c r="F338" s="2"/>
      <c r="G338" s="2"/>
      <c r="H338" s="2"/>
      <c r="I338" s="2"/>
    </row>
    <row r="339" spans="1:9" x14ac:dyDescent="0.2">
      <c r="A339" s="2"/>
      <c r="B339" s="2"/>
      <c r="C339" s="2"/>
      <c r="D339" s="2"/>
      <c r="E339" s="2"/>
      <c r="F339" s="2"/>
      <c r="G339" s="2"/>
      <c r="H339" s="2"/>
      <c r="I339" s="2"/>
    </row>
    <row r="340" spans="1:9" x14ac:dyDescent="0.2">
      <c r="A340" s="2"/>
      <c r="B340" s="2"/>
      <c r="C340" s="2"/>
      <c r="D340" s="2"/>
      <c r="E340" s="2"/>
      <c r="F340" s="2"/>
      <c r="G340" s="2"/>
      <c r="H340" s="2"/>
      <c r="I340" s="2"/>
    </row>
    <row r="341" spans="1:9" x14ac:dyDescent="0.2">
      <c r="A341" s="2"/>
      <c r="B341" s="2"/>
      <c r="C341" s="2"/>
      <c r="D341" s="2"/>
      <c r="E341" s="2"/>
      <c r="F341" s="2"/>
      <c r="G341" s="2"/>
      <c r="H341" s="2"/>
      <c r="I341" s="2"/>
    </row>
    <row r="342" spans="1:9" x14ac:dyDescent="0.2">
      <c r="A342" s="2"/>
      <c r="B342" s="2"/>
      <c r="C342" s="2"/>
      <c r="D342" s="2"/>
      <c r="E342" s="2"/>
      <c r="F342" s="2"/>
      <c r="G342" s="2"/>
      <c r="H342" s="2"/>
      <c r="I342" s="2"/>
    </row>
    <row r="343" spans="1:9" x14ac:dyDescent="0.2">
      <c r="A343" s="2"/>
      <c r="B343" s="2"/>
      <c r="C343" s="2"/>
      <c r="D343" s="2"/>
      <c r="E343" s="2"/>
      <c r="F343" s="2"/>
      <c r="G343" s="2"/>
      <c r="H343" s="2"/>
      <c r="I343" s="2"/>
    </row>
    <row r="344" spans="1:9" x14ac:dyDescent="0.2">
      <c r="A344" s="2"/>
      <c r="B344" s="2"/>
      <c r="C344" s="2"/>
      <c r="D344" s="2"/>
      <c r="E344" s="2"/>
      <c r="F344" s="2"/>
      <c r="G344" s="2"/>
      <c r="H344" s="2"/>
      <c r="I344" s="2"/>
    </row>
    <row r="345" spans="1:9" x14ac:dyDescent="0.2">
      <c r="A345" s="2"/>
      <c r="B345" s="2"/>
      <c r="C345" s="2"/>
      <c r="D345" s="2"/>
      <c r="E345" s="2"/>
      <c r="F345" s="2"/>
      <c r="G345" s="2"/>
      <c r="H345" s="2"/>
      <c r="I345" s="2"/>
    </row>
    <row r="346" spans="1:9" x14ac:dyDescent="0.2">
      <c r="A346" s="2"/>
      <c r="B346" s="2"/>
      <c r="C346" s="2"/>
      <c r="D346" s="2"/>
      <c r="E346" s="2"/>
      <c r="F346" s="2"/>
      <c r="G346" s="2"/>
      <c r="H346" s="2"/>
      <c r="I346" s="2"/>
    </row>
    <row r="347" spans="1:9" x14ac:dyDescent="0.2">
      <c r="A347" s="2"/>
      <c r="B347" s="2"/>
      <c r="C347" s="2"/>
      <c r="D347" s="2"/>
      <c r="E347" s="2"/>
      <c r="F347" s="2"/>
      <c r="G347" s="2"/>
      <c r="H347" s="2"/>
      <c r="I347" s="2"/>
    </row>
    <row r="348" spans="1:9" x14ac:dyDescent="0.2">
      <c r="A348" s="2"/>
      <c r="B348" s="2"/>
      <c r="C348" s="2"/>
      <c r="D348" s="2"/>
      <c r="E348" s="2"/>
      <c r="F348" s="2"/>
      <c r="G348" s="2"/>
      <c r="H348" s="2"/>
      <c r="I348" s="2"/>
    </row>
    <row r="349" spans="1:9" x14ac:dyDescent="0.2">
      <c r="A349" s="2"/>
      <c r="B349" s="2"/>
      <c r="C349" s="2"/>
      <c r="D349" s="2"/>
      <c r="E349" s="2"/>
      <c r="F349" s="2"/>
      <c r="G349" s="2"/>
      <c r="H349" s="2"/>
      <c r="I349" s="2"/>
    </row>
    <row r="350" spans="1:9" x14ac:dyDescent="0.2">
      <c r="A350" s="2"/>
      <c r="B350" s="2"/>
      <c r="C350" s="2"/>
      <c r="D350" s="2"/>
      <c r="E350" s="2"/>
      <c r="F350" s="2"/>
      <c r="G350" s="2"/>
      <c r="H350" s="2"/>
      <c r="I350" s="2"/>
    </row>
    <row r="351" spans="1:9" x14ac:dyDescent="0.2">
      <c r="A351" s="2"/>
      <c r="B351" s="2"/>
      <c r="C351" s="2"/>
      <c r="D351" s="2"/>
      <c r="E351" s="2"/>
      <c r="F351" s="2"/>
      <c r="G351" s="2"/>
      <c r="H351" s="2"/>
      <c r="I351" s="2"/>
    </row>
    <row r="352" spans="1:9" x14ac:dyDescent="0.2">
      <c r="A352" s="2"/>
      <c r="B352" s="2"/>
      <c r="C352" s="2"/>
      <c r="D352" s="2"/>
      <c r="E352" s="2"/>
      <c r="F352" s="2"/>
      <c r="G352" s="2"/>
      <c r="H352" s="2"/>
      <c r="I352" s="2"/>
    </row>
    <row r="353" spans="1:9" x14ac:dyDescent="0.2">
      <c r="A353" s="2"/>
      <c r="B353" s="2"/>
      <c r="C353" s="2"/>
      <c r="D353" s="2"/>
      <c r="E353" s="2"/>
      <c r="F353" s="2"/>
      <c r="G353" s="2"/>
      <c r="H353" s="2"/>
      <c r="I353" s="2"/>
    </row>
    <row r="354" spans="1:9" x14ac:dyDescent="0.2">
      <c r="A354" s="2"/>
      <c r="B354" s="2"/>
      <c r="C354" s="2"/>
      <c r="D354" s="2"/>
      <c r="E354" s="2"/>
      <c r="F354" s="2"/>
      <c r="G354" s="2"/>
      <c r="H354" s="2"/>
      <c r="I354" s="2"/>
    </row>
    <row r="355" spans="1:9" x14ac:dyDescent="0.2">
      <c r="A355" s="2"/>
      <c r="B355" s="2"/>
      <c r="C355" s="2"/>
      <c r="D355" s="2"/>
      <c r="E355" s="2"/>
      <c r="F355" s="2"/>
      <c r="G355" s="2"/>
      <c r="H355" s="2"/>
      <c r="I355" s="2"/>
    </row>
    <row r="356" spans="1:9" x14ac:dyDescent="0.2">
      <c r="A356" s="2"/>
      <c r="B356" s="2"/>
      <c r="C356" s="2"/>
      <c r="D356" s="2"/>
      <c r="E356" s="2"/>
      <c r="F356" s="2"/>
      <c r="G356" s="2"/>
      <c r="H356" s="2"/>
      <c r="I356" s="2"/>
    </row>
    <row r="357" spans="1:9" x14ac:dyDescent="0.2">
      <c r="A357" s="2"/>
      <c r="B357" s="2"/>
      <c r="C357" s="2"/>
      <c r="D357" s="2"/>
      <c r="E357" s="2"/>
      <c r="F357" s="2"/>
      <c r="G357" s="2"/>
      <c r="H357" s="2"/>
      <c r="I357" s="2"/>
    </row>
    <row r="358" spans="1:9" x14ac:dyDescent="0.2">
      <c r="A358" s="2"/>
      <c r="B358" s="2"/>
      <c r="C358" s="2"/>
      <c r="D358" s="2"/>
      <c r="E358" s="2"/>
      <c r="F358" s="2"/>
      <c r="G358" s="2"/>
      <c r="H358" s="2"/>
      <c r="I358" s="2"/>
    </row>
    <row r="359" spans="1:9" x14ac:dyDescent="0.2">
      <c r="A359" s="2"/>
      <c r="B359" s="2"/>
      <c r="C359" s="2"/>
      <c r="D359" s="2"/>
      <c r="E359" s="2"/>
      <c r="F359" s="2"/>
      <c r="G359" s="2"/>
      <c r="H359" s="2"/>
      <c r="I359" s="2"/>
    </row>
    <row r="360" spans="1:9" x14ac:dyDescent="0.2">
      <c r="A360" s="2"/>
      <c r="B360" s="2"/>
      <c r="C360" s="2"/>
      <c r="D360" s="2"/>
      <c r="E360" s="2"/>
      <c r="F360" s="2"/>
      <c r="G360" s="2"/>
      <c r="H360" s="2"/>
      <c r="I360" s="2"/>
    </row>
    <row r="361" spans="1:9" x14ac:dyDescent="0.2">
      <c r="A361" s="2"/>
      <c r="B361" s="2"/>
      <c r="C361" s="2"/>
      <c r="D361" s="2"/>
      <c r="E361" s="2"/>
      <c r="F361" s="2"/>
      <c r="G361" s="2"/>
      <c r="H361" s="2"/>
      <c r="I361" s="2"/>
    </row>
    <row r="362" spans="1:9" x14ac:dyDescent="0.2">
      <c r="A362" s="2"/>
      <c r="B362" s="2"/>
      <c r="C362" s="2"/>
      <c r="D362" s="2"/>
      <c r="E362" s="2"/>
      <c r="F362" s="2"/>
      <c r="G362" s="2"/>
      <c r="H362" s="2"/>
      <c r="I362" s="2"/>
    </row>
    <row r="363" spans="1:9" x14ac:dyDescent="0.2">
      <c r="A363" s="2"/>
      <c r="B363" s="2"/>
      <c r="C363" s="2"/>
      <c r="D363" s="2"/>
      <c r="E363" s="2"/>
      <c r="F363" s="2"/>
      <c r="G363" s="2"/>
      <c r="H363" s="2"/>
      <c r="I363" s="2"/>
    </row>
    <row r="364" spans="1:9" x14ac:dyDescent="0.2">
      <c r="A364" s="2"/>
      <c r="B364" s="2"/>
      <c r="C364" s="2"/>
      <c r="D364" s="2"/>
      <c r="E364" s="2"/>
      <c r="F364" s="2"/>
      <c r="G364" s="2"/>
      <c r="H364" s="2"/>
      <c r="I364" s="2"/>
    </row>
    <row r="365" spans="1:9" x14ac:dyDescent="0.2">
      <c r="A365" s="2"/>
      <c r="B365" s="2"/>
      <c r="C365" s="2"/>
      <c r="D365" s="2"/>
      <c r="E365" s="2"/>
      <c r="F365" s="2"/>
      <c r="G365" s="2"/>
      <c r="H365" s="2"/>
      <c r="I365" s="2"/>
    </row>
    <row r="366" spans="1:9" x14ac:dyDescent="0.2">
      <c r="A366" s="2"/>
      <c r="B366" s="2"/>
      <c r="C366" s="2"/>
      <c r="D366" s="2"/>
      <c r="E366" s="2"/>
      <c r="F366" s="2"/>
      <c r="G366" s="2"/>
      <c r="H366" s="2"/>
      <c r="I366" s="2"/>
    </row>
    <row r="367" spans="1:9" x14ac:dyDescent="0.2">
      <c r="A367" s="2"/>
      <c r="B367" s="2"/>
      <c r="C367" s="2"/>
      <c r="D367" s="2"/>
      <c r="E367" s="2"/>
      <c r="F367" s="2"/>
      <c r="G367" s="2"/>
      <c r="H367" s="2"/>
      <c r="I367" s="2"/>
    </row>
    <row r="368" spans="1:9" x14ac:dyDescent="0.2">
      <c r="A368" s="2"/>
      <c r="B368" s="2"/>
      <c r="C368" s="2"/>
      <c r="D368" s="2"/>
      <c r="E368" s="2"/>
      <c r="F368" s="2"/>
      <c r="G368" s="2"/>
      <c r="H368" s="2"/>
      <c r="I368" s="2"/>
    </row>
    <row r="369" spans="1:9" x14ac:dyDescent="0.2">
      <c r="A369" s="2"/>
      <c r="B369" s="2"/>
      <c r="C369" s="2"/>
      <c r="D369" s="2"/>
      <c r="E369" s="2"/>
      <c r="F369" s="2"/>
      <c r="G369" s="2"/>
      <c r="H369" s="2"/>
      <c r="I369" s="2"/>
    </row>
    <row r="370" spans="1:9" x14ac:dyDescent="0.2">
      <c r="A370" s="2"/>
      <c r="B370" s="2"/>
      <c r="C370" s="2"/>
      <c r="D370" s="2"/>
      <c r="E370" s="2"/>
      <c r="F370" s="2"/>
      <c r="G370" s="2"/>
      <c r="H370" s="2"/>
      <c r="I370" s="2"/>
    </row>
    <row r="371" spans="1:9" x14ac:dyDescent="0.2">
      <c r="A371" s="2"/>
      <c r="B371" s="2"/>
      <c r="C371" s="2"/>
      <c r="D371" s="2"/>
      <c r="E371" s="2"/>
      <c r="F371" s="2"/>
      <c r="G371" s="2"/>
      <c r="H371" s="2"/>
      <c r="I371" s="2"/>
    </row>
    <row r="372" spans="1:9" x14ac:dyDescent="0.2">
      <c r="A372" s="2"/>
      <c r="B372" s="2"/>
      <c r="C372" s="2"/>
      <c r="D372" s="2"/>
      <c r="E372" s="2"/>
      <c r="F372" s="2"/>
      <c r="G372" s="2"/>
      <c r="H372" s="2"/>
      <c r="I372" s="2"/>
    </row>
    <row r="373" spans="1:9" x14ac:dyDescent="0.2">
      <c r="A373" s="2"/>
      <c r="B373" s="2"/>
      <c r="C373" s="2"/>
      <c r="D373" s="2"/>
      <c r="E373" s="2"/>
      <c r="F373" s="2"/>
      <c r="G373" s="2"/>
      <c r="H373" s="2"/>
      <c r="I373" s="2"/>
    </row>
    <row r="374" spans="1:9" x14ac:dyDescent="0.2">
      <c r="A374" s="2"/>
      <c r="B374" s="2"/>
      <c r="C374" s="2"/>
      <c r="D374" s="2"/>
      <c r="E374" s="2"/>
      <c r="F374" s="2"/>
      <c r="G374" s="2"/>
      <c r="H374" s="2"/>
      <c r="I374" s="2"/>
    </row>
    <row r="375" spans="1:9" x14ac:dyDescent="0.2">
      <c r="A375" s="2"/>
      <c r="B375" s="2"/>
      <c r="C375" s="2"/>
      <c r="D375" s="2"/>
      <c r="E375" s="2"/>
      <c r="F375" s="2"/>
      <c r="G375" s="2"/>
      <c r="H375" s="2"/>
      <c r="I375" s="2"/>
    </row>
    <row r="376" spans="1:9" x14ac:dyDescent="0.2">
      <c r="A376" s="2"/>
      <c r="B376" s="2"/>
      <c r="C376" s="2"/>
      <c r="D376" s="2"/>
      <c r="E376" s="2"/>
      <c r="F376" s="2"/>
      <c r="G376" s="2"/>
      <c r="H376" s="2"/>
      <c r="I376" s="2"/>
    </row>
    <row r="377" spans="1:9" x14ac:dyDescent="0.2">
      <c r="A377" s="2"/>
      <c r="B377" s="2"/>
      <c r="C377" s="2"/>
      <c r="D377" s="2"/>
      <c r="E377" s="2"/>
      <c r="F377" s="2"/>
      <c r="G377" s="2"/>
      <c r="H377" s="2"/>
      <c r="I377" s="2"/>
    </row>
    <row r="378" spans="1:9" x14ac:dyDescent="0.2">
      <c r="A378" s="2"/>
      <c r="B378" s="2"/>
      <c r="C378" s="2"/>
      <c r="D378" s="2"/>
      <c r="E378" s="2"/>
      <c r="F378" s="2"/>
      <c r="G378" s="2"/>
      <c r="H378" s="2"/>
      <c r="I378" s="2"/>
    </row>
    <row r="379" spans="1:9" x14ac:dyDescent="0.2">
      <c r="A379" s="2"/>
      <c r="B379" s="2"/>
      <c r="C379" s="2"/>
      <c r="D379" s="2"/>
      <c r="E379" s="2"/>
      <c r="F379" s="2"/>
      <c r="G379" s="2"/>
      <c r="H379" s="2"/>
      <c r="I379" s="2"/>
    </row>
    <row r="380" spans="1:9" x14ac:dyDescent="0.2">
      <c r="A380" s="2"/>
      <c r="B380" s="2"/>
      <c r="C380" s="2"/>
      <c r="D380" s="2"/>
      <c r="E380" s="2"/>
      <c r="F380" s="2"/>
      <c r="G380" s="2"/>
      <c r="H380" s="2"/>
      <c r="I380" s="2"/>
    </row>
    <row r="381" spans="1:9" x14ac:dyDescent="0.2">
      <c r="A381" s="2"/>
      <c r="B381" s="2"/>
      <c r="C381" s="2"/>
      <c r="D381" s="2"/>
      <c r="E381" s="2"/>
      <c r="F381" s="2"/>
      <c r="G381" s="2"/>
      <c r="H381" s="2"/>
      <c r="I381" s="2"/>
    </row>
    <row r="382" spans="1:9" x14ac:dyDescent="0.2">
      <c r="A382" s="2"/>
      <c r="B382" s="2"/>
      <c r="C382" s="2"/>
      <c r="D382" s="2"/>
      <c r="E382" s="2"/>
      <c r="F382" s="2"/>
      <c r="G382" s="2"/>
      <c r="H382" s="2"/>
      <c r="I382" s="2"/>
    </row>
    <row r="383" spans="1:9" x14ac:dyDescent="0.2">
      <c r="A383" s="2"/>
      <c r="B383" s="2"/>
      <c r="C383" s="2"/>
      <c r="D383" s="2"/>
      <c r="E383" s="2"/>
      <c r="F383" s="2"/>
      <c r="G383" s="2"/>
      <c r="H383" s="2"/>
      <c r="I383" s="2"/>
    </row>
    <row r="384" spans="1:9" x14ac:dyDescent="0.2">
      <c r="A384" s="2"/>
      <c r="B384" s="2"/>
      <c r="C384" s="2"/>
      <c r="D384" s="2"/>
      <c r="E384" s="2"/>
      <c r="F384" s="2"/>
      <c r="G384" s="2"/>
      <c r="H384" s="2"/>
      <c r="I384" s="2"/>
    </row>
    <row r="385" spans="1:9" x14ac:dyDescent="0.2">
      <c r="A385" s="2"/>
      <c r="B385" s="2"/>
      <c r="C385" s="2"/>
      <c r="D385" s="2"/>
      <c r="E385" s="2"/>
      <c r="F385" s="2"/>
      <c r="G385" s="2"/>
      <c r="H385" s="2"/>
      <c r="I385" s="2"/>
    </row>
    <row r="386" spans="1:9" x14ac:dyDescent="0.2">
      <c r="A386" s="2"/>
      <c r="B386" s="2"/>
      <c r="C386" s="2"/>
      <c r="D386" s="2"/>
      <c r="E386" s="2"/>
      <c r="F386" s="2"/>
      <c r="G386" s="2"/>
      <c r="H386" s="2"/>
      <c r="I386" s="2"/>
    </row>
    <row r="387" spans="1:9" x14ac:dyDescent="0.2">
      <c r="A387" s="2"/>
      <c r="B387" s="2"/>
      <c r="C387" s="2"/>
      <c r="D387" s="2"/>
      <c r="E387" s="2"/>
      <c r="F387" s="2"/>
      <c r="G387" s="2"/>
      <c r="H387" s="2"/>
      <c r="I387" s="2"/>
    </row>
    <row r="388" spans="1:9" x14ac:dyDescent="0.2">
      <c r="A388" s="2"/>
      <c r="B388" s="2"/>
      <c r="C388" s="2"/>
      <c r="D388" s="2"/>
      <c r="E388" s="2"/>
      <c r="F388" s="2"/>
      <c r="G388" s="2"/>
      <c r="H388" s="2"/>
      <c r="I388" s="2"/>
    </row>
    <row r="389" spans="1:9" x14ac:dyDescent="0.2">
      <c r="A389" s="2"/>
      <c r="B389" s="2"/>
      <c r="C389" s="2"/>
      <c r="D389" s="2"/>
      <c r="E389" s="2"/>
      <c r="F389" s="2"/>
      <c r="G389" s="2"/>
      <c r="H389" s="2"/>
      <c r="I389" s="2"/>
    </row>
    <row r="390" spans="1:9" x14ac:dyDescent="0.2">
      <c r="A390" s="2"/>
      <c r="B390" s="2"/>
      <c r="C390" s="2"/>
      <c r="D390" s="2"/>
      <c r="E390" s="2"/>
      <c r="F390" s="2"/>
      <c r="G390" s="2"/>
      <c r="H390" s="2"/>
      <c r="I390" s="2"/>
    </row>
    <row r="391" spans="1:9" x14ac:dyDescent="0.2">
      <c r="A391" s="2"/>
      <c r="B391" s="2"/>
      <c r="C391" s="2"/>
      <c r="D391" s="2"/>
      <c r="E391" s="2"/>
      <c r="F391" s="2"/>
      <c r="G391" s="2"/>
      <c r="H391" s="2"/>
      <c r="I391" s="2"/>
    </row>
    <row r="392" spans="1:9" x14ac:dyDescent="0.2">
      <c r="A392" s="2"/>
      <c r="B392" s="2"/>
      <c r="C392" s="2"/>
      <c r="D392" s="2"/>
      <c r="E392" s="2"/>
      <c r="F392" s="2"/>
      <c r="G392" s="2"/>
      <c r="H392" s="2"/>
      <c r="I392" s="2"/>
    </row>
    <row r="393" spans="1:9" x14ac:dyDescent="0.2">
      <c r="A393" s="2"/>
      <c r="B393" s="2"/>
      <c r="C393" s="2"/>
      <c r="D393" s="2"/>
      <c r="E393" s="2"/>
      <c r="F393" s="2"/>
      <c r="G393" s="2"/>
      <c r="H393" s="2"/>
      <c r="I393" s="2"/>
    </row>
    <row r="394" spans="1:9" x14ac:dyDescent="0.2">
      <c r="A394" s="2"/>
      <c r="B394" s="2"/>
      <c r="C394" s="2"/>
      <c r="D394" s="2"/>
      <c r="E394" s="2"/>
      <c r="F394" s="2"/>
      <c r="G394" s="2"/>
      <c r="H394" s="2"/>
      <c r="I394" s="2"/>
    </row>
    <row r="395" spans="1:9" x14ac:dyDescent="0.2">
      <c r="A395" s="2"/>
      <c r="B395" s="2"/>
      <c r="C395" s="2"/>
      <c r="D395" s="2"/>
      <c r="E395" s="2"/>
      <c r="F395" s="2"/>
      <c r="G395" s="2"/>
      <c r="H395" s="2"/>
      <c r="I395" s="2"/>
    </row>
    <row r="396" spans="1:9" x14ac:dyDescent="0.2">
      <c r="A396" s="2"/>
      <c r="B396" s="2"/>
      <c r="C396" s="2"/>
      <c r="D396" s="2"/>
      <c r="E396" s="2"/>
      <c r="F396" s="2"/>
      <c r="G396" s="2"/>
      <c r="H396" s="2"/>
      <c r="I396" s="2"/>
    </row>
    <row r="397" spans="1:9" x14ac:dyDescent="0.2">
      <c r="A397" s="2"/>
      <c r="B397" s="2"/>
      <c r="C397" s="2"/>
      <c r="D397" s="2"/>
      <c r="E397" s="2"/>
      <c r="F397" s="2"/>
      <c r="G397" s="2"/>
      <c r="H397" s="2"/>
      <c r="I397" s="2"/>
    </row>
    <row r="398" spans="1:9" x14ac:dyDescent="0.2">
      <c r="A398" s="2"/>
      <c r="B398" s="2"/>
      <c r="C398" s="2"/>
      <c r="D398" s="2"/>
      <c r="E398" s="2"/>
      <c r="F398" s="2"/>
      <c r="G398" s="2"/>
      <c r="H398" s="2"/>
      <c r="I398" s="2"/>
    </row>
    <row r="399" spans="1:9" x14ac:dyDescent="0.2">
      <c r="A399" s="2"/>
      <c r="B399" s="2"/>
      <c r="C399" s="2"/>
      <c r="D399" s="2"/>
      <c r="E399" s="2"/>
      <c r="F399" s="2"/>
      <c r="G399" s="2"/>
      <c r="H399" s="2"/>
      <c r="I399" s="2"/>
    </row>
    <row r="400" spans="1:9" x14ac:dyDescent="0.2">
      <c r="A400" s="2"/>
      <c r="B400" s="2"/>
      <c r="C400" s="2"/>
      <c r="D400" s="2"/>
      <c r="E400" s="2"/>
      <c r="F400" s="2"/>
      <c r="G400" s="2"/>
      <c r="H400" s="2"/>
      <c r="I400" s="2"/>
    </row>
    <row r="401" spans="1:9" x14ac:dyDescent="0.2">
      <c r="A401" s="2"/>
      <c r="B401" s="2"/>
      <c r="C401" s="2"/>
      <c r="D401" s="2"/>
      <c r="E401" s="2"/>
      <c r="F401" s="2"/>
      <c r="G401" s="2"/>
      <c r="H401" s="2"/>
      <c r="I401" s="2"/>
    </row>
    <row r="402" spans="1:9" x14ac:dyDescent="0.2">
      <c r="A402" s="2"/>
      <c r="B402" s="2"/>
      <c r="C402" s="2"/>
      <c r="D402" s="2"/>
      <c r="E402" s="2"/>
      <c r="F402" s="2"/>
      <c r="G402" s="2"/>
      <c r="H402" s="2"/>
      <c r="I402" s="2"/>
    </row>
    <row r="403" spans="1:9" x14ac:dyDescent="0.2">
      <c r="A403" s="2"/>
      <c r="B403" s="2"/>
      <c r="C403" s="2"/>
      <c r="D403" s="2"/>
      <c r="E403" s="2"/>
      <c r="F403" s="2"/>
      <c r="G403" s="2"/>
      <c r="H403" s="2"/>
      <c r="I403" s="2"/>
    </row>
    <row r="404" spans="1:9" x14ac:dyDescent="0.2">
      <c r="A404" s="2"/>
      <c r="B404" s="2"/>
      <c r="C404" s="2"/>
      <c r="D404" s="2"/>
      <c r="E404" s="2"/>
      <c r="F404" s="2"/>
      <c r="G404" s="2"/>
      <c r="H404" s="2"/>
      <c r="I404" s="2"/>
    </row>
    <row r="405" spans="1:9" x14ac:dyDescent="0.2">
      <c r="A405" s="2"/>
      <c r="B405" s="2"/>
      <c r="C405" s="2"/>
      <c r="D405" s="2"/>
      <c r="E405" s="2"/>
      <c r="F405" s="2"/>
      <c r="G405" s="2"/>
      <c r="H405" s="2"/>
      <c r="I405" s="2"/>
    </row>
    <row r="406" spans="1:9" x14ac:dyDescent="0.2">
      <c r="A406" s="2"/>
      <c r="B406" s="2"/>
      <c r="C406" s="2"/>
      <c r="D406" s="2"/>
      <c r="E406" s="2"/>
      <c r="F406" s="2"/>
      <c r="G406" s="2"/>
      <c r="H406" s="2"/>
      <c r="I406" s="2"/>
    </row>
    <row r="407" spans="1:9" x14ac:dyDescent="0.2">
      <c r="A407" s="2"/>
      <c r="B407" s="2"/>
      <c r="C407" s="2"/>
      <c r="D407" s="2"/>
      <c r="E407" s="2"/>
      <c r="F407" s="2"/>
      <c r="G407" s="2"/>
      <c r="H407" s="2"/>
      <c r="I407" s="2"/>
    </row>
    <row r="408" spans="1:9" x14ac:dyDescent="0.2">
      <c r="A408" s="2"/>
      <c r="B408" s="2"/>
      <c r="C408" s="2"/>
      <c r="D408" s="2"/>
      <c r="E408" s="2"/>
      <c r="F408" s="2"/>
      <c r="G408" s="2"/>
      <c r="H408" s="2"/>
      <c r="I408" s="2"/>
    </row>
    <row r="409" spans="1:9" x14ac:dyDescent="0.2">
      <c r="A409" s="2"/>
      <c r="B409" s="2"/>
      <c r="C409" s="2"/>
      <c r="D409" s="2"/>
      <c r="E409" s="2"/>
      <c r="F409" s="2"/>
      <c r="G409" s="2"/>
      <c r="H409" s="2"/>
      <c r="I409" s="2"/>
    </row>
    <row r="410" spans="1:9" x14ac:dyDescent="0.2">
      <c r="A410" s="2"/>
      <c r="B410" s="2"/>
      <c r="C410" s="2"/>
      <c r="D410" s="2"/>
      <c r="E410" s="2"/>
      <c r="F410" s="2"/>
      <c r="G410" s="2"/>
      <c r="H410" s="2"/>
      <c r="I410" s="2"/>
    </row>
    <row r="411" spans="1:9" x14ac:dyDescent="0.2">
      <c r="A411" s="2"/>
      <c r="B411" s="2"/>
      <c r="C411" s="2"/>
      <c r="D411" s="2"/>
      <c r="E411" s="2"/>
      <c r="F411" s="2"/>
      <c r="G411" s="2"/>
      <c r="H411" s="2"/>
      <c r="I411" s="2"/>
    </row>
    <row r="412" spans="1:9" x14ac:dyDescent="0.2">
      <c r="A412" s="2"/>
      <c r="B412" s="2"/>
      <c r="C412" s="2"/>
      <c r="D412" s="2"/>
      <c r="E412" s="2"/>
      <c r="F412" s="2"/>
      <c r="G412" s="2"/>
      <c r="H412" s="2"/>
      <c r="I412" s="2"/>
    </row>
    <row r="413" spans="1:9" x14ac:dyDescent="0.2">
      <c r="A413" s="2"/>
      <c r="B413" s="2"/>
      <c r="C413" s="2"/>
      <c r="D413" s="2"/>
      <c r="E413" s="2"/>
      <c r="F413" s="2"/>
      <c r="G413" s="2"/>
      <c r="H413" s="2"/>
      <c r="I413" s="2"/>
    </row>
    <row r="414" spans="1:9" x14ac:dyDescent="0.2">
      <c r="A414" s="2"/>
      <c r="B414" s="2"/>
      <c r="C414" s="2"/>
      <c r="D414" s="2"/>
      <c r="E414" s="2"/>
      <c r="F414" s="2"/>
      <c r="G414" s="2"/>
      <c r="H414" s="2"/>
      <c r="I414" s="2"/>
    </row>
    <row r="415" spans="1:9" x14ac:dyDescent="0.2">
      <c r="A415" s="2"/>
      <c r="B415" s="2"/>
      <c r="C415" s="2"/>
      <c r="D415" s="2"/>
      <c r="E415" s="2"/>
      <c r="F415" s="2"/>
      <c r="G415" s="2"/>
      <c r="H415" s="2"/>
      <c r="I415" s="2"/>
    </row>
    <row r="416" spans="1:9" x14ac:dyDescent="0.2">
      <c r="A416" s="2"/>
      <c r="B416" s="2"/>
      <c r="C416" s="2"/>
      <c r="D416" s="2"/>
      <c r="E416" s="2"/>
      <c r="F416" s="2"/>
      <c r="G416" s="2"/>
      <c r="H416" s="2"/>
      <c r="I416" s="2"/>
    </row>
    <row r="417" spans="1:9" x14ac:dyDescent="0.2">
      <c r="A417" s="2"/>
      <c r="B417" s="2"/>
      <c r="C417" s="2"/>
      <c r="D417" s="2"/>
      <c r="E417" s="2"/>
      <c r="F417" s="2"/>
      <c r="G417" s="2"/>
      <c r="H417" s="2"/>
      <c r="I417" s="2"/>
    </row>
    <row r="418" spans="1:9" x14ac:dyDescent="0.2">
      <c r="A418" s="2"/>
      <c r="B418" s="2"/>
      <c r="C418" s="2"/>
      <c r="D418" s="2"/>
      <c r="E418" s="2"/>
      <c r="F418" s="2"/>
      <c r="G418" s="2"/>
      <c r="H418" s="2"/>
      <c r="I418" s="2"/>
    </row>
    <row r="419" spans="1:9" x14ac:dyDescent="0.2">
      <c r="A419" s="2"/>
      <c r="B419" s="2"/>
      <c r="C419" s="2"/>
      <c r="D419" s="2"/>
      <c r="E419" s="2"/>
      <c r="F419" s="2"/>
      <c r="G419" s="2"/>
      <c r="H419" s="2"/>
      <c r="I419" s="2"/>
    </row>
    <row r="420" spans="1:9" x14ac:dyDescent="0.2">
      <c r="A420" s="2"/>
      <c r="B420" s="2"/>
      <c r="C420" s="2"/>
      <c r="D420" s="2"/>
      <c r="E420" s="2"/>
      <c r="F420" s="2"/>
      <c r="G420" s="2"/>
      <c r="H420" s="2"/>
      <c r="I420" s="2"/>
    </row>
    <row r="421" spans="1:9" x14ac:dyDescent="0.2">
      <c r="A421" s="2"/>
      <c r="B421" s="2"/>
      <c r="C421" s="2"/>
      <c r="D421" s="2"/>
      <c r="E421" s="2"/>
      <c r="F421" s="2"/>
      <c r="G421" s="2"/>
      <c r="H421" s="2"/>
      <c r="I421" s="2"/>
    </row>
    <row r="422" spans="1:9" x14ac:dyDescent="0.2">
      <c r="A422" s="2"/>
      <c r="B422" s="2"/>
      <c r="C422" s="2"/>
      <c r="D422" s="2"/>
      <c r="E422" s="2"/>
      <c r="F422" s="2"/>
      <c r="G422" s="2"/>
      <c r="H422" s="2"/>
      <c r="I422" s="2"/>
    </row>
    <row r="423" spans="1:9" x14ac:dyDescent="0.2">
      <c r="A423" s="2"/>
      <c r="B423" s="2"/>
      <c r="C423" s="2"/>
      <c r="D423" s="2"/>
      <c r="E423" s="2"/>
      <c r="F423" s="2"/>
      <c r="G423" s="2"/>
      <c r="H423" s="2"/>
      <c r="I423" s="2"/>
    </row>
    <row r="424" spans="1:9" x14ac:dyDescent="0.2">
      <c r="A424" s="2"/>
      <c r="B424" s="2"/>
      <c r="C424" s="2"/>
      <c r="D424" s="2"/>
      <c r="E424" s="2"/>
      <c r="F424" s="2"/>
      <c r="G424" s="2"/>
      <c r="H424" s="2"/>
      <c r="I424" s="2"/>
    </row>
    <row r="425" spans="1:9" x14ac:dyDescent="0.2">
      <c r="A425" s="2"/>
      <c r="B425" s="2"/>
      <c r="C425" s="2"/>
      <c r="D425" s="2"/>
      <c r="E425" s="2"/>
      <c r="F425" s="2"/>
      <c r="G425" s="2"/>
      <c r="H425" s="2"/>
      <c r="I425" s="2"/>
    </row>
    <row r="426" spans="1:9" x14ac:dyDescent="0.2">
      <c r="A426" s="2"/>
      <c r="B426" s="2"/>
      <c r="C426" s="2"/>
      <c r="D426" s="2"/>
      <c r="E426" s="2"/>
      <c r="F426" s="2"/>
      <c r="G426" s="2"/>
      <c r="H426" s="2"/>
      <c r="I426" s="2"/>
    </row>
    <row r="427" spans="1:9" x14ac:dyDescent="0.2">
      <c r="A427" s="2"/>
      <c r="B427" s="2"/>
      <c r="C427" s="2"/>
      <c r="D427" s="2"/>
      <c r="E427" s="2"/>
      <c r="F427" s="2"/>
      <c r="G427" s="2"/>
      <c r="H427" s="2"/>
      <c r="I427" s="2"/>
    </row>
    <row r="428" spans="1:9" x14ac:dyDescent="0.2">
      <c r="A428" s="2"/>
      <c r="B428" s="2"/>
      <c r="C428" s="2"/>
      <c r="D428" s="2"/>
      <c r="E428" s="2"/>
      <c r="F428" s="2"/>
      <c r="G428" s="2"/>
      <c r="H428" s="2"/>
      <c r="I428" s="2"/>
    </row>
    <row r="429" spans="1:9" x14ac:dyDescent="0.2">
      <c r="A429" s="2"/>
      <c r="B429" s="2"/>
      <c r="C429" s="2"/>
      <c r="D429" s="2"/>
      <c r="E429" s="2"/>
      <c r="F429" s="2"/>
      <c r="G429" s="2"/>
      <c r="H429" s="2"/>
      <c r="I429" s="2"/>
    </row>
    <row r="430" spans="1:9" x14ac:dyDescent="0.2">
      <c r="A430" s="2"/>
      <c r="B430" s="2"/>
      <c r="C430" s="2"/>
      <c r="D430" s="2"/>
      <c r="E430" s="2"/>
      <c r="F430" s="2"/>
      <c r="G430" s="2"/>
      <c r="H430" s="2"/>
      <c r="I430" s="2"/>
    </row>
    <row r="431" spans="1:9" x14ac:dyDescent="0.2">
      <c r="A431" s="2"/>
      <c r="B431" s="2"/>
      <c r="C431" s="2"/>
      <c r="D431" s="2"/>
      <c r="E431" s="2"/>
      <c r="F431" s="2"/>
      <c r="G431" s="2"/>
      <c r="H431" s="2"/>
      <c r="I431" s="2"/>
    </row>
    <row r="432" spans="1:9" x14ac:dyDescent="0.2">
      <c r="A432" s="2"/>
      <c r="B432" s="2"/>
      <c r="C432" s="2"/>
      <c r="D432" s="2"/>
      <c r="E432" s="2"/>
      <c r="F432" s="2"/>
      <c r="G432" s="2"/>
      <c r="H432" s="2"/>
      <c r="I432" s="2"/>
    </row>
    <row r="433" spans="1:9" x14ac:dyDescent="0.2">
      <c r="A433" s="2"/>
      <c r="B433" s="2"/>
      <c r="C433" s="2"/>
      <c r="D433" s="2"/>
      <c r="E433" s="2"/>
      <c r="F433" s="2"/>
      <c r="G433" s="2"/>
      <c r="H433" s="2"/>
      <c r="I433" s="2"/>
    </row>
    <row r="434" spans="1:9" x14ac:dyDescent="0.2">
      <c r="A434" s="2"/>
      <c r="B434" s="2"/>
      <c r="C434" s="2"/>
      <c r="D434" s="2"/>
      <c r="E434" s="2"/>
      <c r="F434" s="2"/>
      <c r="G434" s="2"/>
      <c r="H434" s="2"/>
      <c r="I434" s="2"/>
    </row>
    <row r="435" spans="1:9" x14ac:dyDescent="0.2">
      <c r="A435" s="2"/>
      <c r="B435" s="2"/>
      <c r="C435" s="2"/>
      <c r="D435" s="2"/>
      <c r="E435" s="2"/>
      <c r="F435" s="2"/>
      <c r="G435" s="2"/>
      <c r="H435" s="2"/>
      <c r="I435" s="2"/>
    </row>
    <row r="436" spans="1:9" x14ac:dyDescent="0.2">
      <c r="A436" s="2"/>
      <c r="B436" s="2"/>
      <c r="C436" s="2"/>
      <c r="D436" s="2"/>
      <c r="E436" s="2"/>
      <c r="F436" s="2"/>
      <c r="G436" s="2"/>
      <c r="H436" s="2"/>
      <c r="I436" s="2"/>
    </row>
    <row r="437" spans="1:9" x14ac:dyDescent="0.2">
      <c r="A437" s="2"/>
      <c r="B437" s="2"/>
      <c r="C437" s="2"/>
      <c r="D437" s="2"/>
      <c r="E437" s="2"/>
      <c r="F437" s="2"/>
      <c r="G437" s="2"/>
      <c r="H437" s="2"/>
      <c r="I437" s="2"/>
    </row>
    <row r="438" spans="1:9" x14ac:dyDescent="0.2">
      <c r="A438" s="2"/>
      <c r="B438" s="2"/>
      <c r="C438" s="2"/>
      <c r="D438" s="2"/>
      <c r="E438" s="2"/>
      <c r="F438" s="2"/>
      <c r="G438" s="2"/>
      <c r="H438" s="2"/>
      <c r="I438" s="2"/>
    </row>
    <row r="439" spans="1:9" x14ac:dyDescent="0.2">
      <c r="A439" s="2"/>
      <c r="B439" s="2"/>
      <c r="C439" s="2"/>
      <c r="D439" s="2"/>
      <c r="E439" s="2"/>
      <c r="F439" s="2"/>
      <c r="G439" s="2"/>
      <c r="H439" s="2"/>
      <c r="I439" s="2"/>
    </row>
    <row r="440" spans="1:9" x14ac:dyDescent="0.2">
      <c r="A440" s="2"/>
      <c r="B440" s="2"/>
      <c r="C440" s="2"/>
      <c r="D440" s="2"/>
      <c r="E440" s="2"/>
      <c r="F440" s="2"/>
      <c r="G440" s="2"/>
      <c r="H440" s="2"/>
      <c r="I440" s="2"/>
    </row>
    <row r="441" spans="1:9" x14ac:dyDescent="0.2">
      <c r="A441" s="2"/>
      <c r="B441" s="2"/>
      <c r="C441" s="2"/>
      <c r="D441" s="2"/>
      <c r="E441" s="2"/>
      <c r="F441" s="2"/>
      <c r="G441" s="2"/>
      <c r="H441" s="2"/>
      <c r="I441" s="2"/>
    </row>
    <row r="442" spans="1:9" x14ac:dyDescent="0.2">
      <c r="A442" s="2"/>
      <c r="B442" s="2"/>
      <c r="C442" s="2"/>
      <c r="D442" s="2"/>
      <c r="E442" s="2"/>
      <c r="F442" s="2"/>
      <c r="G442" s="2"/>
      <c r="H442" s="2"/>
      <c r="I442" s="2"/>
    </row>
    <row r="443" spans="1:9" x14ac:dyDescent="0.2">
      <c r="A443" s="2"/>
      <c r="B443" s="2"/>
      <c r="C443" s="2"/>
      <c r="D443" s="2"/>
      <c r="E443" s="2"/>
      <c r="F443" s="2"/>
      <c r="G443" s="2"/>
      <c r="H443" s="2"/>
      <c r="I443" s="2"/>
    </row>
    <row r="444" spans="1:9" x14ac:dyDescent="0.2">
      <c r="A444" s="2"/>
      <c r="B444" s="2"/>
      <c r="C444" s="2"/>
      <c r="D444" s="2"/>
      <c r="E444" s="2"/>
      <c r="F444" s="2"/>
      <c r="G444" s="2"/>
      <c r="H444" s="2"/>
      <c r="I444" s="2"/>
    </row>
    <row r="445" spans="1:9" x14ac:dyDescent="0.2">
      <c r="A445" s="2"/>
      <c r="B445" s="2"/>
      <c r="C445" s="2"/>
      <c r="D445" s="2"/>
      <c r="E445" s="2"/>
      <c r="F445" s="2"/>
      <c r="G445" s="2"/>
      <c r="H445" s="2"/>
      <c r="I445" s="2"/>
    </row>
    <row r="446" spans="1:9" x14ac:dyDescent="0.2">
      <c r="A446" s="2"/>
      <c r="B446" s="2"/>
      <c r="C446" s="2"/>
      <c r="D446" s="2"/>
      <c r="E446" s="2"/>
      <c r="F446" s="2"/>
      <c r="G446" s="2"/>
      <c r="H446" s="2"/>
      <c r="I446" s="2"/>
    </row>
    <row r="447" spans="1:9" x14ac:dyDescent="0.2">
      <c r="A447" s="2"/>
      <c r="B447" s="2"/>
      <c r="C447" s="2"/>
      <c r="D447" s="2"/>
      <c r="E447" s="2"/>
      <c r="F447" s="2"/>
      <c r="G447" s="2"/>
      <c r="H447" s="2"/>
      <c r="I447" s="2"/>
    </row>
    <row r="448" spans="1:9" x14ac:dyDescent="0.2">
      <c r="A448" s="2"/>
      <c r="B448" s="2"/>
      <c r="C448" s="2"/>
      <c r="D448" s="2"/>
      <c r="E448" s="2"/>
      <c r="F448" s="2"/>
      <c r="G448" s="2"/>
      <c r="H448" s="2"/>
      <c r="I448" s="2"/>
    </row>
    <row r="449" spans="1:9" x14ac:dyDescent="0.2">
      <c r="A449" s="2"/>
      <c r="B449" s="2"/>
      <c r="C449" s="2"/>
      <c r="D449" s="2"/>
      <c r="E449" s="2"/>
      <c r="F449" s="2"/>
      <c r="G449" s="2"/>
      <c r="H449" s="2"/>
      <c r="I449" s="2"/>
    </row>
    <row r="450" spans="1:9" x14ac:dyDescent="0.2">
      <c r="A450" s="2"/>
      <c r="B450" s="2"/>
      <c r="C450" s="2"/>
      <c r="D450" s="2"/>
      <c r="E450" s="2"/>
      <c r="F450" s="2"/>
      <c r="G450" s="2"/>
      <c r="H450" s="2"/>
      <c r="I450" s="2"/>
    </row>
    <row r="451" spans="1:9" x14ac:dyDescent="0.2">
      <c r="A451" s="2"/>
      <c r="B451" s="2"/>
      <c r="C451" s="2"/>
      <c r="D451" s="2"/>
      <c r="E451" s="2"/>
      <c r="F451" s="2"/>
      <c r="G451" s="2"/>
      <c r="H451" s="2"/>
      <c r="I451" s="2"/>
    </row>
    <row r="452" spans="1:9" x14ac:dyDescent="0.2">
      <c r="A452" s="2"/>
      <c r="B452" s="2"/>
      <c r="C452" s="2"/>
      <c r="D452" s="2"/>
      <c r="E452" s="2"/>
      <c r="F452" s="2"/>
      <c r="G452" s="2"/>
      <c r="H452" s="2"/>
      <c r="I452" s="2"/>
    </row>
    <row r="453" spans="1:9" x14ac:dyDescent="0.2">
      <c r="A453" s="2"/>
      <c r="B453" s="2"/>
      <c r="C453" s="2"/>
      <c r="D453" s="2"/>
      <c r="E453" s="2"/>
      <c r="F453" s="2"/>
      <c r="G453" s="2"/>
      <c r="H453" s="2"/>
      <c r="I453" s="2"/>
    </row>
    <row r="454" spans="1:9" x14ac:dyDescent="0.2">
      <c r="A454" s="2"/>
      <c r="B454" s="2"/>
      <c r="C454" s="2"/>
      <c r="D454" s="2"/>
      <c r="E454" s="2"/>
      <c r="F454" s="2"/>
      <c r="G454" s="2"/>
      <c r="H454" s="2"/>
      <c r="I454" s="2"/>
    </row>
    <row r="455" spans="1:9" x14ac:dyDescent="0.2">
      <c r="A455" s="2"/>
      <c r="B455" s="2"/>
      <c r="C455" s="2"/>
      <c r="D455" s="2"/>
      <c r="E455" s="2"/>
      <c r="F455" s="2"/>
      <c r="G455" s="2"/>
      <c r="H455" s="2"/>
      <c r="I455" s="2"/>
    </row>
    <row r="456" spans="1:9" x14ac:dyDescent="0.2">
      <c r="A456" s="2"/>
      <c r="B456" s="2"/>
      <c r="C456" s="2"/>
      <c r="D456" s="2"/>
      <c r="E456" s="2"/>
      <c r="F456" s="2"/>
      <c r="G456" s="2"/>
      <c r="H456" s="2"/>
      <c r="I456" s="2"/>
    </row>
    <row r="457" spans="1:9" x14ac:dyDescent="0.2">
      <c r="A457" s="2"/>
      <c r="B457" s="2"/>
      <c r="C457" s="2"/>
      <c r="D457" s="2"/>
      <c r="E457" s="2"/>
      <c r="F457" s="2"/>
      <c r="G457" s="2"/>
      <c r="H457" s="2"/>
      <c r="I457" s="2"/>
    </row>
    <row r="458" spans="1:9" x14ac:dyDescent="0.2">
      <c r="A458" s="2"/>
      <c r="B458" s="2"/>
      <c r="C458" s="2"/>
      <c r="D458" s="2"/>
      <c r="E458" s="2"/>
      <c r="F458" s="2"/>
      <c r="G458" s="2"/>
      <c r="H458" s="2"/>
      <c r="I458" s="2"/>
    </row>
    <row r="459" spans="1:9" x14ac:dyDescent="0.2">
      <c r="A459" s="2"/>
      <c r="B459" s="2"/>
      <c r="C459" s="2"/>
      <c r="D459" s="2"/>
      <c r="E459" s="2"/>
      <c r="F459" s="2"/>
      <c r="G459" s="2"/>
      <c r="H459" s="2"/>
      <c r="I459" s="2"/>
    </row>
    <row r="460" spans="1:9" x14ac:dyDescent="0.2">
      <c r="A460" s="2"/>
      <c r="B460" s="2"/>
      <c r="C460" s="2"/>
      <c r="D460" s="2"/>
      <c r="E460" s="2"/>
      <c r="F460" s="2"/>
      <c r="G460" s="2"/>
      <c r="H460" s="2"/>
      <c r="I460" s="2"/>
    </row>
    <row r="461" spans="1:9" x14ac:dyDescent="0.2">
      <c r="A461" s="2"/>
      <c r="B461" s="2"/>
      <c r="C461" s="2"/>
      <c r="D461" s="2"/>
      <c r="E461" s="2"/>
      <c r="F461" s="2"/>
      <c r="G461" s="2"/>
      <c r="H461" s="2"/>
      <c r="I461" s="2"/>
    </row>
    <row r="462" spans="1:9" x14ac:dyDescent="0.2">
      <c r="A462" s="2"/>
      <c r="B462" s="2"/>
      <c r="C462" s="2"/>
      <c r="D462" s="2"/>
      <c r="E462" s="2"/>
      <c r="F462" s="2"/>
      <c r="G462" s="2"/>
      <c r="H462" s="2"/>
      <c r="I462" s="2"/>
    </row>
    <row r="463" spans="1:9" x14ac:dyDescent="0.2">
      <c r="A463" s="2"/>
      <c r="B463" s="2"/>
      <c r="C463" s="2"/>
      <c r="D463" s="2"/>
      <c r="E463" s="2"/>
      <c r="F463" s="2"/>
      <c r="G463" s="2"/>
      <c r="H463" s="2"/>
      <c r="I463" s="2"/>
    </row>
    <row r="464" spans="1:9" x14ac:dyDescent="0.2">
      <c r="A464" s="2"/>
      <c r="B464" s="2"/>
      <c r="C464" s="2"/>
      <c r="D464" s="2"/>
      <c r="E464" s="2"/>
      <c r="F464" s="2"/>
      <c r="G464" s="2"/>
      <c r="H464" s="2"/>
      <c r="I464" s="2"/>
    </row>
    <row r="465" spans="1:9" x14ac:dyDescent="0.2">
      <c r="A465" s="2"/>
      <c r="B465" s="2"/>
      <c r="C465" s="2"/>
      <c r="D465" s="2"/>
      <c r="E465" s="2"/>
      <c r="F465" s="2"/>
      <c r="G465" s="2"/>
      <c r="H465" s="2"/>
      <c r="I465" s="2"/>
    </row>
    <row r="466" spans="1:9" x14ac:dyDescent="0.2">
      <c r="A466" s="2"/>
      <c r="B466" s="2"/>
      <c r="C466" s="2"/>
      <c r="D466" s="2"/>
      <c r="E466" s="2"/>
      <c r="F466" s="2"/>
      <c r="G466" s="2"/>
      <c r="H466" s="2"/>
      <c r="I466" s="2"/>
    </row>
    <row r="467" spans="1:9" x14ac:dyDescent="0.2">
      <c r="A467" s="2"/>
      <c r="B467" s="2"/>
      <c r="C467" s="2"/>
      <c r="D467" s="2"/>
      <c r="E467" s="2"/>
      <c r="F467" s="2"/>
      <c r="G467" s="2"/>
      <c r="H467" s="2"/>
      <c r="I467" s="2"/>
    </row>
    <row r="468" spans="1:9" x14ac:dyDescent="0.2">
      <c r="A468" s="2"/>
      <c r="B468" s="2"/>
      <c r="C468" s="2"/>
      <c r="D468" s="2"/>
      <c r="E468" s="2"/>
      <c r="F468" s="2"/>
      <c r="G468" s="2"/>
      <c r="H468" s="2"/>
      <c r="I468" s="2"/>
    </row>
    <row r="469" spans="1:9" x14ac:dyDescent="0.2">
      <c r="A469" s="2"/>
      <c r="B469" s="2"/>
      <c r="C469" s="2"/>
      <c r="D469" s="2"/>
      <c r="E469" s="2"/>
      <c r="F469" s="2"/>
      <c r="G469" s="2"/>
      <c r="H469" s="2"/>
      <c r="I469" s="2"/>
    </row>
    <row r="470" spans="1:9" x14ac:dyDescent="0.2">
      <c r="A470" s="2"/>
      <c r="B470" s="2"/>
      <c r="C470" s="2"/>
      <c r="D470" s="2"/>
      <c r="E470" s="2"/>
      <c r="F470" s="2"/>
      <c r="G470" s="2"/>
      <c r="H470" s="2"/>
      <c r="I470" s="2"/>
    </row>
    <row r="471" spans="1:9" x14ac:dyDescent="0.2">
      <c r="A471" s="2"/>
      <c r="B471" s="2"/>
      <c r="C471" s="2"/>
      <c r="D471" s="2"/>
      <c r="E471" s="2"/>
      <c r="F471" s="2"/>
      <c r="G471" s="2"/>
      <c r="H471" s="2"/>
      <c r="I471" s="2"/>
    </row>
    <row r="472" spans="1:9" x14ac:dyDescent="0.2">
      <c r="A472" s="2"/>
      <c r="B472" s="2"/>
      <c r="C472" s="2"/>
      <c r="D472" s="2"/>
      <c r="E472" s="2"/>
      <c r="F472" s="2"/>
      <c r="G472" s="2"/>
      <c r="H472" s="2"/>
      <c r="I472" s="2"/>
    </row>
    <row r="473" spans="1:9" x14ac:dyDescent="0.2">
      <c r="A473" s="2"/>
      <c r="B473" s="2"/>
      <c r="C473" s="2"/>
      <c r="D473" s="2"/>
      <c r="E473" s="2"/>
      <c r="F473" s="2"/>
      <c r="G473" s="2"/>
      <c r="H473" s="2"/>
      <c r="I473" s="2"/>
    </row>
    <row r="474" spans="1:9" x14ac:dyDescent="0.2">
      <c r="A474" s="2"/>
      <c r="B474" s="2"/>
      <c r="C474" s="2"/>
      <c r="D474" s="2"/>
      <c r="E474" s="2"/>
      <c r="F474" s="2"/>
      <c r="G474" s="2"/>
      <c r="H474" s="2"/>
      <c r="I474" s="2"/>
    </row>
    <row r="475" spans="1:9" x14ac:dyDescent="0.2">
      <c r="A475" s="2"/>
      <c r="B475" s="2"/>
      <c r="C475" s="2"/>
      <c r="D475" s="2"/>
      <c r="E475" s="2"/>
      <c r="F475" s="2"/>
      <c r="G475" s="2"/>
      <c r="H475" s="2"/>
      <c r="I475" s="2"/>
    </row>
    <row r="476" spans="1:9" x14ac:dyDescent="0.2">
      <c r="A476" s="2"/>
      <c r="B476" s="2"/>
      <c r="C476" s="2"/>
      <c r="D476" s="2"/>
      <c r="E476" s="2"/>
      <c r="F476" s="2"/>
      <c r="G476" s="2"/>
      <c r="H476" s="2"/>
      <c r="I476" s="2"/>
    </row>
    <row r="477" spans="1:9" x14ac:dyDescent="0.2">
      <c r="A477" s="2"/>
      <c r="B477" s="2"/>
      <c r="C477" s="2"/>
      <c r="D477" s="2"/>
      <c r="E477" s="2"/>
      <c r="F477" s="2"/>
      <c r="G477" s="2"/>
      <c r="H477" s="2"/>
      <c r="I477" s="2"/>
    </row>
    <row r="478" spans="1:9" x14ac:dyDescent="0.2">
      <c r="A478" s="2"/>
      <c r="B478" s="2"/>
      <c r="C478" s="2"/>
      <c r="D478" s="2"/>
      <c r="E478" s="2"/>
      <c r="F478" s="2"/>
      <c r="G478" s="2"/>
      <c r="H478" s="2"/>
      <c r="I478" s="2"/>
    </row>
    <row r="479" spans="1:9" x14ac:dyDescent="0.2">
      <c r="A479" s="2"/>
      <c r="B479" s="2"/>
      <c r="C479" s="2"/>
      <c r="D479" s="2"/>
      <c r="E479" s="2"/>
      <c r="F479" s="2"/>
      <c r="G479" s="2"/>
      <c r="H479" s="2"/>
      <c r="I479" s="2"/>
    </row>
    <row r="480" spans="1:9" x14ac:dyDescent="0.2">
      <c r="A480" s="2"/>
      <c r="B480" s="2"/>
      <c r="C480" s="2"/>
      <c r="D480" s="2"/>
      <c r="E480" s="2"/>
      <c r="F480" s="2"/>
      <c r="G480" s="2"/>
      <c r="H480" s="2"/>
      <c r="I480" s="2"/>
    </row>
    <row r="481" spans="1:9" x14ac:dyDescent="0.2">
      <c r="A481" s="2"/>
      <c r="B481" s="2"/>
      <c r="C481" s="2"/>
      <c r="D481" s="2"/>
      <c r="E481" s="2"/>
      <c r="F481" s="2"/>
      <c r="G481" s="2"/>
      <c r="H481" s="2"/>
      <c r="I481" s="2"/>
    </row>
    <row r="482" spans="1:9" x14ac:dyDescent="0.2">
      <c r="A482" s="2"/>
      <c r="B482" s="2"/>
      <c r="C482" s="2"/>
      <c r="D482" s="2"/>
      <c r="E482" s="2"/>
      <c r="F482" s="2"/>
      <c r="G482" s="2"/>
      <c r="H482" s="2"/>
      <c r="I482" s="2"/>
    </row>
    <row r="483" spans="1:9" x14ac:dyDescent="0.2">
      <c r="A483" s="2"/>
      <c r="B483" s="2"/>
      <c r="C483" s="2"/>
      <c r="D483" s="2"/>
      <c r="E483" s="2"/>
      <c r="F483" s="2"/>
      <c r="G483" s="2"/>
      <c r="H483" s="2"/>
      <c r="I483" s="2"/>
    </row>
    <row r="484" spans="1:9" x14ac:dyDescent="0.2">
      <c r="A484" s="2"/>
      <c r="B484" s="2"/>
      <c r="C484" s="2"/>
      <c r="D484" s="2"/>
      <c r="E484" s="2"/>
      <c r="F484" s="2"/>
      <c r="G484" s="2"/>
      <c r="H484" s="2"/>
      <c r="I484" s="2"/>
    </row>
    <row r="485" spans="1:9" x14ac:dyDescent="0.2">
      <c r="A485" s="2"/>
      <c r="B485" s="2"/>
      <c r="C485" s="2"/>
      <c r="D485" s="2"/>
      <c r="E485" s="2"/>
      <c r="F485" s="2"/>
      <c r="G485" s="2"/>
      <c r="H485" s="2"/>
      <c r="I485" s="2"/>
    </row>
    <row r="486" spans="1:9" x14ac:dyDescent="0.2">
      <c r="A486" s="2"/>
      <c r="B486" s="2"/>
      <c r="C486" s="2"/>
      <c r="D486" s="2"/>
      <c r="E486" s="2"/>
      <c r="F486" s="2"/>
      <c r="G486" s="2"/>
      <c r="H486" s="2"/>
      <c r="I486" s="2"/>
    </row>
    <row r="487" spans="1:9" x14ac:dyDescent="0.2">
      <c r="A487" s="2"/>
      <c r="B487" s="2"/>
      <c r="C487" s="2"/>
      <c r="D487" s="2"/>
      <c r="E487" s="2"/>
      <c r="F487" s="2"/>
      <c r="G487" s="2"/>
      <c r="H487" s="2"/>
      <c r="I487" s="2"/>
    </row>
    <row r="488" spans="1:9" x14ac:dyDescent="0.2">
      <c r="A488" s="2"/>
      <c r="B488" s="2"/>
      <c r="C488" s="2"/>
      <c r="D488" s="2"/>
      <c r="E488" s="2"/>
      <c r="F488" s="2"/>
      <c r="G488" s="2"/>
      <c r="H488" s="2"/>
      <c r="I488" s="2"/>
    </row>
    <row r="489" spans="1:9" x14ac:dyDescent="0.2">
      <c r="A489" s="2"/>
      <c r="B489" s="2"/>
      <c r="C489" s="2"/>
      <c r="D489" s="2"/>
      <c r="E489" s="2"/>
      <c r="F489" s="2"/>
      <c r="G489" s="2"/>
      <c r="H489" s="2"/>
      <c r="I489" s="2"/>
    </row>
    <row r="490" spans="1:9" x14ac:dyDescent="0.2">
      <c r="A490" s="2"/>
      <c r="B490" s="2"/>
      <c r="C490" s="2"/>
      <c r="D490" s="2"/>
      <c r="E490" s="2"/>
      <c r="F490" s="2"/>
      <c r="G490" s="2"/>
      <c r="H490" s="2"/>
      <c r="I490" s="2"/>
    </row>
    <row r="491" spans="1:9" x14ac:dyDescent="0.2">
      <c r="A491" s="2"/>
      <c r="B491" s="2"/>
      <c r="C491" s="2"/>
      <c r="D491" s="2"/>
      <c r="E491" s="2"/>
      <c r="F491" s="2"/>
      <c r="G491" s="2"/>
      <c r="H491" s="2"/>
      <c r="I491" s="2"/>
    </row>
    <row r="492" spans="1:9" x14ac:dyDescent="0.2">
      <c r="A492" s="2"/>
      <c r="B492" s="2"/>
      <c r="C492" s="2"/>
      <c r="D492" s="2"/>
      <c r="E492" s="2"/>
      <c r="F492" s="2"/>
      <c r="G492" s="2"/>
      <c r="H492" s="2"/>
      <c r="I492" s="2"/>
    </row>
    <row r="493" spans="1:9" x14ac:dyDescent="0.2">
      <c r="A493" s="2"/>
      <c r="B493" s="2"/>
      <c r="C493" s="2"/>
      <c r="D493" s="2"/>
      <c r="E493" s="2"/>
      <c r="F493" s="2"/>
      <c r="G493" s="2"/>
      <c r="H493" s="2"/>
      <c r="I493" s="2"/>
    </row>
    <row r="494" spans="1:9" x14ac:dyDescent="0.2">
      <c r="A494" s="2"/>
      <c r="B494" s="2"/>
      <c r="C494" s="2"/>
      <c r="D494" s="2"/>
      <c r="E494" s="2"/>
      <c r="F494" s="2"/>
      <c r="G494" s="2"/>
      <c r="H494" s="2"/>
      <c r="I494" s="2"/>
    </row>
    <row r="495" spans="1:9" x14ac:dyDescent="0.2">
      <c r="A495" s="2"/>
      <c r="B495" s="2"/>
      <c r="C495" s="2"/>
      <c r="D495" s="2"/>
      <c r="E495" s="2"/>
      <c r="F495" s="2"/>
      <c r="G495" s="2"/>
      <c r="H495" s="2"/>
      <c r="I495" s="2"/>
    </row>
    <row r="496" spans="1:9" x14ac:dyDescent="0.2">
      <c r="A496" s="2"/>
      <c r="B496" s="2"/>
      <c r="C496" s="2"/>
      <c r="D496" s="2"/>
      <c r="E496" s="2"/>
      <c r="F496" s="2"/>
      <c r="G496" s="2"/>
      <c r="H496" s="2"/>
      <c r="I496" s="2"/>
    </row>
    <row r="497" spans="1:9" x14ac:dyDescent="0.2">
      <c r="A497" s="2"/>
      <c r="B497" s="2"/>
      <c r="C497" s="2"/>
      <c r="D497" s="2"/>
      <c r="E497" s="2"/>
      <c r="F497" s="2"/>
      <c r="G497" s="2"/>
      <c r="H497" s="2"/>
      <c r="I497" s="2"/>
    </row>
    <row r="498" spans="1:9" x14ac:dyDescent="0.2">
      <c r="A498" s="2"/>
      <c r="B498" s="2"/>
      <c r="C498" s="2"/>
      <c r="D498" s="2"/>
      <c r="E498" s="2"/>
      <c r="F498" s="2"/>
      <c r="G498" s="2"/>
      <c r="H498" s="2"/>
      <c r="I498" s="2"/>
    </row>
    <row r="499" spans="1:9" x14ac:dyDescent="0.2">
      <c r="A499" s="2"/>
      <c r="B499" s="2"/>
      <c r="C499" s="2"/>
      <c r="D499" s="2"/>
      <c r="E499" s="2"/>
      <c r="F499" s="2"/>
      <c r="G499" s="2"/>
      <c r="H499" s="2"/>
      <c r="I499" s="2"/>
    </row>
    <row r="500" spans="1:9" x14ac:dyDescent="0.2">
      <c r="A500" s="2"/>
      <c r="B500" s="2"/>
      <c r="C500" s="2"/>
      <c r="D500" s="2"/>
      <c r="E500" s="2"/>
      <c r="F500" s="2"/>
      <c r="G500" s="2"/>
      <c r="H500" s="2"/>
      <c r="I500" s="2"/>
    </row>
    <row r="501" spans="1:9" x14ac:dyDescent="0.2">
      <c r="A501" s="2"/>
      <c r="B501" s="2"/>
      <c r="C501" s="2"/>
      <c r="D501" s="2"/>
      <c r="E501" s="2"/>
      <c r="F501" s="2"/>
      <c r="G501" s="2"/>
      <c r="H501" s="2"/>
      <c r="I501" s="2"/>
    </row>
    <row r="502" spans="1:9" x14ac:dyDescent="0.2">
      <c r="A502" s="2"/>
      <c r="B502" s="2"/>
      <c r="C502" s="2"/>
      <c r="D502" s="2"/>
      <c r="E502" s="2"/>
      <c r="F502" s="2"/>
      <c r="G502" s="2"/>
      <c r="H502" s="2"/>
      <c r="I502" s="2"/>
    </row>
    <row r="503" spans="1:9" x14ac:dyDescent="0.2">
      <c r="A503" s="2"/>
      <c r="B503" s="2"/>
      <c r="C503" s="2"/>
      <c r="D503" s="2"/>
      <c r="E503" s="2"/>
      <c r="F503" s="2"/>
      <c r="G503" s="2"/>
      <c r="H503" s="2"/>
      <c r="I503" s="2"/>
    </row>
    <row r="504" spans="1:9" x14ac:dyDescent="0.2">
      <c r="A504" s="2"/>
      <c r="B504" s="2"/>
      <c r="C504" s="2"/>
      <c r="D504" s="2"/>
      <c r="E504" s="2"/>
      <c r="F504" s="2"/>
      <c r="G504" s="2"/>
      <c r="H504" s="2"/>
      <c r="I504" s="2"/>
    </row>
    <row r="505" spans="1:9" x14ac:dyDescent="0.2">
      <c r="A505" s="2"/>
      <c r="B505" s="2"/>
      <c r="C505" s="2"/>
      <c r="D505" s="2"/>
      <c r="E505" s="2"/>
      <c r="F505" s="2"/>
      <c r="G505" s="2"/>
      <c r="H505" s="2"/>
      <c r="I505" s="2"/>
    </row>
    <row r="506" spans="1:9" x14ac:dyDescent="0.2">
      <c r="A506" s="2"/>
      <c r="B506" s="2"/>
      <c r="C506" s="2"/>
      <c r="D506" s="2"/>
      <c r="E506" s="2"/>
      <c r="F506" s="2"/>
      <c r="G506" s="2"/>
      <c r="H506" s="2"/>
      <c r="I506" s="2"/>
    </row>
    <row r="507" spans="1:9" x14ac:dyDescent="0.2">
      <c r="A507" s="2"/>
      <c r="B507" s="2"/>
      <c r="C507" s="2"/>
      <c r="D507" s="2"/>
      <c r="E507" s="2"/>
      <c r="F507" s="2"/>
      <c r="G507" s="2"/>
      <c r="H507" s="2"/>
      <c r="I507" s="2"/>
    </row>
    <row r="508" spans="1:9" x14ac:dyDescent="0.2">
      <c r="A508" s="2"/>
      <c r="B508" s="2"/>
      <c r="C508" s="2"/>
      <c r="D508" s="2"/>
      <c r="E508" s="2"/>
      <c r="F508" s="2"/>
      <c r="G508" s="2"/>
      <c r="H508" s="2"/>
      <c r="I508" s="2"/>
    </row>
    <row r="509" spans="1:9" x14ac:dyDescent="0.2">
      <c r="A509" s="2"/>
      <c r="B509" s="2"/>
      <c r="C509" s="2"/>
      <c r="D509" s="2"/>
      <c r="E509" s="2"/>
      <c r="F509" s="2"/>
      <c r="G509" s="2"/>
      <c r="H509" s="2"/>
      <c r="I509" s="2"/>
    </row>
    <row r="510" spans="1:9" x14ac:dyDescent="0.2">
      <c r="A510" s="2"/>
      <c r="B510" s="2"/>
      <c r="C510" s="2"/>
      <c r="D510" s="2"/>
      <c r="E510" s="2"/>
      <c r="F510" s="2"/>
      <c r="G510" s="2"/>
      <c r="H510" s="2"/>
      <c r="I510" s="2"/>
    </row>
    <row r="511" spans="1:9" x14ac:dyDescent="0.2">
      <c r="A511" s="2"/>
      <c r="B511" s="2"/>
      <c r="C511" s="2"/>
      <c r="D511" s="2"/>
      <c r="E511" s="2"/>
      <c r="F511" s="2"/>
      <c r="G511" s="2"/>
      <c r="H511" s="2"/>
      <c r="I511" s="2"/>
    </row>
    <row r="512" spans="1:9" x14ac:dyDescent="0.2">
      <c r="A512" s="2"/>
      <c r="B512" s="2"/>
      <c r="C512" s="2"/>
      <c r="D512" s="2"/>
      <c r="E512" s="2"/>
      <c r="F512" s="2"/>
      <c r="G512" s="2"/>
      <c r="H512" s="2"/>
      <c r="I512" s="2"/>
    </row>
    <row r="513" spans="1:9" x14ac:dyDescent="0.2">
      <c r="A513" s="2"/>
      <c r="B513" s="2"/>
      <c r="C513" s="2"/>
      <c r="D513" s="2"/>
      <c r="E513" s="2"/>
      <c r="F513" s="2"/>
      <c r="G513" s="2"/>
      <c r="H513" s="2"/>
      <c r="I513" s="2"/>
    </row>
    <row r="514" spans="1:9" x14ac:dyDescent="0.2">
      <c r="A514" s="2"/>
      <c r="B514" s="2"/>
      <c r="C514" s="2"/>
      <c r="D514" s="2"/>
      <c r="E514" s="2"/>
      <c r="F514" s="2"/>
      <c r="G514" s="2"/>
      <c r="H514" s="2"/>
      <c r="I514" s="2"/>
    </row>
    <row r="515" spans="1:9" x14ac:dyDescent="0.2">
      <c r="A515" s="2"/>
      <c r="B515" s="2"/>
      <c r="C515" s="2"/>
      <c r="D515" s="2"/>
      <c r="E515" s="2"/>
      <c r="F515" s="2"/>
      <c r="G515" s="2"/>
      <c r="H515" s="2"/>
      <c r="I515" s="2"/>
    </row>
    <row r="516" spans="1:9" x14ac:dyDescent="0.2">
      <c r="A516" s="2"/>
      <c r="B516" s="2"/>
      <c r="C516" s="2"/>
      <c r="D516" s="2"/>
      <c r="E516" s="2"/>
      <c r="F516" s="2"/>
      <c r="G516" s="2"/>
      <c r="H516" s="2"/>
      <c r="I516" s="2"/>
    </row>
    <row r="517" spans="1:9" x14ac:dyDescent="0.2">
      <c r="A517" s="2"/>
      <c r="B517" s="2"/>
      <c r="C517" s="2"/>
      <c r="D517" s="2"/>
      <c r="E517" s="2"/>
      <c r="F517" s="2"/>
      <c r="G517" s="2"/>
      <c r="H517" s="2"/>
      <c r="I517" s="2"/>
    </row>
    <row r="518" spans="1:9" x14ac:dyDescent="0.2">
      <c r="A518" s="2"/>
      <c r="B518" s="2"/>
      <c r="C518" s="2"/>
      <c r="D518" s="2"/>
      <c r="E518" s="2"/>
      <c r="F518" s="2"/>
      <c r="G518" s="2"/>
      <c r="H518" s="2"/>
      <c r="I518" s="2"/>
    </row>
    <row r="519" spans="1:9" x14ac:dyDescent="0.2">
      <c r="A519" s="2"/>
      <c r="B519" s="2"/>
      <c r="C519" s="2"/>
      <c r="D519" s="2"/>
      <c r="E519" s="2"/>
      <c r="F519" s="2"/>
      <c r="G519" s="2"/>
      <c r="H519" s="2"/>
      <c r="I519" s="2"/>
    </row>
    <row r="520" spans="1:9" x14ac:dyDescent="0.2">
      <c r="A520" s="2"/>
      <c r="B520" s="2"/>
      <c r="C520" s="2"/>
      <c r="D520" s="2"/>
      <c r="E520" s="2"/>
      <c r="F520" s="2"/>
      <c r="G520" s="2"/>
      <c r="H520" s="2"/>
      <c r="I520" s="2"/>
    </row>
    <row r="521" spans="1:9" x14ac:dyDescent="0.2">
      <c r="A521" s="2"/>
      <c r="B521" s="2"/>
      <c r="C521" s="2"/>
      <c r="D521" s="2"/>
      <c r="E521" s="2"/>
      <c r="F521" s="2"/>
      <c r="G521" s="2"/>
      <c r="H521" s="2"/>
      <c r="I521" s="2"/>
    </row>
    <row r="522" spans="1:9" x14ac:dyDescent="0.2">
      <c r="A522" s="2"/>
      <c r="B522" s="2"/>
      <c r="C522" s="2"/>
      <c r="D522" s="2"/>
      <c r="E522" s="2"/>
      <c r="F522" s="2"/>
      <c r="G522" s="2"/>
      <c r="H522" s="2"/>
      <c r="I522" s="2"/>
    </row>
    <row r="523" spans="1:9" x14ac:dyDescent="0.2">
      <c r="A523" s="2"/>
      <c r="B523" s="2"/>
      <c r="C523" s="2"/>
      <c r="D523" s="2"/>
      <c r="E523" s="2"/>
      <c r="F523" s="2"/>
      <c r="G523" s="2"/>
      <c r="H523" s="2"/>
      <c r="I523" s="2"/>
    </row>
    <row r="524" spans="1:9" x14ac:dyDescent="0.2">
      <c r="A524" s="2"/>
      <c r="B524" s="2"/>
      <c r="C524" s="2"/>
      <c r="D524" s="2"/>
      <c r="E524" s="2"/>
      <c r="F524" s="2"/>
      <c r="G524" s="2"/>
      <c r="H524" s="2"/>
      <c r="I524" s="2"/>
    </row>
    <row r="525" spans="1:9" x14ac:dyDescent="0.2">
      <c r="A525" s="2"/>
      <c r="B525" s="2"/>
      <c r="C525" s="2"/>
      <c r="D525" s="2"/>
      <c r="E525" s="2"/>
      <c r="F525" s="2"/>
      <c r="G525" s="2"/>
      <c r="H525" s="2"/>
      <c r="I525" s="2"/>
    </row>
    <row r="526" spans="1:9" x14ac:dyDescent="0.2">
      <c r="A526" s="2"/>
      <c r="B526" s="2"/>
      <c r="C526" s="2"/>
      <c r="D526" s="2"/>
      <c r="E526" s="2"/>
      <c r="F526" s="2"/>
      <c r="G526" s="2"/>
      <c r="H526" s="2"/>
      <c r="I526" s="2"/>
    </row>
    <row r="527" spans="1:9" x14ac:dyDescent="0.2">
      <c r="A527" s="2"/>
      <c r="B527" s="2"/>
      <c r="C527" s="2"/>
      <c r="D527" s="2"/>
      <c r="E527" s="2"/>
      <c r="F527" s="2"/>
      <c r="G527" s="2"/>
      <c r="H527" s="2"/>
      <c r="I527" s="2"/>
    </row>
    <row r="528" spans="1:9" x14ac:dyDescent="0.2">
      <c r="A528" s="2"/>
      <c r="B528" s="2"/>
      <c r="C528" s="2"/>
      <c r="D528" s="2"/>
      <c r="E528" s="2"/>
      <c r="F528" s="2"/>
      <c r="G528" s="2"/>
      <c r="H528" s="2"/>
      <c r="I528" s="2"/>
    </row>
    <row r="529" spans="1:9" x14ac:dyDescent="0.2">
      <c r="A529" s="2"/>
      <c r="B529" s="2"/>
      <c r="C529" s="2"/>
      <c r="D529" s="2"/>
      <c r="E529" s="2"/>
      <c r="F529" s="2"/>
      <c r="G529" s="2"/>
      <c r="H529" s="2"/>
      <c r="I529" s="2"/>
    </row>
    <row r="530" spans="1:9" x14ac:dyDescent="0.2">
      <c r="A530" s="2"/>
      <c r="B530" s="2"/>
      <c r="C530" s="2"/>
      <c r="D530" s="2"/>
      <c r="E530" s="2"/>
      <c r="F530" s="2"/>
      <c r="G530" s="2"/>
      <c r="H530" s="2"/>
      <c r="I530" s="2"/>
    </row>
    <row r="531" spans="1:9" x14ac:dyDescent="0.2">
      <c r="A531" s="2"/>
      <c r="B531" s="2"/>
      <c r="C531" s="2"/>
      <c r="D531" s="2"/>
      <c r="E531" s="2"/>
      <c r="F531" s="2"/>
      <c r="G531" s="2"/>
      <c r="H531" s="2"/>
      <c r="I531" s="2"/>
    </row>
    <row r="532" spans="1:9" x14ac:dyDescent="0.2">
      <c r="A532" s="2"/>
      <c r="B532" s="2"/>
      <c r="C532" s="2"/>
      <c r="D532" s="2"/>
      <c r="E532" s="2"/>
      <c r="F532" s="2"/>
      <c r="G532" s="2"/>
      <c r="H532" s="2"/>
      <c r="I532" s="2"/>
    </row>
    <row r="533" spans="1:9" x14ac:dyDescent="0.2">
      <c r="A533" s="2"/>
      <c r="B533" s="2"/>
      <c r="C533" s="2"/>
      <c r="D533" s="2"/>
      <c r="E533" s="2"/>
      <c r="F533" s="2"/>
      <c r="G533" s="2"/>
      <c r="H533" s="2"/>
      <c r="I533" s="2"/>
    </row>
    <row r="534" spans="1:9" x14ac:dyDescent="0.2">
      <c r="A534" s="2"/>
      <c r="B534" s="2"/>
      <c r="C534" s="2"/>
      <c r="D534" s="2"/>
      <c r="E534" s="2"/>
      <c r="F534" s="2"/>
      <c r="G534" s="2"/>
      <c r="H534" s="2"/>
      <c r="I534" s="2"/>
    </row>
    <row r="535" spans="1:9" x14ac:dyDescent="0.2">
      <c r="A535" s="2"/>
      <c r="B535" s="2"/>
      <c r="C535" s="2"/>
      <c r="D535" s="2"/>
      <c r="E535" s="2"/>
      <c r="F535" s="2"/>
      <c r="G535" s="2"/>
      <c r="H535" s="2"/>
      <c r="I535" s="2"/>
    </row>
    <row r="536" spans="1:9" x14ac:dyDescent="0.2">
      <c r="A536" s="2"/>
      <c r="B536" s="2"/>
      <c r="C536" s="2"/>
      <c r="D536" s="2"/>
      <c r="E536" s="2"/>
      <c r="F536" s="2"/>
      <c r="G536" s="2"/>
      <c r="H536" s="2"/>
      <c r="I536" s="2"/>
    </row>
    <row r="537" spans="1:9" x14ac:dyDescent="0.2">
      <c r="A537" s="2"/>
      <c r="B537" s="2"/>
      <c r="C537" s="2"/>
      <c r="D537" s="2"/>
      <c r="E537" s="2"/>
      <c r="F537" s="2"/>
      <c r="G537" s="2"/>
      <c r="H537" s="2"/>
      <c r="I537" s="2"/>
    </row>
    <row r="538" spans="1:9" x14ac:dyDescent="0.2">
      <c r="A538" s="2"/>
      <c r="B538" s="2"/>
      <c r="C538" s="2"/>
      <c r="D538" s="2"/>
      <c r="E538" s="2"/>
      <c r="F538" s="2"/>
      <c r="G538" s="2"/>
      <c r="H538" s="2"/>
      <c r="I538" s="2"/>
    </row>
    <row r="539" spans="1:9" x14ac:dyDescent="0.2">
      <c r="A539" s="2"/>
      <c r="B539" s="2"/>
      <c r="C539" s="2"/>
      <c r="D539" s="2"/>
      <c r="E539" s="2"/>
      <c r="F539" s="2"/>
      <c r="G539" s="2"/>
      <c r="H539" s="2"/>
      <c r="I539" s="2"/>
    </row>
    <row r="540" spans="1:9" x14ac:dyDescent="0.2">
      <c r="A540" s="2"/>
      <c r="B540" s="2"/>
      <c r="C540" s="2"/>
      <c r="D540" s="2"/>
      <c r="E540" s="2"/>
      <c r="F540" s="2"/>
      <c r="G540" s="2"/>
      <c r="H540" s="2"/>
      <c r="I540" s="2"/>
    </row>
    <row r="541" spans="1:9" x14ac:dyDescent="0.2">
      <c r="A541" s="2"/>
      <c r="B541" s="2"/>
      <c r="C541" s="2"/>
      <c r="D541" s="2"/>
      <c r="E541" s="2"/>
      <c r="F541" s="2"/>
      <c r="G541" s="2"/>
      <c r="H541" s="2"/>
      <c r="I541" s="2"/>
    </row>
    <row r="542" spans="1:9" x14ac:dyDescent="0.2">
      <c r="A542" s="2"/>
      <c r="B542" s="2"/>
      <c r="C542" s="2"/>
      <c r="D542" s="2"/>
      <c r="E542" s="2"/>
      <c r="F542" s="2"/>
      <c r="G542" s="2"/>
      <c r="H542" s="2"/>
      <c r="I542" s="2"/>
    </row>
    <row r="543" spans="1:9" x14ac:dyDescent="0.2">
      <c r="A543" s="2"/>
      <c r="B543" s="2"/>
      <c r="C543" s="2"/>
      <c r="D543" s="2"/>
      <c r="E543" s="2"/>
      <c r="F543" s="2"/>
      <c r="G543" s="2"/>
      <c r="H543" s="2"/>
      <c r="I543" s="2"/>
    </row>
    <row r="544" spans="1:9" x14ac:dyDescent="0.2">
      <c r="A544" s="2"/>
      <c r="B544" s="2"/>
      <c r="C544" s="2"/>
      <c r="D544" s="2"/>
      <c r="E544" s="2"/>
      <c r="F544" s="2"/>
      <c r="G544" s="2"/>
      <c r="H544" s="2"/>
      <c r="I544" s="2"/>
    </row>
    <row r="545" spans="1:9" x14ac:dyDescent="0.2">
      <c r="A545" s="2"/>
      <c r="B545" s="2"/>
      <c r="C545" s="2"/>
      <c r="D545" s="2"/>
      <c r="E545" s="2"/>
      <c r="F545" s="2"/>
      <c r="G545" s="2"/>
      <c r="H545" s="2"/>
      <c r="I545" s="2"/>
    </row>
    <row r="546" spans="1:9" x14ac:dyDescent="0.2">
      <c r="A546" s="2"/>
      <c r="B546" s="2"/>
      <c r="C546" s="2"/>
      <c r="D546" s="2"/>
      <c r="E546" s="2"/>
      <c r="F546" s="2"/>
      <c r="G546" s="2"/>
      <c r="H546" s="2"/>
      <c r="I546" s="2"/>
    </row>
    <row r="547" spans="1:9" x14ac:dyDescent="0.2">
      <c r="A547" s="2"/>
      <c r="B547" s="2"/>
      <c r="C547" s="2"/>
      <c r="D547" s="2"/>
      <c r="E547" s="2"/>
      <c r="F547" s="2"/>
      <c r="G547" s="2"/>
      <c r="H547" s="2"/>
      <c r="I547" s="2"/>
    </row>
    <row r="548" spans="1:9" x14ac:dyDescent="0.2">
      <c r="A548" s="2"/>
      <c r="B548" s="2"/>
      <c r="C548" s="2"/>
      <c r="D548" s="2"/>
      <c r="E548" s="2"/>
      <c r="F548" s="2"/>
      <c r="G548" s="2"/>
      <c r="H548" s="2"/>
      <c r="I548" s="2"/>
    </row>
    <row r="549" spans="1:9" x14ac:dyDescent="0.2">
      <c r="A549" s="2"/>
      <c r="B549" s="2"/>
      <c r="C549" s="2"/>
      <c r="D549" s="2"/>
      <c r="E549" s="2"/>
      <c r="F549" s="2"/>
      <c r="G549" s="2"/>
      <c r="H549" s="2"/>
      <c r="I549" s="2"/>
    </row>
    <row r="550" spans="1:9" x14ac:dyDescent="0.2">
      <c r="A550" s="2"/>
      <c r="B550" s="2"/>
      <c r="C550" s="2"/>
      <c r="D550" s="2"/>
      <c r="E550" s="2"/>
      <c r="F550" s="2"/>
      <c r="G550" s="2"/>
      <c r="H550" s="2"/>
      <c r="I550" s="2"/>
    </row>
    <row r="551" spans="1:9" x14ac:dyDescent="0.2">
      <c r="A551" s="2"/>
      <c r="B551" s="2"/>
      <c r="C551" s="2"/>
      <c r="D551" s="2"/>
      <c r="E551" s="2"/>
      <c r="F551" s="2"/>
      <c r="G551" s="2"/>
      <c r="H551" s="2"/>
      <c r="I551" s="2"/>
    </row>
    <row r="552" spans="1:9" x14ac:dyDescent="0.2">
      <c r="A552" s="2"/>
      <c r="B552" s="2"/>
      <c r="C552" s="2"/>
      <c r="D552" s="2"/>
      <c r="E552" s="2"/>
      <c r="F552" s="2"/>
      <c r="G552" s="2"/>
      <c r="H552" s="2"/>
      <c r="I552" s="2"/>
    </row>
    <row r="553" spans="1:9" x14ac:dyDescent="0.2">
      <c r="A553" s="2"/>
      <c r="B553" s="2"/>
      <c r="C553" s="2"/>
      <c r="D553" s="2"/>
      <c r="E553" s="2"/>
      <c r="F553" s="2"/>
      <c r="G553" s="2"/>
      <c r="H553" s="2"/>
      <c r="I553" s="2"/>
    </row>
    <row r="554" spans="1:9" x14ac:dyDescent="0.2">
      <c r="A554" s="2"/>
      <c r="B554" s="2"/>
      <c r="C554" s="2"/>
      <c r="D554" s="2"/>
      <c r="E554" s="2"/>
      <c r="F554" s="2"/>
      <c r="G554" s="2"/>
      <c r="H554" s="2"/>
      <c r="I554" s="2"/>
    </row>
    <row r="555" spans="1:9" x14ac:dyDescent="0.2">
      <c r="A555" s="2"/>
      <c r="B555" s="2"/>
      <c r="C555" s="2"/>
      <c r="D555" s="2"/>
      <c r="E555" s="2"/>
      <c r="F555" s="2"/>
      <c r="G555" s="2"/>
      <c r="H555" s="2"/>
      <c r="I555" s="2"/>
    </row>
    <row r="556" spans="1:9" x14ac:dyDescent="0.2">
      <c r="A556" s="2"/>
      <c r="B556" s="2"/>
      <c r="C556" s="2"/>
      <c r="D556" s="2"/>
      <c r="E556" s="2"/>
      <c r="F556" s="2"/>
      <c r="G556" s="2"/>
      <c r="H556" s="2"/>
      <c r="I556" s="2"/>
    </row>
    <row r="557" spans="1:9" x14ac:dyDescent="0.2">
      <c r="A557" s="2"/>
      <c r="B557" s="2"/>
      <c r="C557" s="2"/>
      <c r="D557" s="2"/>
      <c r="E557" s="2"/>
      <c r="F557" s="2"/>
      <c r="G557" s="2"/>
      <c r="H557" s="2"/>
      <c r="I557" s="2"/>
    </row>
    <row r="558" spans="1:9" x14ac:dyDescent="0.2">
      <c r="A558" s="2"/>
      <c r="B558" s="2"/>
      <c r="C558" s="2"/>
      <c r="D558" s="2"/>
      <c r="E558" s="2"/>
      <c r="F558" s="2"/>
      <c r="G558" s="2"/>
      <c r="H558" s="2"/>
      <c r="I558" s="2"/>
    </row>
    <row r="559" spans="1:9" x14ac:dyDescent="0.2">
      <c r="A559" s="2"/>
      <c r="B559" s="2"/>
      <c r="C559" s="2"/>
      <c r="D559" s="2"/>
      <c r="E559" s="2"/>
      <c r="F559" s="2"/>
      <c r="G559" s="2"/>
      <c r="H559" s="2"/>
      <c r="I559" s="2"/>
    </row>
    <row r="560" spans="1:9" x14ac:dyDescent="0.2">
      <c r="A560" s="2"/>
      <c r="B560" s="2"/>
      <c r="C560" s="2"/>
      <c r="D560" s="2"/>
      <c r="E560" s="2"/>
      <c r="F560" s="2"/>
      <c r="G560" s="2"/>
      <c r="H560" s="2"/>
      <c r="I560" s="2"/>
    </row>
    <row r="561" spans="1:9" x14ac:dyDescent="0.2">
      <c r="A561" s="2"/>
      <c r="B561" s="2"/>
      <c r="C561" s="2"/>
      <c r="D561" s="2"/>
      <c r="E561" s="2"/>
      <c r="F561" s="2"/>
      <c r="G561" s="2"/>
      <c r="H561" s="2"/>
      <c r="I561" s="2"/>
    </row>
    <row r="562" spans="1:9" x14ac:dyDescent="0.2">
      <c r="A562" s="2"/>
      <c r="B562" s="2"/>
      <c r="C562" s="2"/>
      <c r="D562" s="2"/>
      <c r="E562" s="2"/>
      <c r="F562" s="2"/>
      <c r="G562" s="2"/>
      <c r="H562" s="2"/>
      <c r="I562" s="2"/>
    </row>
    <row r="563" spans="1:9" x14ac:dyDescent="0.2">
      <c r="A563" s="2"/>
      <c r="B563" s="2"/>
      <c r="C563" s="2"/>
      <c r="D563" s="2"/>
      <c r="E563" s="2"/>
      <c r="F563" s="2"/>
      <c r="G563" s="2"/>
      <c r="H563" s="2"/>
      <c r="I563" s="2"/>
    </row>
    <row r="564" spans="1:9" x14ac:dyDescent="0.2">
      <c r="A564" s="2"/>
      <c r="B564" s="2"/>
      <c r="C564" s="2"/>
      <c r="D564" s="2"/>
      <c r="E564" s="2"/>
      <c r="F564" s="2"/>
      <c r="G564" s="2"/>
      <c r="H564" s="2"/>
      <c r="I564" s="2"/>
    </row>
    <row r="565" spans="1:9" x14ac:dyDescent="0.2">
      <c r="A565" s="2"/>
      <c r="B565" s="2"/>
      <c r="C565" s="2"/>
      <c r="D565" s="2"/>
      <c r="E565" s="2"/>
      <c r="F565" s="2"/>
      <c r="G565" s="2"/>
      <c r="H565" s="2"/>
      <c r="I565" s="2"/>
    </row>
    <row r="566" spans="1:9" x14ac:dyDescent="0.2">
      <c r="A566" s="2"/>
      <c r="B566" s="2"/>
      <c r="C566" s="2"/>
      <c r="D566" s="2"/>
      <c r="E566" s="2"/>
      <c r="F566" s="2"/>
      <c r="G566" s="2"/>
      <c r="H566" s="2"/>
      <c r="I566" s="2"/>
    </row>
    <row r="567" spans="1:9" x14ac:dyDescent="0.2">
      <c r="A567" s="2"/>
      <c r="B567" s="2"/>
      <c r="C567" s="2"/>
      <c r="D567" s="2"/>
      <c r="E567" s="2"/>
      <c r="F567" s="2"/>
      <c r="G567" s="2"/>
      <c r="H567" s="2"/>
      <c r="I567" s="2"/>
    </row>
    <row r="568" spans="1:9" x14ac:dyDescent="0.2">
      <c r="A568" s="2"/>
      <c r="B568" s="2"/>
      <c r="C568" s="2"/>
      <c r="D568" s="2"/>
      <c r="E568" s="2"/>
      <c r="F568" s="2"/>
      <c r="G568" s="2"/>
      <c r="H568" s="2"/>
      <c r="I568" s="2"/>
    </row>
    <row r="569" spans="1:9" x14ac:dyDescent="0.2">
      <c r="A569" s="2"/>
      <c r="B569" s="2"/>
      <c r="C569" s="2"/>
      <c r="D569" s="2"/>
      <c r="E569" s="2"/>
      <c r="F569" s="2"/>
      <c r="G569" s="2"/>
      <c r="H569" s="2"/>
      <c r="I569" s="2"/>
    </row>
    <row r="570" spans="1:9" x14ac:dyDescent="0.2">
      <c r="A570" s="2"/>
      <c r="B570" s="2"/>
      <c r="C570" s="2"/>
      <c r="D570" s="2"/>
      <c r="E570" s="2"/>
      <c r="F570" s="2"/>
      <c r="G570" s="2"/>
      <c r="H570" s="2"/>
      <c r="I570" s="2"/>
    </row>
    <row r="571" spans="1:9" x14ac:dyDescent="0.2">
      <c r="A571" s="2"/>
      <c r="B571" s="2"/>
      <c r="C571" s="2"/>
      <c r="D571" s="2"/>
      <c r="E571" s="2"/>
      <c r="F571" s="2"/>
      <c r="G571" s="2"/>
      <c r="H571" s="2"/>
      <c r="I571" s="2"/>
    </row>
    <row r="572" spans="1:9" x14ac:dyDescent="0.2">
      <c r="A572" s="2"/>
      <c r="B572" s="2"/>
      <c r="C572" s="2"/>
      <c r="D572" s="2"/>
      <c r="E572" s="2"/>
      <c r="F572" s="2"/>
      <c r="G572" s="2"/>
      <c r="H572" s="2"/>
      <c r="I572" s="2"/>
    </row>
    <row r="573" spans="1:9" x14ac:dyDescent="0.2">
      <c r="A573" s="2"/>
      <c r="B573" s="2"/>
      <c r="C573" s="2"/>
      <c r="D573" s="2"/>
      <c r="E573" s="2"/>
      <c r="F573" s="2"/>
      <c r="G573" s="2"/>
      <c r="H573" s="2"/>
      <c r="I573" s="2"/>
    </row>
    <row r="574" spans="1:9" x14ac:dyDescent="0.2">
      <c r="A574" s="2"/>
      <c r="B574" s="2"/>
      <c r="C574" s="2"/>
      <c r="D574" s="2"/>
      <c r="E574" s="2"/>
      <c r="F574" s="2"/>
      <c r="G574" s="2"/>
      <c r="H574" s="2"/>
      <c r="I574" s="2"/>
    </row>
    <row r="575" spans="1:9" x14ac:dyDescent="0.2">
      <c r="A575" s="2"/>
      <c r="B575" s="2"/>
      <c r="C575" s="2"/>
      <c r="D575" s="2"/>
      <c r="E575" s="2"/>
      <c r="F575" s="2"/>
      <c r="G575" s="2"/>
      <c r="H575" s="2"/>
      <c r="I575" s="2"/>
    </row>
    <row r="576" spans="1:9" x14ac:dyDescent="0.2">
      <c r="A576" s="2"/>
      <c r="B576" s="2"/>
      <c r="C576" s="2"/>
      <c r="D576" s="2"/>
      <c r="E576" s="2"/>
      <c r="F576" s="2"/>
      <c r="G576" s="2"/>
      <c r="H576" s="2"/>
      <c r="I576" s="2"/>
    </row>
    <row r="577" spans="1:9" x14ac:dyDescent="0.2">
      <c r="A577" s="2"/>
      <c r="B577" s="2"/>
      <c r="C577" s="2"/>
      <c r="D577" s="2"/>
      <c r="E577" s="2"/>
      <c r="F577" s="2"/>
      <c r="G577" s="2"/>
      <c r="H577" s="2"/>
      <c r="I577" s="2"/>
    </row>
    <row r="578" spans="1:9" x14ac:dyDescent="0.2">
      <c r="A578" s="2"/>
      <c r="B578" s="2"/>
      <c r="C578" s="2"/>
      <c r="D578" s="2"/>
      <c r="E578" s="2"/>
      <c r="F578" s="2"/>
      <c r="G578" s="2"/>
      <c r="H578" s="2"/>
      <c r="I578" s="2"/>
    </row>
    <row r="579" spans="1:9" x14ac:dyDescent="0.2">
      <c r="A579" s="2"/>
      <c r="B579" s="2"/>
      <c r="C579" s="2"/>
      <c r="D579" s="2"/>
      <c r="E579" s="2"/>
      <c r="F579" s="2"/>
      <c r="G579" s="2"/>
      <c r="H579" s="2"/>
      <c r="I579" s="2"/>
    </row>
    <row r="580" spans="1:9" x14ac:dyDescent="0.2">
      <c r="A580" s="2"/>
      <c r="B580" s="2"/>
      <c r="C580" s="2"/>
      <c r="D580" s="2"/>
      <c r="E580" s="2"/>
      <c r="F580" s="2"/>
      <c r="G580" s="2"/>
      <c r="H580" s="2"/>
      <c r="I580" s="2"/>
    </row>
    <row r="581" spans="1:9" x14ac:dyDescent="0.2">
      <c r="A581" s="2"/>
      <c r="B581" s="2"/>
      <c r="C581" s="2"/>
      <c r="D581" s="2"/>
      <c r="E581" s="2"/>
      <c r="F581" s="2"/>
      <c r="G581" s="2"/>
      <c r="H581" s="2"/>
      <c r="I581" s="2"/>
    </row>
    <row r="582" spans="1:9" x14ac:dyDescent="0.2">
      <c r="A582" s="2"/>
      <c r="B582" s="2"/>
      <c r="C582" s="2"/>
      <c r="D582" s="2"/>
      <c r="E582" s="2"/>
      <c r="F582" s="2"/>
      <c r="G582" s="2"/>
      <c r="H582" s="2"/>
      <c r="I582" s="2"/>
    </row>
    <row r="583" spans="1:9" x14ac:dyDescent="0.2">
      <c r="A583" s="2"/>
      <c r="B583" s="2"/>
      <c r="C583" s="2"/>
      <c r="D583" s="2"/>
      <c r="E583" s="2"/>
      <c r="F583" s="2"/>
      <c r="G583" s="2"/>
      <c r="H583" s="2"/>
      <c r="I583" s="2"/>
    </row>
    <row r="584" spans="1:9" x14ac:dyDescent="0.2">
      <c r="A584" s="2"/>
      <c r="B584" s="2"/>
      <c r="C584" s="2"/>
      <c r="D584" s="2"/>
      <c r="E584" s="2"/>
      <c r="F584" s="2"/>
      <c r="G584" s="2"/>
      <c r="H584" s="2"/>
      <c r="I584" s="2"/>
    </row>
    <row r="585" spans="1:9" x14ac:dyDescent="0.2">
      <c r="A585" s="2"/>
      <c r="B585" s="2"/>
      <c r="C585" s="2"/>
      <c r="D585" s="2"/>
      <c r="E585" s="2"/>
      <c r="F585" s="2"/>
      <c r="G585" s="2"/>
      <c r="H585" s="2"/>
      <c r="I585" s="2"/>
    </row>
    <row r="586" spans="1:9" x14ac:dyDescent="0.2">
      <c r="A586" s="2"/>
      <c r="B586" s="2"/>
      <c r="C586" s="2"/>
      <c r="D586" s="2"/>
      <c r="E586" s="2"/>
      <c r="F586" s="2"/>
      <c r="G586" s="2"/>
      <c r="H586" s="2"/>
      <c r="I586" s="2"/>
    </row>
    <row r="587" spans="1:9" x14ac:dyDescent="0.2">
      <c r="A587" s="2"/>
      <c r="B587" s="2"/>
      <c r="C587" s="2"/>
      <c r="D587" s="2"/>
      <c r="E587" s="2"/>
      <c r="F587" s="2"/>
      <c r="G587" s="2"/>
      <c r="H587" s="2"/>
      <c r="I587" s="2"/>
    </row>
    <row r="588" spans="1:9" x14ac:dyDescent="0.2">
      <c r="A588" s="2"/>
      <c r="B588" s="2"/>
      <c r="C588" s="2"/>
      <c r="D588" s="2"/>
      <c r="E588" s="2"/>
      <c r="F588" s="2"/>
      <c r="G588" s="2"/>
      <c r="H588" s="2"/>
      <c r="I588" s="2"/>
    </row>
    <row r="589" spans="1:9" x14ac:dyDescent="0.2">
      <c r="A589" s="2"/>
      <c r="B589" s="2"/>
      <c r="C589" s="2"/>
      <c r="D589" s="2"/>
      <c r="E589" s="2"/>
      <c r="F589" s="2"/>
      <c r="G589" s="2"/>
      <c r="H589" s="2"/>
      <c r="I589" s="2"/>
    </row>
    <row r="590" spans="1:9" x14ac:dyDescent="0.2">
      <c r="A590" s="2"/>
      <c r="B590" s="2"/>
      <c r="C590" s="2"/>
      <c r="D590" s="2"/>
      <c r="E590" s="2"/>
      <c r="F590" s="2"/>
      <c r="G590" s="2"/>
      <c r="H590" s="2"/>
      <c r="I590" s="2"/>
    </row>
    <row r="591" spans="1:9" x14ac:dyDescent="0.2">
      <c r="A591" s="2"/>
      <c r="B591" s="2"/>
      <c r="C591" s="2"/>
      <c r="D591" s="2"/>
      <c r="E591" s="2"/>
      <c r="F591" s="2"/>
      <c r="G591" s="2"/>
      <c r="H591" s="2"/>
      <c r="I591" s="2"/>
    </row>
    <row r="592" spans="1:9" x14ac:dyDescent="0.2">
      <c r="A592" s="2"/>
      <c r="B592" s="2"/>
      <c r="C592" s="2"/>
      <c r="D592" s="2"/>
      <c r="E592" s="2"/>
      <c r="F592" s="2"/>
      <c r="G592" s="2"/>
      <c r="H592" s="2"/>
      <c r="I592" s="2"/>
    </row>
    <row r="593" spans="1:9" x14ac:dyDescent="0.2">
      <c r="A593" s="2"/>
      <c r="B593" s="2"/>
      <c r="C593" s="2"/>
      <c r="D593" s="2"/>
      <c r="E593" s="2"/>
      <c r="F593" s="2"/>
      <c r="G593" s="2"/>
      <c r="H593" s="2"/>
      <c r="I593" s="2"/>
    </row>
    <row r="594" spans="1:9" x14ac:dyDescent="0.2">
      <c r="A594" s="2"/>
      <c r="B594" s="2"/>
      <c r="C594" s="2"/>
      <c r="D594" s="2"/>
      <c r="E594" s="2"/>
      <c r="F594" s="2"/>
      <c r="G594" s="2"/>
      <c r="H594" s="2"/>
      <c r="I594" s="2"/>
    </row>
    <row r="595" spans="1:9" x14ac:dyDescent="0.2">
      <c r="A595" s="2"/>
      <c r="B595" s="2"/>
      <c r="C595" s="2"/>
      <c r="D595" s="2"/>
      <c r="E595" s="2"/>
      <c r="F595" s="2"/>
      <c r="G595" s="2"/>
      <c r="H595" s="2"/>
      <c r="I595" s="2"/>
    </row>
    <row r="596" spans="1:9" x14ac:dyDescent="0.2">
      <c r="A596" s="2"/>
      <c r="B596" s="2"/>
      <c r="C596" s="2"/>
      <c r="D596" s="2"/>
      <c r="E596" s="2"/>
      <c r="F596" s="2"/>
      <c r="G596" s="2"/>
      <c r="H596" s="2"/>
      <c r="I596" s="2"/>
    </row>
    <row r="597" spans="1:9" x14ac:dyDescent="0.2">
      <c r="A597" s="2"/>
      <c r="B597" s="2"/>
      <c r="C597" s="2"/>
      <c r="D597" s="2"/>
      <c r="E597" s="2"/>
      <c r="F597" s="2"/>
      <c r="G597" s="2"/>
      <c r="H597" s="2"/>
      <c r="I597" s="2"/>
    </row>
    <row r="598" spans="1:9" x14ac:dyDescent="0.2">
      <c r="A598" s="2"/>
      <c r="B598" s="2"/>
      <c r="C598" s="2"/>
      <c r="D598" s="2"/>
      <c r="E598" s="2"/>
      <c r="F598" s="2"/>
      <c r="G598" s="2"/>
      <c r="H598" s="2"/>
      <c r="I598" s="2"/>
    </row>
    <row r="599" spans="1:9" x14ac:dyDescent="0.2">
      <c r="A599" s="2"/>
      <c r="B599" s="2"/>
      <c r="C599" s="2"/>
      <c r="D599" s="2"/>
      <c r="E599" s="2"/>
      <c r="F599" s="2"/>
      <c r="G599" s="2"/>
      <c r="H599" s="2"/>
      <c r="I599" s="2"/>
    </row>
    <row r="600" spans="1:9" x14ac:dyDescent="0.2">
      <c r="A600" s="2"/>
      <c r="B600" s="2"/>
      <c r="C600" s="2"/>
      <c r="D600" s="2"/>
      <c r="E600" s="2"/>
      <c r="F600" s="2"/>
      <c r="G600" s="2"/>
      <c r="H600" s="2"/>
      <c r="I600" s="2"/>
    </row>
    <row r="601" spans="1:9" x14ac:dyDescent="0.2">
      <c r="A601" s="2"/>
      <c r="B601" s="2"/>
      <c r="C601" s="2"/>
      <c r="D601" s="2"/>
      <c r="E601" s="2"/>
      <c r="F601" s="2"/>
      <c r="G601" s="2"/>
      <c r="H601" s="2"/>
      <c r="I601" s="2"/>
    </row>
    <row r="602" spans="1:9" x14ac:dyDescent="0.2">
      <c r="A602" s="2"/>
      <c r="B602" s="2"/>
      <c r="C602" s="2"/>
      <c r="D602" s="2"/>
      <c r="E602" s="2"/>
      <c r="F602" s="2"/>
      <c r="G602" s="2"/>
      <c r="H602" s="2"/>
      <c r="I602" s="2"/>
    </row>
    <row r="603" spans="1:9" x14ac:dyDescent="0.2">
      <c r="A603" s="2"/>
      <c r="B603" s="2"/>
      <c r="C603" s="2"/>
      <c r="D603" s="2"/>
      <c r="E603" s="2"/>
      <c r="F603" s="2"/>
      <c r="G603" s="2"/>
      <c r="H603" s="2"/>
      <c r="I603" s="2"/>
    </row>
    <row r="604" spans="1:9" x14ac:dyDescent="0.2">
      <c r="A604" s="2"/>
      <c r="B604" s="2"/>
      <c r="C604" s="2"/>
      <c r="D604" s="2"/>
      <c r="E604" s="2"/>
      <c r="F604" s="2"/>
      <c r="G604" s="2"/>
      <c r="H604" s="2"/>
      <c r="I604" s="2"/>
    </row>
    <row r="605" spans="1:9" x14ac:dyDescent="0.2">
      <c r="A605" s="2"/>
      <c r="B605" s="2"/>
      <c r="C605" s="2"/>
      <c r="D605" s="2"/>
      <c r="E605" s="2"/>
      <c r="F605" s="2"/>
      <c r="G605" s="2"/>
      <c r="H605" s="2"/>
      <c r="I605" s="2"/>
    </row>
    <row r="606" spans="1:9" x14ac:dyDescent="0.2">
      <c r="A606" s="2"/>
      <c r="B606" s="2"/>
      <c r="C606" s="2"/>
      <c r="D606" s="2"/>
      <c r="E606" s="2"/>
      <c r="F606" s="2"/>
      <c r="G606" s="2"/>
      <c r="H606" s="2"/>
      <c r="I606" s="2"/>
    </row>
    <row r="607" spans="1:9" x14ac:dyDescent="0.2">
      <c r="A607" s="2"/>
      <c r="B607" s="2"/>
      <c r="C607" s="2"/>
      <c r="D607" s="2"/>
      <c r="E607" s="2"/>
      <c r="F607" s="2"/>
      <c r="G607" s="2"/>
      <c r="H607" s="2"/>
      <c r="I607" s="2"/>
    </row>
    <row r="608" spans="1:9" x14ac:dyDescent="0.2">
      <c r="A608" s="2"/>
      <c r="B608" s="2"/>
      <c r="C608" s="2"/>
      <c r="D608" s="2"/>
      <c r="E608" s="2"/>
      <c r="F608" s="2"/>
      <c r="G608" s="2"/>
      <c r="H608" s="2"/>
      <c r="I608" s="2"/>
    </row>
    <row r="609" spans="1:9" x14ac:dyDescent="0.2">
      <c r="A609" s="2"/>
      <c r="B609" s="2"/>
      <c r="C609" s="2"/>
      <c r="D609" s="2"/>
      <c r="E609" s="2"/>
      <c r="F609" s="2"/>
      <c r="G609" s="2"/>
      <c r="H609" s="2"/>
      <c r="I609" s="2"/>
    </row>
    <row r="610" spans="1:9" x14ac:dyDescent="0.2">
      <c r="A610" s="2"/>
      <c r="B610" s="2"/>
      <c r="C610" s="2"/>
      <c r="D610" s="2"/>
      <c r="E610" s="2"/>
      <c r="F610" s="2"/>
      <c r="G610" s="2"/>
      <c r="H610" s="2"/>
      <c r="I610" s="2"/>
    </row>
    <row r="611" spans="1:9" x14ac:dyDescent="0.2">
      <c r="A611" s="2"/>
      <c r="B611" s="2"/>
      <c r="C611" s="2"/>
      <c r="D611" s="2"/>
      <c r="E611" s="2"/>
      <c r="F611" s="2"/>
      <c r="G611" s="2"/>
      <c r="H611" s="2"/>
      <c r="I611" s="2"/>
    </row>
    <row r="612" spans="1:9" x14ac:dyDescent="0.2">
      <c r="A612" s="2"/>
      <c r="B612" s="2"/>
      <c r="C612" s="2"/>
      <c r="D612" s="2"/>
      <c r="E612" s="2"/>
      <c r="F612" s="2"/>
      <c r="G612" s="2"/>
      <c r="H612" s="2"/>
      <c r="I612" s="2"/>
    </row>
    <row r="613" spans="1:9" x14ac:dyDescent="0.2">
      <c r="A613" s="2"/>
      <c r="B613" s="2"/>
      <c r="C613" s="2"/>
      <c r="D613" s="2"/>
      <c r="E613" s="2"/>
      <c r="F613" s="2"/>
      <c r="G613" s="2"/>
      <c r="H613" s="2"/>
      <c r="I613" s="2"/>
    </row>
    <row r="614" spans="1:9" x14ac:dyDescent="0.2">
      <c r="A614" s="2"/>
      <c r="B614" s="2"/>
      <c r="C614" s="2"/>
      <c r="D614" s="2"/>
      <c r="E614" s="2"/>
      <c r="F614" s="2"/>
      <c r="G614" s="2"/>
      <c r="H614" s="2"/>
      <c r="I614" s="2"/>
    </row>
    <row r="615" spans="1:9" x14ac:dyDescent="0.2">
      <c r="A615" s="2"/>
      <c r="B615" s="2"/>
      <c r="C615" s="2"/>
      <c r="D615" s="2"/>
      <c r="E615" s="2"/>
      <c r="F615" s="2"/>
      <c r="G615" s="2"/>
      <c r="H615" s="2"/>
      <c r="I615" s="2"/>
    </row>
    <row r="616" spans="1:9" x14ac:dyDescent="0.2">
      <c r="A616" s="2"/>
      <c r="B616" s="2"/>
      <c r="C616" s="2"/>
      <c r="D616" s="2"/>
      <c r="E616" s="2"/>
      <c r="F616" s="2"/>
      <c r="G616" s="2"/>
      <c r="H616" s="2"/>
      <c r="I616" s="2"/>
    </row>
    <row r="617" spans="1:9" x14ac:dyDescent="0.2">
      <c r="A617" s="2"/>
      <c r="B617" s="2"/>
      <c r="C617" s="2"/>
      <c r="D617" s="2"/>
      <c r="E617" s="2"/>
      <c r="F617" s="2"/>
      <c r="G617" s="2"/>
      <c r="H617" s="2"/>
      <c r="I617" s="2"/>
    </row>
    <row r="618" spans="1:9" x14ac:dyDescent="0.2">
      <c r="A618" s="2"/>
      <c r="B618" s="2"/>
      <c r="C618" s="2"/>
      <c r="D618" s="2"/>
      <c r="E618" s="2"/>
      <c r="F618" s="2"/>
      <c r="G618" s="2"/>
      <c r="H618" s="2"/>
      <c r="I618" s="2"/>
    </row>
    <row r="619" spans="1:9" x14ac:dyDescent="0.2">
      <c r="A619" s="2"/>
      <c r="B619" s="2"/>
      <c r="C619" s="2"/>
      <c r="D619" s="2"/>
      <c r="E619" s="2"/>
      <c r="F619" s="2"/>
      <c r="G619" s="2"/>
      <c r="H619" s="2"/>
      <c r="I619" s="2"/>
    </row>
    <row r="620" spans="1:9" x14ac:dyDescent="0.2">
      <c r="A620" s="2"/>
      <c r="B620" s="2"/>
      <c r="C620" s="2"/>
      <c r="D620" s="2"/>
      <c r="E620" s="2"/>
      <c r="F620" s="2"/>
      <c r="G620" s="2"/>
      <c r="H620" s="2"/>
      <c r="I620" s="2"/>
    </row>
    <row r="621" spans="1:9" x14ac:dyDescent="0.2">
      <c r="A621" s="2"/>
      <c r="B621" s="2"/>
      <c r="C621" s="2"/>
      <c r="D621" s="2"/>
      <c r="E621" s="2"/>
      <c r="F621" s="2"/>
      <c r="G621" s="2"/>
      <c r="H621" s="2"/>
      <c r="I621" s="2"/>
    </row>
    <row r="622" spans="1:9" x14ac:dyDescent="0.2">
      <c r="A622" s="2"/>
      <c r="B622" s="2"/>
      <c r="C622" s="2"/>
      <c r="D622" s="2"/>
      <c r="E622" s="2"/>
      <c r="F622" s="2"/>
      <c r="G622" s="2"/>
      <c r="H622" s="2"/>
      <c r="I622" s="2"/>
    </row>
    <row r="623" spans="1:9" x14ac:dyDescent="0.2">
      <c r="A623" s="2"/>
      <c r="B623" s="2"/>
      <c r="C623" s="2"/>
      <c r="D623" s="2"/>
      <c r="E623" s="2"/>
      <c r="F623" s="2"/>
      <c r="G623" s="2"/>
      <c r="H623" s="2"/>
      <c r="I623" s="2"/>
    </row>
    <row r="624" spans="1:9" x14ac:dyDescent="0.2">
      <c r="A624" s="2"/>
      <c r="B624" s="2"/>
      <c r="C624" s="2"/>
      <c r="D624" s="2"/>
      <c r="E624" s="2"/>
      <c r="F624" s="2"/>
      <c r="G624" s="2"/>
      <c r="H624" s="2"/>
      <c r="I624" s="2"/>
    </row>
    <row r="625" spans="1:9" x14ac:dyDescent="0.2">
      <c r="A625" s="2"/>
      <c r="B625" s="2"/>
      <c r="C625" s="2"/>
      <c r="D625" s="2"/>
      <c r="E625" s="2"/>
      <c r="F625" s="2"/>
      <c r="G625" s="2"/>
      <c r="H625" s="2"/>
      <c r="I625" s="2"/>
    </row>
    <row r="626" spans="1:9" x14ac:dyDescent="0.2">
      <c r="A626" s="2"/>
      <c r="B626" s="2"/>
      <c r="C626" s="2"/>
      <c r="D626" s="2"/>
      <c r="E626" s="2"/>
      <c r="F626" s="2"/>
      <c r="G626" s="2"/>
      <c r="H626" s="2"/>
      <c r="I626" s="2"/>
    </row>
    <row r="627" spans="1:9" x14ac:dyDescent="0.2">
      <c r="A627" s="2"/>
      <c r="B627" s="2"/>
      <c r="C627" s="2"/>
      <c r="D627" s="2"/>
      <c r="E627" s="2"/>
      <c r="F627" s="2"/>
      <c r="G627" s="2"/>
      <c r="H627" s="2"/>
      <c r="I627" s="2"/>
    </row>
    <row r="628" spans="1:9" x14ac:dyDescent="0.2">
      <c r="A628" s="2"/>
      <c r="B628" s="2"/>
      <c r="C628" s="2"/>
      <c r="D628" s="2"/>
      <c r="E628" s="2"/>
      <c r="F628" s="2"/>
      <c r="G628" s="2"/>
      <c r="H628" s="2"/>
      <c r="I628" s="2"/>
    </row>
    <row r="629" spans="1:9" x14ac:dyDescent="0.2">
      <c r="A629" s="2"/>
      <c r="B629" s="2"/>
      <c r="C629" s="2"/>
      <c r="D629" s="2"/>
      <c r="E629" s="2"/>
      <c r="F629" s="2"/>
      <c r="G629" s="2"/>
      <c r="H629" s="2"/>
      <c r="I629" s="2"/>
    </row>
    <row r="630" spans="1:9" x14ac:dyDescent="0.2">
      <c r="A630" s="2"/>
      <c r="B630" s="2"/>
      <c r="C630" s="2"/>
      <c r="D630" s="2"/>
      <c r="E630" s="2"/>
      <c r="F630" s="2"/>
      <c r="G630" s="2"/>
      <c r="H630" s="2"/>
      <c r="I630" s="2"/>
    </row>
    <row r="631" spans="1:9" x14ac:dyDescent="0.2">
      <c r="A631" s="2"/>
      <c r="B631" s="2"/>
      <c r="C631" s="2"/>
      <c r="D631" s="2"/>
      <c r="E631" s="2"/>
      <c r="F631" s="2"/>
      <c r="G631" s="2"/>
      <c r="H631" s="2"/>
      <c r="I631" s="2"/>
    </row>
    <row r="632" spans="1:9" x14ac:dyDescent="0.2">
      <c r="A632" s="2"/>
      <c r="B632" s="2"/>
      <c r="C632" s="2"/>
      <c r="D632" s="2"/>
      <c r="E632" s="2"/>
      <c r="F632" s="2"/>
      <c r="G632" s="2"/>
      <c r="H632" s="2"/>
      <c r="I632" s="2"/>
    </row>
    <row r="633" spans="1:9" x14ac:dyDescent="0.2">
      <c r="A633" s="2"/>
      <c r="B633" s="2"/>
      <c r="C633" s="2"/>
      <c r="D633" s="2"/>
      <c r="E633" s="2"/>
      <c r="F633" s="2"/>
      <c r="G633" s="2"/>
      <c r="H633" s="2"/>
      <c r="I633" s="2"/>
    </row>
    <row r="634" spans="1:9" x14ac:dyDescent="0.2">
      <c r="A634" s="2"/>
      <c r="B634" s="2"/>
      <c r="C634" s="2"/>
      <c r="D634" s="2"/>
      <c r="E634" s="2"/>
      <c r="F634" s="2"/>
      <c r="G634" s="2"/>
      <c r="H634" s="2"/>
      <c r="I634" s="2"/>
    </row>
    <row r="635" spans="1:9" x14ac:dyDescent="0.2">
      <c r="A635" s="2"/>
      <c r="B635" s="2"/>
      <c r="C635" s="2"/>
      <c r="D635" s="2"/>
      <c r="E635" s="2"/>
      <c r="F635" s="2"/>
      <c r="G635" s="2"/>
      <c r="H635" s="2"/>
      <c r="I635" s="2"/>
    </row>
    <row r="636" spans="1:9" x14ac:dyDescent="0.2">
      <c r="A636" s="2"/>
      <c r="B636" s="2"/>
      <c r="C636" s="2"/>
      <c r="D636" s="2"/>
      <c r="E636" s="2"/>
      <c r="F636" s="2"/>
      <c r="G636" s="2"/>
      <c r="H636" s="2"/>
      <c r="I636" s="2"/>
    </row>
    <row r="637" spans="1:9" x14ac:dyDescent="0.2">
      <c r="A637" s="2"/>
      <c r="B637" s="2"/>
      <c r="C637" s="2"/>
      <c r="D637" s="2"/>
      <c r="E637" s="2"/>
      <c r="F637" s="2"/>
      <c r="G637" s="2"/>
      <c r="H637" s="2"/>
      <c r="I637" s="2"/>
    </row>
    <row r="638" spans="1:9" x14ac:dyDescent="0.2">
      <c r="A638" s="2"/>
      <c r="B638" s="2"/>
      <c r="C638" s="2"/>
      <c r="D638" s="2"/>
      <c r="E638" s="2"/>
      <c r="F638" s="2"/>
      <c r="G638" s="2"/>
      <c r="H638" s="2"/>
      <c r="I638" s="2"/>
    </row>
    <row r="639" spans="1:9" x14ac:dyDescent="0.2">
      <c r="A639" s="2"/>
      <c r="B639" s="2"/>
      <c r="C639" s="2"/>
      <c r="D639" s="2"/>
      <c r="E639" s="2"/>
      <c r="F639" s="2"/>
      <c r="G639" s="2"/>
      <c r="H639" s="2"/>
      <c r="I639" s="2"/>
    </row>
    <row r="640" spans="1:9" x14ac:dyDescent="0.2">
      <c r="A640" s="2"/>
      <c r="B640" s="2"/>
      <c r="C640" s="2"/>
      <c r="D640" s="2"/>
      <c r="E640" s="2"/>
      <c r="F640" s="2"/>
      <c r="G640" s="2"/>
      <c r="H640" s="2"/>
      <c r="I640" s="2"/>
    </row>
    <row r="641" spans="1:9" x14ac:dyDescent="0.2">
      <c r="A641" s="2"/>
      <c r="B641" s="2"/>
      <c r="C641" s="2"/>
      <c r="D641" s="2"/>
      <c r="E641" s="2"/>
      <c r="F641" s="2"/>
      <c r="G641" s="2"/>
      <c r="H641" s="2"/>
      <c r="I641" s="2"/>
    </row>
    <row r="642" spans="1:9" x14ac:dyDescent="0.2">
      <c r="A642" s="2"/>
      <c r="B642" s="2"/>
      <c r="C642" s="2"/>
      <c r="D642" s="2"/>
      <c r="E642" s="2"/>
      <c r="F642" s="2"/>
      <c r="G642" s="2"/>
      <c r="H642" s="2"/>
      <c r="I642" s="2"/>
    </row>
    <row r="643" spans="1:9" x14ac:dyDescent="0.2">
      <c r="A643" s="2"/>
      <c r="B643" s="2"/>
      <c r="C643" s="2"/>
      <c r="D643" s="2"/>
      <c r="E643" s="2"/>
      <c r="F643" s="2"/>
      <c r="G643" s="2"/>
      <c r="H643" s="2"/>
      <c r="I643" s="2"/>
    </row>
    <row r="644" spans="1:9" x14ac:dyDescent="0.2">
      <c r="A644" s="2"/>
      <c r="B644" s="2"/>
      <c r="C644" s="2"/>
      <c r="D644" s="2"/>
      <c r="E644" s="2"/>
      <c r="F644" s="2"/>
      <c r="G644" s="2"/>
      <c r="H644" s="2"/>
      <c r="I644" s="2"/>
    </row>
    <row r="645" spans="1:9" x14ac:dyDescent="0.2">
      <c r="A645" s="2"/>
      <c r="B645" s="2"/>
      <c r="C645" s="2"/>
      <c r="D645" s="2"/>
      <c r="E645" s="2"/>
      <c r="F645" s="2"/>
      <c r="G645" s="2"/>
      <c r="H645" s="2"/>
      <c r="I645" s="2"/>
    </row>
    <row r="646" spans="1:9" x14ac:dyDescent="0.2">
      <c r="A646" s="2"/>
      <c r="B646" s="2"/>
      <c r="C646" s="2"/>
      <c r="D646" s="2"/>
      <c r="E646" s="2"/>
      <c r="F646" s="2"/>
      <c r="G646" s="2"/>
      <c r="H646" s="2"/>
      <c r="I646" s="2"/>
    </row>
    <row r="647" spans="1:9" x14ac:dyDescent="0.2">
      <c r="A647" s="2"/>
      <c r="B647" s="2"/>
      <c r="C647" s="2"/>
      <c r="D647" s="2"/>
      <c r="E647" s="2"/>
      <c r="F647" s="2"/>
      <c r="G647" s="2"/>
      <c r="H647" s="2"/>
      <c r="I647" s="2"/>
    </row>
    <row r="648" spans="1:9" x14ac:dyDescent="0.2">
      <c r="A648" s="2"/>
      <c r="B648" s="2"/>
      <c r="C648" s="2"/>
      <c r="D648" s="2"/>
      <c r="E648" s="2"/>
      <c r="F648" s="2"/>
      <c r="G648" s="2"/>
      <c r="H648" s="2"/>
      <c r="I648" s="2"/>
    </row>
    <row r="649" spans="1:9" x14ac:dyDescent="0.2">
      <c r="A649" s="2"/>
      <c r="B649" s="2"/>
      <c r="C649" s="2"/>
      <c r="D649" s="2"/>
      <c r="E649" s="2"/>
      <c r="F649" s="2"/>
      <c r="G649" s="2"/>
      <c r="H649" s="2"/>
      <c r="I649" s="2"/>
    </row>
    <row r="650" spans="1:9" x14ac:dyDescent="0.2">
      <c r="A650" s="2"/>
      <c r="B650" s="2"/>
      <c r="C650" s="2"/>
      <c r="D650" s="2"/>
      <c r="E650" s="2"/>
      <c r="F650" s="2"/>
      <c r="G650" s="2"/>
      <c r="H650" s="2"/>
      <c r="I650" s="2"/>
    </row>
    <row r="651" spans="1:9" x14ac:dyDescent="0.2">
      <c r="A651" s="2"/>
      <c r="B651" s="2"/>
      <c r="C651" s="2"/>
      <c r="D651" s="2"/>
      <c r="E651" s="2"/>
      <c r="F651" s="2"/>
      <c r="G651" s="2"/>
      <c r="H651" s="2"/>
      <c r="I651" s="2"/>
    </row>
    <row r="652" spans="1:9" x14ac:dyDescent="0.2">
      <c r="A652" s="2"/>
      <c r="B652" s="2"/>
      <c r="C652" s="2"/>
      <c r="D652" s="2"/>
      <c r="E652" s="2"/>
      <c r="F652" s="2"/>
      <c r="G652" s="2"/>
      <c r="H652" s="2"/>
      <c r="I652" s="2"/>
    </row>
    <row r="653" spans="1:9" x14ac:dyDescent="0.2">
      <c r="A653" s="2"/>
      <c r="B653" s="2"/>
      <c r="C653" s="2"/>
      <c r="D653" s="2"/>
      <c r="E653" s="2"/>
      <c r="F653" s="2"/>
      <c r="G653" s="2"/>
      <c r="H653" s="2"/>
      <c r="I653" s="2"/>
    </row>
    <row r="654" spans="1:9" x14ac:dyDescent="0.2">
      <c r="A654" s="2"/>
      <c r="B654" s="2"/>
      <c r="C654" s="2"/>
      <c r="D654" s="2"/>
      <c r="E654" s="2"/>
      <c r="F654" s="2"/>
      <c r="G654" s="2"/>
      <c r="H654" s="2"/>
      <c r="I654" s="2"/>
    </row>
    <row r="655" spans="1:9" x14ac:dyDescent="0.2">
      <c r="A655" s="2"/>
      <c r="B655" s="2"/>
      <c r="C655" s="2"/>
      <c r="D655" s="2"/>
      <c r="E655" s="2"/>
      <c r="F655" s="2"/>
      <c r="G655" s="2"/>
      <c r="H655" s="2"/>
      <c r="I655" s="2"/>
    </row>
    <row r="656" spans="1:9" x14ac:dyDescent="0.2">
      <c r="A656" s="2"/>
      <c r="B656" s="2"/>
      <c r="C656" s="2"/>
      <c r="D656" s="2"/>
      <c r="E656" s="2"/>
      <c r="F656" s="2"/>
      <c r="G656" s="2"/>
      <c r="H656" s="2"/>
      <c r="I656" s="2"/>
    </row>
    <row r="657" spans="1:9" x14ac:dyDescent="0.2">
      <c r="A657" s="2"/>
      <c r="B657" s="2"/>
      <c r="C657" s="2"/>
      <c r="D657" s="2"/>
      <c r="E657" s="2"/>
      <c r="F657" s="2"/>
      <c r="G657" s="2"/>
      <c r="H657" s="2"/>
      <c r="I657" s="2"/>
    </row>
    <row r="658" spans="1:9" x14ac:dyDescent="0.2">
      <c r="A658" s="2"/>
      <c r="B658" s="2"/>
      <c r="C658" s="2"/>
      <c r="D658" s="2"/>
      <c r="E658" s="2"/>
      <c r="F658" s="2"/>
      <c r="G658" s="2"/>
      <c r="H658" s="2"/>
      <c r="I658" s="2"/>
    </row>
    <row r="659" spans="1:9" x14ac:dyDescent="0.2">
      <c r="A659" s="2"/>
      <c r="B659" s="2"/>
      <c r="C659" s="2"/>
      <c r="D659" s="2"/>
      <c r="E659" s="2"/>
      <c r="F659" s="2"/>
      <c r="G659" s="2"/>
      <c r="H659" s="2"/>
      <c r="I659" s="2"/>
    </row>
    <row r="660" spans="1:9" x14ac:dyDescent="0.2">
      <c r="A660" s="2"/>
      <c r="B660" s="2"/>
      <c r="C660" s="2"/>
      <c r="D660" s="2"/>
      <c r="E660" s="2"/>
      <c r="F660" s="2"/>
      <c r="G660" s="2"/>
      <c r="H660" s="2"/>
      <c r="I660" s="2"/>
    </row>
    <row r="661" spans="1:9" x14ac:dyDescent="0.2">
      <c r="A661" s="2"/>
      <c r="B661" s="2"/>
      <c r="C661" s="2"/>
      <c r="D661" s="2"/>
      <c r="E661" s="2"/>
      <c r="F661" s="2"/>
      <c r="G661" s="2"/>
      <c r="H661" s="2"/>
      <c r="I661" s="2"/>
    </row>
    <row r="662" spans="1:9" x14ac:dyDescent="0.2">
      <c r="A662" s="2"/>
      <c r="B662" s="2"/>
      <c r="C662" s="2"/>
      <c r="D662" s="2"/>
      <c r="E662" s="2"/>
      <c r="F662" s="2"/>
      <c r="G662" s="2"/>
      <c r="H662" s="2"/>
      <c r="I662" s="2"/>
    </row>
    <row r="663" spans="1:9" x14ac:dyDescent="0.2">
      <c r="A663" s="2"/>
      <c r="B663" s="2"/>
      <c r="C663" s="2"/>
      <c r="D663" s="2"/>
      <c r="E663" s="2"/>
      <c r="F663" s="2"/>
      <c r="G663" s="2"/>
      <c r="H663" s="2"/>
      <c r="I663" s="2"/>
    </row>
    <row r="664" spans="1:9" x14ac:dyDescent="0.2">
      <c r="A664" s="2"/>
      <c r="B664" s="2"/>
      <c r="C664" s="2"/>
      <c r="D664" s="2"/>
      <c r="E664" s="2"/>
      <c r="F664" s="2"/>
      <c r="G664" s="2"/>
      <c r="H664" s="2"/>
      <c r="I664" s="2"/>
    </row>
    <row r="665" spans="1:9" x14ac:dyDescent="0.2">
      <c r="A665" s="2"/>
      <c r="B665" s="2"/>
      <c r="C665" s="2"/>
      <c r="D665" s="2"/>
      <c r="E665" s="2"/>
      <c r="F665" s="2"/>
      <c r="G665" s="2"/>
      <c r="H665" s="2"/>
      <c r="I665" s="2"/>
    </row>
    <row r="666" spans="1:9" x14ac:dyDescent="0.2">
      <c r="A666" s="2"/>
      <c r="B666" s="2"/>
      <c r="C666" s="2"/>
      <c r="D666" s="2"/>
      <c r="E666" s="2"/>
      <c r="F666" s="2"/>
      <c r="G666" s="2"/>
      <c r="H666" s="2"/>
      <c r="I666" s="2"/>
    </row>
    <row r="667" spans="1:9" x14ac:dyDescent="0.2">
      <c r="A667" s="2"/>
      <c r="B667" s="2"/>
      <c r="C667" s="2"/>
      <c r="D667" s="2"/>
      <c r="E667" s="2"/>
      <c r="F667" s="2"/>
      <c r="G667" s="2"/>
      <c r="H667" s="2"/>
      <c r="I667" s="2"/>
    </row>
    <row r="668" spans="1:9" x14ac:dyDescent="0.2">
      <c r="A668" s="2"/>
      <c r="B668" s="2"/>
      <c r="C668" s="2"/>
      <c r="D668" s="2"/>
      <c r="E668" s="2"/>
      <c r="F668" s="2"/>
      <c r="G668" s="2"/>
      <c r="H668" s="2"/>
      <c r="I668" s="2"/>
    </row>
    <row r="669" spans="1:9" x14ac:dyDescent="0.2">
      <c r="A669" s="2"/>
      <c r="B669" s="2"/>
      <c r="C669" s="2"/>
      <c r="D669" s="2"/>
      <c r="E669" s="2"/>
      <c r="F669" s="2"/>
      <c r="G669" s="2"/>
      <c r="H669" s="2"/>
      <c r="I669" s="2"/>
    </row>
    <row r="670" spans="1:9" x14ac:dyDescent="0.2">
      <c r="A670" s="2"/>
      <c r="B670" s="2"/>
      <c r="C670" s="2"/>
      <c r="D670" s="2"/>
      <c r="E670" s="2"/>
      <c r="F670" s="2"/>
      <c r="G670" s="2"/>
      <c r="H670" s="2"/>
      <c r="I670" s="2"/>
    </row>
    <row r="671" spans="1:9" x14ac:dyDescent="0.2">
      <c r="A671" s="2"/>
      <c r="B671" s="2"/>
      <c r="C671" s="2"/>
      <c r="D671" s="2"/>
      <c r="E671" s="2"/>
      <c r="F671" s="2"/>
      <c r="G671" s="2"/>
      <c r="H671" s="2"/>
      <c r="I671" s="2"/>
    </row>
    <row r="672" spans="1:9" x14ac:dyDescent="0.2">
      <c r="A672" s="2"/>
      <c r="B672" s="2"/>
      <c r="C672" s="2"/>
      <c r="D672" s="2"/>
      <c r="E672" s="2"/>
      <c r="F672" s="2"/>
      <c r="G672" s="2"/>
      <c r="H672" s="2"/>
      <c r="I672" s="2"/>
    </row>
    <row r="673" spans="1:9" x14ac:dyDescent="0.2">
      <c r="A673" s="2"/>
      <c r="B673" s="2"/>
      <c r="C673" s="2"/>
      <c r="D673" s="2"/>
      <c r="E673" s="2"/>
      <c r="F673" s="2"/>
      <c r="G673" s="2"/>
      <c r="H673" s="2"/>
      <c r="I673" s="2"/>
    </row>
    <row r="674" spans="1:9" x14ac:dyDescent="0.2">
      <c r="A674" s="2"/>
      <c r="B674" s="2"/>
      <c r="C674" s="2"/>
      <c r="D674" s="2"/>
      <c r="E674" s="2"/>
      <c r="F674" s="2"/>
      <c r="G674" s="2"/>
      <c r="H674" s="2"/>
      <c r="I674" s="2"/>
    </row>
    <row r="675" spans="1:9" x14ac:dyDescent="0.2">
      <c r="A675" s="2"/>
      <c r="B675" s="2"/>
      <c r="C675" s="2"/>
      <c r="D675" s="2"/>
      <c r="E675" s="2"/>
      <c r="F675" s="2"/>
      <c r="G675" s="2"/>
      <c r="H675" s="2"/>
      <c r="I675" s="2"/>
    </row>
    <row r="676" spans="1:9" x14ac:dyDescent="0.2">
      <c r="A676" s="2"/>
      <c r="B676" s="2"/>
      <c r="C676" s="2"/>
      <c r="D676" s="2"/>
      <c r="E676" s="2"/>
      <c r="F676" s="2"/>
      <c r="G676" s="2"/>
      <c r="H676" s="2"/>
      <c r="I676" s="2"/>
    </row>
    <row r="677" spans="1:9" x14ac:dyDescent="0.2">
      <c r="A677" s="2"/>
      <c r="B677" s="2"/>
      <c r="C677" s="2"/>
      <c r="D677" s="2"/>
      <c r="E677" s="2"/>
      <c r="F677" s="2"/>
      <c r="G677" s="2"/>
      <c r="H677" s="2"/>
      <c r="I677" s="2"/>
    </row>
    <row r="678" spans="1:9" x14ac:dyDescent="0.2">
      <c r="A678" s="2"/>
      <c r="B678" s="2"/>
      <c r="C678" s="2"/>
      <c r="D678" s="2"/>
      <c r="E678" s="2"/>
      <c r="F678" s="2"/>
      <c r="G678" s="2"/>
      <c r="H678" s="2"/>
      <c r="I678" s="2"/>
    </row>
    <row r="679" spans="1:9" x14ac:dyDescent="0.2">
      <c r="A679" s="2"/>
      <c r="B679" s="2"/>
      <c r="C679" s="2"/>
      <c r="D679" s="2"/>
      <c r="E679" s="2"/>
      <c r="F679" s="2"/>
      <c r="G679" s="2"/>
      <c r="H679" s="2"/>
      <c r="I679" s="2"/>
    </row>
    <row r="680" spans="1:9" x14ac:dyDescent="0.2">
      <c r="A680" s="2"/>
      <c r="B680" s="2"/>
      <c r="C680" s="2"/>
      <c r="D680" s="2"/>
      <c r="E680" s="2"/>
      <c r="F680" s="2"/>
      <c r="G680" s="2"/>
      <c r="H680" s="2"/>
      <c r="I680" s="2"/>
    </row>
    <row r="681" spans="1:9" x14ac:dyDescent="0.2">
      <c r="A681" s="2"/>
      <c r="B681" s="2"/>
      <c r="C681" s="2"/>
      <c r="D681" s="2"/>
      <c r="E681" s="2"/>
      <c r="F681" s="2"/>
      <c r="G681" s="2"/>
      <c r="H681" s="2"/>
      <c r="I681" s="2"/>
    </row>
    <row r="682" spans="1:9" x14ac:dyDescent="0.2">
      <c r="A682" s="2"/>
      <c r="B682" s="2"/>
      <c r="C682" s="2"/>
      <c r="D682" s="2"/>
      <c r="E682" s="2"/>
      <c r="F682" s="2"/>
      <c r="G682" s="2"/>
      <c r="H682" s="2"/>
      <c r="I682" s="2"/>
    </row>
    <row r="683" spans="1:9" x14ac:dyDescent="0.2">
      <c r="A683" s="2"/>
      <c r="B683" s="2"/>
      <c r="C683" s="2"/>
      <c r="D683" s="2"/>
      <c r="E683" s="2"/>
      <c r="F683" s="2"/>
      <c r="G683" s="2"/>
      <c r="H683" s="2"/>
      <c r="I683" s="2"/>
    </row>
    <row r="684" spans="1:9" x14ac:dyDescent="0.2">
      <c r="A684" s="2"/>
      <c r="B684" s="2"/>
      <c r="C684" s="2"/>
      <c r="D684" s="2"/>
      <c r="E684" s="2"/>
      <c r="F684" s="2"/>
      <c r="G684" s="2"/>
      <c r="H684" s="2"/>
      <c r="I684" s="2"/>
    </row>
    <row r="685" spans="1:9" x14ac:dyDescent="0.2">
      <c r="A685" s="2"/>
      <c r="B685" s="2"/>
      <c r="C685" s="2"/>
      <c r="D685" s="2"/>
      <c r="E685" s="2"/>
      <c r="F685" s="2"/>
      <c r="G685" s="2"/>
      <c r="H685" s="2"/>
      <c r="I685" s="2"/>
    </row>
    <row r="686" spans="1:9" x14ac:dyDescent="0.2">
      <c r="A686" s="2"/>
      <c r="B686" s="2"/>
      <c r="C686" s="2"/>
      <c r="D686" s="2"/>
      <c r="E686" s="2"/>
      <c r="F686" s="2"/>
      <c r="G686" s="2"/>
      <c r="H686" s="2"/>
      <c r="I686" s="2"/>
    </row>
    <row r="687" spans="1:9" x14ac:dyDescent="0.2">
      <c r="A687" s="2"/>
      <c r="B687" s="2"/>
      <c r="C687" s="2"/>
      <c r="D687" s="2"/>
      <c r="E687" s="2"/>
      <c r="F687" s="2"/>
      <c r="G687" s="2"/>
      <c r="H687" s="2"/>
      <c r="I687" s="2"/>
    </row>
    <row r="688" spans="1:9" x14ac:dyDescent="0.2">
      <c r="A688" s="2"/>
      <c r="B688" s="2"/>
      <c r="C688" s="2"/>
      <c r="D688" s="2"/>
      <c r="E688" s="2"/>
      <c r="F688" s="2"/>
      <c r="G688" s="2"/>
      <c r="H688" s="2"/>
      <c r="I688" s="2"/>
    </row>
    <row r="689" spans="1:9" x14ac:dyDescent="0.2">
      <c r="A689" s="2"/>
      <c r="B689" s="2"/>
      <c r="C689" s="2"/>
      <c r="D689" s="2"/>
      <c r="E689" s="2"/>
      <c r="F689" s="2"/>
      <c r="G689" s="2"/>
      <c r="H689" s="2"/>
      <c r="I689" s="2"/>
    </row>
    <row r="690" spans="1:9" x14ac:dyDescent="0.2">
      <c r="A690" s="2"/>
      <c r="B690" s="2"/>
      <c r="C690" s="2"/>
      <c r="D690" s="2"/>
      <c r="E690" s="2"/>
      <c r="F690" s="2"/>
      <c r="G690" s="2"/>
      <c r="H690" s="2"/>
      <c r="I690" s="2"/>
    </row>
    <row r="691" spans="1:9" x14ac:dyDescent="0.2">
      <c r="A691" s="2"/>
      <c r="B691" s="2"/>
      <c r="C691" s="2"/>
      <c r="D691" s="2"/>
      <c r="E691" s="2"/>
      <c r="F691" s="2"/>
      <c r="G691" s="2"/>
      <c r="H691" s="2"/>
      <c r="I691" s="2"/>
    </row>
    <row r="692" spans="1:9" x14ac:dyDescent="0.2">
      <c r="A692" s="2"/>
      <c r="B692" s="2"/>
      <c r="C692" s="2"/>
      <c r="D692" s="2"/>
      <c r="E692" s="2"/>
      <c r="F692" s="2"/>
      <c r="G692" s="2"/>
      <c r="H692" s="2"/>
      <c r="I692" s="2"/>
    </row>
    <row r="693" spans="1:9" x14ac:dyDescent="0.2">
      <c r="A693" s="2"/>
      <c r="B693" s="2"/>
      <c r="C693" s="2"/>
      <c r="D693" s="2"/>
      <c r="E693" s="2"/>
      <c r="F693" s="2"/>
      <c r="G693" s="2"/>
      <c r="H693" s="2"/>
      <c r="I693" s="2"/>
    </row>
    <row r="694" spans="1:9" x14ac:dyDescent="0.2">
      <c r="A694" s="2"/>
      <c r="B694" s="2"/>
      <c r="C694" s="2"/>
      <c r="D694" s="2"/>
      <c r="E694" s="2"/>
      <c r="F694" s="2"/>
      <c r="G694" s="2"/>
      <c r="H694" s="2"/>
      <c r="I694" s="2"/>
    </row>
    <row r="695" spans="1:9" x14ac:dyDescent="0.2">
      <c r="A695" s="2"/>
      <c r="B695" s="2"/>
      <c r="C695" s="2"/>
      <c r="D695" s="2"/>
      <c r="E695" s="2"/>
      <c r="F695" s="2"/>
      <c r="G695" s="2"/>
      <c r="H695" s="2"/>
      <c r="I695" s="2"/>
    </row>
    <row r="696" spans="1:9" x14ac:dyDescent="0.2">
      <c r="A696" s="2"/>
      <c r="B696" s="2"/>
      <c r="C696" s="2"/>
      <c r="D696" s="2"/>
      <c r="E696" s="2"/>
      <c r="F696" s="2"/>
      <c r="G696" s="2"/>
      <c r="H696" s="2"/>
      <c r="I696" s="2"/>
    </row>
    <row r="697" spans="1:9" x14ac:dyDescent="0.2">
      <c r="A697" s="2"/>
      <c r="B697" s="2"/>
      <c r="C697" s="2"/>
      <c r="D697" s="2"/>
      <c r="E697" s="2"/>
      <c r="F697" s="2"/>
      <c r="G697" s="2"/>
      <c r="H697" s="2"/>
      <c r="I697" s="2"/>
    </row>
    <row r="698" spans="1:9" x14ac:dyDescent="0.2">
      <c r="A698" s="2"/>
      <c r="B698" s="2"/>
      <c r="C698" s="2"/>
      <c r="D698" s="2"/>
      <c r="E698" s="2"/>
      <c r="F698" s="2"/>
      <c r="G698" s="2"/>
      <c r="H698" s="2"/>
      <c r="I698" s="2"/>
    </row>
    <row r="699" spans="1:9" x14ac:dyDescent="0.2">
      <c r="A699" s="2"/>
      <c r="B699" s="2"/>
      <c r="C699" s="2"/>
      <c r="D699" s="2"/>
      <c r="E699" s="2"/>
      <c r="F699" s="2"/>
      <c r="G699" s="2"/>
      <c r="H699" s="2"/>
      <c r="I699" s="2"/>
    </row>
    <row r="700" spans="1:9" x14ac:dyDescent="0.2">
      <c r="A700" s="2"/>
      <c r="B700" s="2"/>
      <c r="C700" s="2"/>
      <c r="D700" s="2"/>
      <c r="E700" s="2"/>
      <c r="F700" s="2"/>
      <c r="G700" s="2"/>
      <c r="H700" s="2"/>
      <c r="I700" s="2"/>
    </row>
    <row r="701" spans="1:9" x14ac:dyDescent="0.2">
      <c r="A701" s="2"/>
      <c r="B701" s="2"/>
      <c r="C701" s="2"/>
      <c r="D701" s="2"/>
      <c r="E701" s="2"/>
      <c r="F701" s="2"/>
      <c r="G701" s="2"/>
      <c r="H701" s="2"/>
      <c r="I701" s="2"/>
    </row>
    <row r="702" spans="1:9" x14ac:dyDescent="0.2">
      <c r="A702" s="2"/>
      <c r="B702" s="2"/>
      <c r="C702" s="2"/>
      <c r="D702" s="2"/>
      <c r="E702" s="2"/>
      <c r="F702" s="2"/>
      <c r="G702" s="2"/>
      <c r="H702" s="2"/>
      <c r="I702" s="2"/>
    </row>
    <row r="703" spans="1:9" x14ac:dyDescent="0.2">
      <c r="A703" s="2"/>
      <c r="B703" s="2"/>
      <c r="C703" s="2"/>
      <c r="D703" s="2"/>
      <c r="E703" s="2"/>
      <c r="F703" s="2"/>
      <c r="G703" s="2"/>
      <c r="H703" s="2"/>
      <c r="I703" s="2"/>
    </row>
    <row r="704" spans="1:9" x14ac:dyDescent="0.2">
      <c r="A704" s="2"/>
      <c r="B704" s="2"/>
      <c r="C704" s="2"/>
      <c r="D704" s="2"/>
      <c r="E704" s="2"/>
      <c r="F704" s="2"/>
      <c r="G704" s="2"/>
      <c r="H704" s="2"/>
      <c r="I704" s="2"/>
    </row>
    <row r="705" spans="1:9" x14ac:dyDescent="0.2">
      <c r="A705" s="2"/>
      <c r="B705" s="2"/>
      <c r="C705" s="2"/>
      <c r="D705" s="2"/>
      <c r="E705" s="2"/>
      <c r="F705" s="2"/>
      <c r="G705" s="2"/>
      <c r="H705" s="2"/>
      <c r="I705" s="2"/>
    </row>
    <row r="706" spans="1:9" x14ac:dyDescent="0.2">
      <c r="A706" s="2"/>
      <c r="B706" s="2"/>
      <c r="C706" s="2"/>
      <c r="D706" s="2"/>
      <c r="E706" s="2"/>
      <c r="F706" s="2"/>
      <c r="G706" s="2"/>
      <c r="H706" s="2"/>
      <c r="I706" s="2"/>
    </row>
    <row r="707" spans="1:9" x14ac:dyDescent="0.2">
      <c r="A707" s="2"/>
      <c r="B707" s="2"/>
      <c r="C707" s="2"/>
      <c r="D707" s="2"/>
      <c r="E707" s="2"/>
      <c r="F707" s="2"/>
      <c r="G707" s="2"/>
      <c r="H707" s="2"/>
      <c r="I707" s="2"/>
    </row>
    <row r="708" spans="1:9" x14ac:dyDescent="0.2">
      <c r="A708" s="2"/>
      <c r="B708" s="2"/>
      <c r="C708" s="2"/>
      <c r="D708" s="2"/>
      <c r="E708" s="2"/>
      <c r="F708" s="2"/>
      <c r="G708" s="2"/>
      <c r="H708" s="2"/>
      <c r="I708" s="2"/>
    </row>
    <row r="709" spans="1:9" x14ac:dyDescent="0.2">
      <c r="A709" s="2"/>
      <c r="B709" s="2"/>
      <c r="C709" s="2"/>
      <c r="D709" s="2"/>
      <c r="E709" s="2"/>
      <c r="F709" s="2"/>
      <c r="G709" s="2"/>
      <c r="H709" s="2"/>
      <c r="I709" s="2"/>
    </row>
    <row r="710" spans="1:9" x14ac:dyDescent="0.2">
      <c r="A710" s="2"/>
      <c r="B710" s="2"/>
      <c r="C710" s="2"/>
      <c r="D710" s="2"/>
      <c r="E710" s="2"/>
      <c r="F710" s="2"/>
      <c r="G710" s="2"/>
      <c r="H710" s="2"/>
      <c r="I710" s="2"/>
    </row>
    <row r="711" spans="1:9" x14ac:dyDescent="0.2">
      <c r="A711" s="2"/>
      <c r="B711" s="2"/>
      <c r="C711" s="2"/>
      <c r="D711" s="2"/>
      <c r="E711" s="2"/>
      <c r="F711" s="2"/>
      <c r="G711" s="2"/>
      <c r="H711" s="2"/>
      <c r="I711" s="2"/>
    </row>
    <row r="712" spans="1:9" x14ac:dyDescent="0.2">
      <c r="A712" s="2"/>
      <c r="B712" s="2"/>
      <c r="C712" s="2"/>
      <c r="D712" s="2"/>
      <c r="E712" s="2"/>
      <c r="F712" s="2"/>
      <c r="G712" s="2"/>
      <c r="H712" s="2"/>
      <c r="I712" s="2"/>
    </row>
    <row r="713" spans="1:9" x14ac:dyDescent="0.2">
      <c r="A713" s="2"/>
      <c r="B713" s="2"/>
      <c r="C713" s="2"/>
      <c r="D713" s="2"/>
      <c r="E713" s="2"/>
      <c r="F713" s="2"/>
      <c r="G713" s="2"/>
      <c r="H713" s="2"/>
      <c r="I713" s="2"/>
    </row>
    <row r="714" spans="1:9" x14ac:dyDescent="0.2">
      <c r="A714" s="2"/>
      <c r="B714" s="2"/>
      <c r="C714" s="2"/>
      <c r="D714" s="2"/>
      <c r="E714" s="2"/>
      <c r="F714" s="2"/>
      <c r="G714" s="2"/>
      <c r="H714" s="2"/>
      <c r="I714" s="2"/>
    </row>
    <row r="715" spans="1:9" x14ac:dyDescent="0.2">
      <c r="A715" s="2"/>
      <c r="B715" s="2"/>
      <c r="C715" s="2"/>
      <c r="D715" s="2"/>
      <c r="E715" s="2"/>
      <c r="F715" s="2"/>
      <c r="G715" s="2"/>
      <c r="H715" s="2"/>
      <c r="I715" s="2"/>
    </row>
    <row r="716" spans="1:9" x14ac:dyDescent="0.2">
      <c r="A716" s="2"/>
      <c r="B716" s="2"/>
      <c r="C716" s="2"/>
      <c r="D716" s="2"/>
      <c r="E716" s="2"/>
      <c r="F716" s="2"/>
      <c r="G716" s="2"/>
      <c r="H716" s="2"/>
      <c r="I716" s="2"/>
    </row>
    <row r="717" spans="1:9" x14ac:dyDescent="0.2">
      <c r="A717" s="2"/>
      <c r="B717" s="2"/>
      <c r="C717" s="2"/>
      <c r="D717" s="2"/>
      <c r="E717" s="2"/>
      <c r="F717" s="2"/>
      <c r="G717" s="2"/>
      <c r="H717" s="2"/>
      <c r="I717" s="2"/>
    </row>
    <row r="718" spans="1:9" x14ac:dyDescent="0.2">
      <c r="A718" s="2"/>
      <c r="B718" s="2"/>
      <c r="C718" s="2"/>
      <c r="D718" s="2"/>
      <c r="E718" s="2"/>
      <c r="F718" s="2"/>
      <c r="G718" s="2"/>
      <c r="H718" s="2"/>
      <c r="I718" s="2"/>
    </row>
    <row r="719" spans="1:9" x14ac:dyDescent="0.2">
      <c r="A719" s="2"/>
      <c r="B719" s="2"/>
      <c r="C719" s="2"/>
      <c r="D719" s="2"/>
      <c r="E719" s="2"/>
      <c r="F719" s="2"/>
      <c r="G719" s="2"/>
      <c r="H719" s="2"/>
      <c r="I719" s="2"/>
    </row>
    <row r="720" spans="1:9" x14ac:dyDescent="0.2">
      <c r="A720" s="2"/>
      <c r="B720" s="2"/>
      <c r="C720" s="2"/>
      <c r="D720" s="2"/>
      <c r="E720" s="2"/>
      <c r="F720" s="2"/>
      <c r="G720" s="2"/>
      <c r="H720" s="2"/>
      <c r="I720" s="2"/>
    </row>
    <row r="721" spans="1:9" x14ac:dyDescent="0.2">
      <c r="A721" s="2"/>
      <c r="B721" s="2"/>
      <c r="C721" s="2"/>
      <c r="D721" s="2"/>
      <c r="E721" s="2"/>
      <c r="F721" s="2"/>
      <c r="G721" s="2"/>
      <c r="H721" s="2"/>
      <c r="I721" s="2"/>
    </row>
    <row r="722" spans="1:9" x14ac:dyDescent="0.2">
      <c r="A722" s="2"/>
      <c r="B722" s="2"/>
      <c r="C722" s="2"/>
      <c r="D722" s="2"/>
      <c r="E722" s="2"/>
      <c r="F722" s="2"/>
      <c r="G722" s="2"/>
      <c r="H722" s="2"/>
      <c r="I722" s="2"/>
    </row>
    <row r="723" spans="1:9" x14ac:dyDescent="0.2">
      <c r="A723" s="2"/>
      <c r="B723" s="2"/>
      <c r="C723" s="2"/>
      <c r="D723" s="2"/>
      <c r="E723" s="2"/>
      <c r="F723" s="2"/>
      <c r="G723" s="2"/>
      <c r="H723" s="2"/>
      <c r="I723" s="2"/>
    </row>
    <row r="724" spans="1:9" x14ac:dyDescent="0.2">
      <c r="A724" s="2"/>
      <c r="B724" s="2"/>
      <c r="C724" s="2"/>
      <c r="D724" s="2"/>
      <c r="E724" s="2"/>
      <c r="F724" s="2"/>
      <c r="G724" s="2"/>
      <c r="H724" s="2"/>
      <c r="I724" s="2"/>
    </row>
    <row r="725" spans="1:9" x14ac:dyDescent="0.2">
      <c r="A725" s="2"/>
      <c r="B725" s="2"/>
      <c r="C725" s="2"/>
      <c r="D725" s="2"/>
      <c r="E725" s="2"/>
      <c r="F725" s="2"/>
      <c r="G725" s="2"/>
      <c r="H725" s="2"/>
      <c r="I725" s="2"/>
    </row>
    <row r="726" spans="1:9" x14ac:dyDescent="0.2">
      <c r="A726" s="2"/>
      <c r="B726" s="2"/>
      <c r="C726" s="2"/>
      <c r="D726" s="2"/>
      <c r="E726" s="2"/>
      <c r="F726" s="2"/>
      <c r="G726" s="2"/>
      <c r="H726" s="2"/>
      <c r="I726" s="2"/>
    </row>
    <row r="727" spans="1:9" x14ac:dyDescent="0.2">
      <c r="A727" s="2"/>
      <c r="B727" s="2"/>
      <c r="C727" s="2"/>
      <c r="D727" s="2"/>
      <c r="E727" s="2"/>
      <c r="F727" s="2"/>
      <c r="G727" s="2"/>
      <c r="H727" s="2"/>
      <c r="I727" s="2"/>
    </row>
    <row r="728" spans="1:9" x14ac:dyDescent="0.2">
      <c r="A728" s="2"/>
      <c r="B728" s="2"/>
      <c r="C728" s="2"/>
      <c r="D728" s="2"/>
      <c r="E728" s="2"/>
      <c r="F728" s="2"/>
      <c r="G728" s="2"/>
      <c r="H728" s="2"/>
      <c r="I728" s="2"/>
    </row>
    <row r="729" spans="1:9" x14ac:dyDescent="0.2">
      <c r="A729" s="2"/>
      <c r="B729" s="2"/>
      <c r="C729" s="2"/>
      <c r="D729" s="2"/>
      <c r="E729" s="2"/>
      <c r="F729" s="2"/>
      <c r="G729" s="2"/>
      <c r="H729" s="2"/>
      <c r="I729" s="2"/>
    </row>
    <row r="730" spans="1:9" x14ac:dyDescent="0.2">
      <c r="A730" s="2"/>
      <c r="B730" s="2"/>
      <c r="C730" s="2"/>
      <c r="D730" s="2"/>
      <c r="E730" s="2"/>
      <c r="F730" s="2"/>
      <c r="G730" s="2"/>
      <c r="H730" s="2"/>
      <c r="I730" s="2"/>
    </row>
    <row r="731" spans="1:9" x14ac:dyDescent="0.2">
      <c r="A731" s="2"/>
      <c r="B731" s="2"/>
      <c r="C731" s="2"/>
      <c r="D731" s="2"/>
      <c r="E731" s="2"/>
      <c r="F731" s="2"/>
      <c r="G731" s="2"/>
      <c r="H731" s="2"/>
      <c r="I731" s="2"/>
    </row>
    <row r="732" spans="1:9" x14ac:dyDescent="0.2">
      <c r="A732" s="2"/>
      <c r="B732" s="2"/>
      <c r="C732" s="2"/>
      <c r="D732" s="2"/>
      <c r="E732" s="2"/>
      <c r="F732" s="2"/>
      <c r="G732" s="2"/>
      <c r="H732" s="2"/>
      <c r="I732" s="2"/>
    </row>
    <row r="733" spans="1:9" x14ac:dyDescent="0.2">
      <c r="A733" s="2"/>
      <c r="B733" s="2"/>
      <c r="C733" s="2"/>
      <c r="D733" s="2"/>
      <c r="E733" s="2"/>
      <c r="F733" s="2"/>
      <c r="G733" s="2"/>
      <c r="H733" s="2"/>
      <c r="I733" s="2"/>
    </row>
    <row r="734" spans="1:9" x14ac:dyDescent="0.2">
      <c r="A734" s="2"/>
      <c r="B734" s="2"/>
      <c r="C734" s="2"/>
      <c r="D734" s="2"/>
      <c r="E734" s="2"/>
      <c r="F734" s="2"/>
      <c r="G734" s="2"/>
      <c r="H734" s="2"/>
      <c r="I734" s="2"/>
    </row>
    <row r="735" spans="1:9" x14ac:dyDescent="0.2">
      <c r="A735" s="2"/>
      <c r="B735" s="2"/>
      <c r="C735" s="2"/>
      <c r="D735" s="2"/>
      <c r="E735" s="2"/>
      <c r="F735" s="2"/>
      <c r="G735" s="2"/>
      <c r="H735" s="2"/>
      <c r="I735" s="2"/>
    </row>
    <row r="736" spans="1:9" x14ac:dyDescent="0.2">
      <c r="A736" s="2"/>
      <c r="B736" s="2"/>
      <c r="C736" s="2"/>
      <c r="D736" s="2"/>
      <c r="E736" s="2"/>
      <c r="F736" s="2"/>
      <c r="G736" s="2"/>
      <c r="H736" s="2"/>
      <c r="I736" s="2"/>
    </row>
    <row r="737" spans="1:9" x14ac:dyDescent="0.2">
      <c r="A737" s="2"/>
      <c r="B737" s="2"/>
      <c r="C737" s="2"/>
      <c r="D737" s="2"/>
      <c r="E737" s="2"/>
      <c r="F737" s="2"/>
      <c r="G737" s="2"/>
      <c r="H737" s="2"/>
      <c r="I737" s="2"/>
    </row>
    <row r="738" spans="1:9" x14ac:dyDescent="0.2">
      <c r="A738" s="2"/>
      <c r="B738" s="2"/>
      <c r="C738" s="2"/>
      <c r="D738" s="2"/>
      <c r="E738" s="2"/>
      <c r="F738" s="2"/>
      <c r="G738" s="2"/>
      <c r="H738" s="2"/>
      <c r="I738" s="2"/>
    </row>
    <row r="739" spans="1:9" x14ac:dyDescent="0.2">
      <c r="A739" s="2"/>
      <c r="B739" s="2"/>
      <c r="C739" s="2"/>
      <c r="D739" s="2"/>
      <c r="E739" s="2"/>
      <c r="F739" s="2"/>
      <c r="G739" s="2"/>
      <c r="H739" s="2"/>
      <c r="I739" s="2"/>
    </row>
    <row r="740" spans="1:9" x14ac:dyDescent="0.2">
      <c r="A740" s="2"/>
      <c r="B740" s="2"/>
      <c r="C740" s="2"/>
      <c r="D740" s="2"/>
      <c r="E740" s="2"/>
      <c r="F740" s="2"/>
      <c r="G740" s="2"/>
      <c r="H740" s="2"/>
      <c r="I740" s="2"/>
    </row>
    <row r="741" spans="1:9" x14ac:dyDescent="0.2">
      <c r="A741" s="2"/>
      <c r="B741" s="2"/>
      <c r="C741" s="2"/>
      <c r="D741" s="2"/>
      <c r="E741" s="2"/>
      <c r="F741" s="2"/>
      <c r="G741" s="2"/>
      <c r="H741" s="2"/>
      <c r="I741" s="2"/>
    </row>
    <row r="742" spans="1:9" x14ac:dyDescent="0.2">
      <c r="A742" s="2"/>
      <c r="B742" s="2"/>
      <c r="C742" s="2"/>
      <c r="D742" s="2"/>
      <c r="E742" s="2"/>
      <c r="F742" s="2"/>
      <c r="G742" s="2"/>
      <c r="H742" s="2"/>
      <c r="I742" s="2"/>
    </row>
    <row r="743" spans="1:9" x14ac:dyDescent="0.2">
      <c r="A743" s="2"/>
      <c r="B743" s="2"/>
      <c r="C743" s="2"/>
      <c r="D743" s="2"/>
      <c r="E743" s="2"/>
      <c r="F743" s="2"/>
      <c r="G743" s="2"/>
      <c r="H743" s="2"/>
      <c r="I743" s="2"/>
    </row>
    <row r="744" spans="1:9" x14ac:dyDescent="0.2">
      <c r="A744" s="2"/>
      <c r="B744" s="2"/>
      <c r="C744" s="2"/>
      <c r="D744" s="2"/>
      <c r="E744" s="2"/>
      <c r="F744" s="2"/>
      <c r="G744" s="2"/>
      <c r="H744" s="2"/>
      <c r="I744" s="2"/>
    </row>
    <row r="745" spans="1:9" x14ac:dyDescent="0.2">
      <c r="A745" s="2"/>
      <c r="B745" s="2"/>
      <c r="C745" s="2"/>
      <c r="D745" s="2"/>
      <c r="E745" s="2"/>
      <c r="F745" s="2"/>
      <c r="G745" s="2"/>
      <c r="H745" s="2"/>
      <c r="I745" s="2"/>
    </row>
    <row r="746" spans="1:9" x14ac:dyDescent="0.2">
      <c r="A746" s="2"/>
      <c r="B746" s="2"/>
      <c r="C746" s="2"/>
      <c r="D746" s="2"/>
      <c r="E746" s="2"/>
      <c r="F746" s="2"/>
      <c r="G746" s="2"/>
      <c r="H746" s="2"/>
      <c r="I746" s="2"/>
    </row>
    <row r="747" spans="1:9" x14ac:dyDescent="0.2">
      <c r="A747" s="2"/>
      <c r="B747" s="2"/>
      <c r="C747" s="2"/>
      <c r="D747" s="2"/>
      <c r="E747" s="2"/>
      <c r="F747" s="2"/>
      <c r="G747" s="2"/>
      <c r="H747" s="2"/>
      <c r="I747" s="2"/>
    </row>
    <row r="748" spans="1:9" x14ac:dyDescent="0.2">
      <c r="A748" s="2"/>
      <c r="B748" s="2"/>
      <c r="C748" s="2"/>
      <c r="D748" s="2"/>
      <c r="E748" s="2"/>
      <c r="F748" s="2"/>
      <c r="G748" s="2"/>
      <c r="H748" s="2"/>
      <c r="I748" s="2"/>
    </row>
    <row r="749" spans="1:9" x14ac:dyDescent="0.2">
      <c r="A749" s="2"/>
      <c r="B749" s="2"/>
      <c r="C749" s="2"/>
      <c r="D749" s="2"/>
      <c r="E749" s="2"/>
      <c r="F749" s="2"/>
      <c r="G749" s="2"/>
      <c r="H749" s="2"/>
      <c r="I749" s="2"/>
    </row>
    <row r="750" spans="1:9" x14ac:dyDescent="0.2">
      <c r="A750" s="2"/>
      <c r="B750" s="2"/>
      <c r="C750" s="2"/>
      <c r="D750" s="2"/>
      <c r="E750" s="2"/>
      <c r="F750" s="2"/>
      <c r="G750" s="2"/>
      <c r="H750" s="2"/>
      <c r="I750" s="2"/>
    </row>
    <row r="751" spans="1:9" x14ac:dyDescent="0.2">
      <c r="A751" s="2"/>
      <c r="B751" s="2"/>
      <c r="C751" s="2"/>
      <c r="D751" s="2"/>
      <c r="E751" s="2"/>
      <c r="F751" s="2"/>
      <c r="G751" s="2"/>
      <c r="H751" s="2"/>
      <c r="I751" s="2"/>
    </row>
    <row r="752" spans="1:9" x14ac:dyDescent="0.2">
      <c r="A752" s="2"/>
      <c r="B752" s="2"/>
      <c r="C752" s="2"/>
      <c r="D752" s="2"/>
      <c r="E752" s="2"/>
      <c r="F752" s="2"/>
      <c r="G752" s="2"/>
      <c r="H752" s="2"/>
      <c r="I752" s="2"/>
    </row>
    <row r="753" spans="1:9" x14ac:dyDescent="0.2">
      <c r="A753" s="2"/>
      <c r="B753" s="2"/>
      <c r="C753" s="2"/>
      <c r="D753" s="2"/>
      <c r="E753" s="2"/>
      <c r="F753" s="2"/>
      <c r="G753" s="2"/>
      <c r="H753" s="2"/>
      <c r="I753" s="2"/>
    </row>
    <row r="754" spans="1:9" x14ac:dyDescent="0.2">
      <c r="A754" s="2"/>
      <c r="B754" s="2"/>
      <c r="C754" s="2"/>
      <c r="D754" s="2"/>
      <c r="E754" s="2"/>
      <c r="F754" s="2"/>
      <c r="G754" s="2"/>
      <c r="H754" s="2"/>
      <c r="I754" s="2"/>
    </row>
    <row r="755" spans="1:9" x14ac:dyDescent="0.2">
      <c r="A755" s="2"/>
      <c r="B755" s="2"/>
      <c r="C755" s="2"/>
      <c r="D755" s="2"/>
      <c r="E755" s="2"/>
      <c r="F755" s="2"/>
      <c r="G755" s="2"/>
      <c r="H755" s="2"/>
      <c r="I755" s="2"/>
    </row>
    <row r="756" spans="1:9" x14ac:dyDescent="0.2">
      <c r="A756" s="2"/>
      <c r="B756" s="2"/>
      <c r="C756" s="2"/>
      <c r="D756" s="2"/>
      <c r="E756" s="2"/>
      <c r="F756" s="2"/>
      <c r="G756" s="2"/>
      <c r="H756" s="2"/>
      <c r="I756" s="2"/>
    </row>
    <row r="757" spans="1:9" x14ac:dyDescent="0.2">
      <c r="A757" s="2"/>
      <c r="B757" s="2"/>
      <c r="C757" s="2"/>
      <c r="D757" s="2"/>
      <c r="E757" s="2"/>
      <c r="F757" s="2"/>
      <c r="G757" s="2"/>
      <c r="H757" s="2"/>
      <c r="I757" s="2"/>
    </row>
    <row r="758" spans="1:9" x14ac:dyDescent="0.2">
      <c r="A758" s="2"/>
      <c r="B758" s="2"/>
      <c r="C758" s="2"/>
      <c r="D758" s="2"/>
      <c r="E758" s="2"/>
      <c r="F758" s="2"/>
      <c r="G758" s="2"/>
      <c r="H758" s="2"/>
      <c r="I758" s="2"/>
    </row>
    <row r="759" spans="1:9" x14ac:dyDescent="0.2">
      <c r="A759" s="2"/>
      <c r="B759" s="2"/>
      <c r="C759" s="2"/>
      <c r="D759" s="2"/>
      <c r="E759" s="2"/>
      <c r="F759" s="2"/>
      <c r="G759" s="2"/>
      <c r="H759" s="2"/>
      <c r="I759" s="2"/>
    </row>
    <row r="760" spans="1:9" x14ac:dyDescent="0.2">
      <c r="A760" s="2"/>
      <c r="B760" s="2"/>
      <c r="C760" s="2"/>
      <c r="D760" s="2"/>
      <c r="E760" s="2"/>
      <c r="F760" s="2"/>
      <c r="G760" s="2"/>
      <c r="H760" s="2"/>
      <c r="I760" s="2"/>
    </row>
    <row r="761" spans="1:9" x14ac:dyDescent="0.2">
      <c r="A761" s="2"/>
      <c r="B761" s="2"/>
      <c r="C761" s="2"/>
      <c r="D761" s="2"/>
      <c r="E761" s="2"/>
      <c r="F761" s="2"/>
      <c r="G761" s="2"/>
      <c r="H761" s="2"/>
      <c r="I761" s="2"/>
    </row>
    <row r="762" spans="1:9" x14ac:dyDescent="0.2">
      <c r="A762" s="2"/>
      <c r="B762" s="2"/>
      <c r="C762" s="2"/>
      <c r="D762" s="2"/>
      <c r="E762" s="2"/>
      <c r="F762" s="2"/>
      <c r="G762" s="2"/>
      <c r="H762" s="2"/>
      <c r="I762" s="2"/>
    </row>
    <row r="763" spans="1:9" x14ac:dyDescent="0.2">
      <c r="A763" s="2"/>
      <c r="B763" s="2"/>
      <c r="C763" s="2"/>
      <c r="D763" s="2"/>
      <c r="E763" s="2"/>
      <c r="F763" s="2"/>
      <c r="G763" s="2"/>
      <c r="H763" s="2"/>
      <c r="I763" s="2"/>
    </row>
    <row r="764" spans="1:9" x14ac:dyDescent="0.2">
      <c r="A764" s="2"/>
      <c r="B764" s="2"/>
      <c r="C764" s="2"/>
      <c r="D764" s="2"/>
      <c r="E764" s="2"/>
      <c r="F764" s="2"/>
      <c r="G764" s="2"/>
      <c r="H764" s="2"/>
      <c r="I764" s="2"/>
    </row>
    <row r="765" spans="1:9" x14ac:dyDescent="0.2">
      <c r="A765" s="2"/>
      <c r="B765" s="2"/>
      <c r="C765" s="2"/>
      <c r="D765" s="2"/>
      <c r="E765" s="2"/>
      <c r="F765" s="2"/>
      <c r="G765" s="2"/>
      <c r="H765" s="2"/>
      <c r="I765" s="2"/>
    </row>
    <row r="766" spans="1:9" x14ac:dyDescent="0.2">
      <c r="A766" s="2"/>
      <c r="B766" s="2"/>
      <c r="C766" s="2"/>
      <c r="D766" s="2"/>
      <c r="E766" s="2"/>
      <c r="F766" s="2"/>
      <c r="G766" s="2"/>
      <c r="H766" s="2"/>
      <c r="I766" s="2"/>
    </row>
    <row r="767" spans="1:9" x14ac:dyDescent="0.2">
      <c r="A767" s="2"/>
      <c r="B767" s="2"/>
      <c r="C767" s="2"/>
      <c r="D767" s="2"/>
      <c r="E767" s="2"/>
      <c r="F767" s="2"/>
      <c r="G767" s="2"/>
      <c r="H767" s="2"/>
      <c r="I767" s="2"/>
    </row>
    <row r="768" spans="1:9" x14ac:dyDescent="0.2">
      <c r="A768" s="2"/>
      <c r="B768" s="2"/>
      <c r="C768" s="2"/>
      <c r="D768" s="2"/>
      <c r="E768" s="2"/>
      <c r="F768" s="2"/>
      <c r="G768" s="2"/>
      <c r="H768" s="2"/>
      <c r="I768" s="2"/>
    </row>
    <row r="769" spans="1:9" x14ac:dyDescent="0.2">
      <c r="A769" s="2"/>
      <c r="B769" s="2"/>
      <c r="C769" s="2"/>
      <c r="D769" s="2"/>
      <c r="E769" s="2"/>
      <c r="F769" s="2"/>
      <c r="G769" s="2"/>
      <c r="H769" s="2"/>
      <c r="I769" s="2"/>
    </row>
    <row r="770" spans="1:9" x14ac:dyDescent="0.2">
      <c r="A770" s="2"/>
      <c r="B770" s="2"/>
      <c r="C770" s="2"/>
      <c r="D770" s="2"/>
      <c r="E770" s="2"/>
      <c r="F770" s="2"/>
      <c r="G770" s="2"/>
      <c r="H770" s="2"/>
      <c r="I770" s="2"/>
    </row>
    <row r="771" spans="1:9" x14ac:dyDescent="0.2">
      <c r="A771" s="2"/>
      <c r="B771" s="2"/>
      <c r="C771" s="2"/>
      <c r="D771" s="2"/>
      <c r="E771" s="2"/>
      <c r="F771" s="2"/>
      <c r="G771" s="2"/>
      <c r="H771" s="2"/>
      <c r="I771" s="2"/>
    </row>
    <row r="772" spans="1:9" x14ac:dyDescent="0.2">
      <c r="A772" s="2"/>
      <c r="B772" s="2"/>
      <c r="C772" s="2"/>
      <c r="D772" s="2"/>
      <c r="E772" s="2"/>
      <c r="F772" s="2"/>
      <c r="G772" s="2"/>
      <c r="H772" s="2"/>
      <c r="I772" s="2"/>
    </row>
    <row r="773" spans="1:9" x14ac:dyDescent="0.2">
      <c r="A773" s="2"/>
      <c r="B773" s="2"/>
      <c r="C773" s="2"/>
      <c r="D773" s="2"/>
      <c r="E773" s="2"/>
      <c r="F773" s="2"/>
      <c r="G773" s="2"/>
      <c r="H773" s="2"/>
      <c r="I773" s="2"/>
    </row>
    <row r="774" spans="1:9" x14ac:dyDescent="0.2">
      <c r="A774" s="2"/>
      <c r="B774" s="2"/>
      <c r="C774" s="2"/>
      <c r="D774" s="2"/>
      <c r="E774" s="2"/>
      <c r="F774" s="2"/>
      <c r="G774" s="2"/>
      <c r="H774" s="2"/>
      <c r="I774" s="2"/>
    </row>
    <row r="775" spans="1:9" x14ac:dyDescent="0.2">
      <c r="A775" s="2"/>
      <c r="B775" s="2"/>
      <c r="C775" s="2"/>
      <c r="D775" s="2"/>
      <c r="E775" s="2"/>
      <c r="F775" s="2"/>
      <c r="G775" s="2"/>
      <c r="H775" s="2"/>
      <c r="I775" s="2"/>
    </row>
    <row r="776" spans="1:9" x14ac:dyDescent="0.2">
      <c r="A776" s="2"/>
      <c r="B776" s="2"/>
      <c r="C776" s="2"/>
      <c r="D776" s="2"/>
      <c r="E776" s="2"/>
      <c r="F776" s="2"/>
      <c r="G776" s="2"/>
      <c r="H776" s="2"/>
      <c r="I776" s="2"/>
    </row>
    <row r="777" spans="1:9" x14ac:dyDescent="0.2">
      <c r="A777" s="2"/>
      <c r="B777" s="2"/>
      <c r="C777" s="2"/>
      <c r="D777" s="2"/>
      <c r="E777" s="2"/>
      <c r="F777" s="2"/>
      <c r="G777" s="2"/>
      <c r="H777" s="2"/>
      <c r="I777" s="2"/>
    </row>
    <row r="778" spans="1:9" x14ac:dyDescent="0.2">
      <c r="A778" s="2"/>
      <c r="B778" s="2"/>
      <c r="C778" s="2"/>
      <c r="D778" s="2"/>
      <c r="E778" s="2"/>
      <c r="F778" s="2"/>
      <c r="G778" s="2"/>
      <c r="H778" s="2"/>
      <c r="I778" s="2"/>
    </row>
    <row r="779" spans="1:9" x14ac:dyDescent="0.2">
      <c r="A779" s="2"/>
      <c r="B779" s="2"/>
      <c r="C779" s="2"/>
      <c r="D779" s="2"/>
      <c r="E779" s="2"/>
      <c r="F779" s="2"/>
      <c r="G779" s="2"/>
      <c r="H779" s="2"/>
      <c r="I779" s="2"/>
    </row>
    <row r="780" spans="1:9" x14ac:dyDescent="0.2">
      <c r="A780" s="2"/>
      <c r="B780" s="2"/>
      <c r="C780" s="2"/>
      <c r="D780" s="2"/>
      <c r="E780" s="2"/>
      <c r="F780" s="2"/>
      <c r="G780" s="2"/>
      <c r="H780" s="2"/>
      <c r="I780" s="2"/>
    </row>
    <row r="781" spans="1:9" x14ac:dyDescent="0.2">
      <c r="A781" s="2"/>
      <c r="B781" s="2"/>
      <c r="C781" s="2"/>
      <c r="D781" s="2"/>
      <c r="E781" s="2"/>
      <c r="F781" s="2"/>
      <c r="G781" s="2"/>
      <c r="H781" s="2"/>
      <c r="I781" s="2"/>
    </row>
    <row r="782" spans="1:9" x14ac:dyDescent="0.2">
      <c r="A782" s="2"/>
      <c r="B782" s="2"/>
      <c r="C782" s="2"/>
      <c r="D782" s="2"/>
      <c r="E782" s="2"/>
      <c r="F782" s="2"/>
      <c r="G782" s="2"/>
      <c r="H782" s="2"/>
      <c r="I782" s="2"/>
    </row>
    <row r="783" spans="1:9" x14ac:dyDescent="0.2">
      <c r="A783" s="2"/>
      <c r="B783" s="2"/>
      <c r="C783" s="2"/>
      <c r="D783" s="2"/>
      <c r="E783" s="2"/>
      <c r="F783" s="2"/>
      <c r="G783" s="2"/>
      <c r="H783" s="2"/>
      <c r="I783" s="2"/>
    </row>
    <row r="784" spans="1:9" x14ac:dyDescent="0.2">
      <c r="A784" s="2"/>
      <c r="B784" s="2"/>
      <c r="C784" s="2"/>
      <c r="D784" s="2"/>
      <c r="E784" s="2"/>
      <c r="F784" s="2"/>
      <c r="G784" s="2"/>
      <c r="H784" s="2"/>
      <c r="I784" s="2"/>
    </row>
    <row r="785" spans="1:9" x14ac:dyDescent="0.2">
      <c r="A785" s="2"/>
      <c r="B785" s="2"/>
      <c r="C785" s="2"/>
      <c r="D785" s="2"/>
      <c r="E785" s="2"/>
      <c r="F785" s="2"/>
      <c r="G785" s="2"/>
      <c r="H785" s="2"/>
      <c r="I785" s="2"/>
    </row>
    <row r="786" spans="1:9" x14ac:dyDescent="0.2">
      <c r="A786" s="2"/>
      <c r="B786" s="2"/>
      <c r="C786" s="2"/>
      <c r="D786" s="2"/>
      <c r="E786" s="2"/>
      <c r="F786" s="2"/>
      <c r="G786" s="2"/>
      <c r="H786" s="2"/>
      <c r="I786" s="2"/>
    </row>
    <row r="787" spans="1:9" x14ac:dyDescent="0.2">
      <c r="A787" s="2"/>
      <c r="B787" s="2"/>
      <c r="C787" s="2"/>
      <c r="D787" s="2"/>
      <c r="E787" s="2"/>
      <c r="F787" s="2"/>
      <c r="G787" s="2"/>
      <c r="H787" s="2"/>
      <c r="I787" s="2"/>
    </row>
    <row r="788" spans="1:9" x14ac:dyDescent="0.2">
      <c r="A788" s="2"/>
      <c r="B788" s="2"/>
      <c r="C788" s="2"/>
      <c r="D788" s="2"/>
      <c r="E788" s="2"/>
      <c r="F788" s="2"/>
      <c r="G788" s="2"/>
      <c r="H788" s="2"/>
      <c r="I788" s="2"/>
    </row>
    <row r="789" spans="1:9" x14ac:dyDescent="0.2">
      <c r="A789" s="2"/>
      <c r="B789" s="2"/>
      <c r="C789" s="2"/>
      <c r="D789" s="2"/>
      <c r="E789" s="2"/>
      <c r="F789" s="2"/>
      <c r="G789" s="2"/>
      <c r="H789" s="2"/>
      <c r="I789" s="2"/>
    </row>
    <row r="790" spans="1:9" x14ac:dyDescent="0.2">
      <c r="A790" s="2"/>
      <c r="B790" s="2"/>
      <c r="C790" s="2"/>
      <c r="D790" s="2"/>
      <c r="E790" s="2"/>
      <c r="F790" s="2"/>
      <c r="G790" s="2"/>
      <c r="H790" s="2"/>
      <c r="I790" s="2"/>
    </row>
    <row r="791" spans="1:9" x14ac:dyDescent="0.2">
      <c r="A791" s="2"/>
      <c r="B791" s="2"/>
      <c r="C791" s="2"/>
      <c r="D791" s="2"/>
      <c r="E791" s="2"/>
      <c r="F791" s="2"/>
      <c r="G791" s="2"/>
      <c r="H791" s="2"/>
      <c r="I791" s="2"/>
    </row>
    <row r="792" spans="1:9" x14ac:dyDescent="0.2">
      <c r="A792" s="2"/>
      <c r="B792" s="2"/>
      <c r="C792" s="2"/>
      <c r="D792" s="2"/>
      <c r="E792" s="2"/>
      <c r="F792" s="2"/>
      <c r="G792" s="2"/>
      <c r="H792" s="2"/>
      <c r="I792" s="2"/>
    </row>
    <row r="793" spans="1:9" x14ac:dyDescent="0.2">
      <c r="A793" s="2"/>
      <c r="B793" s="2"/>
      <c r="C793" s="2"/>
      <c r="D793" s="2"/>
      <c r="E793" s="2"/>
      <c r="F793" s="2"/>
      <c r="G793" s="2"/>
      <c r="H793" s="2"/>
      <c r="I793" s="2"/>
    </row>
    <row r="794" spans="1:9" x14ac:dyDescent="0.2">
      <c r="A794" s="2"/>
      <c r="B794" s="2"/>
      <c r="C794" s="2"/>
      <c r="D794" s="2"/>
      <c r="E794" s="2"/>
      <c r="F794" s="2"/>
      <c r="G794" s="2"/>
      <c r="H794" s="2"/>
      <c r="I794" s="2"/>
    </row>
    <row r="795" spans="1:9" x14ac:dyDescent="0.2">
      <c r="A795" s="2"/>
      <c r="B795" s="2"/>
      <c r="C795" s="2"/>
      <c r="D795" s="2"/>
      <c r="E795" s="2"/>
      <c r="F795" s="2"/>
      <c r="G795" s="2"/>
      <c r="H795" s="2"/>
      <c r="I795" s="2"/>
    </row>
    <row r="796" spans="1:9" x14ac:dyDescent="0.2">
      <c r="A796" s="2"/>
      <c r="B796" s="2"/>
      <c r="C796" s="2"/>
      <c r="D796" s="2"/>
      <c r="E796" s="2"/>
      <c r="F796" s="2"/>
      <c r="G796" s="2"/>
      <c r="H796" s="2"/>
      <c r="I796" s="2"/>
    </row>
    <row r="797" spans="1:9" x14ac:dyDescent="0.2">
      <c r="A797" s="2"/>
      <c r="B797" s="2"/>
      <c r="C797" s="2"/>
      <c r="D797" s="2"/>
      <c r="E797" s="2"/>
      <c r="F797" s="2"/>
      <c r="G797" s="2"/>
      <c r="H797" s="2"/>
      <c r="I797" s="2"/>
    </row>
    <row r="798" spans="1:9" x14ac:dyDescent="0.2">
      <c r="A798" s="2"/>
      <c r="B798" s="2"/>
      <c r="C798" s="2"/>
      <c r="D798" s="2"/>
      <c r="E798" s="2"/>
      <c r="F798" s="2"/>
      <c r="G798" s="2"/>
      <c r="H798" s="2"/>
      <c r="I798" s="2"/>
    </row>
    <row r="799" spans="1:9" x14ac:dyDescent="0.2">
      <c r="A799" s="2"/>
      <c r="B799" s="2"/>
      <c r="C799" s="2"/>
      <c r="D799" s="2"/>
      <c r="E799" s="2"/>
      <c r="F799" s="2"/>
      <c r="G799" s="2"/>
      <c r="H799" s="2"/>
      <c r="I799" s="2"/>
    </row>
    <row r="800" spans="1:9" x14ac:dyDescent="0.2">
      <c r="A800" s="2"/>
      <c r="B800" s="2"/>
      <c r="C800" s="2"/>
      <c r="D800" s="2"/>
      <c r="E800" s="2"/>
      <c r="F800" s="2"/>
      <c r="G800" s="2"/>
      <c r="H800" s="2"/>
      <c r="I800" s="2"/>
    </row>
    <row r="801" spans="1:9" x14ac:dyDescent="0.2">
      <c r="A801" s="2"/>
      <c r="B801" s="2"/>
      <c r="C801" s="2"/>
      <c r="D801" s="2"/>
      <c r="E801" s="2"/>
      <c r="F801" s="2"/>
      <c r="G801" s="2"/>
      <c r="H801" s="2"/>
      <c r="I801" s="2"/>
    </row>
    <row r="802" spans="1:9" x14ac:dyDescent="0.2">
      <c r="A802" s="2"/>
      <c r="B802" s="2"/>
      <c r="C802" s="2"/>
      <c r="D802" s="2"/>
      <c r="E802" s="2"/>
      <c r="F802" s="2"/>
      <c r="G802" s="2"/>
      <c r="H802" s="2"/>
      <c r="I802" s="2"/>
    </row>
    <row r="803" spans="1:9" x14ac:dyDescent="0.2">
      <c r="A803" s="2"/>
      <c r="B803" s="2"/>
      <c r="C803" s="2"/>
      <c r="D803" s="2"/>
      <c r="E803" s="2"/>
      <c r="F803" s="2"/>
      <c r="G803" s="2"/>
      <c r="H803" s="2"/>
      <c r="I803" s="2"/>
    </row>
    <row r="804" spans="1:9" x14ac:dyDescent="0.2">
      <c r="A804" s="2"/>
      <c r="B804" s="2"/>
      <c r="C804" s="2"/>
      <c r="D804" s="2"/>
      <c r="E804" s="2"/>
      <c r="F804" s="2"/>
      <c r="G804" s="2"/>
      <c r="H804" s="2"/>
      <c r="I804" s="2"/>
    </row>
    <row r="805" spans="1:9" x14ac:dyDescent="0.2">
      <c r="A805" s="2"/>
      <c r="B805" s="2"/>
      <c r="C805" s="2"/>
      <c r="D805" s="2"/>
      <c r="E805" s="2"/>
      <c r="F805" s="2"/>
      <c r="G805" s="2"/>
      <c r="H805" s="2"/>
      <c r="I805" s="2"/>
    </row>
    <row r="806" spans="1:9" x14ac:dyDescent="0.2">
      <c r="A806" s="2"/>
      <c r="B806" s="2"/>
      <c r="C806" s="2"/>
      <c r="D806" s="2"/>
      <c r="E806" s="2"/>
      <c r="F806" s="2"/>
      <c r="G806" s="2"/>
      <c r="H806" s="2"/>
      <c r="I806" s="2"/>
    </row>
    <row r="807" spans="1:9" x14ac:dyDescent="0.2">
      <c r="A807" s="2"/>
      <c r="B807" s="2"/>
      <c r="C807" s="2"/>
      <c r="D807" s="2"/>
      <c r="E807" s="2"/>
      <c r="F807" s="2"/>
      <c r="G807" s="2"/>
      <c r="H807" s="2"/>
      <c r="I807" s="2"/>
    </row>
    <row r="808" spans="1:9" x14ac:dyDescent="0.2">
      <c r="A808" s="2"/>
      <c r="B808" s="2"/>
      <c r="C808" s="2"/>
      <c r="D808" s="2"/>
      <c r="E808" s="2"/>
      <c r="F808" s="2"/>
      <c r="G808" s="2"/>
      <c r="H808" s="2"/>
      <c r="I808" s="2"/>
    </row>
    <row r="809" spans="1:9" x14ac:dyDescent="0.2">
      <c r="A809" s="2"/>
      <c r="B809" s="2"/>
      <c r="C809" s="2"/>
      <c r="D809" s="2"/>
      <c r="E809" s="2"/>
      <c r="F809" s="2"/>
      <c r="G809" s="2"/>
      <c r="H809" s="2"/>
      <c r="I809" s="2"/>
    </row>
    <row r="810" spans="1:9" x14ac:dyDescent="0.2">
      <c r="A810" s="2"/>
      <c r="B810" s="2"/>
      <c r="C810" s="2"/>
      <c r="D810" s="2"/>
      <c r="E810" s="2"/>
      <c r="F810" s="2"/>
      <c r="G810" s="2"/>
      <c r="H810" s="2"/>
      <c r="I810" s="2"/>
    </row>
    <row r="811" spans="1:9" x14ac:dyDescent="0.2">
      <c r="A811" s="2"/>
      <c r="B811" s="2"/>
      <c r="C811" s="2"/>
      <c r="D811" s="2"/>
      <c r="E811" s="2"/>
      <c r="F811" s="2"/>
      <c r="G811" s="2"/>
      <c r="H811" s="2"/>
      <c r="I811" s="2"/>
    </row>
    <row r="812" spans="1:9" x14ac:dyDescent="0.2">
      <c r="A812" s="2"/>
      <c r="B812" s="2"/>
      <c r="C812" s="2"/>
      <c r="D812" s="2"/>
      <c r="E812" s="2"/>
      <c r="F812" s="2"/>
      <c r="G812" s="2"/>
      <c r="H812" s="2"/>
      <c r="I812" s="2"/>
    </row>
    <row r="813" spans="1:9" x14ac:dyDescent="0.2">
      <c r="A813" s="2"/>
      <c r="B813" s="2"/>
      <c r="C813" s="2"/>
      <c r="D813" s="2"/>
      <c r="E813" s="2"/>
      <c r="F813" s="2"/>
      <c r="G813" s="2"/>
      <c r="H813" s="2"/>
      <c r="I813" s="2"/>
    </row>
    <row r="814" spans="1:9" x14ac:dyDescent="0.2">
      <c r="A814" s="2"/>
      <c r="B814" s="2"/>
      <c r="C814" s="2"/>
      <c r="D814" s="2"/>
      <c r="E814" s="2"/>
      <c r="F814" s="2"/>
      <c r="G814" s="2"/>
      <c r="H814" s="2"/>
      <c r="I814" s="2"/>
    </row>
    <row r="815" spans="1:9" x14ac:dyDescent="0.2">
      <c r="A815" s="2"/>
      <c r="B815" s="2"/>
      <c r="C815" s="2"/>
      <c r="D815" s="2"/>
      <c r="E815" s="2"/>
      <c r="F815" s="2"/>
      <c r="G815" s="2"/>
      <c r="H815" s="2"/>
      <c r="I815" s="2"/>
    </row>
    <row r="816" spans="1:9" x14ac:dyDescent="0.2">
      <c r="A816" s="2"/>
      <c r="B816" s="2"/>
      <c r="C816" s="2"/>
      <c r="D816" s="2"/>
      <c r="E816" s="2"/>
      <c r="F816" s="2"/>
      <c r="G816" s="2"/>
      <c r="H816" s="2"/>
      <c r="I816" s="2"/>
    </row>
    <row r="817" spans="1:9" x14ac:dyDescent="0.2">
      <c r="A817" s="2"/>
      <c r="B817" s="2"/>
      <c r="C817" s="2"/>
      <c r="D817" s="2"/>
      <c r="E817" s="2"/>
      <c r="F817" s="2"/>
      <c r="G817" s="2"/>
      <c r="H817" s="2"/>
      <c r="I817" s="2"/>
    </row>
    <row r="818" spans="1:9" x14ac:dyDescent="0.2">
      <c r="A818" s="2"/>
      <c r="B818" s="2"/>
      <c r="C818" s="2"/>
      <c r="D818" s="2"/>
      <c r="E818" s="2"/>
      <c r="F818" s="2"/>
      <c r="G818" s="2"/>
      <c r="H818" s="2"/>
      <c r="I818" s="2"/>
    </row>
    <row r="819" spans="1:9" x14ac:dyDescent="0.2">
      <c r="A819" s="2"/>
      <c r="B819" s="2"/>
      <c r="C819" s="2"/>
      <c r="D819" s="2"/>
      <c r="E819" s="2"/>
      <c r="F819" s="2"/>
      <c r="G819" s="2"/>
      <c r="H819" s="2"/>
      <c r="I819" s="2"/>
    </row>
    <row r="820" spans="1:9" x14ac:dyDescent="0.2">
      <c r="A820" s="2"/>
      <c r="B820" s="2"/>
      <c r="C820" s="2"/>
      <c r="D820" s="2"/>
      <c r="E820" s="2"/>
      <c r="F820" s="2"/>
      <c r="G820" s="2"/>
      <c r="H820" s="2"/>
      <c r="I820" s="2"/>
    </row>
    <row r="821" spans="1:9" x14ac:dyDescent="0.2">
      <c r="A821" s="2"/>
      <c r="B821" s="2"/>
      <c r="C821" s="2"/>
      <c r="D821" s="2"/>
      <c r="E821" s="2"/>
      <c r="F821" s="2"/>
      <c r="G821" s="2"/>
      <c r="H821" s="2"/>
      <c r="I821" s="2"/>
    </row>
    <row r="822" spans="1:9" x14ac:dyDescent="0.2">
      <c r="A822" s="2"/>
      <c r="B822" s="2"/>
      <c r="C822" s="2"/>
      <c r="D822" s="2"/>
      <c r="E822" s="2"/>
      <c r="F822" s="2"/>
      <c r="G822" s="2"/>
      <c r="H822" s="2"/>
      <c r="I822" s="2"/>
    </row>
    <row r="823" spans="1:9" x14ac:dyDescent="0.2">
      <c r="A823" s="2"/>
      <c r="B823" s="2"/>
      <c r="C823" s="2"/>
      <c r="D823" s="2"/>
      <c r="E823" s="2"/>
      <c r="F823" s="2"/>
      <c r="G823" s="2"/>
      <c r="H823" s="2"/>
      <c r="I823" s="2"/>
    </row>
    <row r="824" spans="1:9" x14ac:dyDescent="0.2">
      <c r="A824" s="2"/>
      <c r="B824" s="2"/>
      <c r="C824" s="2"/>
      <c r="D824" s="2"/>
      <c r="E824" s="2"/>
      <c r="F824" s="2"/>
      <c r="G824" s="2"/>
      <c r="H824" s="2"/>
      <c r="I824" s="2"/>
    </row>
    <row r="825" spans="1:9" x14ac:dyDescent="0.2">
      <c r="A825" s="2"/>
      <c r="B825" s="2"/>
      <c r="C825" s="2"/>
      <c r="D825" s="2"/>
      <c r="E825" s="2"/>
      <c r="F825" s="2"/>
      <c r="G825" s="2"/>
      <c r="H825" s="2"/>
      <c r="I825" s="2"/>
    </row>
    <row r="826" spans="1:9" x14ac:dyDescent="0.2">
      <c r="A826" s="2"/>
      <c r="B826" s="2"/>
      <c r="C826" s="2"/>
      <c r="D826" s="2"/>
      <c r="E826" s="2"/>
      <c r="F826" s="2"/>
      <c r="G826" s="2"/>
      <c r="H826" s="2"/>
      <c r="I826" s="2"/>
    </row>
    <row r="827" spans="1:9" x14ac:dyDescent="0.2">
      <c r="A827" s="2"/>
      <c r="B827" s="2"/>
      <c r="C827" s="2"/>
      <c r="D827" s="2"/>
      <c r="E827" s="2"/>
      <c r="F827" s="2"/>
      <c r="G827" s="2"/>
      <c r="H827" s="2"/>
      <c r="I827" s="2"/>
    </row>
    <row r="828" spans="1:9" x14ac:dyDescent="0.2">
      <c r="A828" s="2"/>
      <c r="B828" s="2"/>
      <c r="C828" s="2"/>
      <c r="D828" s="2"/>
      <c r="E828" s="2"/>
      <c r="F828" s="2"/>
      <c r="G828" s="2"/>
      <c r="H828" s="2"/>
      <c r="I828" s="2"/>
    </row>
    <row r="829" spans="1:9" x14ac:dyDescent="0.2">
      <c r="A829" s="2"/>
      <c r="B829" s="2"/>
      <c r="C829" s="2"/>
      <c r="D829" s="2"/>
      <c r="E829" s="2"/>
      <c r="F829" s="2"/>
      <c r="G829" s="2"/>
      <c r="H829" s="2"/>
      <c r="I829" s="2"/>
    </row>
    <row r="830" spans="1:9" x14ac:dyDescent="0.2">
      <c r="A830" s="2"/>
      <c r="B830" s="2"/>
      <c r="C830" s="2"/>
      <c r="D830" s="2"/>
      <c r="E830" s="2"/>
      <c r="F830" s="2"/>
      <c r="G830" s="2"/>
      <c r="H830" s="2"/>
      <c r="I830" s="2"/>
    </row>
    <row r="831" spans="1:9" x14ac:dyDescent="0.2">
      <c r="A831" s="2"/>
      <c r="B831" s="2"/>
      <c r="C831" s="2"/>
      <c r="D831" s="2"/>
      <c r="E831" s="2"/>
      <c r="F831" s="2"/>
      <c r="G831" s="2"/>
      <c r="H831" s="2"/>
      <c r="I831" s="2"/>
    </row>
    <row r="832" spans="1:9" x14ac:dyDescent="0.2">
      <c r="A832" s="2"/>
      <c r="B832" s="2"/>
      <c r="C832" s="2"/>
      <c r="D832" s="2"/>
      <c r="E832" s="2"/>
      <c r="F832" s="2"/>
      <c r="G832" s="2"/>
      <c r="H832" s="2"/>
      <c r="I832" s="2"/>
    </row>
    <row r="833" spans="1:9" x14ac:dyDescent="0.2">
      <c r="A833" s="2"/>
      <c r="B833" s="2"/>
      <c r="C833" s="2"/>
      <c r="D833" s="2"/>
      <c r="E833" s="2"/>
      <c r="F833" s="2"/>
      <c r="G833" s="2"/>
      <c r="H833" s="2"/>
      <c r="I833" s="2"/>
    </row>
    <row r="834" spans="1:9" x14ac:dyDescent="0.2">
      <c r="A834" s="2"/>
      <c r="B834" s="2"/>
      <c r="C834" s="2"/>
      <c r="D834" s="2"/>
      <c r="E834" s="2"/>
      <c r="F834" s="2"/>
      <c r="G834" s="2"/>
      <c r="H834" s="2"/>
      <c r="I834" s="2"/>
    </row>
    <row r="835" spans="1:9" x14ac:dyDescent="0.2">
      <c r="A835" s="2"/>
      <c r="B835" s="2"/>
      <c r="C835" s="2"/>
      <c r="D835" s="2"/>
      <c r="E835" s="2"/>
      <c r="F835" s="2"/>
      <c r="G835" s="2"/>
      <c r="H835" s="2"/>
      <c r="I835" s="2"/>
    </row>
    <row r="836" spans="1:9" x14ac:dyDescent="0.2">
      <c r="A836" s="2"/>
      <c r="B836" s="2"/>
      <c r="C836" s="2"/>
      <c r="D836" s="2"/>
      <c r="E836" s="2"/>
      <c r="F836" s="2"/>
      <c r="G836" s="2"/>
      <c r="H836" s="2"/>
      <c r="I836" s="2"/>
    </row>
    <row r="837" spans="1:9" x14ac:dyDescent="0.2">
      <c r="A837" s="2"/>
      <c r="B837" s="2"/>
      <c r="C837" s="2"/>
      <c r="D837" s="2"/>
      <c r="E837" s="2"/>
      <c r="F837" s="2"/>
      <c r="G837" s="2"/>
      <c r="H837" s="2"/>
      <c r="I837" s="2"/>
    </row>
    <row r="838" spans="1:9" x14ac:dyDescent="0.2">
      <c r="A838" s="2"/>
      <c r="B838" s="2"/>
      <c r="C838" s="2"/>
      <c r="D838" s="2"/>
      <c r="E838" s="2"/>
      <c r="F838" s="2"/>
      <c r="G838" s="2"/>
      <c r="H838" s="2"/>
      <c r="I838" s="2"/>
    </row>
    <row r="839" spans="1:9" x14ac:dyDescent="0.2">
      <c r="A839" s="2"/>
      <c r="B839" s="2"/>
      <c r="C839" s="2"/>
      <c r="D839" s="2"/>
      <c r="E839" s="2"/>
      <c r="F839" s="2"/>
      <c r="G839" s="2"/>
      <c r="H839" s="2"/>
      <c r="I839" s="2"/>
    </row>
    <row r="840" spans="1:9" x14ac:dyDescent="0.2">
      <c r="A840" s="2"/>
      <c r="B840" s="2"/>
      <c r="C840" s="2"/>
      <c r="D840" s="2"/>
      <c r="E840" s="2"/>
      <c r="F840" s="2"/>
      <c r="G840" s="2"/>
      <c r="H840" s="2"/>
      <c r="I840" s="2"/>
    </row>
    <row r="841" spans="1:9" x14ac:dyDescent="0.2">
      <c r="A841" s="2"/>
      <c r="B841" s="2"/>
      <c r="C841" s="2"/>
      <c r="D841" s="2"/>
      <c r="E841" s="2"/>
      <c r="F841" s="2"/>
      <c r="G841" s="2"/>
      <c r="H841" s="2"/>
      <c r="I841" s="2"/>
    </row>
    <row r="842" spans="1:9" x14ac:dyDescent="0.2">
      <c r="A842" s="2"/>
      <c r="B842" s="2"/>
      <c r="C842" s="2"/>
      <c r="D842" s="2"/>
      <c r="E842" s="2"/>
      <c r="F842" s="2"/>
      <c r="G842" s="2"/>
      <c r="H842" s="2"/>
      <c r="I842" s="2"/>
    </row>
    <row r="843" spans="1:9" x14ac:dyDescent="0.2">
      <c r="A843" s="2"/>
      <c r="B843" s="2"/>
      <c r="C843" s="2"/>
      <c r="D843" s="2"/>
      <c r="E843" s="2"/>
      <c r="F843" s="2"/>
      <c r="G843" s="2"/>
      <c r="H843" s="2"/>
      <c r="I843" s="2"/>
    </row>
    <row r="844" spans="1:9" x14ac:dyDescent="0.2">
      <c r="A844" s="2"/>
      <c r="B844" s="2"/>
      <c r="C844" s="2"/>
      <c r="D844" s="2"/>
      <c r="E844" s="2"/>
      <c r="F844" s="2"/>
      <c r="G844" s="2"/>
      <c r="H844" s="2"/>
      <c r="I844" s="2"/>
    </row>
    <row r="845" spans="1:9" x14ac:dyDescent="0.2">
      <c r="A845" s="2"/>
      <c r="B845" s="2"/>
      <c r="C845" s="2"/>
      <c r="D845" s="2"/>
      <c r="E845" s="2"/>
      <c r="F845" s="2"/>
      <c r="G845" s="2"/>
      <c r="H845" s="2"/>
      <c r="I845" s="2"/>
    </row>
    <row r="846" spans="1:9" x14ac:dyDescent="0.2">
      <c r="A846" s="2"/>
      <c r="B846" s="2"/>
      <c r="C846" s="2"/>
      <c r="D846" s="2"/>
      <c r="E846" s="2"/>
      <c r="F846" s="2"/>
      <c r="G846" s="2"/>
      <c r="H846" s="2"/>
      <c r="I846" s="2"/>
    </row>
    <row r="847" spans="1:9" x14ac:dyDescent="0.2">
      <c r="A847" s="2"/>
      <c r="B847" s="2"/>
      <c r="C847" s="2"/>
      <c r="D847" s="2"/>
      <c r="E847" s="2"/>
      <c r="F847" s="2"/>
      <c r="G847" s="2"/>
      <c r="H847" s="2"/>
      <c r="I847" s="2"/>
    </row>
    <row r="848" spans="1:9" x14ac:dyDescent="0.2">
      <c r="A848" s="2"/>
      <c r="B848" s="2"/>
      <c r="C848" s="2"/>
      <c r="D848" s="2"/>
      <c r="E848" s="2"/>
      <c r="F848" s="2"/>
      <c r="G848" s="2"/>
      <c r="H848" s="2"/>
      <c r="I848" s="2"/>
    </row>
    <row r="849" spans="1:9" x14ac:dyDescent="0.2">
      <c r="A849" s="2"/>
      <c r="B849" s="2"/>
      <c r="C849" s="2"/>
      <c r="D849" s="2"/>
      <c r="E849" s="2"/>
      <c r="F849" s="2"/>
      <c r="G849" s="2"/>
      <c r="H849" s="2"/>
      <c r="I849" s="2"/>
    </row>
    <row r="850" spans="1:9" x14ac:dyDescent="0.2">
      <c r="A850" s="2"/>
      <c r="B850" s="2"/>
      <c r="C850" s="2"/>
      <c r="D850" s="2"/>
      <c r="E850" s="2"/>
      <c r="F850" s="2"/>
      <c r="G850" s="2"/>
      <c r="H850" s="2"/>
      <c r="I850" s="2"/>
    </row>
    <row r="851" spans="1:9" x14ac:dyDescent="0.2">
      <c r="A851" s="2"/>
      <c r="B851" s="2"/>
      <c r="C851" s="2"/>
      <c r="D851" s="2"/>
      <c r="E851" s="2"/>
      <c r="F851" s="2"/>
      <c r="G851" s="2"/>
      <c r="H851" s="2"/>
      <c r="I851" s="2"/>
    </row>
    <row r="852" spans="1:9" x14ac:dyDescent="0.2">
      <c r="A852" s="2"/>
      <c r="B852" s="2"/>
      <c r="C852" s="2"/>
      <c r="D852" s="2"/>
      <c r="E852" s="2"/>
      <c r="F852" s="2"/>
      <c r="G852" s="2"/>
      <c r="H852" s="2"/>
      <c r="I852" s="2"/>
    </row>
    <row r="853" spans="1:9" x14ac:dyDescent="0.2">
      <c r="A853" s="2"/>
      <c r="B853" s="2"/>
      <c r="C853" s="2"/>
      <c r="D853" s="2"/>
      <c r="E853" s="2"/>
      <c r="F853" s="2"/>
      <c r="G853" s="2"/>
      <c r="H853" s="2"/>
      <c r="I853" s="2"/>
    </row>
    <row r="854" spans="1:9" x14ac:dyDescent="0.2">
      <c r="A854" s="2"/>
      <c r="B854" s="2"/>
      <c r="C854" s="2"/>
      <c r="D854" s="2"/>
      <c r="E854" s="2"/>
      <c r="F854" s="2"/>
      <c r="G854" s="2"/>
      <c r="H854" s="2"/>
      <c r="I854" s="2"/>
    </row>
    <row r="855" spans="1:9" x14ac:dyDescent="0.2">
      <c r="A855" s="2"/>
      <c r="B855" s="2"/>
      <c r="C855" s="2"/>
      <c r="D855" s="2"/>
      <c r="E855" s="2"/>
      <c r="F855" s="2"/>
      <c r="G855" s="2"/>
      <c r="H855" s="2"/>
      <c r="I855" s="2"/>
    </row>
    <row r="856" spans="1:9" x14ac:dyDescent="0.2">
      <c r="A856" s="2"/>
      <c r="B856" s="2"/>
      <c r="C856" s="2"/>
      <c r="D856" s="2"/>
      <c r="E856" s="2"/>
      <c r="F856" s="2"/>
      <c r="G856" s="2"/>
      <c r="H856" s="2"/>
      <c r="I856" s="2"/>
    </row>
    <row r="857" spans="1:9" x14ac:dyDescent="0.2">
      <c r="A857" s="2"/>
      <c r="B857" s="2"/>
      <c r="C857" s="2"/>
      <c r="D857" s="2"/>
      <c r="E857" s="2"/>
      <c r="F857" s="2"/>
      <c r="G857" s="2"/>
      <c r="H857" s="2"/>
      <c r="I857" s="2"/>
    </row>
    <row r="858" spans="1:9" x14ac:dyDescent="0.2">
      <c r="A858" s="2"/>
      <c r="B858" s="2"/>
      <c r="C858" s="2"/>
      <c r="D858" s="2"/>
      <c r="E858" s="2"/>
      <c r="F858" s="2"/>
      <c r="G858" s="2"/>
      <c r="H858" s="2"/>
      <c r="I858" s="2"/>
    </row>
    <row r="859" spans="1:9" x14ac:dyDescent="0.2">
      <c r="A859" s="2"/>
      <c r="B859" s="2"/>
      <c r="C859" s="2"/>
      <c r="D859" s="2"/>
      <c r="E859" s="2"/>
      <c r="F859" s="2"/>
      <c r="G859" s="2"/>
      <c r="H859" s="2"/>
      <c r="I859" s="2"/>
    </row>
    <row r="860" spans="1:9" x14ac:dyDescent="0.2">
      <c r="A860" s="2"/>
      <c r="B860" s="2"/>
      <c r="C860" s="2"/>
      <c r="D860" s="2"/>
      <c r="E860" s="2"/>
      <c r="F860" s="2"/>
      <c r="G860" s="2"/>
      <c r="H860" s="2"/>
      <c r="I860" s="2"/>
    </row>
    <row r="861" spans="1:9" x14ac:dyDescent="0.2">
      <c r="A861" s="2"/>
      <c r="B861" s="2"/>
      <c r="C861" s="2"/>
      <c r="D861" s="2"/>
      <c r="E861" s="2"/>
      <c r="F861" s="2"/>
      <c r="G861" s="2"/>
      <c r="H861" s="2"/>
      <c r="I861" s="2"/>
    </row>
    <row r="862" spans="1:9" x14ac:dyDescent="0.2">
      <c r="A862" s="2"/>
      <c r="B862" s="2"/>
      <c r="C862" s="2"/>
      <c r="D862" s="2"/>
      <c r="E862" s="2"/>
      <c r="F862" s="2"/>
      <c r="G862" s="2"/>
      <c r="H862" s="2"/>
      <c r="I862" s="2"/>
    </row>
    <row r="863" spans="1:9" x14ac:dyDescent="0.2">
      <c r="A863" s="2"/>
      <c r="B863" s="2"/>
      <c r="C863" s="2"/>
      <c r="D863" s="2"/>
      <c r="E863" s="2"/>
      <c r="F863" s="2"/>
      <c r="G863" s="2"/>
      <c r="H863" s="2"/>
      <c r="I863" s="2"/>
    </row>
    <row r="864" spans="1:9" x14ac:dyDescent="0.2">
      <c r="A864" s="2"/>
      <c r="B864" s="2"/>
      <c r="C864" s="2"/>
      <c r="D864" s="2"/>
      <c r="E864" s="2"/>
      <c r="F864" s="2"/>
      <c r="G864" s="2"/>
      <c r="H864" s="2"/>
      <c r="I864" s="2"/>
    </row>
    <row r="865" spans="1:9" x14ac:dyDescent="0.2">
      <c r="A865" s="2"/>
      <c r="B865" s="2"/>
      <c r="C865" s="2"/>
      <c r="D865" s="2"/>
      <c r="E865" s="2"/>
      <c r="F865" s="2"/>
      <c r="G865" s="2"/>
      <c r="H865" s="2"/>
      <c r="I865" s="2"/>
    </row>
    <row r="866" spans="1:9" x14ac:dyDescent="0.2">
      <c r="A866" s="2"/>
      <c r="B866" s="2"/>
      <c r="C866" s="2"/>
      <c r="D866" s="2"/>
      <c r="E866" s="2"/>
      <c r="F866" s="2"/>
      <c r="G866" s="2"/>
      <c r="H866" s="2"/>
      <c r="I866" s="2"/>
    </row>
    <row r="867" spans="1:9" x14ac:dyDescent="0.2">
      <c r="A867" s="2"/>
      <c r="B867" s="2"/>
      <c r="C867" s="2"/>
      <c r="D867" s="2"/>
      <c r="E867" s="2"/>
      <c r="F867" s="2"/>
      <c r="G867" s="2"/>
      <c r="H867" s="2"/>
      <c r="I867" s="2"/>
    </row>
    <row r="868" spans="1:9" x14ac:dyDescent="0.2">
      <c r="A868" s="2"/>
      <c r="B868" s="2"/>
      <c r="C868" s="2"/>
      <c r="D868" s="2"/>
      <c r="E868" s="2"/>
      <c r="F868" s="2"/>
      <c r="G868" s="2"/>
      <c r="H868" s="2"/>
      <c r="I868" s="2"/>
    </row>
    <row r="869" spans="1:9" x14ac:dyDescent="0.2">
      <c r="A869" s="2"/>
      <c r="B869" s="2"/>
      <c r="C869" s="2"/>
      <c r="D869" s="2"/>
      <c r="E869" s="2"/>
      <c r="F869" s="2"/>
      <c r="G869" s="2"/>
      <c r="H869" s="2"/>
      <c r="I869" s="2"/>
    </row>
    <row r="870" spans="1:9" x14ac:dyDescent="0.2">
      <c r="A870" s="2"/>
      <c r="B870" s="2"/>
      <c r="C870" s="2"/>
      <c r="D870" s="2"/>
      <c r="E870" s="2"/>
      <c r="F870" s="2"/>
      <c r="G870" s="2"/>
      <c r="H870" s="2"/>
      <c r="I870" s="2"/>
    </row>
    <row r="871" spans="1:9" x14ac:dyDescent="0.2">
      <c r="A871" s="2"/>
      <c r="B871" s="2"/>
      <c r="C871" s="2"/>
      <c r="D871" s="2"/>
      <c r="E871" s="2"/>
      <c r="F871" s="2"/>
      <c r="G871" s="2"/>
      <c r="H871" s="2"/>
      <c r="I871" s="2"/>
    </row>
    <row r="872" spans="1:9" x14ac:dyDescent="0.2">
      <c r="A872" s="2"/>
      <c r="B872" s="2"/>
      <c r="C872" s="2"/>
      <c r="D872" s="2"/>
      <c r="E872" s="2"/>
      <c r="F872" s="2"/>
      <c r="G872" s="2"/>
      <c r="H872" s="2"/>
      <c r="I872" s="2"/>
    </row>
    <row r="873" spans="1:9" x14ac:dyDescent="0.2">
      <c r="A873" s="2"/>
      <c r="B873" s="2"/>
      <c r="C873" s="2"/>
      <c r="D873" s="2"/>
      <c r="E873" s="2"/>
      <c r="F873" s="2"/>
      <c r="G873" s="2"/>
      <c r="H873" s="2"/>
      <c r="I873" s="2"/>
    </row>
    <row r="874" spans="1:9" x14ac:dyDescent="0.2">
      <c r="A874" s="2"/>
      <c r="B874" s="2"/>
      <c r="C874" s="2"/>
      <c r="D874" s="2"/>
      <c r="E874" s="2"/>
      <c r="F874" s="2"/>
      <c r="G874" s="2"/>
      <c r="H874" s="2"/>
      <c r="I874" s="2"/>
    </row>
    <row r="875" spans="1:9" x14ac:dyDescent="0.2">
      <c r="A875" s="2"/>
      <c r="B875" s="2"/>
      <c r="C875" s="2"/>
      <c r="D875" s="2"/>
      <c r="E875" s="2"/>
      <c r="F875" s="2"/>
      <c r="G875" s="2"/>
      <c r="H875" s="2"/>
      <c r="I875" s="2"/>
    </row>
    <row r="876" spans="1:9" x14ac:dyDescent="0.2">
      <c r="A876" s="2"/>
      <c r="B876" s="2"/>
      <c r="C876" s="2"/>
      <c r="D876" s="2"/>
      <c r="E876" s="2"/>
      <c r="F876" s="2"/>
      <c r="G876" s="2"/>
      <c r="H876" s="2"/>
      <c r="I876" s="2"/>
    </row>
    <row r="877" spans="1:9" x14ac:dyDescent="0.2">
      <c r="A877" s="2"/>
      <c r="B877" s="2"/>
      <c r="C877" s="2"/>
      <c r="D877" s="2"/>
      <c r="E877" s="2"/>
      <c r="F877" s="2"/>
      <c r="G877" s="2"/>
      <c r="H877" s="2"/>
      <c r="I877" s="2"/>
    </row>
    <row r="878" spans="1:9" x14ac:dyDescent="0.2">
      <c r="A878" s="2"/>
      <c r="B878" s="2"/>
      <c r="C878" s="2"/>
      <c r="D878" s="2"/>
      <c r="E878" s="2"/>
      <c r="F878" s="2"/>
      <c r="G878" s="2"/>
      <c r="H878" s="2"/>
      <c r="I878" s="2"/>
    </row>
    <row r="879" spans="1:9" x14ac:dyDescent="0.2">
      <c r="A879" s="2"/>
      <c r="B879" s="2"/>
      <c r="C879" s="2"/>
      <c r="D879" s="2"/>
      <c r="E879" s="2"/>
      <c r="F879" s="2"/>
      <c r="G879" s="2"/>
      <c r="H879" s="2"/>
      <c r="I879" s="2"/>
    </row>
    <row r="880" spans="1:9" x14ac:dyDescent="0.2">
      <c r="A880" s="2"/>
      <c r="B880" s="2"/>
      <c r="C880" s="2"/>
      <c r="D880" s="2"/>
      <c r="E880" s="2"/>
      <c r="F880" s="2"/>
      <c r="G880" s="2"/>
      <c r="H880" s="2"/>
      <c r="I880" s="2"/>
    </row>
    <row r="881" spans="1:9" x14ac:dyDescent="0.2">
      <c r="A881" s="2"/>
      <c r="B881" s="2"/>
      <c r="C881" s="2"/>
      <c r="D881" s="2"/>
      <c r="E881" s="2"/>
      <c r="F881" s="2"/>
      <c r="G881" s="2"/>
      <c r="H881" s="2"/>
      <c r="I881" s="2"/>
    </row>
    <row r="882" spans="1:9" x14ac:dyDescent="0.2">
      <c r="A882" s="2"/>
      <c r="B882" s="2"/>
      <c r="C882" s="2"/>
      <c r="D882" s="2"/>
      <c r="E882" s="2"/>
      <c r="F882" s="2"/>
      <c r="G882" s="2"/>
      <c r="H882" s="2"/>
      <c r="I882" s="2"/>
    </row>
    <row r="883" spans="1:9" x14ac:dyDescent="0.2">
      <c r="A883" s="2"/>
      <c r="B883" s="2"/>
      <c r="C883" s="2"/>
      <c r="D883" s="2"/>
      <c r="E883" s="2"/>
      <c r="F883" s="2"/>
      <c r="G883" s="2"/>
      <c r="H883" s="2"/>
      <c r="I883" s="2"/>
    </row>
    <row r="884" spans="1:9" x14ac:dyDescent="0.2">
      <c r="A884" s="2"/>
      <c r="B884" s="2"/>
      <c r="C884" s="2"/>
      <c r="D884" s="2"/>
      <c r="E884" s="2"/>
      <c r="F884" s="2"/>
      <c r="G884" s="2"/>
      <c r="H884" s="2"/>
      <c r="I884" s="2"/>
    </row>
    <row r="885" spans="1:9" x14ac:dyDescent="0.2">
      <c r="A885" s="2"/>
      <c r="B885" s="2"/>
      <c r="C885" s="2"/>
      <c r="D885" s="2"/>
      <c r="E885" s="2"/>
      <c r="F885" s="2"/>
      <c r="G885" s="2"/>
      <c r="H885" s="2"/>
      <c r="I885" s="2"/>
    </row>
    <row r="886" spans="1:9" x14ac:dyDescent="0.2">
      <c r="A886" s="2"/>
      <c r="B886" s="2"/>
      <c r="C886" s="2"/>
      <c r="D886" s="2"/>
      <c r="E886" s="2"/>
      <c r="F886" s="2"/>
      <c r="G886" s="2"/>
      <c r="H886" s="2"/>
      <c r="I886" s="2"/>
    </row>
    <row r="887" spans="1:9" x14ac:dyDescent="0.2">
      <c r="A887" s="2"/>
      <c r="B887" s="2"/>
      <c r="C887" s="2"/>
      <c r="D887" s="2"/>
      <c r="E887" s="2"/>
      <c r="F887" s="2"/>
      <c r="G887" s="2"/>
      <c r="H887" s="2"/>
      <c r="I887" s="2"/>
    </row>
    <row r="888" spans="1:9" x14ac:dyDescent="0.2">
      <c r="A888" s="2"/>
      <c r="B888" s="2"/>
      <c r="C888" s="2"/>
      <c r="D888" s="2"/>
      <c r="E888" s="2"/>
      <c r="F888" s="2"/>
      <c r="G888" s="2"/>
      <c r="H888" s="2"/>
      <c r="I888" s="2"/>
    </row>
    <row r="889" spans="1:9" x14ac:dyDescent="0.2">
      <c r="A889" s="2"/>
      <c r="B889" s="2"/>
      <c r="C889" s="2"/>
      <c r="D889" s="2"/>
      <c r="E889" s="2"/>
      <c r="F889" s="2"/>
      <c r="G889" s="2"/>
      <c r="H889" s="2"/>
      <c r="I889" s="2"/>
    </row>
    <row r="890" spans="1:9" x14ac:dyDescent="0.2">
      <c r="A890" s="2"/>
      <c r="B890" s="2"/>
      <c r="C890" s="2"/>
      <c r="D890" s="2"/>
      <c r="E890" s="2"/>
      <c r="F890" s="2"/>
      <c r="G890" s="2"/>
      <c r="H890" s="2"/>
      <c r="I890" s="2"/>
    </row>
    <row r="891" spans="1:9" x14ac:dyDescent="0.2">
      <c r="A891" s="2"/>
      <c r="B891" s="2"/>
      <c r="C891" s="2"/>
      <c r="D891" s="2"/>
      <c r="E891" s="2"/>
      <c r="F891" s="2"/>
      <c r="G891" s="2"/>
      <c r="H891" s="2"/>
      <c r="I891" s="2"/>
    </row>
    <row r="892" spans="1:9" x14ac:dyDescent="0.2">
      <c r="A892" s="2"/>
      <c r="B892" s="2"/>
      <c r="C892" s="2"/>
      <c r="D892" s="2"/>
      <c r="E892" s="2"/>
      <c r="F892" s="2"/>
      <c r="G892" s="2"/>
      <c r="H892" s="2"/>
      <c r="I892" s="2"/>
    </row>
    <row r="893" spans="1:9" x14ac:dyDescent="0.2">
      <c r="A893" s="2"/>
      <c r="B893" s="2"/>
      <c r="C893" s="2"/>
      <c r="D893" s="2"/>
      <c r="E893" s="2"/>
      <c r="F893" s="2"/>
      <c r="G893" s="2"/>
      <c r="H893" s="2"/>
      <c r="I893" s="2"/>
    </row>
    <row r="894" spans="1:9" x14ac:dyDescent="0.2">
      <c r="A894" s="2"/>
      <c r="B894" s="2"/>
      <c r="C894" s="2"/>
      <c r="D894" s="2"/>
      <c r="E894" s="2"/>
      <c r="F894" s="2"/>
      <c r="G894" s="2"/>
      <c r="H894" s="2"/>
      <c r="I894" s="2"/>
    </row>
    <row r="895" spans="1:9" x14ac:dyDescent="0.2">
      <c r="A895" s="2"/>
      <c r="B895" s="2"/>
      <c r="C895" s="2"/>
      <c r="D895" s="2"/>
      <c r="E895" s="2"/>
      <c r="F895" s="2"/>
      <c r="G895" s="2"/>
      <c r="H895" s="2"/>
      <c r="I895" s="2"/>
    </row>
    <row r="896" spans="1:9" x14ac:dyDescent="0.2">
      <c r="A896" s="2"/>
      <c r="B896" s="2"/>
      <c r="C896" s="2"/>
      <c r="D896" s="2"/>
      <c r="E896" s="2"/>
      <c r="F896" s="2"/>
      <c r="G896" s="2"/>
      <c r="H896" s="2"/>
      <c r="I896" s="2"/>
    </row>
    <row r="897" spans="1:9" x14ac:dyDescent="0.2">
      <c r="A897" s="2"/>
      <c r="B897" s="2"/>
      <c r="C897" s="2"/>
      <c r="D897" s="2"/>
      <c r="E897" s="2"/>
      <c r="F897" s="2"/>
      <c r="G897" s="2"/>
      <c r="H897" s="2"/>
      <c r="I897" s="2"/>
    </row>
    <row r="898" spans="1:9" x14ac:dyDescent="0.2">
      <c r="A898" s="2"/>
      <c r="B898" s="2"/>
      <c r="C898" s="2"/>
      <c r="D898" s="2"/>
      <c r="E898" s="2"/>
      <c r="F898" s="2"/>
      <c r="G898" s="2"/>
      <c r="H898" s="2"/>
      <c r="I898" s="2"/>
    </row>
    <row r="899" spans="1:9" x14ac:dyDescent="0.2">
      <c r="A899" s="2"/>
      <c r="B899" s="2"/>
      <c r="C899" s="2"/>
      <c r="D899" s="2"/>
      <c r="E899" s="2"/>
      <c r="F899" s="2"/>
      <c r="G899" s="2"/>
      <c r="H899" s="2"/>
      <c r="I899" s="2"/>
    </row>
    <row r="900" spans="1:9" x14ac:dyDescent="0.2">
      <c r="A900" s="2"/>
      <c r="B900" s="2"/>
      <c r="C900" s="2"/>
      <c r="D900" s="2"/>
      <c r="E900" s="2"/>
      <c r="F900" s="2"/>
      <c r="G900" s="2"/>
      <c r="H900" s="2"/>
      <c r="I900" s="2"/>
    </row>
    <row r="901" spans="1:9" x14ac:dyDescent="0.2">
      <c r="A901" s="2"/>
      <c r="B901" s="2"/>
      <c r="C901" s="2"/>
      <c r="D901" s="2"/>
      <c r="E901" s="2"/>
      <c r="F901" s="2"/>
      <c r="G901" s="2"/>
      <c r="H901" s="2"/>
      <c r="I901" s="2"/>
    </row>
    <row r="902" spans="1:9" x14ac:dyDescent="0.2">
      <c r="A902" s="2"/>
      <c r="B902" s="2"/>
      <c r="C902" s="2"/>
      <c r="D902" s="2"/>
      <c r="E902" s="2"/>
      <c r="F902" s="2"/>
      <c r="G902" s="2"/>
      <c r="H902" s="2"/>
      <c r="I902" s="2"/>
    </row>
    <row r="903" spans="1:9" x14ac:dyDescent="0.2">
      <c r="A903" s="2"/>
      <c r="B903" s="2"/>
      <c r="C903" s="2"/>
      <c r="D903" s="2"/>
      <c r="E903" s="2"/>
      <c r="F903" s="2"/>
      <c r="G903" s="2"/>
      <c r="H903" s="2"/>
      <c r="I903" s="2"/>
    </row>
    <row r="904" spans="1:9" x14ac:dyDescent="0.2">
      <c r="A904" s="2"/>
      <c r="B904" s="2"/>
      <c r="C904" s="2"/>
      <c r="D904" s="2"/>
      <c r="E904" s="2"/>
      <c r="F904" s="2"/>
      <c r="G904" s="2"/>
      <c r="H904" s="2"/>
      <c r="I904" s="2"/>
    </row>
    <row r="905" spans="1:9" x14ac:dyDescent="0.2">
      <c r="A905" s="2"/>
      <c r="B905" s="2"/>
      <c r="C905" s="2"/>
      <c r="D905" s="2"/>
      <c r="E905" s="2"/>
      <c r="F905" s="2"/>
      <c r="G905" s="2"/>
      <c r="H905" s="2"/>
      <c r="I905" s="2"/>
    </row>
    <row r="906" spans="1:9" x14ac:dyDescent="0.2">
      <c r="A906" s="2"/>
      <c r="B906" s="2"/>
      <c r="C906" s="2"/>
      <c r="D906" s="2"/>
      <c r="E906" s="2"/>
      <c r="F906" s="2"/>
      <c r="G906" s="2"/>
      <c r="H906" s="2"/>
      <c r="I906" s="2"/>
    </row>
    <row r="907" spans="1:9" x14ac:dyDescent="0.2">
      <c r="A907" s="2"/>
      <c r="B907" s="2"/>
      <c r="C907" s="2"/>
      <c r="D907" s="2"/>
      <c r="E907" s="2"/>
      <c r="F907" s="2"/>
      <c r="G907" s="2"/>
      <c r="H907" s="2"/>
      <c r="I907" s="2"/>
    </row>
    <row r="908" spans="1:9" x14ac:dyDescent="0.2">
      <c r="A908" s="2"/>
      <c r="B908" s="2"/>
      <c r="C908" s="2"/>
      <c r="D908" s="2"/>
      <c r="E908" s="2"/>
      <c r="F908" s="2"/>
      <c r="G908" s="2"/>
      <c r="H908" s="2"/>
      <c r="I908" s="2"/>
    </row>
    <row r="909" spans="1:9" x14ac:dyDescent="0.2">
      <c r="A909" s="2"/>
      <c r="B909" s="2"/>
      <c r="C909" s="2"/>
      <c r="D909" s="2"/>
      <c r="E909" s="2"/>
      <c r="F909" s="2"/>
      <c r="G909" s="2"/>
      <c r="H909" s="2"/>
      <c r="I909" s="2"/>
    </row>
    <row r="910" spans="1:9" x14ac:dyDescent="0.2">
      <c r="A910" s="2"/>
      <c r="B910" s="2"/>
      <c r="C910" s="2"/>
      <c r="D910" s="2"/>
      <c r="E910" s="2"/>
      <c r="F910" s="2"/>
      <c r="G910" s="2"/>
      <c r="H910" s="2"/>
      <c r="I910" s="2"/>
    </row>
    <row r="911" spans="1:9" x14ac:dyDescent="0.2">
      <c r="A911" s="2"/>
      <c r="B911" s="2"/>
      <c r="C911" s="2"/>
      <c r="D911" s="2"/>
      <c r="E911" s="2"/>
      <c r="F911" s="2"/>
      <c r="G911" s="2"/>
      <c r="H911" s="2"/>
      <c r="I911" s="2"/>
    </row>
    <row r="912" spans="1:9" x14ac:dyDescent="0.2">
      <c r="A912" s="2"/>
      <c r="B912" s="2"/>
      <c r="C912" s="2"/>
      <c r="D912" s="2"/>
      <c r="E912" s="2"/>
      <c r="F912" s="2"/>
      <c r="G912" s="2"/>
      <c r="H912" s="2"/>
      <c r="I912" s="2"/>
    </row>
    <row r="913" spans="1:9" x14ac:dyDescent="0.2">
      <c r="A913" s="2"/>
      <c r="B913" s="2"/>
      <c r="C913" s="2"/>
      <c r="D913" s="2"/>
      <c r="E913" s="2"/>
      <c r="F913" s="2"/>
      <c r="G913" s="2"/>
      <c r="H913" s="2"/>
      <c r="I913" s="2"/>
    </row>
    <row r="914" spans="1:9" x14ac:dyDescent="0.2">
      <c r="A914" s="2"/>
      <c r="B914" s="2"/>
      <c r="C914" s="2"/>
      <c r="D914" s="2"/>
      <c r="E914" s="2"/>
      <c r="F914" s="2"/>
      <c r="G914" s="2"/>
      <c r="H914" s="2"/>
      <c r="I914" s="2"/>
    </row>
    <row r="915" spans="1:9" x14ac:dyDescent="0.2">
      <c r="A915" s="2"/>
      <c r="B915" s="2"/>
      <c r="C915" s="2"/>
      <c r="D915" s="2"/>
      <c r="E915" s="2"/>
      <c r="F915" s="2"/>
      <c r="G915" s="2"/>
      <c r="H915" s="2"/>
      <c r="I915" s="2"/>
    </row>
    <row r="916" spans="1:9" x14ac:dyDescent="0.2">
      <c r="A916" s="2"/>
      <c r="B916" s="2"/>
      <c r="C916" s="2"/>
      <c r="D916" s="2"/>
      <c r="E916" s="2"/>
      <c r="F916" s="2"/>
      <c r="G916" s="2"/>
      <c r="H916" s="2"/>
      <c r="I916" s="2"/>
    </row>
    <row r="917" spans="1:9" x14ac:dyDescent="0.2">
      <c r="A917" s="2"/>
      <c r="B917" s="2"/>
      <c r="C917" s="2"/>
      <c r="D917" s="2"/>
      <c r="E917" s="2"/>
      <c r="F917" s="2"/>
      <c r="G917" s="2"/>
      <c r="H917" s="2"/>
      <c r="I917" s="2"/>
    </row>
    <row r="918" spans="1:9" x14ac:dyDescent="0.2">
      <c r="A918" s="2"/>
      <c r="B918" s="2"/>
      <c r="C918" s="2"/>
      <c r="D918" s="2"/>
      <c r="E918" s="2"/>
      <c r="F918" s="2"/>
      <c r="G918" s="2"/>
      <c r="H918" s="2"/>
      <c r="I918" s="2"/>
    </row>
    <row r="919" spans="1:9" x14ac:dyDescent="0.2">
      <c r="A919" s="2"/>
      <c r="B919" s="2"/>
      <c r="C919" s="2"/>
      <c r="D919" s="2"/>
      <c r="E919" s="2"/>
      <c r="F919" s="2"/>
      <c r="G919" s="2"/>
      <c r="H919" s="2"/>
      <c r="I919" s="2"/>
    </row>
    <row r="920" spans="1:9" x14ac:dyDescent="0.2">
      <c r="A920" s="2"/>
      <c r="B920" s="2"/>
      <c r="C920" s="2"/>
      <c r="D920" s="2"/>
      <c r="E920" s="2"/>
      <c r="F920" s="2"/>
      <c r="G920" s="2"/>
      <c r="H920" s="2"/>
      <c r="I920" s="2"/>
    </row>
    <row r="921" spans="1:9" x14ac:dyDescent="0.2">
      <c r="A921" s="2"/>
      <c r="B921" s="2"/>
      <c r="C921" s="2"/>
      <c r="D921" s="2"/>
      <c r="E921" s="2"/>
      <c r="F921" s="2"/>
      <c r="G921" s="2"/>
      <c r="H921" s="2"/>
      <c r="I921" s="2"/>
    </row>
    <row r="922" spans="1:9" x14ac:dyDescent="0.2">
      <c r="A922" s="2"/>
      <c r="B922" s="2"/>
      <c r="C922" s="2"/>
      <c r="D922" s="2"/>
      <c r="E922" s="2"/>
      <c r="F922" s="2"/>
      <c r="G922" s="2"/>
      <c r="H922" s="2"/>
      <c r="I922" s="2"/>
    </row>
    <row r="923" spans="1:9" x14ac:dyDescent="0.2">
      <c r="A923" s="2"/>
      <c r="B923" s="2"/>
      <c r="C923" s="2"/>
      <c r="D923" s="2"/>
      <c r="E923" s="2"/>
      <c r="F923" s="2"/>
      <c r="G923" s="2"/>
      <c r="H923" s="2"/>
      <c r="I923" s="2"/>
    </row>
    <row r="924" spans="1:9" x14ac:dyDescent="0.2">
      <c r="A924" s="2"/>
      <c r="B924" s="2"/>
      <c r="C924" s="2"/>
      <c r="D924" s="2"/>
      <c r="E924" s="2"/>
      <c r="F924" s="2"/>
      <c r="G924" s="2"/>
      <c r="H924" s="2"/>
      <c r="I924" s="2"/>
    </row>
    <row r="925" spans="1:9" x14ac:dyDescent="0.2">
      <c r="A925" s="2"/>
      <c r="B925" s="2"/>
      <c r="C925" s="2"/>
      <c r="D925" s="2"/>
      <c r="E925" s="2"/>
      <c r="F925" s="2"/>
      <c r="G925" s="2"/>
      <c r="H925" s="2"/>
      <c r="I925" s="2"/>
    </row>
    <row r="926" spans="1:9" x14ac:dyDescent="0.2">
      <c r="A926" s="2"/>
      <c r="B926" s="2"/>
      <c r="C926" s="2"/>
      <c r="D926" s="2"/>
      <c r="E926" s="2"/>
      <c r="F926" s="2"/>
      <c r="G926" s="2"/>
      <c r="H926" s="2"/>
      <c r="I926" s="2"/>
    </row>
    <row r="927" spans="1:9" x14ac:dyDescent="0.2">
      <c r="A927" s="2"/>
      <c r="B927" s="2"/>
      <c r="C927" s="2"/>
      <c r="D927" s="2"/>
      <c r="E927" s="2"/>
      <c r="F927" s="2"/>
      <c r="G927" s="2"/>
      <c r="H927" s="2"/>
      <c r="I927" s="2"/>
    </row>
    <row r="928" spans="1:9" x14ac:dyDescent="0.2">
      <c r="A928" s="2"/>
      <c r="B928" s="2"/>
      <c r="C928" s="2"/>
      <c r="D928" s="2"/>
      <c r="E928" s="2"/>
      <c r="F928" s="2"/>
      <c r="G928" s="2"/>
      <c r="H928" s="2"/>
      <c r="I928" s="2"/>
    </row>
    <row r="929" spans="1:9" x14ac:dyDescent="0.2">
      <c r="A929" s="2"/>
      <c r="B929" s="2"/>
      <c r="C929" s="2"/>
      <c r="D929" s="2"/>
      <c r="E929" s="2"/>
      <c r="F929" s="2"/>
      <c r="G929" s="2"/>
      <c r="H929" s="2"/>
      <c r="I929" s="2"/>
    </row>
    <row r="930" spans="1:9" x14ac:dyDescent="0.2">
      <c r="A930" s="2"/>
      <c r="B930" s="2"/>
      <c r="C930" s="2"/>
      <c r="D930" s="2"/>
      <c r="E930" s="2"/>
      <c r="F930" s="2"/>
      <c r="G930" s="2"/>
      <c r="H930" s="2"/>
      <c r="I930" s="2"/>
    </row>
    <row r="931" spans="1:9" x14ac:dyDescent="0.2">
      <c r="A931" s="2"/>
      <c r="B931" s="2"/>
      <c r="C931" s="2"/>
      <c r="D931" s="2"/>
      <c r="E931" s="2"/>
      <c r="F931" s="2"/>
      <c r="G931" s="2"/>
      <c r="H931" s="2"/>
      <c r="I931" s="2"/>
    </row>
    <row r="932" spans="1:9" x14ac:dyDescent="0.2">
      <c r="A932" s="2"/>
      <c r="B932" s="2"/>
      <c r="C932" s="2"/>
      <c r="D932" s="2"/>
      <c r="E932" s="2"/>
      <c r="F932" s="2"/>
      <c r="G932" s="2"/>
      <c r="H932" s="2"/>
      <c r="I932" s="2"/>
    </row>
    <row r="933" spans="1:9" x14ac:dyDescent="0.2">
      <c r="A933" s="2"/>
      <c r="B933" s="2"/>
      <c r="C933" s="2"/>
      <c r="D933" s="2"/>
      <c r="E933" s="2"/>
      <c r="F933" s="2"/>
      <c r="G933" s="2"/>
      <c r="H933" s="2"/>
      <c r="I933" s="2"/>
    </row>
    <row r="934" spans="1:9" x14ac:dyDescent="0.2">
      <c r="A934" s="2"/>
      <c r="B934" s="2"/>
      <c r="C934" s="2"/>
      <c r="D934" s="2"/>
      <c r="E934" s="2"/>
      <c r="F934" s="2"/>
      <c r="G934" s="2"/>
      <c r="H934" s="2"/>
      <c r="I934" s="2"/>
    </row>
    <row r="935" spans="1:9" x14ac:dyDescent="0.2">
      <c r="A935" s="2"/>
      <c r="B935" s="2"/>
      <c r="C935" s="2"/>
      <c r="D935" s="2"/>
      <c r="E935" s="2"/>
      <c r="F935" s="2"/>
      <c r="G935" s="2"/>
      <c r="H935" s="2"/>
      <c r="I935" s="2"/>
    </row>
    <row r="936" spans="1:9" x14ac:dyDescent="0.2">
      <c r="A936" s="2"/>
      <c r="B936" s="2"/>
      <c r="C936" s="2"/>
      <c r="D936" s="2"/>
      <c r="E936" s="2"/>
      <c r="F936" s="2"/>
      <c r="G936" s="2"/>
      <c r="H936" s="2"/>
      <c r="I936" s="2"/>
    </row>
    <row r="937" spans="1:9" x14ac:dyDescent="0.2">
      <c r="A937" s="2"/>
      <c r="B937" s="2"/>
      <c r="C937" s="2"/>
      <c r="D937" s="2"/>
      <c r="E937" s="2"/>
      <c r="F937" s="2"/>
      <c r="G937" s="2"/>
      <c r="H937" s="2"/>
      <c r="I937" s="2"/>
    </row>
    <row r="938" spans="1:9" x14ac:dyDescent="0.2">
      <c r="A938" s="2"/>
      <c r="B938" s="2"/>
      <c r="C938" s="2"/>
      <c r="D938" s="2"/>
      <c r="E938" s="2"/>
      <c r="F938" s="2"/>
      <c r="G938" s="2"/>
      <c r="H938" s="2"/>
      <c r="I938" s="2"/>
    </row>
    <row r="939" spans="1:9" x14ac:dyDescent="0.2">
      <c r="A939" s="2"/>
      <c r="B939" s="2"/>
      <c r="C939" s="2"/>
      <c r="D939" s="2"/>
      <c r="E939" s="2"/>
      <c r="F939" s="2"/>
      <c r="G939" s="2"/>
      <c r="H939" s="2"/>
      <c r="I939" s="2"/>
    </row>
    <row r="940" spans="1:9" x14ac:dyDescent="0.2">
      <c r="A940" s="2"/>
      <c r="B940" s="2"/>
      <c r="C940" s="2"/>
      <c r="D940" s="2"/>
      <c r="E940" s="2"/>
      <c r="F940" s="2"/>
      <c r="G940" s="2"/>
      <c r="H940" s="2"/>
      <c r="I940" s="2"/>
    </row>
    <row r="941" spans="1:9" x14ac:dyDescent="0.2">
      <c r="A941" s="2"/>
      <c r="B941" s="2"/>
      <c r="C941" s="2"/>
      <c r="D941" s="2"/>
      <c r="E941" s="2"/>
      <c r="F941" s="2"/>
      <c r="G941" s="2"/>
      <c r="H941" s="2"/>
      <c r="I941" s="2"/>
    </row>
    <row r="942" spans="1:9" x14ac:dyDescent="0.2">
      <c r="A942" s="2"/>
      <c r="B942" s="2"/>
      <c r="C942" s="2"/>
      <c r="D942" s="2"/>
      <c r="E942" s="2"/>
      <c r="F942" s="2"/>
      <c r="G942" s="2"/>
      <c r="H942" s="2"/>
      <c r="I942" s="2"/>
    </row>
    <row r="943" spans="1:9" x14ac:dyDescent="0.2">
      <c r="A943" s="2"/>
      <c r="B943" s="2"/>
      <c r="C943" s="2"/>
      <c r="D943" s="2"/>
      <c r="E943" s="2"/>
      <c r="F943" s="2"/>
      <c r="G943" s="2"/>
      <c r="H943" s="2"/>
      <c r="I943" s="2"/>
    </row>
    <row r="944" spans="1:9" x14ac:dyDescent="0.2">
      <c r="A944" s="2"/>
      <c r="B944" s="2"/>
      <c r="C944" s="2"/>
      <c r="D944" s="2"/>
      <c r="E944" s="2"/>
      <c r="F944" s="2"/>
      <c r="G944" s="2"/>
      <c r="H944" s="2"/>
      <c r="I944" s="2"/>
    </row>
    <row r="945" spans="1:9" x14ac:dyDescent="0.2">
      <c r="A945" s="2"/>
      <c r="B945" s="2"/>
      <c r="C945" s="2"/>
      <c r="D945" s="2"/>
      <c r="E945" s="2"/>
      <c r="F945" s="2"/>
      <c r="G945" s="2"/>
      <c r="H945" s="2"/>
      <c r="I945" s="2"/>
    </row>
    <row r="946" spans="1:9" x14ac:dyDescent="0.2">
      <c r="A946" s="2"/>
      <c r="B946" s="2"/>
      <c r="C946" s="2"/>
      <c r="D946" s="2"/>
      <c r="E946" s="2"/>
      <c r="F946" s="2"/>
      <c r="G946" s="2"/>
      <c r="H946" s="2"/>
      <c r="I946" s="2"/>
    </row>
    <row r="947" spans="1:9" x14ac:dyDescent="0.2">
      <c r="A947" s="2"/>
      <c r="B947" s="2"/>
      <c r="C947" s="2"/>
      <c r="D947" s="2"/>
      <c r="E947" s="2"/>
      <c r="F947" s="2"/>
      <c r="G947" s="2"/>
      <c r="H947" s="2"/>
      <c r="I947" s="2"/>
    </row>
    <row r="948" spans="1:9" x14ac:dyDescent="0.2">
      <c r="A948" s="2"/>
      <c r="B948" s="2"/>
      <c r="C948" s="2"/>
      <c r="D948" s="2"/>
      <c r="E948" s="2"/>
      <c r="F948" s="2"/>
      <c r="G948" s="2"/>
      <c r="H948" s="2"/>
      <c r="I948" s="2"/>
    </row>
    <row r="949" spans="1:9" x14ac:dyDescent="0.2">
      <c r="A949" s="2"/>
      <c r="B949" s="2"/>
      <c r="C949" s="2"/>
      <c r="D949" s="2"/>
      <c r="E949" s="2"/>
      <c r="F949" s="2"/>
      <c r="G949" s="2"/>
      <c r="H949" s="2"/>
      <c r="I949" s="2"/>
    </row>
    <row r="950" spans="1:9" x14ac:dyDescent="0.2">
      <c r="A950" s="2"/>
      <c r="B950" s="2"/>
      <c r="C950" s="2"/>
      <c r="D950" s="2"/>
      <c r="E950" s="2"/>
      <c r="F950" s="2"/>
      <c r="G950" s="2"/>
      <c r="H950" s="2"/>
      <c r="I950" s="2"/>
    </row>
    <row r="951" spans="1:9" x14ac:dyDescent="0.2">
      <c r="A951" s="2"/>
      <c r="B951" s="2"/>
      <c r="C951" s="2"/>
      <c r="D951" s="2"/>
      <c r="E951" s="2"/>
      <c r="F951" s="2"/>
      <c r="G951" s="2"/>
      <c r="H951" s="2"/>
      <c r="I951" s="2"/>
    </row>
    <row r="952" spans="1:9" x14ac:dyDescent="0.2">
      <c r="A952" s="2"/>
      <c r="B952" s="2"/>
      <c r="C952" s="2"/>
      <c r="D952" s="2"/>
      <c r="E952" s="2"/>
      <c r="F952" s="2"/>
      <c r="G952" s="2"/>
      <c r="H952" s="2"/>
      <c r="I952" s="2"/>
    </row>
    <row r="953" spans="1:9" x14ac:dyDescent="0.2">
      <c r="A953" s="2"/>
      <c r="B953" s="2"/>
      <c r="C953" s="2"/>
      <c r="D953" s="2"/>
      <c r="E953" s="2"/>
      <c r="F953" s="2"/>
      <c r="G953" s="2"/>
      <c r="H953" s="2"/>
      <c r="I953" s="2"/>
    </row>
    <row r="954" spans="1:9" x14ac:dyDescent="0.2">
      <c r="A954" s="2"/>
      <c r="B954" s="2"/>
      <c r="C954" s="2"/>
      <c r="D954" s="2"/>
      <c r="E954" s="2"/>
      <c r="F954" s="2"/>
      <c r="G954" s="2"/>
      <c r="H954" s="2"/>
      <c r="I954" s="2"/>
    </row>
    <row r="955" spans="1:9" x14ac:dyDescent="0.2">
      <c r="A955" s="2"/>
      <c r="B955" s="2"/>
      <c r="C955" s="2"/>
      <c r="D955" s="2"/>
      <c r="E955" s="2"/>
      <c r="F955" s="2"/>
      <c r="G955" s="2"/>
      <c r="H955" s="2"/>
      <c r="I955" s="2"/>
    </row>
    <row r="956" spans="1:9" x14ac:dyDescent="0.2">
      <c r="A956" s="2"/>
      <c r="B956" s="2"/>
      <c r="C956" s="2"/>
      <c r="D956" s="2"/>
      <c r="E956" s="2"/>
      <c r="F956" s="2"/>
      <c r="G956" s="2"/>
      <c r="H956" s="2"/>
      <c r="I956" s="2"/>
    </row>
    <row r="957" spans="1:9" x14ac:dyDescent="0.2">
      <c r="A957" s="2"/>
      <c r="B957" s="2"/>
      <c r="C957" s="2"/>
      <c r="D957" s="2"/>
      <c r="E957" s="2"/>
      <c r="F957" s="2"/>
      <c r="G957" s="2"/>
      <c r="H957" s="2"/>
      <c r="I957" s="2"/>
    </row>
    <row r="958" spans="1:9" x14ac:dyDescent="0.2">
      <c r="A958" s="2"/>
      <c r="B958" s="2"/>
      <c r="C958" s="2"/>
      <c r="D958" s="2"/>
      <c r="E958" s="2"/>
      <c r="F958" s="2"/>
      <c r="G958" s="2"/>
      <c r="H958" s="2"/>
      <c r="I958" s="2"/>
    </row>
    <row r="959" spans="1:9" x14ac:dyDescent="0.2">
      <c r="A959" s="2"/>
      <c r="B959" s="2"/>
      <c r="C959" s="2"/>
      <c r="D959" s="2"/>
      <c r="E959" s="2"/>
      <c r="F959" s="2"/>
      <c r="G959" s="2"/>
      <c r="H959" s="2"/>
      <c r="I959" s="2"/>
    </row>
    <row r="960" spans="1:9" x14ac:dyDescent="0.2">
      <c r="A960" s="2"/>
      <c r="B960" s="2"/>
      <c r="C960" s="2"/>
      <c r="D960" s="2"/>
      <c r="E960" s="2"/>
      <c r="F960" s="2"/>
      <c r="G960" s="2"/>
      <c r="H960" s="2"/>
      <c r="I960" s="2"/>
    </row>
    <row r="961" spans="1:9" x14ac:dyDescent="0.2">
      <c r="A961" s="2"/>
      <c r="B961" s="2"/>
      <c r="C961" s="2"/>
      <c r="D961" s="2"/>
      <c r="E961" s="2"/>
      <c r="F961" s="2"/>
      <c r="G961" s="2"/>
      <c r="H961" s="2"/>
      <c r="I961" s="2"/>
    </row>
    <row r="962" spans="1:9" x14ac:dyDescent="0.2">
      <c r="A962" s="2"/>
      <c r="B962" s="2"/>
      <c r="C962" s="2"/>
      <c r="D962" s="2"/>
      <c r="E962" s="2"/>
      <c r="F962" s="2"/>
      <c r="G962" s="2"/>
      <c r="H962" s="2"/>
      <c r="I962" s="2"/>
    </row>
    <row r="963" spans="1:9" x14ac:dyDescent="0.2">
      <c r="A963" s="2"/>
      <c r="B963" s="2"/>
      <c r="C963" s="2"/>
      <c r="D963" s="2"/>
      <c r="E963" s="2"/>
      <c r="F963" s="2"/>
      <c r="G963" s="2"/>
      <c r="H963" s="2"/>
      <c r="I963" s="2"/>
    </row>
    <row r="964" spans="1:9" x14ac:dyDescent="0.2">
      <c r="A964" s="2"/>
      <c r="B964" s="2"/>
      <c r="C964" s="2"/>
      <c r="D964" s="2"/>
      <c r="E964" s="2"/>
      <c r="F964" s="2"/>
      <c r="G964" s="2"/>
      <c r="H964" s="2"/>
      <c r="I964" s="2"/>
    </row>
    <row r="965" spans="1:9" x14ac:dyDescent="0.2">
      <c r="A965" s="2"/>
      <c r="B965" s="2"/>
      <c r="C965" s="2"/>
      <c r="D965" s="2"/>
      <c r="E965" s="2"/>
      <c r="F965" s="2"/>
      <c r="G965" s="2"/>
      <c r="H965" s="2"/>
      <c r="I965" s="2"/>
    </row>
    <row r="966" spans="1:9" x14ac:dyDescent="0.2">
      <c r="A966" s="2"/>
      <c r="B966" s="2"/>
      <c r="C966" s="2"/>
      <c r="D966" s="2"/>
      <c r="E966" s="2"/>
      <c r="F966" s="2"/>
      <c r="G966" s="2"/>
      <c r="H966" s="2"/>
      <c r="I966" s="2"/>
    </row>
    <row r="967" spans="1:9" x14ac:dyDescent="0.2">
      <c r="A967" s="2"/>
      <c r="B967" s="2"/>
      <c r="C967" s="2"/>
      <c r="D967" s="2"/>
      <c r="E967" s="2"/>
      <c r="F967" s="2"/>
      <c r="G967" s="2"/>
      <c r="H967" s="2"/>
      <c r="I967" s="2"/>
    </row>
    <row r="968" spans="1:9" x14ac:dyDescent="0.2">
      <c r="A968" s="2"/>
      <c r="B968" s="2"/>
      <c r="C968" s="2"/>
      <c r="D968" s="2"/>
      <c r="E968" s="2"/>
      <c r="F968" s="2"/>
      <c r="G968" s="2"/>
      <c r="H968" s="2"/>
      <c r="I968" s="2"/>
    </row>
    <row r="969" spans="1:9" x14ac:dyDescent="0.2">
      <c r="A969" s="2"/>
      <c r="B969" s="2"/>
      <c r="C969" s="2"/>
      <c r="D969" s="2"/>
      <c r="E969" s="2"/>
      <c r="F969" s="2"/>
      <c r="G969" s="2"/>
      <c r="H969" s="2"/>
      <c r="I969" s="2"/>
    </row>
    <row r="970" spans="1:9" x14ac:dyDescent="0.2">
      <c r="A970" s="2"/>
      <c r="B970" s="2"/>
      <c r="C970" s="2"/>
      <c r="D970" s="2"/>
      <c r="E970" s="2"/>
      <c r="F970" s="2"/>
      <c r="G970" s="2"/>
      <c r="H970" s="2"/>
      <c r="I970" s="2"/>
    </row>
    <row r="971" spans="1:9" x14ac:dyDescent="0.2">
      <c r="A971" s="2"/>
      <c r="B971" s="2"/>
      <c r="C971" s="2"/>
      <c r="D971" s="2"/>
      <c r="E971" s="2"/>
      <c r="F971" s="2"/>
      <c r="G971" s="2"/>
      <c r="H971" s="2"/>
      <c r="I971" s="2"/>
    </row>
    <row r="972" spans="1:9" x14ac:dyDescent="0.2">
      <c r="A972" s="2"/>
      <c r="B972" s="2"/>
      <c r="C972" s="2"/>
      <c r="D972" s="2"/>
      <c r="E972" s="2"/>
      <c r="F972" s="2"/>
      <c r="G972" s="2"/>
      <c r="H972" s="2"/>
      <c r="I972" s="2"/>
    </row>
    <row r="973" spans="1:9" x14ac:dyDescent="0.2">
      <c r="A973" s="2"/>
      <c r="B973" s="2"/>
      <c r="C973" s="2"/>
      <c r="D973" s="2"/>
      <c r="E973" s="2"/>
      <c r="F973" s="2"/>
      <c r="G973" s="2"/>
      <c r="H973" s="2"/>
      <c r="I973" s="2"/>
    </row>
    <row r="974" spans="1:9" x14ac:dyDescent="0.2">
      <c r="A974" s="2"/>
      <c r="B974" s="2"/>
      <c r="C974" s="2"/>
      <c r="D974" s="2"/>
      <c r="E974" s="2"/>
      <c r="F974" s="2"/>
      <c r="G974" s="2"/>
      <c r="H974" s="2"/>
      <c r="I974" s="2"/>
    </row>
    <row r="975" spans="1:9" x14ac:dyDescent="0.2">
      <c r="A975" s="2"/>
      <c r="B975" s="2"/>
      <c r="C975" s="2"/>
      <c r="D975" s="2"/>
      <c r="E975" s="2"/>
      <c r="F975" s="2"/>
      <c r="G975" s="2"/>
      <c r="H975" s="2"/>
      <c r="I975" s="2"/>
    </row>
    <row r="976" spans="1:9" x14ac:dyDescent="0.2">
      <c r="A976" s="2"/>
      <c r="B976" s="2"/>
      <c r="C976" s="2"/>
      <c r="D976" s="2"/>
      <c r="E976" s="2"/>
      <c r="F976" s="2"/>
      <c r="G976" s="2"/>
      <c r="H976" s="2"/>
      <c r="I976" s="2"/>
    </row>
    <row r="977" spans="1:9" x14ac:dyDescent="0.2">
      <c r="A977" s="2"/>
      <c r="B977" s="2"/>
      <c r="C977" s="2"/>
      <c r="D977" s="2"/>
      <c r="E977" s="2"/>
      <c r="F977" s="2"/>
      <c r="G977" s="2"/>
      <c r="H977" s="2"/>
      <c r="I977" s="2"/>
    </row>
    <row r="978" spans="1:9" x14ac:dyDescent="0.2">
      <c r="A978" s="2"/>
      <c r="B978" s="2"/>
      <c r="C978" s="2"/>
      <c r="D978" s="2"/>
      <c r="E978" s="2"/>
      <c r="F978" s="2"/>
      <c r="G978" s="2"/>
      <c r="H978" s="2"/>
      <c r="I978" s="2"/>
    </row>
    <row r="979" spans="1:9" x14ac:dyDescent="0.2">
      <c r="A979" s="2"/>
      <c r="B979" s="2"/>
      <c r="C979" s="2"/>
      <c r="D979" s="2"/>
      <c r="E979" s="2"/>
      <c r="F979" s="2"/>
      <c r="G979" s="2"/>
      <c r="H979" s="2"/>
      <c r="I979" s="2"/>
    </row>
    <row r="980" spans="1:9" x14ac:dyDescent="0.2">
      <c r="A980" s="2"/>
      <c r="B980" s="2"/>
      <c r="C980" s="2"/>
      <c r="D980" s="2"/>
      <c r="E980" s="2"/>
      <c r="F980" s="2"/>
      <c r="G980" s="2"/>
      <c r="H980" s="2"/>
      <c r="I980" s="2"/>
    </row>
    <row r="981" spans="1:9" x14ac:dyDescent="0.2">
      <c r="A981" s="2"/>
      <c r="B981" s="2"/>
      <c r="C981" s="2"/>
      <c r="D981" s="2"/>
      <c r="E981" s="2"/>
      <c r="F981" s="2"/>
      <c r="G981" s="2"/>
      <c r="H981" s="2"/>
      <c r="I981" s="2"/>
    </row>
    <row r="982" spans="1:9" x14ac:dyDescent="0.2">
      <c r="A982" s="2"/>
      <c r="B982" s="2"/>
      <c r="C982" s="2"/>
      <c r="D982" s="2"/>
      <c r="E982" s="2"/>
      <c r="F982" s="2"/>
      <c r="G982" s="2"/>
      <c r="H982" s="2"/>
      <c r="I982" s="2"/>
    </row>
    <row r="983" spans="1:9" x14ac:dyDescent="0.2">
      <c r="A983" s="2"/>
      <c r="B983" s="2"/>
      <c r="C983" s="2"/>
      <c r="D983" s="2"/>
      <c r="E983" s="2"/>
      <c r="F983" s="2"/>
      <c r="G983" s="2"/>
      <c r="H983" s="2"/>
      <c r="I983" s="2"/>
    </row>
    <row r="984" spans="1:9" x14ac:dyDescent="0.2">
      <c r="A984" s="2"/>
      <c r="B984" s="2"/>
      <c r="C984" s="2"/>
      <c r="D984" s="2"/>
      <c r="E984" s="2"/>
      <c r="F984" s="2"/>
      <c r="G984" s="2"/>
      <c r="H984" s="2"/>
      <c r="I984" s="2"/>
    </row>
    <row r="985" spans="1:9" x14ac:dyDescent="0.2">
      <c r="A985" s="2"/>
      <c r="B985" s="2"/>
      <c r="C985" s="2"/>
      <c r="D985" s="2"/>
      <c r="E985" s="2"/>
      <c r="F985" s="2"/>
      <c r="G985" s="2"/>
      <c r="H985" s="2"/>
      <c r="I985" s="2"/>
    </row>
    <row r="986" spans="1:9" x14ac:dyDescent="0.2">
      <c r="A986" s="2"/>
      <c r="B986" s="2"/>
      <c r="C986" s="2"/>
      <c r="D986" s="2"/>
      <c r="E986" s="2"/>
      <c r="F986" s="2"/>
      <c r="G986" s="2"/>
      <c r="H986" s="2"/>
      <c r="I986" s="2"/>
    </row>
    <row r="987" spans="1:9" x14ac:dyDescent="0.2">
      <c r="A987" s="2"/>
      <c r="B987" s="2"/>
      <c r="C987" s="2"/>
      <c r="D987" s="2"/>
      <c r="E987" s="2"/>
      <c r="F987" s="2"/>
      <c r="G987" s="2"/>
      <c r="H987" s="2"/>
      <c r="I987" s="2"/>
    </row>
    <row r="988" spans="1:9" x14ac:dyDescent="0.2">
      <c r="A988" s="2"/>
      <c r="B988" s="2"/>
      <c r="C988" s="2"/>
      <c r="D988" s="2"/>
      <c r="E988" s="2"/>
      <c r="F988" s="2"/>
      <c r="G988" s="2"/>
      <c r="H988" s="2"/>
      <c r="I988" s="2"/>
    </row>
    <row r="989" spans="1:9" x14ac:dyDescent="0.2">
      <c r="A989" s="2"/>
      <c r="B989" s="2"/>
      <c r="C989" s="2"/>
      <c r="D989" s="2"/>
      <c r="E989" s="2"/>
      <c r="F989" s="2"/>
      <c r="G989" s="2"/>
      <c r="H989" s="2"/>
      <c r="I989" s="2"/>
    </row>
    <row r="990" spans="1:9" x14ac:dyDescent="0.2">
      <c r="A990" s="2"/>
      <c r="B990" s="2"/>
      <c r="C990" s="2"/>
      <c r="D990" s="2"/>
      <c r="E990" s="2"/>
      <c r="F990" s="2"/>
      <c r="G990" s="2"/>
      <c r="H990" s="2"/>
      <c r="I990" s="2"/>
    </row>
    <row r="991" spans="1:9" x14ac:dyDescent="0.2">
      <c r="A991" s="2"/>
      <c r="B991" s="2"/>
      <c r="C991" s="2"/>
      <c r="D991" s="2"/>
      <c r="E991" s="2"/>
      <c r="F991" s="2"/>
      <c r="G991" s="2"/>
      <c r="H991" s="2"/>
      <c r="I991" s="2"/>
    </row>
    <row r="992" spans="1:9" x14ac:dyDescent="0.2">
      <c r="A992" s="2"/>
      <c r="B992" s="2"/>
      <c r="C992" s="2"/>
      <c r="D992" s="2"/>
      <c r="E992" s="2"/>
      <c r="F992" s="2"/>
      <c r="G992" s="2"/>
      <c r="H992" s="2"/>
      <c r="I992" s="2"/>
    </row>
    <row r="993" spans="1:9" x14ac:dyDescent="0.2">
      <c r="A993" s="2"/>
      <c r="B993" s="2"/>
      <c r="C993" s="2"/>
      <c r="D993" s="2"/>
      <c r="E993" s="2"/>
      <c r="F993" s="2"/>
      <c r="G993" s="2"/>
      <c r="H993" s="2"/>
      <c r="I993" s="2"/>
    </row>
    <row r="994" spans="1:9" x14ac:dyDescent="0.2">
      <c r="A994" s="2"/>
      <c r="B994" s="2"/>
      <c r="C994" s="2"/>
      <c r="D994" s="2"/>
      <c r="E994" s="2"/>
      <c r="F994" s="2"/>
      <c r="G994" s="2"/>
      <c r="H994" s="2"/>
      <c r="I994" s="2"/>
    </row>
    <row r="995" spans="1:9" x14ac:dyDescent="0.2">
      <c r="A995" s="2"/>
      <c r="B995" s="2"/>
      <c r="C995" s="2"/>
      <c r="D995" s="2"/>
      <c r="E995" s="2"/>
      <c r="F995" s="2"/>
      <c r="G995" s="2"/>
      <c r="H995" s="2"/>
      <c r="I995" s="2"/>
    </row>
    <row r="996" spans="1:9" x14ac:dyDescent="0.2">
      <c r="A996" s="2"/>
      <c r="B996" s="2"/>
      <c r="C996" s="2"/>
      <c r="D996" s="2"/>
      <c r="E996" s="2"/>
      <c r="F996" s="2"/>
      <c r="G996" s="2"/>
      <c r="H996" s="2"/>
      <c r="I996" s="2"/>
    </row>
    <row r="997" spans="1:9" x14ac:dyDescent="0.2">
      <c r="A997" s="2"/>
      <c r="B997" s="2"/>
      <c r="C997" s="2"/>
      <c r="D997" s="2"/>
      <c r="E997" s="2"/>
      <c r="F997" s="2"/>
      <c r="G997" s="2"/>
      <c r="H997" s="2"/>
      <c r="I997" s="2"/>
    </row>
    <row r="998" spans="1:9" x14ac:dyDescent="0.2">
      <c r="A998" s="2"/>
      <c r="B998" s="2"/>
      <c r="C998" s="2"/>
      <c r="D998" s="2"/>
      <c r="E998" s="2"/>
      <c r="F998" s="2"/>
      <c r="G998" s="2"/>
      <c r="H998" s="2"/>
      <c r="I998" s="2"/>
    </row>
    <row r="999" spans="1:9" x14ac:dyDescent="0.2">
      <c r="A999" s="2"/>
      <c r="B999" s="2"/>
      <c r="C999" s="2"/>
      <c r="D999" s="2"/>
      <c r="E999" s="2"/>
      <c r="F999" s="2"/>
      <c r="G999" s="2"/>
      <c r="H999" s="2"/>
      <c r="I999" s="2"/>
    </row>
    <row r="1000" spans="1:9" x14ac:dyDescent="0.2">
      <c r="A1000" s="2"/>
      <c r="B1000" s="2"/>
      <c r="C1000" s="2"/>
      <c r="D1000" s="2"/>
      <c r="E1000" s="2"/>
      <c r="F1000" s="2"/>
      <c r="G1000" s="2"/>
      <c r="H1000" s="2"/>
      <c r="I1000" s="2"/>
    </row>
  </sheetData>
  <mergeCells count="1">
    <mergeCell ref="A1:G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99"/>
  <sheetViews>
    <sheetView workbookViewId="0">
      <selection sqref="A1:G1"/>
    </sheetView>
  </sheetViews>
  <sheetFormatPr baseColWidth="10" defaultColWidth="11.28515625" defaultRowHeight="15" customHeight="1" x14ac:dyDescent="0.2"/>
  <cols>
    <col min="1" max="1" width="23.5703125" customWidth="1"/>
    <col min="2" max="8" width="10.7109375" customWidth="1"/>
    <col min="9" max="9" width="58.42578125" customWidth="1"/>
    <col min="10" max="10" width="18.42578125" customWidth="1"/>
    <col min="11" max="26" width="10.5703125" customWidth="1"/>
  </cols>
  <sheetData>
    <row r="1" spans="1:10" ht="28" customHeight="1" x14ac:dyDescent="0.2">
      <c r="A1" s="57" t="s">
        <v>5252</v>
      </c>
      <c r="B1" s="59"/>
      <c r="C1" s="59"/>
      <c r="D1" s="59"/>
      <c r="E1" s="59"/>
      <c r="F1" s="59"/>
      <c r="G1" s="59"/>
      <c r="H1" s="23"/>
      <c r="I1" s="23"/>
    </row>
    <row r="2" spans="1:10" ht="15.75" customHeight="1" x14ac:dyDescent="0.2">
      <c r="A2" s="24" t="s">
        <v>0</v>
      </c>
      <c r="B2" s="24" t="s">
        <v>1</v>
      </c>
      <c r="C2" s="24" t="s">
        <v>2</v>
      </c>
      <c r="D2" s="24" t="s">
        <v>3</v>
      </c>
      <c r="E2" s="24" t="s">
        <v>4</v>
      </c>
      <c r="F2" s="24" t="s">
        <v>5</v>
      </c>
      <c r="G2" s="24" t="s">
        <v>6</v>
      </c>
      <c r="H2" s="24" t="s">
        <v>181</v>
      </c>
      <c r="I2" s="25" t="s">
        <v>8</v>
      </c>
      <c r="J2" s="39" t="s">
        <v>3155</v>
      </c>
    </row>
    <row r="3" spans="1:10" ht="15.75" customHeight="1" x14ac:dyDescent="0.2">
      <c r="A3" s="24" t="s">
        <v>1875</v>
      </c>
      <c r="B3" s="24">
        <v>325.21848792712098</v>
      </c>
      <c r="C3" s="24">
        <v>-7.9297549227392299</v>
      </c>
      <c r="D3" s="24">
        <v>0.57611696889543496</v>
      </c>
      <c r="E3" s="24">
        <v>-13.764140531987101</v>
      </c>
      <c r="F3" s="26">
        <v>4.1883554679351598E-43</v>
      </c>
      <c r="G3" s="26">
        <v>8.7015597859633598E-38</v>
      </c>
      <c r="H3" s="27" t="str">
        <f>VLOOKUP(A3,TableS10!A:J,8,FALSE)</f>
        <v>-</v>
      </c>
      <c r="I3" s="24" t="s">
        <v>1876</v>
      </c>
      <c r="J3" t="str">
        <f>VLOOKUP(A3,TableS10!A:J,10,FALSE)</f>
        <v>GO:0005575,GO:0005622,GO:0005623,GO:0005737,GO:0005783,GO:0005789,GO:0006464,GO:0006486,GO:0006487,GO:0006807,GO:0008150,GO:0008152,GO:0008250,GO:0009058,GO:0009059,GO:0009100,GO:0009101,GO:0009987,GO:0012505,GO:0016020,GO:0018193,GO:0018196,GO:0018279,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v>
      </c>
    </row>
    <row r="4" spans="1:10" ht="15.75" customHeight="1" x14ac:dyDescent="0.2">
      <c r="A4" s="24" t="s">
        <v>1877</v>
      </c>
      <c r="B4" s="24">
        <v>156.55173564425499</v>
      </c>
      <c r="C4" s="24">
        <v>-5.22268008144846</v>
      </c>
      <c r="D4" s="24">
        <v>0.38402773236992499</v>
      </c>
      <c r="E4" s="24">
        <v>-13.599747208927001</v>
      </c>
      <c r="F4" s="26">
        <v>4.0181986488358299E-42</v>
      </c>
      <c r="G4" s="26">
        <v>4.1740243924376902E-37</v>
      </c>
      <c r="H4" s="27" t="str">
        <f>VLOOKUP(A4,TableS10!A:J,8,FALSE)</f>
        <v>-</v>
      </c>
      <c r="I4" s="24" t="s">
        <v>1878</v>
      </c>
      <c r="J4" s="34" t="str">
        <f>VLOOKUP(A4,TableS10!A:J,10,FALSE)</f>
        <v>-</v>
      </c>
    </row>
    <row r="5" spans="1:10" ht="15.75" customHeight="1" x14ac:dyDescent="0.2">
      <c r="A5" s="24" t="s">
        <v>1879</v>
      </c>
      <c r="B5" s="24">
        <v>501.65481218152001</v>
      </c>
      <c r="C5" s="24">
        <v>-12.5104314283173</v>
      </c>
      <c r="D5" s="24">
        <v>1.2341780671988001</v>
      </c>
      <c r="E5" s="24">
        <v>-10.136650262074401</v>
      </c>
      <c r="F5" s="26">
        <v>3.7990383296529998E-24</v>
      </c>
      <c r="G5" s="26">
        <v>1.97318251803847E-19</v>
      </c>
      <c r="H5" s="27" t="str">
        <f>VLOOKUP(A5,TableS10!A:J,8,FALSE)</f>
        <v>-</v>
      </c>
      <c r="I5" s="24" t="s">
        <v>10</v>
      </c>
      <c r="J5" s="34" t="str">
        <f>VLOOKUP(A5,TableS10!A:J,10,FALSE)</f>
        <v>-</v>
      </c>
    </row>
    <row r="6" spans="1:10" ht="15.75" customHeight="1" x14ac:dyDescent="0.2">
      <c r="A6" s="24" t="s">
        <v>1880</v>
      </c>
      <c r="B6" s="24">
        <v>339.445375655916</v>
      </c>
      <c r="C6" s="24">
        <v>-3.10936203948682</v>
      </c>
      <c r="D6" s="24">
        <v>0.310899709725724</v>
      </c>
      <c r="E6" s="24">
        <v>-10.001173826215201</v>
      </c>
      <c r="F6" s="26">
        <v>1.5060119735666801E-23</v>
      </c>
      <c r="G6" s="26">
        <v>6.2576604716064003E-19</v>
      </c>
      <c r="H6" s="27" t="str">
        <f>VLOOKUP(A6,TableS10!A:J,8,FALSE)</f>
        <v>K22078,K01194</v>
      </c>
      <c r="I6" s="24" t="s">
        <v>1881</v>
      </c>
      <c r="J6" s="34" t="str">
        <f>VLOOKUP(A6,TableS10!A:J,10,FALSE)</f>
        <v>-</v>
      </c>
    </row>
    <row r="7" spans="1:10" ht="15.75" customHeight="1" x14ac:dyDescent="0.2">
      <c r="A7" s="24" t="s">
        <v>1882</v>
      </c>
      <c r="B7" s="24">
        <v>442.41089621135501</v>
      </c>
      <c r="C7" s="24">
        <v>-12.329613488547199</v>
      </c>
      <c r="D7" s="24">
        <v>1.2389978035626401</v>
      </c>
      <c r="E7" s="24">
        <v>-9.9512795366499809</v>
      </c>
      <c r="F7" s="26">
        <v>2.48961319034073E-23</v>
      </c>
      <c r="G7" s="26">
        <v>8.6205346328738202E-19</v>
      </c>
      <c r="H7" s="27" t="str">
        <f>VLOOKUP(A7,TableS10!A:J,8,FALSE)</f>
        <v>-</v>
      </c>
      <c r="I7" s="24" t="s">
        <v>10</v>
      </c>
      <c r="J7" s="34" t="str">
        <f>VLOOKUP(A7,TableS10!A:J,10,FALSE)</f>
        <v>-</v>
      </c>
    </row>
    <row r="8" spans="1:10" ht="15.75" customHeight="1" x14ac:dyDescent="0.2">
      <c r="A8" s="24" t="s">
        <v>1883</v>
      </c>
      <c r="B8" s="24">
        <v>123.215559955738</v>
      </c>
      <c r="C8" s="24">
        <v>-5.8034442476047099</v>
      </c>
      <c r="D8" s="24">
        <v>0.59054677582104098</v>
      </c>
      <c r="E8" s="24">
        <v>-9.8272388999773099</v>
      </c>
      <c r="F8" s="26">
        <v>8.5942740594354503E-23</v>
      </c>
      <c r="G8" s="26">
        <v>2.5507314307029601E-18</v>
      </c>
      <c r="H8" s="27" t="str">
        <f>VLOOKUP(A8,TableS10!A:J,8,FALSE)</f>
        <v>K06252</v>
      </c>
      <c r="I8" s="24" t="s">
        <v>1884</v>
      </c>
      <c r="J8" s="34" t="str">
        <f>VLOOKUP(A8,TableS10!A:J,10,FALSE)</f>
        <v>GO:0000003,GO:0001655,GO:0001763,GO:0001968,GO:0002009,GO:0003006,GO:0003401,GO:0003674,GO:0005488,GO:0005515,GO:0005575,GO:0005576,GO:0005604,GO:0005614,GO:0005622,GO:0005623,GO:0005737,GO:0005783,GO:0005788,GO:0006464,GO:0006807,GO:0006950,GO:0007154,GO:0007155,GO:0007162,GO:0007267,GO:0007275,GO:0007399,GO:0007528,GO:0008150,GO:0008152,GO:0008284,GO:0009611,GO:0009653,GO:0009887,GO:0009888,GO:0009893,GO:0009987,GO:0010468,GO:0010604,GO:0010628,GO:0012505,GO:0014012,GO:0016043,GO:0019222,GO:0019538,GO:0022008,GO:0022414,GO:0022610,GO:0022612,GO:0023052,GO:0030030,GO:0030154,GO:0030155,GO:0030182,GO:0030198,GO:0030323,GO:0030324,GO:0030850,GO:0031012,GO:0031099,GO:0031102,GO:0031103,GO:0031175,GO:0031974,GO:0032501,GO:0032502,GO:0033554,GO:0035239,GO:0035295,GO:0036211,GO:0040007,GO:0042127,GO:0043062,GO:0043170,GO:0043226,GO:0043227,GO:0043229,GO:0043231,GO:0043233,GO:0043394,GO:0043412,GO:0043687,GO:0044237,GO:0044238,GO:0044260,GO:0044267,GO:0044421,GO:0044422,GO:0044424,GO:0044432,GO:0044444,GO:0044446,GO:0044464,GO:0045545,GO:0048468,GO:0048513,GO:0048518,GO:0048519,GO:0048522,GO:0048523,GO:0048589,GO:0048608,GO:0048666,GO:0048678,GO:0048699,GO:0048729,GO:0048731,GO:0048732,GO:0048754,GO:0048856,GO:0048869,GO:0050789,GO:0050794,GO:0050808,GO:0050896,GO:0051716,GO:0060255,GO:0060425,GO:0060429,GO:0060441,GO:0060447,GO:0060512,GO:0060541,GO:0060560,GO:0060562,GO:0060602,GO:0060638,GO:0060739,GO:0060740,GO:0061138,GO:0061458,GO:0061564,GO:0062023,GO:0065007,GO:0070013,GO:0071704,GO:0071840,GO:0097367,GO:0120036,GO:1901564</v>
      </c>
    </row>
    <row r="9" spans="1:10" ht="15.75" customHeight="1" x14ac:dyDescent="0.2">
      <c r="A9" s="24" t="s">
        <v>1885</v>
      </c>
      <c r="B9" s="24">
        <v>87.1026976911172</v>
      </c>
      <c r="C9" s="24">
        <v>-6.0041570184758397</v>
      </c>
      <c r="D9" s="24">
        <v>0.613022227005661</v>
      </c>
      <c r="E9" s="24">
        <v>-9.7943545176224003</v>
      </c>
      <c r="F9" s="26">
        <v>1.19055388414513E-22</v>
      </c>
      <c r="G9" s="26">
        <v>3.05207733600749E-18</v>
      </c>
      <c r="H9" s="27" t="str">
        <f>VLOOKUP(A9,TableS10!A:J,8,FALSE)</f>
        <v>K05699,K21073</v>
      </c>
      <c r="I9" s="24" t="s">
        <v>1886</v>
      </c>
      <c r="J9" s="34" t="str">
        <f>VLOOKUP(A9,TableS10!A:J,10,FALSE)</f>
        <v>GO:0003674,GO:0003779,GO:0005488,GO:0005515,GO:0005575,GO:0005622,GO:0005623,GO:0005737,GO:0005856,GO:0005865,GO:0005912,GO:0005924,GO:0005925,GO:0006996,GO:0007010,GO:0007015,GO:0007016,GO:0008092,GO:0008104,GO:0008150,GO:0009653,GO:0009987,GO:0010927,GO:0015629,GO:0016043,GO:0022607,GO:0030016,GO:0030017,GO:0030018,GO:0030029,GO:0030036,GO:0030054,GO:0030055,GO:0030154,GO:0030239,GO:0031032,GO:0031532,GO:0031674,GO:0032502,GO:0032507,GO:0032989,GO:0033036,GO:0034613,GO:0036379,GO:0042692,GO:0043226,GO:0043228,GO:0043229,GO:0043232,GO:0043292,GO:0044085,GO:0044422,GO:0044424,GO:0044430,GO:0044444,GO:0044446,GO:0044449,GO:0044464,GO:0044877,GO:0045185,GO:0045214,GO:0048468,GO:0048646,GO:0048856,GO:0048869,GO:0051015,GO:0051017,GO:0051146,GO:0051179,GO:0051235,GO:0051641,GO:0051651,GO:0055001,GO:0055002,GO:0055120,GO:0061061,GO:0061572,GO:0065007,GO:0065008,GO:0070161,GO:0070727,GO:0070925,GO:0071840,GO:0097435,GO:0099080,GO:0099081,GO:0099512</v>
      </c>
    </row>
    <row r="10" spans="1:10" ht="15.75" customHeight="1" x14ac:dyDescent="0.2">
      <c r="A10" s="24" t="s">
        <v>1887</v>
      </c>
      <c r="B10" s="24">
        <v>173.43264991281799</v>
      </c>
      <c r="C10" s="24">
        <v>-6.9136305100504298</v>
      </c>
      <c r="D10" s="24">
        <v>0.71670707957255897</v>
      </c>
      <c r="E10" s="24">
        <v>-9.6463823326172395</v>
      </c>
      <c r="F10" s="26">
        <v>5.0920452746464803E-22</v>
      </c>
      <c r="G10" s="26">
        <v>8.9766691162717595E-18</v>
      </c>
      <c r="H10" s="27" t="str">
        <f>VLOOKUP(A10,TableS10!A:J,8,FALSE)</f>
        <v>-</v>
      </c>
      <c r="I10" s="24" t="s">
        <v>1888</v>
      </c>
      <c r="J10" s="34" t="str">
        <f>VLOOKUP(A10,TableS10!A:J,10,FALSE)</f>
        <v>-</v>
      </c>
    </row>
    <row r="11" spans="1:10" ht="15.75" customHeight="1" x14ac:dyDescent="0.2">
      <c r="A11" s="24" t="s">
        <v>1889</v>
      </c>
      <c r="B11" s="24">
        <v>236.97711492076101</v>
      </c>
      <c r="C11" s="24">
        <v>-11.428820344075399</v>
      </c>
      <c r="D11" s="24">
        <v>1.2113062654245701</v>
      </c>
      <c r="E11" s="24">
        <v>-9.4351203079672903</v>
      </c>
      <c r="F11" s="26">
        <v>3.9054580423353098E-21</v>
      </c>
      <c r="G11" s="26">
        <v>6.2414026234108806E-17</v>
      </c>
      <c r="H11" s="27" t="str">
        <f>VLOOKUP(A11,TableS10!A:J,8,FALSE)</f>
        <v>-</v>
      </c>
      <c r="I11" s="24" t="s">
        <v>10</v>
      </c>
      <c r="J11" s="34" t="str">
        <f>VLOOKUP(A11,TableS10!A:J,10,FALSE)</f>
        <v>-</v>
      </c>
    </row>
    <row r="12" spans="1:10" ht="15.75" customHeight="1" x14ac:dyDescent="0.2">
      <c r="A12" s="24" t="s">
        <v>1891</v>
      </c>
      <c r="B12" s="24">
        <v>514.91215426822498</v>
      </c>
      <c r="C12" s="24">
        <v>-11.585304723464899</v>
      </c>
      <c r="D12" s="24">
        <v>1.2399149379203001</v>
      </c>
      <c r="E12" s="24">
        <v>-9.3436286386684202</v>
      </c>
      <c r="F12" s="26">
        <v>9.3087925208239396E-21</v>
      </c>
      <c r="G12" s="26">
        <v>1.3813982135402099E-16</v>
      </c>
      <c r="H12" s="27" t="str">
        <f>VLOOKUP(A12,TableS10!A:J,8,FALSE)</f>
        <v>-</v>
      </c>
      <c r="I12" s="24" t="s">
        <v>1892</v>
      </c>
      <c r="J12" s="34" t="str">
        <f>VLOOKUP(A12,TableS10!A:J,10,FALSE)</f>
        <v>-</v>
      </c>
    </row>
    <row r="13" spans="1:10" ht="15.75" customHeight="1" x14ac:dyDescent="0.2">
      <c r="A13" s="24" t="s">
        <v>1893</v>
      </c>
      <c r="B13" s="24">
        <v>265.40087316313901</v>
      </c>
      <c r="C13" s="24">
        <v>-11.591585023707699</v>
      </c>
      <c r="D13" s="24">
        <v>1.2720412057527699</v>
      </c>
      <c r="E13" s="24">
        <v>-9.1125861106425905</v>
      </c>
      <c r="F13" s="26">
        <v>8.0441195650993502E-20</v>
      </c>
      <c r="G13" s="26">
        <v>1.1141427362445201E-15</v>
      </c>
      <c r="H13" s="27" t="str">
        <f>VLOOKUP(A13,TableS10!A:J,8,FALSE)</f>
        <v>-</v>
      </c>
      <c r="I13" s="24" t="s">
        <v>1894</v>
      </c>
      <c r="J13" s="34" t="str">
        <f>VLOOKUP(A13,TableS10!A:J,10,FALSE)</f>
        <v>-</v>
      </c>
    </row>
    <row r="14" spans="1:10" ht="15.75" customHeight="1" x14ac:dyDescent="0.2">
      <c r="A14" s="24" t="s">
        <v>1895</v>
      </c>
      <c r="B14" s="24">
        <v>111.550853787043</v>
      </c>
      <c r="C14" s="24">
        <v>-4.7306729839348902</v>
      </c>
      <c r="D14" s="24">
        <v>0.52200117388784795</v>
      </c>
      <c r="E14" s="24">
        <v>-9.0625715430886693</v>
      </c>
      <c r="F14" s="26">
        <v>1.2741067353692099E-19</v>
      </c>
      <c r="G14" s="26">
        <v>1.47057399396314E-15</v>
      </c>
      <c r="H14" s="27" t="str">
        <f>VLOOKUP(A14,TableS10!A:J,8,FALSE)</f>
        <v>K11095</v>
      </c>
      <c r="I14" s="24" t="s">
        <v>5182</v>
      </c>
      <c r="J14" s="34" t="str">
        <f>VLOOKUP(A14,TableS10!A:J,10,FALSE)</f>
        <v>GO:0000243,GO:0000245,GO:0000375,GO:0000377,GO:0000381,GO:0000387,GO:0000395,GO:0000398,GO:0003674,GO:0003676,GO:0003723,GO:0003727,GO:0005488,GO:0005515,GO:0005575,GO:0005622,GO:0005623,GO:0005634,GO:0005654,GO:0005681,GO:0005684,GO:0005685,GO:0006139,GO:0006376,GO:0006396,GO:0006397,GO:0006725,GO:0006807,GO:0008150,GO:0008152,GO:0008270,GO:0008380,GO:0009987,GO:0010467,GO:0010468,GO:0015030,GO:0016043,GO:0016070,GO:0016071,GO:0016604,GO:0019219,GO:0019222,GO:0022607,GO:0022613,GO:0022618,GO:0030532,GO:0030627,GO:0031323,GO:0031974,GO:0031981,GO:0032991,GO:0034622,GO:0034641,GO:0036002,GO:0042802,GO:0042803,GO:0043021,GO:0043167,GO:0043169,GO:0043170,GO:0043226,GO:0043227,GO:0043229,GO:0043231,GO:0043233,GO:0043484,GO:0043933,GO:0044085,GO:0044237,GO:0044238,GO:0044422,GO:0044424,GO:0044428,GO:0044446,GO:0044451,GO:0044464,GO:0044877,GO:0045292,GO:0046483,GO:0046872,GO:0046914,GO:0046983,GO:0048024,GO:0050684,GO:0050789,GO:0050794,GO:0051171,GO:0051252,GO:0060255,GO:0065003,GO:0065007,GO:0070013,GO:0070990,GO:0071010,GO:0071704,GO:0071826,GO:0071840,GO:0080090,GO:0090304,GO:0097159,GO:0097525,GO:0120114,GO:1901360,GO:1901363,GO:1903311,GO:1990446,GO:1990904</v>
      </c>
    </row>
    <row r="15" spans="1:10" ht="15.75" customHeight="1" x14ac:dyDescent="0.2">
      <c r="A15" s="24" t="s">
        <v>1897</v>
      </c>
      <c r="B15" s="24">
        <v>109.794007372789</v>
      </c>
      <c r="C15" s="24">
        <v>-5.0531870360406499</v>
      </c>
      <c r="D15" s="24">
        <v>0.58218170822923698</v>
      </c>
      <c r="E15" s="24">
        <v>-8.6797420197388497</v>
      </c>
      <c r="F15" s="26">
        <v>3.9666753132046897E-18</v>
      </c>
      <c r="G15" s="26">
        <v>3.8903967854632899E-14</v>
      </c>
      <c r="H15" s="27" t="s">
        <v>1306</v>
      </c>
      <c r="I15" s="24" t="s">
        <v>1898</v>
      </c>
      <c r="J15" s="34" t="str">
        <f>VLOOKUP(A15,TableS10!A:J,10,FALSE)</f>
        <v>-</v>
      </c>
    </row>
    <row r="16" spans="1:10" ht="15.75" customHeight="1" x14ac:dyDescent="0.2">
      <c r="A16" s="24" t="s">
        <v>1899</v>
      </c>
      <c r="B16" s="24">
        <v>118.46163235142301</v>
      </c>
      <c r="C16" s="24">
        <v>-10.4284678587992</v>
      </c>
      <c r="D16" s="24">
        <v>1.2165074722868601</v>
      </c>
      <c r="E16" s="24">
        <v>-8.5724651071770097</v>
      </c>
      <c r="F16" s="26">
        <v>1.01293050100193E-17</v>
      </c>
      <c r="G16" s="26">
        <v>9.1496690941807799E-14</v>
      </c>
      <c r="H16" s="27" t="str">
        <f>VLOOKUP(A16,TableS10!A:J,8,FALSE)</f>
        <v>K05635,K19636</v>
      </c>
      <c r="I16" s="24" t="s">
        <v>1900</v>
      </c>
      <c r="J16" s="34" t="str">
        <f>VLOOKUP(A16,TableS10!A:J,10,FALSE)</f>
        <v>-</v>
      </c>
    </row>
    <row r="17" spans="1:10" ht="15.75" customHeight="1" x14ac:dyDescent="0.2">
      <c r="A17" s="24" t="s">
        <v>1901</v>
      </c>
      <c r="B17" s="24">
        <v>128.172037579966</v>
      </c>
      <c r="C17" s="24">
        <v>-10.540482061794799</v>
      </c>
      <c r="D17" s="24">
        <v>1.2521200577965601</v>
      </c>
      <c r="E17" s="24">
        <v>-8.4181081487853309</v>
      </c>
      <c r="F17" s="26">
        <v>3.8261250595770603E-17</v>
      </c>
      <c r="G17" s="26">
        <v>3.3120851578228802E-13</v>
      </c>
      <c r="H17" s="27" t="str">
        <f>VLOOKUP(A17,TableS10!A:J,8,FALSE)</f>
        <v>-</v>
      </c>
      <c r="I17" s="24" t="s">
        <v>1902</v>
      </c>
      <c r="J17" s="34" t="str">
        <f>VLOOKUP(A17,TableS10!A:J,10,FALSE)</f>
        <v>-</v>
      </c>
    </row>
    <row r="18" spans="1:10" ht="15.75" customHeight="1" x14ac:dyDescent="0.2">
      <c r="A18" s="24" t="s">
        <v>1903</v>
      </c>
      <c r="B18" s="24">
        <v>1124.2106228110099</v>
      </c>
      <c r="C18" s="24">
        <v>-4.9737805914736901</v>
      </c>
      <c r="D18" s="24">
        <v>0.59726099827141799</v>
      </c>
      <c r="E18" s="24">
        <v>-8.3276500656642707</v>
      </c>
      <c r="F18" s="26">
        <v>8.2462838949241706E-17</v>
      </c>
      <c r="G18" s="26">
        <v>6.8528598274954598E-13</v>
      </c>
      <c r="H18" s="27" t="str">
        <f>VLOOKUP(A18,TableS10!A:J,8,FALSE)</f>
        <v>-</v>
      </c>
      <c r="I18" s="24" t="s">
        <v>10</v>
      </c>
      <c r="J18" s="34" t="str">
        <f>VLOOKUP(A18,TableS10!A:J,10,FALSE)</f>
        <v>-</v>
      </c>
    </row>
    <row r="19" spans="1:10" ht="15.75" customHeight="1" x14ac:dyDescent="0.2">
      <c r="A19" s="24" t="s">
        <v>1904</v>
      </c>
      <c r="B19" s="24">
        <v>813.557954767571</v>
      </c>
      <c r="C19" s="24">
        <v>-2.6504673449851999</v>
      </c>
      <c r="D19" s="24">
        <v>0.32040385618353601</v>
      </c>
      <c r="E19" s="24">
        <v>-8.2722704294387199</v>
      </c>
      <c r="F19" s="26">
        <v>1.3143176918050701E-16</v>
      </c>
      <c r="G19" s="26">
        <v>1.05022071684098E-12</v>
      </c>
      <c r="H19" s="27" t="str">
        <f>VLOOKUP(A19,TableS10!A:J,8,FALSE)</f>
        <v>K02891</v>
      </c>
      <c r="I19" s="24" t="s">
        <v>1906</v>
      </c>
      <c r="J19" s="34" t="str">
        <f>VLOOKUP(A19,TableS10!A:J,10,FALSE)</f>
        <v>GO:0000184,GO:0000956,GO:0001775,GO:0002181,GO:0002376,GO:0002520,GO:0002521,GO:0003674,GO:0003676,GO:0003723,GO:0003735,GO:0005198,GO:0005488,GO:0005539,GO:0005575,GO:0005622,GO:0005623,GO:0005634,GO:0005737,GO:0005783,GO:0005789,GO:0005791,GO:0005829,GO:0005840,GO:0006139,GO:0006401,GO:0006402,GO:0006412,GO:0006413,GO:0006518,GO:0006605,GO:0006612,GO:0006613,GO:0006614,GO:0006725,GO:0006807,GO:0006810,GO:0006886,GO:0007275,GO:0008104,GO:0008150,GO:0008152,GO:0008201,GO:0009056,GO:0009057,GO:0009058,GO:0009059,GO:0009892,GO:0009987,GO:0010467,GO:0010468,GO:0010605,GO:0010629,GO:0012505,GO:0015031,GO:0015833,GO:0015934,GO:0016020,GO:0016070,GO:0016071,GO:0019222,GO:0019439,GO:0019538,GO:0022625,GO:0022626,GO:0030097,GO:0030098,GO:0030154,GO:0030217,GO:0030867,GO:0031090,GO:0031984,GO:0032501,GO:0032502,GO:0032991,GO:0033036,GO:0033365,GO:0034613,GO:0034641,GO:0034645,GO:0034655,GO:0042110,GO:0042175,GO:0042886,GO:0043043,GO:0043167,GO:0043168,GO:0043170,GO:0043226,GO:0043227,GO:0043228,GO:0043229,GO:0043231,GO:0043232,GO:0043603,GO:0043604,GO:0044237,GO:0044238,GO:0044248,GO:0044249,GO:0044260,GO:0044265,GO:0044267,GO:0044270,GO:0044271,GO:0044391,GO:0044422,GO:0044424,GO:0044425,GO:0044432,GO:0044444,GO:0044445,GO:0044446,GO:0044464,GO:0045047,GO:0045184,GO:0045321,GO:0046483,GO:0046631,GO:0046632,GO:0046649,GO:0046700,GO:0046907,GO:0048513,GO:0048519,GO:0048534,GO:0048731,GO:0048856,GO:0048869,GO:0050789,GO:0051179,GO:0051234,GO:0051641,GO:0051649,GO:0060255,GO:0065007,GO:0070727,GO:0070972,GO:0071702,GO:0071704,GO:0071705,GO:0072594,GO:0072599,GO:0072657,GO:0090150,GO:0090304,GO:0097159,GO:0097367,GO:0098552,GO:0098554,GO:0098556,GO:0098562,GO:0098588,GO:0098827,GO:1901360,GO:1901361,GO:1901363,GO:1901564,GO:1901566,GO:1901575,GO:1901576,GO:1901681,GO:1990904</v>
      </c>
    </row>
    <row r="20" spans="1:10" ht="15.75" customHeight="1" x14ac:dyDescent="0.2">
      <c r="A20" s="24" t="s">
        <v>1907</v>
      </c>
      <c r="B20" s="24">
        <v>104.416680100855</v>
      </c>
      <c r="C20" s="24">
        <v>-10.245299281163399</v>
      </c>
      <c r="D20" s="24">
        <v>1.2435285581165301</v>
      </c>
      <c r="E20" s="24">
        <v>-8.2388934410007497</v>
      </c>
      <c r="F20" s="26">
        <v>1.73810653855828E-16</v>
      </c>
      <c r="G20" s="26">
        <v>1.33741504453598E-12</v>
      </c>
      <c r="H20" s="27" t="str">
        <f>VLOOKUP(A20,TableS10!A:J,8,FALSE)</f>
        <v>-</v>
      </c>
      <c r="I20" s="24" t="s">
        <v>1908</v>
      </c>
      <c r="J20" s="34" t="str">
        <f>VLOOKUP(A20,TableS10!A:J,10,FALSE)</f>
        <v>-</v>
      </c>
    </row>
    <row r="21" spans="1:10" ht="15.75" customHeight="1" x14ac:dyDescent="0.2">
      <c r="A21" s="24" t="s">
        <v>1909</v>
      </c>
      <c r="B21" s="24">
        <v>110.290765159456</v>
      </c>
      <c r="C21" s="24">
        <v>-10.322973265635699</v>
      </c>
      <c r="D21" s="24">
        <v>1.2588637233253701</v>
      </c>
      <c r="E21" s="24">
        <v>-8.2002309498337809</v>
      </c>
      <c r="F21" s="26">
        <v>2.3992564310015599E-16</v>
      </c>
      <c r="G21" s="26">
        <v>1.7802139967112901E-12</v>
      </c>
      <c r="H21" s="27" t="str">
        <f>VLOOKUP(A21,TableS10!A:J,8,FALSE)</f>
        <v>-</v>
      </c>
      <c r="I21" s="24" t="s">
        <v>1910</v>
      </c>
      <c r="J21" s="34" t="str">
        <f>VLOOKUP(A21,TableS10!A:J,10,FALSE)</f>
        <v>-</v>
      </c>
    </row>
    <row r="22" spans="1:10" ht="15.75" customHeight="1" x14ac:dyDescent="0.2">
      <c r="A22" s="24" t="s">
        <v>1911</v>
      </c>
      <c r="B22" s="24">
        <v>106.083028852749</v>
      </c>
      <c r="C22" s="24">
        <v>-7.2139137983730599</v>
      </c>
      <c r="D22" s="24">
        <v>0.89044303725945795</v>
      </c>
      <c r="E22" s="24">
        <v>-8.1014882440717706</v>
      </c>
      <c r="F22" s="26">
        <v>5.42908923243578E-16</v>
      </c>
      <c r="G22" s="26">
        <v>3.7552824705024097E-12</v>
      </c>
      <c r="H22" s="27" t="str">
        <f>VLOOKUP(A22,TableS10!A:J,8,FALSE)</f>
        <v>-</v>
      </c>
      <c r="I22" s="24" t="s">
        <v>1912</v>
      </c>
      <c r="J22" s="34" t="str">
        <f>VLOOKUP(A22,TableS10!A:J,10,FALSE)</f>
        <v>-</v>
      </c>
    </row>
    <row r="23" spans="1:10" ht="15.75" customHeight="1" x14ac:dyDescent="0.2">
      <c r="A23" s="24" t="s">
        <v>1913</v>
      </c>
      <c r="B23" s="24">
        <v>1517.76314648721</v>
      </c>
      <c r="C23" s="24">
        <v>-3.6534789444823299</v>
      </c>
      <c r="D23" s="24">
        <v>0.451664434833012</v>
      </c>
      <c r="E23" s="24">
        <v>-8.0889232419486099</v>
      </c>
      <c r="F23" s="26">
        <v>6.0194488888933402E-16</v>
      </c>
      <c r="G23" s="26">
        <v>3.8549114883392202E-12</v>
      </c>
      <c r="H23" s="27" t="str">
        <f>VLOOKUP(A23,TableS10!A:J,8,FALSE)</f>
        <v>-</v>
      </c>
      <c r="I23" s="24" t="s">
        <v>10</v>
      </c>
      <c r="J23" s="34" t="str">
        <f>VLOOKUP(A23,TableS10!A:J,10,FALSE)</f>
        <v>-</v>
      </c>
    </row>
    <row r="24" spans="1:10" ht="15.75" customHeight="1" x14ac:dyDescent="0.2">
      <c r="A24" s="24" t="s">
        <v>1914</v>
      </c>
      <c r="B24" s="24">
        <v>105.42233932449901</v>
      </c>
      <c r="C24" s="24">
        <v>-3.0212573983695901</v>
      </c>
      <c r="D24" s="24">
        <v>0.37360162345520898</v>
      </c>
      <c r="E24" s="24">
        <v>-8.0868422637671102</v>
      </c>
      <c r="F24" s="26">
        <v>6.1231482660040797E-16</v>
      </c>
      <c r="G24" s="26">
        <v>3.8549114883392202E-12</v>
      </c>
      <c r="H24" s="27" t="str">
        <f>VLOOKUP(A24,TableS10!A:J,8,FALSE)</f>
        <v>K05111</v>
      </c>
      <c r="I24" s="24" t="s">
        <v>1915</v>
      </c>
      <c r="J24" s="34" t="str">
        <f>VLOOKUP(A24,TableS10!A:J,10,FALSE)</f>
        <v>-</v>
      </c>
    </row>
    <row r="25" spans="1:10" ht="15.75" customHeight="1" x14ac:dyDescent="0.2">
      <c r="A25" s="24" t="s">
        <v>1916</v>
      </c>
      <c r="B25" s="24">
        <v>242.25830952795701</v>
      </c>
      <c r="C25" s="24">
        <v>-10.4976411513939</v>
      </c>
      <c r="D25" s="24">
        <v>1.3034934921664201</v>
      </c>
      <c r="E25" s="24">
        <v>-8.0534664840917092</v>
      </c>
      <c r="F25" s="26">
        <v>8.0481445055142101E-16</v>
      </c>
      <c r="G25" s="26">
        <v>4.9177950290812004E-12</v>
      </c>
      <c r="H25" s="27" t="str">
        <f>VLOOKUP(A25,TableS10!A:J,8,FALSE)</f>
        <v>-</v>
      </c>
      <c r="I25" s="24" t="s">
        <v>10</v>
      </c>
      <c r="J25" s="34" t="str">
        <f>VLOOKUP(A25,TableS10!A:J,10,FALSE)</f>
        <v>-</v>
      </c>
    </row>
    <row r="26" spans="1:10" ht="15.75" customHeight="1" x14ac:dyDescent="0.2">
      <c r="A26" s="24" t="s">
        <v>1917</v>
      </c>
      <c r="B26" s="24">
        <v>187.290277484353</v>
      </c>
      <c r="C26" s="24">
        <v>-5.8163159300124398</v>
      </c>
      <c r="D26" s="24">
        <v>0.72372722825985103</v>
      </c>
      <c r="E26" s="24">
        <v>-8.0366133854012194</v>
      </c>
      <c r="F26" s="26">
        <v>9.2355487500178095E-16</v>
      </c>
      <c r="G26" s="26">
        <v>5.4821161888819998E-12</v>
      </c>
      <c r="H26" s="27" t="str">
        <f>VLOOKUP(A26,TableS10!A:J,8,FALSE)</f>
        <v>-</v>
      </c>
      <c r="I26" s="24" t="s">
        <v>10</v>
      </c>
      <c r="J26" s="34" t="str">
        <f>VLOOKUP(A26,TableS10!A:J,10,FALSE)</f>
        <v>-</v>
      </c>
    </row>
    <row r="27" spans="1:10" ht="15.75" customHeight="1" x14ac:dyDescent="0.2">
      <c r="A27" s="28" t="s">
        <v>1918</v>
      </c>
      <c r="B27" s="24">
        <v>103.41053526325599</v>
      </c>
      <c r="C27" s="24">
        <v>-6.4658337187980601</v>
      </c>
      <c r="D27" s="24">
        <v>0.81006955354504695</v>
      </c>
      <c r="E27" s="24">
        <v>-7.9818253759842097</v>
      </c>
      <c r="F27" s="26">
        <v>1.44184917371179E-15</v>
      </c>
      <c r="G27" s="26">
        <v>8.0960220792882901E-12</v>
      </c>
      <c r="H27" s="27" t="str">
        <f>VLOOKUP(A27,TableS10!A:J,8,FALSE)</f>
        <v>-</v>
      </c>
      <c r="I27" s="24" t="s">
        <v>1919</v>
      </c>
      <c r="J27" s="34" t="str">
        <f>VLOOKUP(A27,TableS10!A:J,10,FALSE)</f>
        <v>-</v>
      </c>
    </row>
    <row r="28" spans="1:10" ht="15.75" customHeight="1" x14ac:dyDescent="0.2">
      <c r="A28" s="24" t="s">
        <v>1920</v>
      </c>
      <c r="B28" s="24">
        <v>75.014935324351995</v>
      </c>
      <c r="C28" s="24">
        <v>-7.3999903849551396</v>
      </c>
      <c r="D28" s="24">
        <v>0.92870058866154004</v>
      </c>
      <c r="E28" s="24">
        <v>-7.9681120861785404</v>
      </c>
      <c r="F28" s="26">
        <v>1.6111670358510601E-15</v>
      </c>
      <c r="G28" s="26">
        <v>8.7473240162097498E-12</v>
      </c>
      <c r="H28" s="27" t="str">
        <f>VLOOKUP(A28,TableS10!A:J,8,FALSE)</f>
        <v>-</v>
      </c>
      <c r="I28" s="24" t="s">
        <v>1921</v>
      </c>
      <c r="J28" s="34" t="str">
        <f>VLOOKUP(A28,TableS10!A:J,10,FALSE)</f>
        <v>-</v>
      </c>
    </row>
    <row r="29" spans="1:10" ht="15.75" customHeight="1" x14ac:dyDescent="0.2">
      <c r="A29" s="24" t="s">
        <v>1922</v>
      </c>
      <c r="B29" s="24">
        <v>81.780838184230703</v>
      </c>
      <c r="C29" s="24">
        <v>-9.89541399429155</v>
      </c>
      <c r="D29" s="24">
        <v>1.24815017464324</v>
      </c>
      <c r="E29" s="24">
        <v>-7.92806362192752</v>
      </c>
      <c r="F29" s="26">
        <v>2.2258927504150101E-15</v>
      </c>
      <c r="G29" s="26">
        <v>1.15610643563805E-11</v>
      </c>
      <c r="H29" s="27" t="str">
        <f>VLOOKUP(A29,TableS10!A:J,8,FALSE)</f>
        <v>-</v>
      </c>
      <c r="I29" s="24" t="s">
        <v>1923</v>
      </c>
      <c r="J29" s="34" t="str">
        <f>VLOOKUP(A29,TableS10!A:J,10,FALSE)</f>
        <v>-</v>
      </c>
    </row>
    <row r="30" spans="1:10" ht="15.75" customHeight="1" x14ac:dyDescent="0.2">
      <c r="A30" s="24" t="s">
        <v>1924</v>
      </c>
      <c r="B30" s="24">
        <v>494.20536507657101</v>
      </c>
      <c r="C30" s="24">
        <v>-3.5206332816806101</v>
      </c>
      <c r="D30" s="24">
        <v>0.446939302583515</v>
      </c>
      <c r="E30" s="24">
        <v>-7.8772067288102203</v>
      </c>
      <c r="F30" s="26">
        <v>3.3478076605239901E-15</v>
      </c>
      <c r="G30" s="26">
        <v>1.69640763004835E-11</v>
      </c>
      <c r="H30" s="27" t="str">
        <f>VLOOKUP(A30,TableS10!A:J,8,FALSE)</f>
        <v>K07375</v>
      </c>
      <c r="I30" s="24" t="s">
        <v>1925</v>
      </c>
      <c r="J30" s="34" t="str">
        <f>VLOOKUP(A30,TableS10!A:J,10,FALSE)</f>
        <v>GO:0000086,GO:0000166,GO:0000226,GO:0000278,GO:0000323,GO:0001775,GO:0001882,GO:0001883,GO:0001906,GO:0001909,GO:0002228,GO:0002252,GO:0002263,GO:0002274,GO:0002275,GO:0002283,GO:0002366,GO:0002376,GO:0002443,GO:0002444,GO:0002446,GO:0002449,GO:0003674,GO:0005102,GO:0005198,GO:0005200,GO:0005488,GO:0005515,GO:0005525,GO:0005575,GO:0005576,GO:0005622,GO:0005623,GO:0005634,GO:0005635,GO:0005641,GO:0005737,GO:0005764,GO:0005766,GO:0005773,GO:0005775,GO:0005829,GO:0005856,GO:0005874,GO:0006810,GO:0006887,GO:0006950,GO:0006952,GO:0006955,GO:0006996,GO:0007010,GO:0007017,GO:0007049,GO:0007051,GO:0007346,GO:0008150,GO:0009987,GO:0010389,GO:0010564,GO:0012505,GO:0015630,GO:0016020,GO:0016043,GO:0016192,GO:0017076,GO:0019001,GO:0019899,GO:0019904,GO:0022402,GO:0022406,GO:0022607,GO:0030030,GO:0030031,GO:0030141,GO:0030705,GO:0031410,GO:0031625,GO:0031967,GO:0031970,GO:0031974,GO:0031975,GO:0031982,GO:0031983,GO:0032549,GO:0032550,GO:0032553,GO:0032555,GO:0032561,GO:0032794,GO:0032940,GO:0032991,GO:0034774,GO:0035578,GO:0035639,GO:0035770,GO:0036094,GO:0036230,GO:0036464,GO:0042119,GO:0042267,GO:0042287,GO:0042288,GO:0042582,GO:0043167,GO:0043168,GO:0043226,GO:0043227,GO:0043228,GO:0043229,GO:0043231,GO:0043232,GO:0043233,GO:0043299,GO:0043312,GO:0044085,GO:0044297,GO:0044389,GO:0044422,GO:0044424,GO:0044425,GO:0044428,GO:0044430,GO:0044433,GO:0044437,GO:0044444,GO:0044446,GO:0044464,GO:0044770,GO:0044772,GO:0044782,GO:0044839,GO:0044877,GO:0045055,GO:0045087,GO:0045121,GO:0045298,GO:0045321,GO:0046903,GO:0046907,GO:0050789,GO:0050794,GO:0050896,GO:0051179,GO:0051225,GO:0051234,GO:0051301,GO:0051640,GO:0051641,GO:0051649,GO:0051726,GO:0060205,GO:0060271,GO:0065007,GO:0070013,GO:0070925,GO:0071840,GO:0097159,GO:0097367,GO:0097708,GO:0097711,GO:0098589,GO:0098805,GO:0098857,GO:0099080,GO:0099081,GO:0099503,GO:0099512,GO:0099513,GO:0120031,GO:0120036,GO:0140056,GO:1901265,GO:1901363,GO:1901987,GO:1901990,GO:1902749,GO:1903047,GO:1990904</v>
      </c>
    </row>
    <row r="31" spans="1:10" ht="15.75" customHeight="1" x14ac:dyDescent="0.2">
      <c r="A31" s="24" t="s">
        <v>1926</v>
      </c>
      <c r="B31" s="24">
        <v>83.179091152046894</v>
      </c>
      <c r="C31" s="24">
        <v>-3.21089125545137</v>
      </c>
      <c r="D31" s="24">
        <v>0.409823956070474</v>
      </c>
      <c r="E31" s="24">
        <v>-7.8348061597922296</v>
      </c>
      <c r="F31" s="26">
        <v>4.6956655665342801E-15</v>
      </c>
      <c r="G31" s="26">
        <v>2.1837444506686202E-11</v>
      </c>
      <c r="H31" s="27" t="str">
        <f>VLOOKUP(A31,TableS10!A:J,8,FALSE)</f>
        <v>-</v>
      </c>
      <c r="I31" s="24" t="s">
        <v>1928</v>
      </c>
      <c r="J31" s="34" t="str">
        <f>VLOOKUP(A31,TableS10!A:J,10,FALSE)</f>
        <v>-</v>
      </c>
    </row>
    <row r="32" spans="1:10" ht="15.75" customHeight="1" x14ac:dyDescent="0.2">
      <c r="A32" s="24" t="s">
        <v>1929</v>
      </c>
      <c r="B32" s="24">
        <v>114.765763564351</v>
      </c>
      <c r="C32" s="24">
        <v>-5.7423097318582599</v>
      </c>
      <c r="D32" s="24">
        <v>0.732948092158486</v>
      </c>
      <c r="E32" s="24">
        <v>-7.8345380706940801</v>
      </c>
      <c r="F32" s="26">
        <v>4.7056948157817802E-15</v>
      </c>
      <c r="G32" s="26">
        <v>2.1837444506686202E-11</v>
      </c>
      <c r="H32" s="27" t="str">
        <f>VLOOKUP(A32,TableS10!A:J,8,FALSE)</f>
        <v>K07827</v>
      </c>
      <c r="I32" s="24" t="s">
        <v>1930</v>
      </c>
      <c r="J32" s="34" t="str">
        <f>VLOOKUP(A32,TableS10!A:J,10,FALSE)</f>
        <v>GO:0000003,GO:0000165,GO:0000166,GO:0001763,GO:0001882,GO:0001883,GO:0001889,GO:0001894,GO:0001932,GO:0001934,GO:0002009,GO:0002218,GO:0002220,GO:0002223,GO:0002253,GO:0002376,GO:0002429,GO:0002682,GO:0002684,GO:0002757,GO:0002758,GO:0002764,GO:0002768,GO:0003008,GO:0003674,GO:0003824,GO:0003924,GO:0005488,GO:0005515,GO:0005575,GO:0005622,GO:0005623,GO:0005737,GO:0005739,GO:0005886,GO:0006355,GO:0006464,GO:0006468,GO:0006793,GO:0006796,GO:0006807,GO:0006950,GO:0006996,GO:0007010,GO:0007154,GO:0007165,GO:0007166,GO:0007264,GO:0007265,GO:0007267,GO:0007275,GO:0007399,GO:0007417,GO:0007420,GO:0007565,GO:0007610,GO:0007611,GO:0007612,GO:0007632,GO:0008150,GO:0008152,GO:0008284,GO:0008306,GO:0008542,GO:0009314,GO:0009416,GO:0009628,GO:0009653,GO:0009719,GO:0009725,GO:0009887,GO:0009888,GO:0009889,GO:0009893,GO:0009898,GO:0009966,GO:0009967,GO:0009987,GO:0010001,GO:0010033,GO:0010468,GO:0010556,GO:0010562,GO:0010604,GO:0010628,GO:0010646,GO:0010647,GO:0010941,GO:0014002,GO:0014070,GO:0016020,GO:0016043,GO:0016310,GO:0016462,GO:0016787,GO:0016817,GO:0016818,GO:0017076,GO:0017111,GO:0019001,GO:0019002,GO:0019003,GO:0019219,GO:0019220,GO:0019221,GO:0019222,GO:0019538,GO:0019897,GO:0019898,GO:0019904,GO:0021782,GO:0021896,GO:0021897,GO:0022008,GO:0022414,GO:0023014,GO:0023051,GO:0023052,GO:0023056,GO:0030029,GO:0030036,GO:0030154,GO:0030275,GO:0030323,GO:0030324,GO:0030900,GO:0031234,GO:0031323,GO:0031325,GO:0031326,GO:0031347,GO:0031349,GO:0031399,GO:0031401,GO:0031647,GO:0031960,GO:0032228,GO:0032268,GO:0032270,GO:0032501,GO:0032502,GO:0032549,GO:0032550,GO:0032553,GO:0032555,GO:0032561,GO:0032768,GO:0032770,GO:0033674,GO:0033993,GO:0034097,GO:0035020,GO:0035022,GO:0035239,GO:0035295,GO:0035556,GO:0035900,GO:0036094,GO:0036211,GO:0038002,GO:0042063,GO:0042127,GO:0042221,GO:0042325,GO:0042327,GO:0042592,GO:0042692,GO:0042802,GO:0042981,GO:0043066,GO:0043067,GO:0043069,GO:0043085,GO:0043167,GO:0043168,GO:0043170,GO:0043226,GO:0043227,GO:0043229,GO:0043231,GO:0043405,GO:0043406,GO:0043408,GO:0043410,GO:0043412,GO:0043523,GO:0043524,GO:0043549,GO:0044093,GO:0044237,GO:0044238,GO:0044260,GO:0044267,GO:0044424,GO:0044425,GO:0044444,GO:0044459,GO:0044464,GO:0044703,GO:0044706,GO:0044877,GO:0045088,GO:0045089,GO:0045121,GO:0045595,GO:0045596,GO:0045859,GO:0045860,GO:0045937,GO:0046578,GO:0046579,GO:0048167,GO:0048168,GO:0048169,GO:0048468,GO:0048513,GO:0048518,GO:0048519,GO:0048522,GO:0048523,GO:0048545,GO:0048583,GO:0048584,GO:0048708,GO:0048729,GO:0048731,GO:0048732,GO:0048754,GO:0048856,GO:0048869,GO:0048871,GO:0048872,GO:0048873,GO:0050776,GO:0050778,GO:0050789,GO:0050790,GO:0050793,GO:0050794,GO:0050804,GO:0050877,GO:0050886,GO:0050890,GO:0050896,GO:0050999,GO:0051000,GO:0051056,GO:0051057,GO:0051090,GO:0051091,GO:0051092,GO:0051093,GO:0051094,GO:0051146,GO:0051171,GO:0051173,GO:0051174,GO:0051246,GO:0051247,GO:0051252,GO:0051338,GO:0051341,GO:0051347,GO:0051353,GO:0051384,GO:0051385,GO:0051704,GO:0051716,GO:0060249,GO:0060255,GO:0060322,GO:0060425,GO:0060429,GO:0060441,GO:0060541,GO:0060548,GO:0060562,GO:0061008,GO:0061061,GO:0061138,GO:0065007,GO:0065008,GO:0065009,GO:0070887,GO:0071310,GO:0071345,GO:0071704,GO:0071840,GO:0071900,GO:0071902,GO:0071944,GO:0080090,GO:0080134,GO:0080135,GO:0090342,GO:0090343,GO:0097159,GO:0097367,GO:0098552,GO:0098562,GO:0098589,GO:0098805,GO:0098857,GO:0099177,GO:1901214,GO:1901215,GO:1901265,GO:1901363,GO:1901564,GO:1902531,GO:1902533,GO:1903506,GO:2000112,GO:2000772,GO:2000774,GO:2001141</v>
      </c>
    </row>
    <row r="33" spans="1:10" ht="15.75" customHeight="1" x14ac:dyDescent="0.2">
      <c r="A33" s="24" t="s">
        <v>1931</v>
      </c>
      <c r="B33" s="24">
        <v>1123.15340352464</v>
      </c>
      <c r="C33" s="24">
        <v>-3.0370438350621698</v>
      </c>
      <c r="D33" s="24">
        <v>0.388623047445387</v>
      </c>
      <c r="E33" s="24">
        <v>-7.8148834842044703</v>
      </c>
      <c r="F33" s="26">
        <v>5.5013895213634697E-15</v>
      </c>
      <c r="G33" s="26">
        <v>2.4318014497880599E-11</v>
      </c>
      <c r="H33" s="27" t="str">
        <f>VLOOKUP(A33,TableS10!A:J,8,FALSE)</f>
        <v>-</v>
      </c>
      <c r="I33" s="24" t="s">
        <v>1932</v>
      </c>
      <c r="J33" s="34" t="str">
        <f>VLOOKUP(A33,TableS10!A:J,10,FALSE)</f>
        <v>-</v>
      </c>
    </row>
    <row r="34" spans="1:10" ht="15.75" customHeight="1" x14ac:dyDescent="0.2">
      <c r="A34" s="24" t="s">
        <v>1933</v>
      </c>
      <c r="B34" s="24">
        <v>111.225930130771</v>
      </c>
      <c r="C34" s="24">
        <v>-7.9381166174656297</v>
      </c>
      <c r="D34" s="24">
        <v>1.02150435368015</v>
      </c>
      <c r="E34" s="24">
        <v>-7.7710061527071996</v>
      </c>
      <c r="F34" s="26">
        <v>7.7865116147569094E-15</v>
      </c>
      <c r="G34" s="26">
        <v>3.3701968896571601E-11</v>
      </c>
      <c r="H34" s="27" t="str">
        <f>VLOOKUP(A34,TableS10!A:J,8,FALSE)</f>
        <v>-</v>
      </c>
      <c r="I34" s="24" t="s">
        <v>10</v>
      </c>
      <c r="J34" s="34" t="str">
        <f>VLOOKUP(A34,TableS10!A:J,10,FALSE)</f>
        <v>-</v>
      </c>
    </row>
    <row r="35" spans="1:10" ht="15.75" customHeight="1" x14ac:dyDescent="0.2">
      <c r="A35" s="24" t="s">
        <v>1934</v>
      </c>
      <c r="B35" s="24">
        <v>835.829039327484</v>
      </c>
      <c r="C35" s="24">
        <v>-13.2468802057818</v>
      </c>
      <c r="D35" s="24">
        <v>1.71332214851347</v>
      </c>
      <c r="E35" s="24">
        <v>-7.7316926167534596</v>
      </c>
      <c r="F35" s="26">
        <v>1.06125946858461E-14</v>
      </c>
      <c r="G35" s="26">
        <v>4.49965351337273E-11</v>
      </c>
      <c r="H35" s="27" t="str">
        <f>VLOOKUP(A35,TableS10!A:J,8,FALSE)</f>
        <v>-</v>
      </c>
      <c r="I35" s="24" t="s">
        <v>10</v>
      </c>
      <c r="J35" s="34" t="str">
        <f>VLOOKUP(A35,TableS10!A:J,10,FALSE)</f>
        <v>-</v>
      </c>
    </row>
    <row r="36" spans="1:10" ht="15.75" customHeight="1" x14ac:dyDescent="0.2">
      <c r="A36" s="24" t="s">
        <v>1935</v>
      </c>
      <c r="B36" s="24">
        <v>81.121379109142097</v>
      </c>
      <c r="C36" s="24">
        <v>-9.8813418143030098</v>
      </c>
      <c r="D36" s="24">
        <v>1.29140398804489</v>
      </c>
      <c r="E36" s="24">
        <v>-7.6516271482658196</v>
      </c>
      <c r="F36" s="26">
        <v>1.98451951353673E-14</v>
      </c>
      <c r="G36" s="26">
        <v>8.0842320794967806E-11</v>
      </c>
      <c r="H36" s="27" t="str">
        <f>VLOOKUP(A36,TableS10!A:J,8,FALSE)</f>
        <v>-</v>
      </c>
      <c r="I36" s="24" t="s">
        <v>1936</v>
      </c>
      <c r="J36" s="34" t="str">
        <f>VLOOKUP(A36,TableS10!A:J,10,FALSE)</f>
        <v>-</v>
      </c>
    </row>
    <row r="37" spans="1:10" ht="15.75" customHeight="1" x14ac:dyDescent="0.2">
      <c r="A37" s="24" t="s">
        <v>1937</v>
      </c>
      <c r="B37" s="24">
        <v>63.6862676662494</v>
      </c>
      <c r="C37" s="24">
        <v>-9.5315774122525099</v>
      </c>
      <c r="D37" s="24">
        <v>1.24756904583749</v>
      </c>
      <c r="E37" s="24">
        <v>-7.64012015531695</v>
      </c>
      <c r="F37" s="26">
        <v>2.17019118763132E-14</v>
      </c>
      <c r="G37" s="26">
        <v>8.6705815457217904E-11</v>
      </c>
      <c r="H37" s="27" t="str">
        <f>VLOOKUP(A37,TableS10!A:J,8,FALSE)</f>
        <v>-</v>
      </c>
      <c r="I37" s="24" t="s">
        <v>10</v>
      </c>
      <c r="J37" s="34" t="str">
        <f>VLOOKUP(A37,TableS10!A:J,10,FALSE)</f>
        <v>-</v>
      </c>
    </row>
    <row r="38" spans="1:10" ht="15.75" customHeight="1" x14ac:dyDescent="0.2">
      <c r="A38" s="24" t="s">
        <v>1939</v>
      </c>
      <c r="B38" s="24">
        <v>66.336925519386</v>
      </c>
      <c r="C38" s="24">
        <v>-9.5902884621821993</v>
      </c>
      <c r="D38" s="24">
        <v>1.2647444770690699</v>
      </c>
      <c r="E38" s="24">
        <v>-7.5827873820068401</v>
      </c>
      <c r="F38" s="26">
        <v>3.38208851507824E-14</v>
      </c>
      <c r="G38" s="26">
        <v>1.3257531727143301E-10</v>
      </c>
      <c r="H38" s="27" t="str">
        <f>VLOOKUP(A38,TableS10!A:J,8,FALSE)</f>
        <v>K07375</v>
      </c>
      <c r="I38" s="24" t="s">
        <v>1925</v>
      </c>
      <c r="J38" s="34" t="str">
        <f>VLOOKUP(A38,TableS10!A:J,10,FALSE)</f>
        <v>-</v>
      </c>
    </row>
    <row r="39" spans="1:10" ht="15.75" customHeight="1" x14ac:dyDescent="0.2">
      <c r="A39" s="24" t="s">
        <v>1940</v>
      </c>
      <c r="B39" s="24">
        <v>63.573965380614098</v>
      </c>
      <c r="C39" s="24">
        <v>-9.5291096832931999</v>
      </c>
      <c r="D39" s="24">
        <v>1.2644507019840601</v>
      </c>
      <c r="E39" s="24">
        <v>-7.5361654419116499</v>
      </c>
      <c r="F39" s="26">
        <v>4.8399247844990603E-14</v>
      </c>
      <c r="G39" s="26">
        <v>1.8620803954229401E-10</v>
      </c>
      <c r="H39" s="27" t="str">
        <f>VLOOKUP(A39,TableS10!A:J,8,FALSE)</f>
        <v>K04392,K07861</v>
      </c>
      <c r="I39" s="24" t="s">
        <v>1941</v>
      </c>
      <c r="J39" s="34" t="str">
        <f>VLOOKUP(A39,TableS10!A:J,10,FALSE)</f>
        <v>-</v>
      </c>
    </row>
    <row r="40" spans="1:10" ht="15.75" customHeight="1" x14ac:dyDescent="0.2">
      <c r="A40" s="24" t="s">
        <v>1942</v>
      </c>
      <c r="B40" s="24">
        <v>55.512517697116103</v>
      </c>
      <c r="C40" s="24">
        <v>-9.3352606914096796</v>
      </c>
      <c r="D40" s="24">
        <v>1.2496454542208</v>
      </c>
      <c r="E40" s="24">
        <v>-7.4703274115701301</v>
      </c>
      <c r="F40" s="26">
        <v>7.9995528125584394E-14</v>
      </c>
      <c r="G40" s="26">
        <v>2.8168730408913402E-10</v>
      </c>
      <c r="H40" s="27" t="str">
        <f>VLOOKUP(A40,TableS10!A:J,8,FALSE)</f>
        <v>-</v>
      </c>
      <c r="I40" s="24" t="s">
        <v>1943</v>
      </c>
      <c r="J40" s="34" t="str">
        <f>VLOOKUP(A40,TableS10!A:J,10,FALSE)</f>
        <v>-</v>
      </c>
    </row>
    <row r="41" spans="1:10" ht="15.75" customHeight="1" x14ac:dyDescent="0.2">
      <c r="A41" s="24" t="s">
        <v>1944</v>
      </c>
      <c r="B41" s="24">
        <v>55.494405622248102</v>
      </c>
      <c r="C41" s="24">
        <v>-9.3321586416239501</v>
      </c>
      <c r="D41" s="24">
        <v>1.2511406470747299</v>
      </c>
      <c r="E41" s="24">
        <v>-7.4589205166048496</v>
      </c>
      <c r="F41" s="26">
        <v>8.7234208679504397E-14</v>
      </c>
      <c r="G41" s="26">
        <v>2.9710541407244502E-10</v>
      </c>
      <c r="H41" s="27" t="str">
        <f>VLOOKUP(A41,TableS10!A:J,8,FALSE)</f>
        <v>K17266</v>
      </c>
      <c r="I41" s="24" t="s">
        <v>1946</v>
      </c>
      <c r="J41" s="34" t="str">
        <f>VLOOKUP(A41,TableS10!A:J,10,FALSE)</f>
        <v>GO:0001654,GO:0001775,GO:0001932,GO:0001933,GO:0002252,GO:0002263,GO:0002274,GO:0002275,GO:0002283,GO:0002366,GO:0002376,GO:0002443,GO:0002444,GO:0002446,GO:0003674,GO:0005488,GO:0005515,GO:0005575,GO:0005576,GO:0005622,GO:0005623,GO:0005634,GO:0005737,GO:0005829,GO:0005856,GO:0006469,GO:0006807,GO:0006810,GO:0006887,GO:0006950,GO:0006955,GO:0007154,GO:0007165,GO:0007166,GO:0007167,GO:0007169,GO:0007275,GO:0007399,GO:0007417,GO:0007420,GO:0007423,GO:0008150,GO:0008152,GO:0008283,GO:0009892,GO:0009987,GO:0010563,GO:0010605,GO:0012505,GO:0016043,GO:0016192,GO:0019220,GO:0019222,GO:0019538,GO:0019899,GO:0019900,GO:0019901,GO:0019902,GO:0019903,GO:0022008,GO:0023051,GO:0023052,GO:0023057,GO:0030030,GO:0030141,GO:0030154,GO:0030182,GO:0031099,GO:0031102,GO:0031175,GO:0031323,GO:0031324,GO:0031399,GO:0031400,GO:0031410,GO:0031952,GO:0031953,GO:0031974,GO:0031982,GO:0031983,GO:0032268,GO:0032269,GO:0032501,GO:0032502,GO:0032940,GO:0033554,GO:0033673,GO:0034774,GO:0036230,GO:0038127,GO:0042119,GO:0042325,GO:0042326,GO:0042802,GO:0043086,GO:0043170,GO:0043226,GO:0043227,GO:0043228,GO:0043229,GO:0043231,GO:0043232,GO:0043233,GO:0043299,GO:0043312,GO:0043549,GO:0044092,GO:0044238,GO:0044422,GO:0044424,GO:0044433,GO:0044444,GO:0044446,GO:0044464,GO:0045055,GO:0045321,GO:0045859,GO:0045936,GO:0046903,GO:0048468,GO:0048471,GO:0048513,GO:0048519,GO:0048523,GO:0048666,GO:0048699,GO:0048731,GO:0048856,GO:0048869,GO:0050730,GO:0050732,GO:0050789,GO:0050790,GO:0050794,GO:0050896,GO:0051171,GO:0051172,GO:0051174,GO:0051179,GO:0051234,GO:0051246,GO:0051248,GO:0051338,GO:0051348,GO:0051716,GO:0060205,GO:0060255,GO:0060322,GO:0061097,GO:0061099,GO:0065007,GO:0065009,GO:0070013,GO:0071704,GO:0071840,GO:0072376,GO:0080090,GO:0097708,GO:0099503,GO:0101002,GO:0120036,GO:1901564,GO:1904813</v>
      </c>
    </row>
    <row r="42" spans="1:10" ht="15.75" customHeight="1" x14ac:dyDescent="0.2">
      <c r="A42" s="24" t="s">
        <v>1947</v>
      </c>
      <c r="B42" s="24">
        <v>301.72113318690998</v>
      </c>
      <c r="C42" s="24">
        <v>-2.2150886449979401</v>
      </c>
      <c r="D42" s="24">
        <v>0.297280728276335</v>
      </c>
      <c r="E42" s="24">
        <v>-7.4511679846899304</v>
      </c>
      <c r="F42" s="26">
        <v>9.2517469749130905E-14</v>
      </c>
      <c r="G42" s="26">
        <v>3.1001708782581402E-10</v>
      </c>
      <c r="H42" s="27" t="str">
        <f>VLOOKUP(A42,TableS10!A:J,8,FALSE)</f>
        <v>-</v>
      </c>
      <c r="I42" s="24" t="s">
        <v>1948</v>
      </c>
      <c r="J42" s="34" t="str">
        <f>VLOOKUP(A42,TableS10!A:J,10,FALSE)</f>
        <v>-</v>
      </c>
    </row>
    <row r="43" spans="1:10" ht="15.75" customHeight="1" x14ac:dyDescent="0.2">
      <c r="A43" s="24" t="s">
        <v>1949</v>
      </c>
      <c r="B43" s="24">
        <v>8172.2091464415398</v>
      </c>
      <c r="C43" s="24">
        <v>-7.4745864363438299</v>
      </c>
      <c r="D43" s="24">
        <v>1.01051288690328</v>
      </c>
      <c r="E43" s="24">
        <v>-7.3968244573800197</v>
      </c>
      <c r="F43" s="26">
        <v>1.3947973816677601E-13</v>
      </c>
      <c r="G43" s="26">
        <v>4.5996432512026499E-10</v>
      </c>
      <c r="H43" s="27" t="str">
        <f>VLOOKUP(A43,TableS10!A:J,8,FALSE)</f>
        <v>-</v>
      </c>
      <c r="I43" s="24" t="s">
        <v>1951</v>
      </c>
      <c r="J43" s="34" t="str">
        <f>VLOOKUP(A43,TableS10!A:J,10,FALSE)</f>
        <v>-</v>
      </c>
    </row>
    <row r="44" spans="1:10" ht="15.75" customHeight="1" x14ac:dyDescent="0.2">
      <c r="A44" s="24" t="s">
        <v>1952</v>
      </c>
      <c r="B44" s="24">
        <v>76.825982825761898</v>
      </c>
      <c r="C44" s="24">
        <v>-9.8048485538052699</v>
      </c>
      <c r="D44" s="24">
        <v>1.32862136015177</v>
      </c>
      <c r="E44" s="24">
        <v>-7.3797161839135601</v>
      </c>
      <c r="F44" s="26">
        <v>1.5862731544276901E-13</v>
      </c>
      <c r="G44" s="26">
        <v>5.07011946878891E-10</v>
      </c>
      <c r="H44" s="27" t="str">
        <f>VLOOKUP(A44,TableS10!A:J,8,FALSE)</f>
        <v>-</v>
      </c>
      <c r="I44" s="24" t="s">
        <v>10</v>
      </c>
      <c r="J44" s="34" t="str">
        <f>VLOOKUP(A44,TableS10!A:J,10,FALSE)</f>
        <v>-</v>
      </c>
    </row>
    <row r="45" spans="1:10" ht="15.75" customHeight="1" x14ac:dyDescent="0.2">
      <c r="A45" s="24" t="s">
        <v>1953</v>
      </c>
      <c r="B45" s="24">
        <v>686.574308930558</v>
      </c>
      <c r="C45" s="24">
        <v>-2.4180207905016999</v>
      </c>
      <c r="D45" s="24">
        <v>0.32803873791757399</v>
      </c>
      <c r="E45" s="24">
        <v>-7.3711440479608097</v>
      </c>
      <c r="F45" s="26">
        <v>1.69169929068672E-13</v>
      </c>
      <c r="G45" s="26">
        <v>5.3251617853925795E-10</v>
      </c>
      <c r="H45" s="27" t="str">
        <f>VLOOKUP(A45,TableS10!A:J,8,FALSE)</f>
        <v>-</v>
      </c>
      <c r="I45" s="24" t="s">
        <v>10</v>
      </c>
      <c r="J45" s="34" t="str">
        <f>VLOOKUP(A45,TableS10!A:J,10,FALSE)</f>
        <v>-</v>
      </c>
    </row>
    <row r="46" spans="1:10" ht="15.75" customHeight="1" x14ac:dyDescent="0.2">
      <c r="A46" s="24" t="s">
        <v>1955</v>
      </c>
      <c r="B46" s="24">
        <v>78.352023948596596</v>
      </c>
      <c r="C46" s="24">
        <v>-9.82980048932777</v>
      </c>
      <c r="D46" s="24">
        <v>1.33465585757537</v>
      </c>
      <c r="E46" s="24">
        <v>-7.3650450290498801</v>
      </c>
      <c r="F46" s="26">
        <v>1.7708708241187999E-13</v>
      </c>
      <c r="G46" s="26">
        <v>5.4911796856063503E-10</v>
      </c>
      <c r="H46" s="27" t="str">
        <f>VLOOKUP(A46,TableS10!A:J,8,FALSE)</f>
        <v>-</v>
      </c>
      <c r="I46" s="24" t="s">
        <v>1957</v>
      </c>
      <c r="J46" s="34" t="str">
        <f>VLOOKUP(A46,TableS10!A:J,10,FALSE)</f>
        <v>-</v>
      </c>
    </row>
    <row r="47" spans="1:10" ht="15.75" customHeight="1" x14ac:dyDescent="0.2">
      <c r="A47" s="24" t="s">
        <v>1958</v>
      </c>
      <c r="B47" s="24">
        <v>50.882102427067601</v>
      </c>
      <c r="C47" s="24">
        <v>-9.2072425279169892</v>
      </c>
      <c r="D47" s="24">
        <v>1.2543380308108301</v>
      </c>
      <c r="E47" s="24">
        <v>-7.3403199948942204</v>
      </c>
      <c r="F47" s="26">
        <v>2.1308377805903499E-13</v>
      </c>
      <c r="G47" s="26">
        <v>6.5102107932989597E-10</v>
      </c>
      <c r="H47" s="27" t="str">
        <f>VLOOKUP(A47,TableS10!A:J,8,FALSE)</f>
        <v>-</v>
      </c>
      <c r="I47" s="24" t="s">
        <v>1959</v>
      </c>
      <c r="J47" s="34" t="str">
        <f>VLOOKUP(A47,TableS10!A:J,10,FALSE)</f>
        <v>-</v>
      </c>
    </row>
    <row r="48" spans="1:10" ht="15.75" customHeight="1" x14ac:dyDescent="0.2">
      <c r="A48" s="24" t="s">
        <v>1960</v>
      </c>
      <c r="B48" s="24">
        <v>231.731245462239</v>
      </c>
      <c r="C48" s="24">
        <v>-3.1084867742347502</v>
      </c>
      <c r="D48" s="24">
        <v>0.42374012179829501</v>
      </c>
      <c r="E48" s="24">
        <v>-7.3358330125614604</v>
      </c>
      <c r="F48" s="26">
        <v>2.2034661922517001E-13</v>
      </c>
      <c r="G48" s="26">
        <v>6.6345409019919599E-10</v>
      </c>
      <c r="H48" s="27" t="str">
        <f>VLOOKUP(A48,TableS10!A:J,8,FALSE)</f>
        <v>-</v>
      </c>
      <c r="I48" s="24" t="s">
        <v>1961</v>
      </c>
      <c r="J48" s="34" t="str">
        <f>VLOOKUP(A48,TableS10!A:J,10,FALSE)</f>
        <v>-</v>
      </c>
    </row>
    <row r="49" spans="1:10" ht="15.75" customHeight="1" x14ac:dyDescent="0.2">
      <c r="A49" s="24" t="s">
        <v>1962</v>
      </c>
      <c r="B49" s="24">
        <v>135.83701649783799</v>
      </c>
      <c r="C49" s="24">
        <v>-5.2509981903982901</v>
      </c>
      <c r="D49" s="24">
        <v>0.71868409055834304</v>
      </c>
      <c r="E49" s="24">
        <v>-7.3064066108918704</v>
      </c>
      <c r="F49" s="26">
        <v>2.7438104450465598E-13</v>
      </c>
      <c r="G49" s="26">
        <v>8.1233687531336398E-10</v>
      </c>
      <c r="H49" s="27" t="str">
        <f>VLOOKUP(A49,TableS10!A:J,8,FALSE)</f>
        <v>K17341</v>
      </c>
      <c r="I49" s="24" t="s">
        <v>1965</v>
      </c>
      <c r="J49" s="34" t="str">
        <f>VLOOKUP(A49,TableS10!A:J,10,FALSE)</f>
        <v>GO:0003008,GO:0003012,GO:0005575,GO:0005576,GO:0005604,GO:0005622,GO:0005623,GO:0005737,GO:0005938,GO:0006936,GO:0006939,GO:0008150,GO:0030054,GO:0030334,GO:0030335,GO:0031012,GO:0032501,GO:0032879,GO:0040012,GO:0040017,GO:0044421,GO:0044424,GO:0044444,GO:0044464,GO:0048518,GO:0048522,GO:0050789,GO:0050794,GO:0051270,GO:0051272,GO:0062023,GO:0065007,GO:0071944,GO:0099568,GO:2000145,GO:2000147</v>
      </c>
    </row>
    <row r="50" spans="1:10" ht="15.75" customHeight="1" x14ac:dyDescent="0.2">
      <c r="A50" s="24" t="s">
        <v>1966</v>
      </c>
      <c r="B50" s="24">
        <v>50.188082331197599</v>
      </c>
      <c r="C50" s="24">
        <v>-9.1912878842098191</v>
      </c>
      <c r="D50" s="24">
        <v>1.2582477043032601</v>
      </c>
      <c r="E50" s="24">
        <v>-7.3048318330128996</v>
      </c>
      <c r="F50" s="26">
        <v>2.7761373027613599E-13</v>
      </c>
      <c r="G50" s="26">
        <v>8.1233687531336398E-10</v>
      </c>
      <c r="H50" s="27" t="str">
        <f>VLOOKUP(A50,TableS10!A:J,8,FALSE)</f>
        <v>-</v>
      </c>
      <c r="I50" s="24" t="s">
        <v>1968</v>
      </c>
      <c r="J50" s="34" t="str">
        <f>VLOOKUP(A50,TableS10!A:J,10,FALSE)</f>
        <v>-</v>
      </c>
    </row>
    <row r="51" spans="1:10" ht="15.75" customHeight="1" x14ac:dyDescent="0.2">
      <c r="A51" s="24" t="s">
        <v>1969</v>
      </c>
      <c r="B51" s="24">
        <v>60.251107830392399</v>
      </c>
      <c r="C51" s="24">
        <v>-4.8528675607139498</v>
      </c>
      <c r="D51" s="24">
        <v>0.67055546813094902</v>
      </c>
      <c r="E51" s="24">
        <v>-7.23708595538029</v>
      </c>
      <c r="F51" s="26">
        <v>4.5842763104457097E-13</v>
      </c>
      <c r="G51" s="26">
        <v>1.28704176912562E-9</v>
      </c>
      <c r="H51" s="27" t="str">
        <f>VLOOKUP(A51,TableS10!A:J,8,FALSE)</f>
        <v>K05466,K05467,K09624</v>
      </c>
      <c r="I51" s="24" t="s">
        <v>1970</v>
      </c>
      <c r="J51" s="34" t="str">
        <f>VLOOKUP(A51,TableS10!A:J,10,FALSE)</f>
        <v>GO:0001666,GO:0001932,GO:0001934,GO:0002376,GO:0003674,GO:0005102,GO:0005488,GO:0005515,GO:0005575,GO:0005576,GO:0005615,GO:0006928,GO:0006950,GO:0007154,GO:0007165,GO:0007166,GO:0007167,GO:0007169,GO:0007171,GO:0008047,GO:0008150,GO:0009628,GO:0009893,GO:0009966,GO:0009967,GO:0009987,GO:0010469,GO:0010562,GO:0010594,GO:0010595,GO:0010596,GO:0010604,GO:0010632,GO:0010633,GO:0010634,GO:0010646,GO:0010647,GO:0010941,GO:0016043,GO:0016477,GO:0016525,GO:0019207,GO:0019209,GO:0019220,GO:0019222,GO:0019887,GO:0019899,GO:0019900,GO:0019901,GO:0022603,GO:0022607,GO:0023051,GO:0023052,GO:0023056,GO:0030234,GO:0030295,GO:0030296,GO:0030297,GO:0030334,GO:0030335,GO:0030336,GO:0030545,GO:0030546,GO:0030971,GO:0031323,GO:0031325,GO:0031399,GO:0031401,GO:0032147,GO:0032268,GO:0032270,GO:0032879,GO:0033554,GO:0033674,GO:0034622,GO:0036293,GO:0036294,GO:0040011,GO:0040012,GO:0040013,GO:0040017,GO:0042221,GO:0042325,GO:0042327,GO:0042981,GO:0043066,GO:0043067,GO:0043069,GO:0043085,GO:0043535,GO:0043536,GO:0043537,GO:0043549,GO:0043933,GO:0044085,GO:0044093,GO:0044421,GO:0045765,GO:0045766,GO:0045859,GO:0045860,GO:0045937,GO:0048518,GO:0048519,GO:0048522,GO:0048523,GO:0048583,GO:0048584,GO:0048870,GO:0050730,GO:0050731,GO:0050789,GO:0050790,GO:0050793,GO:0050794,GO:0050896,GO:0050900,GO:0051093,GO:0051094,GO:0051171,GO:0051173,GO:0051174,GO:0051179,GO:0051239,GO:0051240,GO:0051241,GO:0051246,GO:0051247,GO:0051270,GO:0051271,GO:0051272,GO:0051338,GO:0051347,GO:0051674,GO:0051716,GO:0060255,GO:0060548,GO:0061097,GO:0061098,GO:0065003,GO:0065007,GO:0065009,GO:0070482,GO:0070887,GO:0071453,GO:0071456,GO:0071840,GO:0080090,GO:0098772,GO:1901342,GO:1901343,GO:1904018,GO:1990782,GO:2000026,GO:2000145,GO:2000146,GO:2000147,GO:2000181,GO:2000273</v>
      </c>
    </row>
    <row r="52" spans="1:10" ht="15.75" customHeight="1" x14ac:dyDescent="0.2">
      <c r="A52" s="24" t="s">
        <v>1971</v>
      </c>
      <c r="B52" s="24">
        <v>46.240459626871797</v>
      </c>
      <c r="C52" s="24">
        <v>-9.0693058076225697</v>
      </c>
      <c r="D52" s="24">
        <v>1.25434527933902</v>
      </c>
      <c r="E52" s="24">
        <v>-7.2303104711341</v>
      </c>
      <c r="F52" s="26">
        <v>4.8189108025633202E-13</v>
      </c>
      <c r="G52" s="26">
        <v>1.3348768435964599E-9</v>
      </c>
      <c r="H52" s="27" t="str">
        <f>VLOOKUP(A52,TableS10!A:J,8,FALSE)</f>
        <v>-</v>
      </c>
      <c r="I52" s="24" t="s">
        <v>10</v>
      </c>
      <c r="J52" s="34" t="str">
        <f>VLOOKUP(A52,TableS10!A:J,10,FALSE)</f>
        <v>-</v>
      </c>
    </row>
    <row r="53" spans="1:10" ht="15.75" customHeight="1" x14ac:dyDescent="0.2">
      <c r="A53" s="24" t="s">
        <v>1974</v>
      </c>
      <c r="B53" s="24">
        <v>57.886432899144303</v>
      </c>
      <c r="C53" s="24">
        <v>-6.8888368077517903</v>
      </c>
      <c r="D53" s="24">
        <v>0.95662476997347001</v>
      </c>
      <c r="E53" s="24">
        <v>-7.2011900841150398</v>
      </c>
      <c r="F53" s="26">
        <v>5.9689266139343097E-13</v>
      </c>
      <c r="G53" s="26">
        <v>1.6154251800585701E-9</v>
      </c>
      <c r="H53" s="27" t="str">
        <f>VLOOKUP(A53,TableS10!A:J,8,FALSE)</f>
        <v>-</v>
      </c>
      <c r="I53" s="24" t="s">
        <v>1975</v>
      </c>
      <c r="J53" s="34" t="str">
        <f>VLOOKUP(A53,TableS10!A:J,10,FALSE)</f>
        <v>-</v>
      </c>
    </row>
    <row r="54" spans="1:10" ht="15.75" customHeight="1" x14ac:dyDescent="0.2">
      <c r="A54" s="24" t="s">
        <v>1977</v>
      </c>
      <c r="B54" s="24">
        <v>58.095448233305397</v>
      </c>
      <c r="C54" s="24">
        <v>-9.3997320000176803</v>
      </c>
      <c r="D54" s="24">
        <v>1.31323840201423</v>
      </c>
      <c r="E54" s="24">
        <v>-7.1576737213901902</v>
      </c>
      <c r="F54" s="26">
        <v>8.2057571300537602E-13</v>
      </c>
      <c r="G54" s="26">
        <v>2.1856349721941599E-9</v>
      </c>
      <c r="H54" s="27" t="str">
        <f>VLOOKUP(A54,TableS10!A:J,8,FALSE)</f>
        <v>-</v>
      </c>
      <c r="I54" s="24" t="s">
        <v>1936</v>
      </c>
      <c r="J54" s="34" t="str">
        <f>VLOOKUP(A54,TableS10!A:J,10,FALSE)</f>
        <v>-</v>
      </c>
    </row>
    <row r="55" spans="1:10" ht="15.75" customHeight="1" x14ac:dyDescent="0.2">
      <c r="A55" s="24" t="s">
        <v>1978</v>
      </c>
      <c r="B55" s="24">
        <v>61.284954717807999</v>
      </c>
      <c r="C55" s="24">
        <v>-3.6572570765346799</v>
      </c>
      <c r="D55" s="24">
        <v>0.51188356585856198</v>
      </c>
      <c r="E55" s="24">
        <v>-7.1447050080627301</v>
      </c>
      <c r="F55" s="26">
        <v>9.0189361820968301E-13</v>
      </c>
      <c r="G55" s="26">
        <v>2.37182038664267E-9</v>
      </c>
      <c r="H55" s="27" t="str">
        <f>VLOOKUP(A55,TableS10!A:J,8,FALSE)</f>
        <v>-</v>
      </c>
      <c r="I55" s="24" t="s">
        <v>10</v>
      </c>
      <c r="J55" s="34" t="str">
        <f>VLOOKUP(A55,TableS10!A:J,10,FALSE)</f>
        <v>-</v>
      </c>
    </row>
    <row r="56" spans="1:10" ht="15.75" customHeight="1" x14ac:dyDescent="0.2">
      <c r="A56" s="24" t="s">
        <v>1980</v>
      </c>
      <c r="B56" s="24">
        <v>340.181659910338</v>
      </c>
      <c r="C56" s="24">
        <v>-2.3673599254629201</v>
      </c>
      <c r="D56" s="24">
        <v>0.33381983934561299</v>
      </c>
      <c r="E56" s="24">
        <v>-7.0917292696073897</v>
      </c>
      <c r="F56" s="26">
        <v>1.32446427184588E-12</v>
      </c>
      <c r="G56" s="26">
        <v>3.3971036945878099E-9</v>
      </c>
      <c r="H56" s="27" t="str">
        <f>VLOOKUP(A56,TableS10!A:J,8,FALSE)</f>
        <v>-</v>
      </c>
      <c r="I56" s="24" t="s">
        <v>1981</v>
      </c>
      <c r="J56" s="34" t="str">
        <f>VLOOKUP(A56,TableS10!A:J,10,FALSE)</f>
        <v>-</v>
      </c>
    </row>
    <row r="57" spans="1:10" ht="15.75" customHeight="1" x14ac:dyDescent="0.2">
      <c r="A57" s="24" t="s">
        <v>1983</v>
      </c>
      <c r="B57" s="24">
        <v>45.2617440910889</v>
      </c>
      <c r="C57" s="24">
        <v>-9.0405120658425702</v>
      </c>
      <c r="D57" s="24">
        <v>1.2779424819171299</v>
      </c>
      <c r="E57" s="24">
        <v>-7.07427149012236</v>
      </c>
      <c r="F57" s="26">
        <v>1.5023590500867701E-12</v>
      </c>
      <c r="G57" s="26">
        <v>3.8063915464613E-9</v>
      </c>
      <c r="H57" s="27" t="str">
        <f>VLOOKUP(A57,TableS10!A:J,8,FALSE)</f>
        <v>-</v>
      </c>
      <c r="I57" s="24" t="s">
        <v>10</v>
      </c>
      <c r="J57" s="34" t="str">
        <f>VLOOKUP(A57,TableS10!A:J,10,FALSE)</f>
        <v>-</v>
      </c>
    </row>
    <row r="58" spans="1:10" ht="15.75" customHeight="1" x14ac:dyDescent="0.2">
      <c r="A58" s="24" t="s">
        <v>1984</v>
      </c>
      <c r="B58" s="24">
        <v>406.432250765437</v>
      </c>
      <c r="C58" s="24">
        <v>-2.9706231979317299</v>
      </c>
      <c r="D58" s="24">
        <v>0.421940383515085</v>
      </c>
      <c r="E58" s="24">
        <v>-7.0403860687241604</v>
      </c>
      <c r="F58" s="26">
        <v>1.9170790784695598E-12</v>
      </c>
      <c r="G58" s="26">
        <v>4.7414842979347804E-9</v>
      </c>
      <c r="H58" s="27" t="str">
        <f>VLOOKUP(A58,TableS10!A:J,8,FALSE)</f>
        <v>-</v>
      </c>
      <c r="I58" s="24" t="s">
        <v>10</v>
      </c>
      <c r="J58" s="34" t="str">
        <f>VLOOKUP(A58,TableS10!A:J,10,FALSE)</f>
        <v>-</v>
      </c>
    </row>
    <row r="59" spans="1:10" ht="15.75" customHeight="1" x14ac:dyDescent="0.2">
      <c r="A59" s="24" t="s">
        <v>1985</v>
      </c>
      <c r="B59" s="24">
        <v>57.505443908384301</v>
      </c>
      <c r="C59" s="24">
        <v>-9.3826668548429204</v>
      </c>
      <c r="D59" s="24">
        <v>1.3430850856523</v>
      </c>
      <c r="E59" s="24">
        <v>-6.9859065185628397</v>
      </c>
      <c r="F59" s="26">
        <v>2.83022486759425E-12</v>
      </c>
      <c r="G59" s="26">
        <v>6.8371650882780202E-9</v>
      </c>
      <c r="H59" s="27" t="str">
        <f>VLOOKUP(A59,TableS10!A:J,8,FALSE)</f>
        <v>-</v>
      </c>
      <c r="I59" s="24" t="s">
        <v>1989</v>
      </c>
      <c r="J59" s="34" t="str">
        <f>VLOOKUP(A59,TableS10!A:J,10,FALSE)</f>
        <v>-</v>
      </c>
    </row>
    <row r="60" spans="1:10" ht="15.75" customHeight="1" x14ac:dyDescent="0.2">
      <c r="A60" s="24" t="s">
        <v>1990</v>
      </c>
      <c r="B60" s="24">
        <v>205.56847704206299</v>
      </c>
      <c r="C60" s="24">
        <v>-2.07431729791583</v>
      </c>
      <c r="D60" s="24">
        <v>0.29748652344360099</v>
      </c>
      <c r="E60" s="24">
        <v>-6.9728109828446998</v>
      </c>
      <c r="F60" s="26">
        <v>3.1066991382874E-12</v>
      </c>
      <c r="G60" s="26">
        <v>7.3344930247049696E-9</v>
      </c>
      <c r="H60" s="27" t="str">
        <f>VLOOKUP(A60,TableS10!A:J,8,FALSE)</f>
        <v>-</v>
      </c>
      <c r="I60" s="24" t="s">
        <v>1992</v>
      </c>
      <c r="J60" s="34" t="str">
        <f>VLOOKUP(A60,TableS10!A:J,10,FALSE)</f>
        <v>-</v>
      </c>
    </row>
    <row r="61" spans="1:10" ht="15.75" customHeight="1" x14ac:dyDescent="0.2">
      <c r="A61" s="24" t="s">
        <v>1993</v>
      </c>
      <c r="B61" s="24">
        <v>123.529692337283</v>
      </c>
      <c r="C61" s="24">
        <v>-2.1432499869327701</v>
      </c>
      <c r="D61" s="24">
        <v>0.307943761646711</v>
      </c>
      <c r="E61" s="24">
        <v>-6.9598746715045303</v>
      </c>
      <c r="F61" s="26">
        <v>3.4057558282529401E-12</v>
      </c>
      <c r="G61" s="26">
        <v>7.8642089721320707E-9</v>
      </c>
      <c r="H61" s="27" t="str">
        <f>VLOOKUP(A61,TableS10!A:J,8,FALSE)</f>
        <v>-</v>
      </c>
      <c r="I61" s="24" t="s">
        <v>1995</v>
      </c>
      <c r="J61" s="34" t="str">
        <f>VLOOKUP(A61,TableS10!A:J,10,FALSE)</f>
        <v>-</v>
      </c>
    </row>
    <row r="62" spans="1:10" ht="15.75" customHeight="1" x14ac:dyDescent="0.2">
      <c r="A62" s="24" t="s">
        <v>1997</v>
      </c>
      <c r="B62" s="24">
        <v>44.176670523082201</v>
      </c>
      <c r="C62" s="24">
        <v>-9.0023156628597594</v>
      </c>
      <c r="D62" s="24">
        <v>1.2934673154854399</v>
      </c>
      <c r="E62" s="24">
        <v>-6.9598323475851904</v>
      </c>
      <c r="F62" s="26">
        <v>3.4067791423202501E-12</v>
      </c>
      <c r="G62" s="26">
        <v>7.8642089721320707E-9</v>
      </c>
      <c r="H62" s="27" t="str">
        <f>VLOOKUP(A62,TableS10!A:J,8,FALSE)</f>
        <v>-</v>
      </c>
      <c r="I62" s="24" t="s">
        <v>10</v>
      </c>
      <c r="J62" s="34" t="str">
        <f>VLOOKUP(A62,TableS10!A:J,10,FALSE)</f>
        <v>-</v>
      </c>
    </row>
    <row r="63" spans="1:10" ht="15.75" customHeight="1" x14ac:dyDescent="0.2">
      <c r="A63" s="24" t="s">
        <v>1999</v>
      </c>
      <c r="B63" s="24">
        <v>39.9414744460002</v>
      </c>
      <c r="C63" s="24">
        <v>-8.8624841395263108</v>
      </c>
      <c r="D63" s="24">
        <v>1.2838111200253699</v>
      </c>
      <c r="E63" s="24">
        <v>-6.9032617035994797</v>
      </c>
      <c r="F63" s="26">
        <v>5.08218768659112E-12</v>
      </c>
      <c r="G63" s="26">
        <v>1.1602802033136501E-8</v>
      </c>
      <c r="H63" s="27" t="str">
        <f>VLOOKUP(A63,TableS10!A:J,8,FALSE)</f>
        <v>-</v>
      </c>
      <c r="I63" s="24" t="s">
        <v>2000</v>
      </c>
      <c r="J63" s="34" t="str">
        <f>VLOOKUP(A63,TableS10!A:J,10,FALSE)</f>
        <v>-</v>
      </c>
    </row>
    <row r="64" spans="1:10" ht="15.75" customHeight="1" x14ac:dyDescent="0.2">
      <c r="A64" s="24" t="s">
        <v>2001</v>
      </c>
      <c r="B64" s="24">
        <v>51.5752162483072</v>
      </c>
      <c r="C64" s="24">
        <v>-9.2251040038387693</v>
      </c>
      <c r="D64" s="24">
        <v>1.3409853039181101</v>
      </c>
      <c r="E64" s="24">
        <v>-6.8793475788919896</v>
      </c>
      <c r="F64" s="26">
        <v>6.0127292329061203E-12</v>
      </c>
      <c r="G64" s="26">
        <v>1.3149269205385701E-8</v>
      </c>
      <c r="H64" s="27" t="str">
        <f>VLOOKUP(A64,TableS10!A:J,8,FALSE)</f>
        <v>-</v>
      </c>
      <c r="I64" s="24" t="s">
        <v>10</v>
      </c>
      <c r="J64" s="34" t="str">
        <f>VLOOKUP(A64,TableS10!A:J,10,FALSE)</f>
        <v>-</v>
      </c>
    </row>
    <row r="65" spans="1:10" ht="15.75" customHeight="1" x14ac:dyDescent="0.2">
      <c r="A65" s="24" t="s">
        <v>2002</v>
      </c>
      <c r="B65" s="24">
        <v>54.390988794558098</v>
      </c>
      <c r="C65" s="24">
        <v>-7.49436594099984</v>
      </c>
      <c r="D65" s="24">
        <v>1.0961007505332301</v>
      </c>
      <c r="E65" s="24">
        <v>-6.8372966055848101</v>
      </c>
      <c r="F65" s="26">
        <v>8.0701545660797995E-12</v>
      </c>
      <c r="G65" s="26">
        <v>1.74648232503175E-8</v>
      </c>
      <c r="H65" s="27" t="str">
        <f>VLOOKUP(A65,TableS10!A:J,8,FALSE)</f>
        <v>-</v>
      </c>
      <c r="I65" s="24" t="s">
        <v>2003</v>
      </c>
      <c r="J65" s="34" t="str">
        <f>VLOOKUP(A65,TableS10!A:J,10,FALSE)</f>
        <v>-</v>
      </c>
    </row>
    <row r="66" spans="1:10" ht="15.75" customHeight="1" x14ac:dyDescent="0.2">
      <c r="A66" s="24" t="s">
        <v>2004</v>
      </c>
      <c r="B66" s="24">
        <v>47.035549633906797</v>
      </c>
      <c r="C66" s="24">
        <v>-9.0953393344576607</v>
      </c>
      <c r="D66" s="24">
        <v>1.34145252665991</v>
      </c>
      <c r="E66" s="24">
        <v>-6.7802170808863602</v>
      </c>
      <c r="F66" s="26">
        <v>1.19995443492143E-11</v>
      </c>
      <c r="G66" s="26">
        <v>2.49297733581537E-8</v>
      </c>
      <c r="H66" s="27" t="str">
        <f>VLOOKUP(A66,TableS10!A:J,8,FALSE)</f>
        <v>-</v>
      </c>
      <c r="I66" s="24" t="s">
        <v>1936</v>
      </c>
      <c r="J66" s="34" t="str">
        <f>VLOOKUP(A66,TableS10!A:J,10,FALSE)</f>
        <v>-</v>
      </c>
    </row>
    <row r="67" spans="1:10" ht="15.75" customHeight="1" x14ac:dyDescent="0.2">
      <c r="A67" s="24" t="s">
        <v>2005</v>
      </c>
      <c r="B67" s="24">
        <v>37.091916839373397</v>
      </c>
      <c r="C67" s="24">
        <v>-5.8907898212016603</v>
      </c>
      <c r="D67" s="24">
        <v>0.86953656562729098</v>
      </c>
      <c r="E67" s="24">
        <v>-6.7746315152968899</v>
      </c>
      <c r="F67" s="26">
        <v>1.24723733543999E-11</v>
      </c>
      <c r="G67" s="26">
        <v>2.56555485011555E-8</v>
      </c>
      <c r="H67" s="27" t="str">
        <f>VLOOKUP(A67,TableS10!A:J,8,FALSE)</f>
        <v>K11251</v>
      </c>
      <c r="I67" s="24" t="s">
        <v>2007</v>
      </c>
      <c r="J67" s="34" t="str">
        <f>VLOOKUP(A67,TableS10!A:J,10,FALSE)</f>
        <v>GO:0000228,GO:0000785,GO:0000790,GO:0003674,GO:0003676,GO:0003677,GO:0005488,GO:0005575,GO:0005622,GO:0005623,GO:0005634,GO:0005694,GO:0006325,GO:0006342,GO:0006355,GO:0006996,GO:0008150,GO:0009889,GO:0009890,GO:0009892,GO:0009987,GO:0010468,GO:0010556,GO:0010558,GO:0010605,GO:0010629,GO:0016043,GO:0016458,GO:0019219,GO:0019222,GO:0031323,GO:0031324,GO:0031326,GO:0031327,GO:0031974,GO:0031981,GO:0040029,GO:0043226,GO:0043227,GO:0043228,GO:0043229,GO:0043231,GO:0043232,GO:0043233,GO:0044422,GO:0044424,GO:0044427,GO:0044428,GO:0044446,GO:0044454,GO:0044464,GO:0045814,GO:0045892,GO:0045934,GO:0048519,GO:0048523,GO:0050789,GO:0050794,GO:0051171,GO:0051172,GO:0051252,GO:0051253,GO:0051276,GO:0060255,GO:0065007,GO:0070013,GO:0071840,GO:0080090,GO:0097159,GO:1901363,GO:1902679,GO:1903506,GO:1903507,GO:2000112,GO:2000113,GO:2001141</v>
      </c>
    </row>
    <row r="68" spans="1:10" ht="15.75" customHeight="1" x14ac:dyDescent="0.2">
      <c r="A68" s="24" t="s">
        <v>2008</v>
      </c>
      <c r="B68" s="24">
        <v>39.547161527664002</v>
      </c>
      <c r="C68" s="24">
        <v>-8.84164057412546</v>
      </c>
      <c r="D68" s="24">
        <v>1.3075118892658999</v>
      </c>
      <c r="E68" s="24">
        <v>-6.76218751562525</v>
      </c>
      <c r="F68" s="26">
        <v>1.35923619088275E-11</v>
      </c>
      <c r="G68" s="26">
        <v>2.7416453793498699E-8</v>
      </c>
      <c r="H68" s="27" t="str">
        <f>VLOOKUP(A68,TableS10!A:J,8,FALSE)</f>
        <v>-</v>
      </c>
      <c r="I68" s="24" t="s">
        <v>10</v>
      </c>
      <c r="J68" s="34" t="str">
        <f>VLOOKUP(A68,TableS10!A:J,10,FALSE)</f>
        <v>-</v>
      </c>
    </row>
    <row r="69" spans="1:10" ht="15.75" customHeight="1" x14ac:dyDescent="0.2">
      <c r="A69" s="24" t="s">
        <v>2012</v>
      </c>
      <c r="B69" s="24">
        <v>53.382098911404398</v>
      </c>
      <c r="C69" s="24">
        <v>-7.4048564808873403</v>
      </c>
      <c r="D69" s="24">
        <v>1.10299393669094</v>
      </c>
      <c r="E69" s="24">
        <v>-6.7134154001811002</v>
      </c>
      <c r="F69" s="26">
        <v>1.9012086610100299E-11</v>
      </c>
      <c r="G69" s="26">
        <v>3.7617857769218999E-8</v>
      </c>
      <c r="H69" s="27" t="str">
        <f>VLOOKUP(A69,TableS10!A:J,8,FALSE)</f>
        <v>-</v>
      </c>
      <c r="I69" s="24" t="s">
        <v>2014</v>
      </c>
      <c r="J69" s="34" t="str">
        <f>VLOOKUP(A69,TableS10!A:J,10,FALSE)</f>
        <v>-</v>
      </c>
    </row>
    <row r="70" spans="1:10" ht="15.75" customHeight="1" x14ac:dyDescent="0.2">
      <c r="A70" s="24" t="s">
        <v>2015</v>
      </c>
      <c r="B70" s="24">
        <v>94.031569270920301</v>
      </c>
      <c r="C70" s="24">
        <v>-3.2614196255457699</v>
      </c>
      <c r="D70" s="24">
        <v>0.49377535080241602</v>
      </c>
      <c r="E70" s="24">
        <v>-6.6050677099327899</v>
      </c>
      <c r="F70" s="26">
        <v>3.9733569892108798E-11</v>
      </c>
      <c r="G70" s="26">
        <v>7.2411294267587204E-8</v>
      </c>
      <c r="H70" s="27" t="str">
        <f>VLOOKUP(A70,TableS10!A:J,8,FALSE)</f>
        <v>K01311,K01345,K01346,K09632,K20751</v>
      </c>
      <c r="I70" s="24" t="s">
        <v>2016</v>
      </c>
      <c r="J70" s="34" t="str">
        <f>VLOOKUP(A70,TableS10!A:J,10,FALSE)</f>
        <v>GO:0003674,GO:0003824,GO:0005575,GO:0005576,GO:0006508,GO:0006725,GO:0006766,GO:0006767,GO:0006807,GO:0006873,GO:0006874,GO:0006875,GO:0008150,GO:0008152,GO:0008233,GO:0009235,GO:0009987,GO:0016787,GO:0017144,GO:0019538,GO:0019725,GO:0030003,GO:0033013,GO:0042592,GO:0043170,GO:0044237,GO:0044238,GO:0044281,GO:0046483,GO:0048878,GO:0050801,GO:0051186,GO:0055065,GO:0055074,GO:0055080,GO:0055082,GO:0065007,GO:0065008,GO:0071704,GO:0072503,GO:0072507,GO:0098771,GO:0140096,GO:1901360,GO:1901564</v>
      </c>
    </row>
    <row r="71" spans="1:10" ht="15.75" customHeight="1" x14ac:dyDescent="0.2">
      <c r="A71" s="24" t="s">
        <v>2017</v>
      </c>
      <c r="B71" s="24">
        <v>37.499532217821901</v>
      </c>
      <c r="C71" s="24">
        <v>-8.7710208414218798</v>
      </c>
      <c r="D71" s="24">
        <v>1.3306912449937001</v>
      </c>
      <c r="E71" s="24">
        <v>-6.5913267817910697</v>
      </c>
      <c r="F71" s="26">
        <v>4.3591321340069797E-11</v>
      </c>
      <c r="G71" s="26">
        <v>7.8750943968065703E-8</v>
      </c>
      <c r="H71" s="27" t="str">
        <f>VLOOKUP(A71,TableS10!A:J,8,FALSE)</f>
        <v>-</v>
      </c>
      <c r="I71" s="24" t="s">
        <v>2018</v>
      </c>
      <c r="J71" s="34" t="str">
        <f>VLOOKUP(A71,TableS10!A:J,10,FALSE)</f>
        <v>-</v>
      </c>
    </row>
    <row r="72" spans="1:10" ht="15.75" customHeight="1" x14ac:dyDescent="0.2">
      <c r="A72" s="24" t="s">
        <v>2019</v>
      </c>
      <c r="B72" s="24">
        <v>69.965978726477701</v>
      </c>
      <c r="C72" s="24">
        <v>-7.8886478236826596</v>
      </c>
      <c r="D72" s="24">
        <v>1.1993756556955399</v>
      </c>
      <c r="E72" s="24">
        <v>-6.5772952671012099</v>
      </c>
      <c r="F72" s="26">
        <v>4.7908283345935698E-11</v>
      </c>
      <c r="G72" s="26">
        <v>8.5803735472570901E-8</v>
      </c>
      <c r="H72" s="27" t="str">
        <f>VLOOKUP(A72,TableS10!A:J,8,FALSE)</f>
        <v>K05111</v>
      </c>
      <c r="I72" s="24" t="s">
        <v>2022</v>
      </c>
      <c r="J72" s="34" t="str">
        <f>VLOOKUP(A72,TableS10!A:J,10,FALSE)</f>
        <v>-</v>
      </c>
    </row>
    <row r="73" spans="1:10" ht="15.75" customHeight="1" x14ac:dyDescent="0.2">
      <c r="A73" s="24" t="s">
        <v>2023</v>
      </c>
      <c r="B73" s="24">
        <v>139.26869405447599</v>
      </c>
      <c r="C73" s="24">
        <v>-2.4925949303103199</v>
      </c>
      <c r="D73" s="24">
        <v>0.37960374539521402</v>
      </c>
      <c r="E73" s="24">
        <v>-6.5663075260630501</v>
      </c>
      <c r="F73" s="26">
        <v>5.1578240924770699E-11</v>
      </c>
      <c r="G73" s="26">
        <v>9.1587085654415804E-8</v>
      </c>
      <c r="H73" s="27" t="str">
        <f>VLOOKUP(A73,TableS10!A:J,8,FALSE)</f>
        <v>-</v>
      </c>
      <c r="I73" s="24" t="s">
        <v>5145</v>
      </c>
      <c r="J73" s="34" t="str">
        <f>VLOOKUP(A73,TableS10!A:J,10,FALSE)</f>
        <v>-</v>
      </c>
    </row>
    <row r="74" spans="1:10" ht="15.75" customHeight="1" x14ac:dyDescent="0.2">
      <c r="A74" s="24" t="s">
        <v>2025</v>
      </c>
      <c r="B74" s="24">
        <v>59.593967251125697</v>
      </c>
      <c r="C74" s="24">
        <v>-9.4383079299010202</v>
      </c>
      <c r="D74" s="24">
        <v>1.43913365952515</v>
      </c>
      <c r="E74" s="24">
        <v>-6.5583261620155904</v>
      </c>
      <c r="F74" s="26">
        <v>5.44150909185066E-11</v>
      </c>
      <c r="G74" s="26">
        <v>9.5805607024281902E-8</v>
      </c>
      <c r="H74" s="27" t="str">
        <f>VLOOKUP(A74,TableS10!A:J,8,FALSE)</f>
        <v>-</v>
      </c>
      <c r="I74" s="24" t="s">
        <v>10</v>
      </c>
      <c r="J74" s="34" t="str">
        <f>VLOOKUP(A74,TableS10!A:J,10,FALSE)</f>
        <v>-</v>
      </c>
    </row>
    <row r="75" spans="1:10" ht="15.75" customHeight="1" x14ac:dyDescent="0.2">
      <c r="A75" s="24" t="s">
        <v>2026</v>
      </c>
      <c r="B75" s="24">
        <v>32.612735247082703</v>
      </c>
      <c r="C75" s="24">
        <v>-3.7699009599848101</v>
      </c>
      <c r="D75" s="24">
        <v>0.57538292297402105</v>
      </c>
      <c r="E75" s="24">
        <v>-6.5519861807838602</v>
      </c>
      <c r="F75" s="26">
        <v>5.6776797221087001E-11</v>
      </c>
      <c r="G75" s="26">
        <v>9.9123699861043297E-8</v>
      </c>
      <c r="H75" s="27" t="str">
        <f>VLOOKUP(A75,TableS10!A:J,8,FALSE)</f>
        <v>-</v>
      </c>
      <c r="I75" s="24" t="s">
        <v>10</v>
      </c>
      <c r="J75" s="34" t="str">
        <f>VLOOKUP(A75,TableS10!A:J,10,FALSE)</f>
        <v>-</v>
      </c>
    </row>
    <row r="76" spans="1:10" ht="15.75" customHeight="1" x14ac:dyDescent="0.2">
      <c r="A76" s="24" t="s">
        <v>2027</v>
      </c>
      <c r="B76" s="24">
        <v>31.505984636906799</v>
      </c>
      <c r="C76" s="24">
        <v>-8.5151683319206892</v>
      </c>
      <c r="D76" s="24">
        <v>1.3000438463878401</v>
      </c>
      <c r="E76" s="24">
        <v>-6.5499085708378404</v>
      </c>
      <c r="F76" s="26">
        <v>5.7572320181377401E-11</v>
      </c>
      <c r="G76" s="26">
        <v>9.9674957930018605E-8</v>
      </c>
      <c r="H76" s="27" t="str">
        <f>VLOOKUP(A76,TableS10!A:J,8,FALSE)</f>
        <v>-</v>
      </c>
      <c r="I76" s="24" t="s">
        <v>10</v>
      </c>
      <c r="J76" s="34" t="str">
        <f>VLOOKUP(A76,TableS10!A:J,10,FALSE)</f>
        <v>-</v>
      </c>
    </row>
    <row r="77" spans="1:10" ht="15.75" customHeight="1" x14ac:dyDescent="0.2">
      <c r="A77" s="24" t="s">
        <v>2028</v>
      </c>
      <c r="B77" s="24">
        <v>48.039082751136</v>
      </c>
      <c r="C77" s="24">
        <v>-8.1597278615605298</v>
      </c>
      <c r="D77" s="24">
        <v>1.2471319424868399</v>
      </c>
      <c r="E77" s="24">
        <v>-6.5427943777060502</v>
      </c>
      <c r="F77" s="26">
        <v>6.0379823965888394E-11</v>
      </c>
      <c r="G77" s="26">
        <v>1.03671658742621E-7</v>
      </c>
      <c r="H77" s="27" t="str">
        <f>VLOOKUP(A77,TableS10!A:J,8,FALSE)</f>
        <v>K00699</v>
      </c>
      <c r="I77" s="24" t="s">
        <v>2029</v>
      </c>
      <c r="J77" s="34" t="str">
        <f>VLOOKUP(A77,TableS10!A:J,10,FALSE)</f>
        <v>GO:0001523,GO:0001889,GO:0001972,GO:0002237,GO:0002526,GO:0003008,GO:0003674,GO:0003824,GO:0004857,GO:0005080,GO:0005488,GO:0005496,GO:0005501,GO:0005504,GO:0005515,GO:0005575,GO:0005622,GO:0005623,GO:0005737,GO:0005783,GO:0005789,GO:0005886,GO:0005887,GO:0005975,GO:0005996,GO:0006063,GO:0006082,GO:0006109,GO:0006629,GO:0006631,GO:0006706,GO:0006711,GO:0006720,GO:0006721,GO:0006725,GO:0006778,GO:0006787,GO:0006789,GO:0006805,GO:0006807,GO:0006950,GO:0006952,GO:0006953,GO:0006954,GO:0007275,GO:0007584,GO:0007588,GO:0008144,GO:0008150,GO:0008152,GO:0008194,GO:0008202,GO:0008210,GO:0008289,GO:0009056,GO:0009410,GO:0009605,GO:0009607,GO:0009617,GO:0009636,GO:0009698,GO:0009719,GO:0009725,GO:0009804,GO:0009812,GO:0009892,GO:0009987,GO:0009991,GO:0010033,GO:0010565,GO:0010675,GO:0010677,GO:0010817,GO:0012505,GO:0014070,GO:0015020,GO:0016020,GO:0016021,GO:0016042,GO:0016101,GO:0016740,GO:0016757,GO:0016758,GO:0016999,GO:0017001,GO:0017144,GO:0018879,GO:0019216,GO:0019217,GO:0019218,GO:0019222,GO:0019439,GO:0019585,GO:0019748,GO:0019752,GO:0019840,GO:0019899,GO:0019900,GO:0019901,GO:0030234,GO:0031099,GO:0031100,GO:0031224,GO:0031226,GO:0031323,GO:0031324,GO:0031406,GO:0031667,GO:0031960,GO:0031984,GO:0032355,GO:0032496,GO:0032501,GO:0032502,GO:0032787,GO:0032870,GO:0032991,GO:0033013,GO:0033015,GO:0033293,GO:0033993,GO:0034641,GO:0034663,GO:0034754,GO:0035690,GO:0036094,GO:0042167,GO:0042168,GO:0042175,GO:0042178,GO:0042221,GO:0042440,GO:0042445,GO:0042447,GO:0042493,GO:0042537,GO:0042573,GO:0042594,GO:0042802,GO:0042803,GO:0043086,GO:0043167,GO:0043168,GO:0043177,GO:0043207,GO:0043226,GO:0043227,GO:0043229,GO:0043231,GO:0043436,GO:0044092,GO:0044237,GO:0044238,GO:0044248,GO:0044255,GO:0044270,GO:0044281,GO:0044422,GO:0044424,GO:0044425,GO:0044432,GO:0044444,GO:0044446,GO:0044459,GO:0044464,GO:0044877,GO:0045471,GO:0045833,GO:0045912,GO:0045922,GO:0045939,GO:0046149,GO:0046226,GO:0046271,GO:0046483,GO:0046677,GO:0046700,GO:0046982,GO:0046983,GO:0048513,GO:0048519,GO:0048523,GO:0048545,GO:0048731,GO:0048732,GO:0048856,GO:0050789,GO:0050790,GO:0050794,GO:0050896,GO:0051186,GO:0051187,GO:0051338,GO:0051348,GO:0051384,GO:0051552,GO:0051704,GO:0051707,GO:0051716,GO:0052695,GO:0052696,GO:0052697,GO:0061008,GO:0062012,GO:0062014,GO:0065007,GO:0065008,GO:0065009,GO:0070069,GO:0070887,GO:0070980,GO:0071236,GO:0071310,GO:0071361,GO:0071383,GO:0071384,GO:0071385,GO:0071392,GO:0071396,GO:0071407,GO:0071466,GO:0071495,GO:0071704,GO:0071944,GO:0080090,GO:0097159,GO:0097237,GO:0097305,GO:0097306,GO:0098772,GO:0098827,GO:1901360,GO:1901361,GO:1901564,GO:1901565,GO:1901575,GO:1901700,GO:1901701,GO:1904223,GO:1904224,GO:2001029,GO:2001030</v>
      </c>
    </row>
    <row r="78" spans="1:10" ht="15.75" customHeight="1" x14ac:dyDescent="0.2">
      <c r="A78" s="24" t="s">
        <v>2030</v>
      </c>
      <c r="B78" s="24">
        <v>29.1451828514417</v>
      </c>
      <c r="C78" s="24">
        <v>-8.4033825525857502</v>
      </c>
      <c r="D78" s="24">
        <v>1.2851898156467401</v>
      </c>
      <c r="E78" s="24">
        <v>-6.5386314537179402</v>
      </c>
      <c r="F78" s="26">
        <v>6.2084303217034502E-11</v>
      </c>
      <c r="G78" s="26">
        <v>1.05724479501297E-7</v>
      </c>
      <c r="H78" s="27" t="str">
        <f>VLOOKUP(A78,TableS10!A:J,8,FALSE)</f>
        <v>-</v>
      </c>
      <c r="I78" s="24" t="s">
        <v>10</v>
      </c>
      <c r="J78" s="34" t="str">
        <f>VLOOKUP(A78,TableS10!A:J,10,FALSE)</f>
        <v>-</v>
      </c>
    </row>
    <row r="79" spans="1:10" ht="15.75" customHeight="1" x14ac:dyDescent="0.2">
      <c r="A79" s="24" t="s">
        <v>2033</v>
      </c>
      <c r="B79" s="24">
        <v>46.429598124378799</v>
      </c>
      <c r="C79" s="24">
        <v>-9.0736280532101805</v>
      </c>
      <c r="D79" s="24">
        <v>1.3925272725137301</v>
      </c>
      <c r="E79" s="24">
        <v>-6.51594279861453</v>
      </c>
      <c r="F79" s="26">
        <v>7.2234500142153398E-11</v>
      </c>
      <c r="G79" s="26">
        <v>1.2200935619132699E-7</v>
      </c>
      <c r="H79" s="27" t="str">
        <f>VLOOKUP(A79,TableS10!A:J,8,FALSE)</f>
        <v>-</v>
      </c>
      <c r="I79" s="24" t="s">
        <v>2034</v>
      </c>
      <c r="J79" s="34" t="str">
        <f>VLOOKUP(A79,TableS10!A:J,10,FALSE)</f>
        <v>-</v>
      </c>
    </row>
    <row r="80" spans="1:10" ht="15.75" customHeight="1" x14ac:dyDescent="0.2">
      <c r="A80" s="24" t="s">
        <v>2035</v>
      </c>
      <c r="B80" s="24">
        <v>45.860782920169697</v>
      </c>
      <c r="C80" s="24">
        <v>-4.6777764940587003</v>
      </c>
      <c r="D80" s="24">
        <v>0.72541539063744898</v>
      </c>
      <c r="E80" s="24">
        <v>-6.4484108752478599</v>
      </c>
      <c r="F80" s="26">
        <v>1.13028998423733E-10</v>
      </c>
      <c r="G80" s="26">
        <v>1.8345666091032101E-7</v>
      </c>
      <c r="H80" s="27" t="str">
        <f>VLOOKUP(A80,TableS10!A:J,8,FALSE)</f>
        <v>-</v>
      </c>
      <c r="I80" s="24" t="s">
        <v>260</v>
      </c>
      <c r="J80" s="34" t="str">
        <f>VLOOKUP(A80,TableS10!A:J,10,FALSE)</f>
        <v>-</v>
      </c>
    </row>
    <row r="81" spans="1:10" ht="15.75" customHeight="1" x14ac:dyDescent="0.2">
      <c r="A81" s="24" t="s">
        <v>2037</v>
      </c>
      <c r="B81" s="24">
        <v>32.751179044401901</v>
      </c>
      <c r="C81" s="24">
        <v>-8.5717591287125305</v>
      </c>
      <c r="D81" s="24">
        <v>1.3295457874172301</v>
      </c>
      <c r="E81" s="24">
        <v>-6.4471334570312298</v>
      </c>
      <c r="F81" s="26">
        <v>1.13985412153818E-10</v>
      </c>
      <c r="G81" s="26">
        <v>1.8357483168549299E-7</v>
      </c>
      <c r="H81" s="27" t="str">
        <f>VLOOKUP(A81,TableS10!A:J,8,FALSE)</f>
        <v>-</v>
      </c>
      <c r="I81" s="24" t="s">
        <v>10</v>
      </c>
      <c r="J81" s="34" t="str">
        <f>VLOOKUP(A81,TableS10!A:J,10,FALSE)</f>
        <v>-</v>
      </c>
    </row>
    <row r="82" spans="1:10" ht="15.75" customHeight="1" x14ac:dyDescent="0.2">
      <c r="A82" s="24" t="s">
        <v>2038</v>
      </c>
      <c r="B82" s="24">
        <v>119.64286152299201</v>
      </c>
      <c r="C82" s="24">
        <v>-4.30957653366365</v>
      </c>
      <c r="D82" s="24">
        <v>0.66925098549745199</v>
      </c>
      <c r="E82" s="24">
        <v>-6.4394025964121004</v>
      </c>
      <c r="F82" s="26">
        <v>1.19944659183526E-10</v>
      </c>
      <c r="G82" s="26">
        <v>1.91686327794866E-7</v>
      </c>
      <c r="H82" s="27" t="str">
        <f>VLOOKUP(A82,TableS10!A:J,8,FALSE)</f>
        <v>-</v>
      </c>
      <c r="I82" s="24" t="s">
        <v>2040</v>
      </c>
      <c r="J82" s="34" t="str">
        <f>VLOOKUP(A82,TableS10!A:J,10,FALSE)</f>
        <v>-</v>
      </c>
    </row>
    <row r="83" spans="1:10" ht="15.75" customHeight="1" x14ac:dyDescent="0.2">
      <c r="A83" s="24" t="s">
        <v>2042</v>
      </c>
      <c r="B83" s="24">
        <v>34.0268975732141</v>
      </c>
      <c r="C83" s="24">
        <v>-8.6268071315679595</v>
      </c>
      <c r="D83" s="24">
        <v>1.3473759607973701</v>
      </c>
      <c r="E83" s="24">
        <v>-6.4026725892175502</v>
      </c>
      <c r="F83" s="26">
        <v>1.52680380675423E-10</v>
      </c>
      <c r="G83" s="26">
        <v>2.4032188078242298E-7</v>
      </c>
      <c r="H83" s="27" t="str">
        <f>VLOOKUP(A83,TableS10!A:J,8,FALSE)</f>
        <v>-</v>
      </c>
      <c r="I83" s="24" t="s">
        <v>2043</v>
      </c>
      <c r="J83" s="34" t="str">
        <f>VLOOKUP(A83,TableS10!A:J,10,FALSE)</f>
        <v>-</v>
      </c>
    </row>
    <row r="84" spans="1:10" ht="15.75" customHeight="1" x14ac:dyDescent="0.2">
      <c r="A84" s="24" t="s">
        <v>2044</v>
      </c>
      <c r="B84" s="24">
        <v>50.008224930303101</v>
      </c>
      <c r="C84" s="24">
        <v>-8.2152247201177193</v>
      </c>
      <c r="D84" s="24">
        <v>1.28311330370722</v>
      </c>
      <c r="E84" s="24">
        <v>-6.4025715393815696</v>
      </c>
      <c r="F84" s="26">
        <v>1.5278150024490101E-10</v>
      </c>
      <c r="G84" s="26">
        <v>2.4032188078242298E-7</v>
      </c>
      <c r="H84" s="27" t="str">
        <f>VLOOKUP(A84,TableS10!A:J,8,FALSE)</f>
        <v>-</v>
      </c>
      <c r="I84" s="24" t="s">
        <v>10</v>
      </c>
      <c r="J84" s="34" t="str">
        <f>VLOOKUP(A84,TableS10!A:J,10,FALSE)</f>
        <v>-</v>
      </c>
    </row>
    <row r="85" spans="1:10" ht="15.75" customHeight="1" x14ac:dyDescent="0.2">
      <c r="A85" s="24" t="s">
        <v>2046</v>
      </c>
      <c r="B85" s="24">
        <v>27.4521861156942</v>
      </c>
      <c r="C85" s="24">
        <v>-8.3214776365104299</v>
      </c>
      <c r="D85" s="24">
        <v>1.30024091863742</v>
      </c>
      <c r="E85" s="24">
        <v>-6.3999505916417903</v>
      </c>
      <c r="F85" s="26">
        <v>1.5542723891605E-10</v>
      </c>
      <c r="G85" s="26">
        <v>2.4097717498688698E-7</v>
      </c>
      <c r="H85" s="27" t="str">
        <f>VLOOKUP(A85,TableS10!A:J,8,FALSE)</f>
        <v>-</v>
      </c>
      <c r="I85" s="24" t="s">
        <v>5183</v>
      </c>
      <c r="J85" s="34" t="str">
        <f>VLOOKUP(A85,TableS10!A:J,10,FALSE)</f>
        <v>GO:0001527,GO:0005575,GO:0005576,GO:0008150,GO:0009314,GO:0009411,GO:0009416,GO:0009628,GO:0009650,GO:0009987,GO:0010224,GO:0010712,GO:0016043,GO:0019222,GO:0022607,GO:0030198,GO:0031012,GO:0034644,GO:0043062,GO:0044085,GO:0044420,GO:0044421,GO:0048251,GO:0050789,GO:0050896,GO:0051716,GO:0065007,GO:0071214,GO:0071478,GO:0071482,GO:0071493,GO:0071840,GO:0071953,GO:0085029,GO:0097435,GO:0099080,GO:0099081,GO:0099512,GO:0104004</v>
      </c>
    </row>
    <row r="86" spans="1:10" ht="15.75" customHeight="1" x14ac:dyDescent="0.2">
      <c r="A86" s="24" t="s">
        <v>2047</v>
      </c>
      <c r="B86" s="24">
        <v>212.139193965972</v>
      </c>
      <c r="C86" s="24">
        <v>-11.2686586909778</v>
      </c>
      <c r="D86" s="24">
        <v>1.76250205828662</v>
      </c>
      <c r="E86" s="24">
        <v>-6.3935577482005597</v>
      </c>
      <c r="F86" s="26">
        <v>1.62069747265737E-10</v>
      </c>
      <c r="G86" s="26">
        <v>2.4941453639215201E-7</v>
      </c>
      <c r="H86" s="27" t="str">
        <f>VLOOKUP(A86,TableS10!A:J,8,FALSE)</f>
        <v>-</v>
      </c>
      <c r="I86" s="24" t="s">
        <v>1458</v>
      </c>
      <c r="J86" s="34" t="str">
        <f>VLOOKUP(A86,TableS10!A:J,10,FALSE)</f>
        <v>-</v>
      </c>
    </row>
    <row r="87" spans="1:10" ht="15.75" customHeight="1" x14ac:dyDescent="0.2">
      <c r="A87" s="24" t="s">
        <v>2050</v>
      </c>
      <c r="B87" s="24">
        <v>31.4558384611653</v>
      </c>
      <c r="C87" s="24">
        <v>-8.5191275120709893</v>
      </c>
      <c r="D87" s="24">
        <v>1.3333043494610799</v>
      </c>
      <c r="E87" s="24">
        <v>-6.3894845280557497</v>
      </c>
      <c r="F87" s="26">
        <v>1.6644587686587E-10</v>
      </c>
      <c r="G87" s="26">
        <v>2.53185696917869E-7</v>
      </c>
      <c r="H87" s="27" t="str">
        <f>VLOOKUP(A87,TableS10!A:J,8,FALSE)</f>
        <v>-</v>
      </c>
      <c r="I87" s="24" t="s">
        <v>2052</v>
      </c>
      <c r="J87" s="34" t="str">
        <f>VLOOKUP(A87,TableS10!A:J,10,FALSE)</f>
        <v>-</v>
      </c>
    </row>
    <row r="88" spans="1:10" ht="15.75" customHeight="1" x14ac:dyDescent="0.2">
      <c r="A88" s="24" t="s">
        <v>2053</v>
      </c>
      <c r="B88" s="24">
        <v>26.6902005438555</v>
      </c>
      <c r="C88" s="24">
        <v>-8.2751140620420909</v>
      </c>
      <c r="D88" s="24">
        <v>1.29520966031456</v>
      </c>
      <c r="E88" s="24">
        <v>-6.3890150881304804</v>
      </c>
      <c r="F88" s="26">
        <v>1.6695758715872499E-10</v>
      </c>
      <c r="G88" s="26">
        <v>2.53185696917869E-7</v>
      </c>
      <c r="H88" s="27" t="str">
        <f>VLOOKUP(A88,TableS10!A:J,8,FALSE)</f>
        <v>-</v>
      </c>
      <c r="I88" s="24" t="s">
        <v>10</v>
      </c>
      <c r="J88" s="34" t="str">
        <f>VLOOKUP(A88,TableS10!A:J,10,FALSE)</f>
        <v>-</v>
      </c>
    </row>
    <row r="89" spans="1:10" ht="15.75" customHeight="1" x14ac:dyDescent="0.2">
      <c r="A89" s="24" t="s">
        <v>2054</v>
      </c>
      <c r="B89" s="24">
        <v>44.284916425543599</v>
      </c>
      <c r="C89" s="24">
        <v>-9.0051692387036706</v>
      </c>
      <c r="D89" s="24">
        <v>1.4113072751189299</v>
      </c>
      <c r="E89" s="24">
        <v>-6.38072898614144</v>
      </c>
      <c r="F89" s="26">
        <v>1.76246972925214E-10</v>
      </c>
      <c r="G89" s="26">
        <v>2.65335986282977E-7</v>
      </c>
      <c r="H89" s="27" t="str">
        <f>VLOOKUP(A89,TableS10!A:J,8,FALSE)</f>
        <v>-</v>
      </c>
      <c r="I89" s="24" t="s">
        <v>10</v>
      </c>
      <c r="J89" s="34" t="str">
        <f>VLOOKUP(A89,TableS10!A:J,10,FALSE)</f>
        <v>-</v>
      </c>
    </row>
    <row r="90" spans="1:10" ht="15.75" customHeight="1" x14ac:dyDescent="0.2">
      <c r="A90" s="24" t="s">
        <v>2055</v>
      </c>
      <c r="B90" s="24">
        <v>30.021550483136402</v>
      </c>
      <c r="C90" s="24">
        <v>-8.4470948291328796</v>
      </c>
      <c r="D90" s="24">
        <v>1.3257541557444099</v>
      </c>
      <c r="E90" s="24">
        <v>-6.3715393932820303</v>
      </c>
      <c r="F90" s="26">
        <v>1.8714020890258999E-10</v>
      </c>
      <c r="G90" s="26">
        <v>2.7574114355153499E-7</v>
      </c>
      <c r="H90" s="27" t="str">
        <f>VLOOKUP(A90,TableS10!A:J,8,FALSE)</f>
        <v>-</v>
      </c>
      <c r="I90" s="24" t="s">
        <v>10</v>
      </c>
      <c r="J90" s="34" t="str">
        <f>VLOOKUP(A90,TableS10!A:J,10,FALSE)</f>
        <v>-</v>
      </c>
    </row>
    <row r="91" spans="1:10" ht="15.75" customHeight="1" x14ac:dyDescent="0.2">
      <c r="A91" s="24" t="s">
        <v>2057</v>
      </c>
      <c r="B91" s="24">
        <v>26.368756192932501</v>
      </c>
      <c r="C91" s="24">
        <v>-8.2582538560790795</v>
      </c>
      <c r="D91" s="24">
        <v>1.3066761355146901</v>
      </c>
      <c r="E91" s="24">
        <v>-6.3200464381529304</v>
      </c>
      <c r="F91" s="26">
        <v>2.6148471228654202E-10</v>
      </c>
      <c r="G91" s="26">
        <v>3.79895229970649E-7</v>
      </c>
      <c r="H91" s="27" t="str">
        <f>VLOOKUP(A91,TableS10!A:J,8,FALSE)</f>
        <v>-</v>
      </c>
      <c r="I91" s="24" t="s">
        <v>10</v>
      </c>
      <c r="J91" s="34" t="str">
        <f>VLOOKUP(A91,TableS10!A:J,10,FALSE)</f>
        <v>-</v>
      </c>
    </row>
    <row r="92" spans="1:10" ht="15.75" customHeight="1" x14ac:dyDescent="0.2">
      <c r="A92" s="24" t="s">
        <v>2058</v>
      </c>
      <c r="B92" s="24">
        <v>44.432119834601401</v>
      </c>
      <c r="C92" s="24">
        <v>-9.0103889933983297</v>
      </c>
      <c r="D92" s="24">
        <v>1.4284226003782701</v>
      </c>
      <c r="E92" s="24">
        <v>-6.30792945379907</v>
      </c>
      <c r="F92" s="26">
        <v>2.8279305093286498E-10</v>
      </c>
      <c r="G92" s="26">
        <v>4.0799967423339202E-7</v>
      </c>
      <c r="H92" s="27" t="str">
        <f>VLOOKUP(A92,TableS10!A:J,8,FALSE)</f>
        <v>-</v>
      </c>
      <c r="I92" s="24" t="s">
        <v>2059</v>
      </c>
      <c r="J92" s="34" t="str">
        <f>VLOOKUP(A92,TableS10!A:J,10,FALSE)</f>
        <v>-</v>
      </c>
    </row>
    <row r="93" spans="1:10" ht="15.75" customHeight="1" x14ac:dyDescent="0.2">
      <c r="A93" s="24" t="s">
        <v>2063</v>
      </c>
      <c r="B93" s="24">
        <v>549.73299931091901</v>
      </c>
      <c r="C93" s="24">
        <v>-7.2971785996123</v>
      </c>
      <c r="D93" s="24">
        <v>1.1635591385123301</v>
      </c>
      <c r="E93" s="24">
        <v>-6.2714290645700403</v>
      </c>
      <c r="F93" s="26">
        <v>3.5774927679622002E-10</v>
      </c>
      <c r="G93" s="26">
        <v>5.1258316379362401E-7</v>
      </c>
      <c r="H93" s="27" t="str">
        <f>VLOOKUP(A93,TableS10!A:J,8,FALSE)</f>
        <v>-</v>
      </c>
      <c r="I93" s="24" t="s">
        <v>10</v>
      </c>
      <c r="J93" s="34" t="str">
        <f>VLOOKUP(A93,TableS10!A:J,10,FALSE)</f>
        <v>-</v>
      </c>
    </row>
    <row r="94" spans="1:10" ht="15.75" customHeight="1" x14ac:dyDescent="0.2">
      <c r="A94" s="24" t="s">
        <v>2065</v>
      </c>
      <c r="B94" s="24">
        <v>32.5326669252008</v>
      </c>
      <c r="C94" s="24">
        <v>-8.5593626193051708</v>
      </c>
      <c r="D94" s="24">
        <v>1.3661239162497101</v>
      </c>
      <c r="E94" s="24">
        <v>-6.2654364787071399</v>
      </c>
      <c r="F94" s="26">
        <v>3.7178253489521002E-10</v>
      </c>
      <c r="G94" s="26">
        <v>5.29041454244447E-7</v>
      </c>
      <c r="H94" s="27" t="str">
        <f>VLOOKUP(A94,TableS10!A:J,8,FALSE)</f>
        <v>-</v>
      </c>
      <c r="I94" s="24" t="s">
        <v>2066</v>
      </c>
      <c r="J94" s="34" t="str">
        <f>VLOOKUP(A94,TableS10!A:J,10,FALSE)</f>
        <v>-</v>
      </c>
    </row>
    <row r="95" spans="1:10" ht="15.75" customHeight="1" x14ac:dyDescent="0.2">
      <c r="A95" s="24" t="s">
        <v>2067</v>
      </c>
      <c r="B95" s="24">
        <v>25.4510730387492</v>
      </c>
      <c r="C95" s="24">
        <v>-8.2054067112487594</v>
      </c>
      <c r="D95" s="24">
        <v>1.3157017150734001</v>
      </c>
      <c r="E95" s="24">
        <v>-6.2365250552181699</v>
      </c>
      <c r="F95" s="26">
        <v>4.4739768496851301E-10</v>
      </c>
      <c r="G95" s="26">
        <v>6.3230988733549899E-7</v>
      </c>
      <c r="H95" s="27" t="str">
        <f>VLOOKUP(A95,TableS10!A:J,8,FALSE)</f>
        <v>-</v>
      </c>
      <c r="I95" s="24" t="s">
        <v>2069</v>
      </c>
      <c r="J95" s="34" t="str">
        <f>VLOOKUP(A95,TableS10!A:J,10,FALSE)</f>
        <v>-</v>
      </c>
    </row>
    <row r="96" spans="1:10" ht="15.75" customHeight="1" x14ac:dyDescent="0.2">
      <c r="A96" s="24" t="s">
        <v>2070</v>
      </c>
      <c r="B96" s="24">
        <v>23.945941651908399</v>
      </c>
      <c r="C96" s="24">
        <v>-8.1192272552423201</v>
      </c>
      <c r="D96" s="24">
        <v>1.3033153980158201</v>
      </c>
      <c r="E96" s="24">
        <v>-6.2296718565614198</v>
      </c>
      <c r="F96" s="26">
        <v>4.6741316300118296E-10</v>
      </c>
      <c r="G96" s="26">
        <v>6.5173079927834801E-7</v>
      </c>
      <c r="H96" s="27" t="str">
        <f>VLOOKUP(A96,TableS10!A:J,8,FALSE)</f>
        <v>-</v>
      </c>
      <c r="I96" s="24" t="s">
        <v>10</v>
      </c>
      <c r="J96" s="34" t="str">
        <f>VLOOKUP(A96,TableS10!A:J,10,FALSE)</f>
        <v>-</v>
      </c>
    </row>
    <row r="97" spans="1:10" ht="15.75" customHeight="1" x14ac:dyDescent="0.2">
      <c r="A97" s="24" t="s">
        <v>2072</v>
      </c>
      <c r="B97" s="24">
        <v>44.518278158419797</v>
      </c>
      <c r="C97" s="24">
        <v>-4.0608532431647104</v>
      </c>
      <c r="D97" s="24">
        <v>0.65239039747944305</v>
      </c>
      <c r="E97" s="24">
        <v>-6.22457543650874</v>
      </c>
      <c r="F97" s="26">
        <v>4.8286177645968403E-10</v>
      </c>
      <c r="G97" s="26">
        <v>6.6827150162530098E-7</v>
      </c>
      <c r="H97" s="27" t="str">
        <f>VLOOKUP(A97,TableS10!A:J,8,FALSE)</f>
        <v>-</v>
      </c>
      <c r="I97" s="24" t="s">
        <v>10</v>
      </c>
      <c r="J97" s="34" t="str">
        <f>VLOOKUP(A97,TableS10!A:J,10,FALSE)</f>
        <v>-</v>
      </c>
    </row>
    <row r="98" spans="1:10" ht="15.75" customHeight="1" x14ac:dyDescent="0.2">
      <c r="A98" s="24" t="s">
        <v>2073</v>
      </c>
      <c r="B98" s="24">
        <v>25.1773379040233</v>
      </c>
      <c r="C98" s="24">
        <v>-8.1923174266380894</v>
      </c>
      <c r="D98" s="24">
        <v>1.31631965705882</v>
      </c>
      <c r="E98" s="24">
        <v>-6.2236534892618502</v>
      </c>
      <c r="F98" s="26">
        <v>4.8570918166223995E-10</v>
      </c>
      <c r="G98" s="26">
        <v>6.6827150162530098E-7</v>
      </c>
      <c r="H98" s="27" t="str">
        <f>VLOOKUP(A98,TableS10!A:J,8,FALSE)</f>
        <v>K17266</v>
      </c>
      <c r="I98" s="24" t="s">
        <v>1946</v>
      </c>
      <c r="J98" s="34" t="str">
        <f>VLOOKUP(A98,TableS10!A:J,10,FALSE)</f>
        <v>GO:0001654,GO:0001775,GO:0001932,GO:0001933,GO:0002252,GO:0002263,GO:0002274,GO:0002275,GO:0002283,GO:0002366,GO:0002376,GO:0002443,GO:0002444,GO:0002446,GO:0003674,GO:0005488,GO:0005515,GO:0005575,GO:0005576,GO:0005622,GO:0005623,GO:0005634,GO:0005737,GO:0005829,GO:0005856,GO:0006469,GO:0006807,GO:0006810,GO:0006887,GO:0006950,GO:0006955,GO:0007154,GO:0007165,GO:0007166,GO:0007167,GO:0007169,GO:0007275,GO:0007399,GO:0007417,GO:0007420,GO:0007423,GO:0008150,GO:0008152,GO:0008283,GO:0009892,GO:0009987,GO:0010563,GO:0010605,GO:0012505,GO:0016043,GO:0016192,GO:0019220,GO:0019222,GO:0019538,GO:0019899,GO:0019900,GO:0019901,GO:0019902,GO:0019903,GO:0022008,GO:0023051,GO:0023052,GO:0023057,GO:0030030,GO:0030141,GO:0030154,GO:0030182,GO:0031099,GO:0031102,GO:0031175,GO:0031323,GO:0031324,GO:0031399,GO:0031400,GO:0031410,GO:0031952,GO:0031953,GO:0031974,GO:0031982,GO:0031983,GO:0032268,GO:0032269,GO:0032501,GO:0032502,GO:0032940,GO:0033554,GO:0033673,GO:0034774,GO:0036230,GO:0038127,GO:0042119,GO:0042325,GO:0042326,GO:0042802,GO:0043086,GO:0043170,GO:0043226,GO:0043227,GO:0043228,GO:0043229,GO:0043231,GO:0043232,GO:0043233,GO:0043299,GO:0043312,GO:0043549,GO:0044092,GO:0044238,GO:0044422,GO:0044424,GO:0044433,GO:0044444,GO:0044446,GO:0044464,GO:0045055,GO:0045321,GO:0045859,GO:0045936,GO:0046903,GO:0048468,GO:0048471,GO:0048513,GO:0048519,GO:0048523,GO:0048666,GO:0048699,GO:0048731,GO:0048856,GO:0048869,GO:0050730,GO:0050732,GO:0050789,GO:0050790,GO:0050794,GO:0050896,GO:0051171,GO:0051172,GO:0051174,GO:0051179,GO:0051234,GO:0051246,GO:0051248,GO:0051338,GO:0051348,GO:0051716,GO:0060205,GO:0060255,GO:0060322,GO:0061097,GO:0061099,GO:0065007,GO:0065009,GO:0070013,GO:0071704,GO:0071840,GO:0072376,GO:0080090,GO:0097708,GO:0099503,GO:0101002,GO:0120036,GO:1901564,GO:1904813</v>
      </c>
    </row>
    <row r="99" spans="1:10" ht="15.75" customHeight="1" x14ac:dyDescent="0.2">
      <c r="A99" s="24" t="s">
        <v>2075</v>
      </c>
      <c r="B99" s="24">
        <v>141.41505805633699</v>
      </c>
      <c r="C99" s="24">
        <v>-3.2871951197298701</v>
      </c>
      <c r="D99" s="24">
        <v>0.52994467361092601</v>
      </c>
      <c r="E99" s="24">
        <v>-6.2029024602354097</v>
      </c>
      <c r="F99" s="26">
        <v>5.5431197967519197E-10</v>
      </c>
      <c r="G99" s="26">
        <v>7.4297832031870403E-7</v>
      </c>
      <c r="H99" s="27" t="str">
        <f>VLOOKUP(A99,TableS10!A:J,8,FALSE)</f>
        <v>K01047</v>
      </c>
      <c r="I99" s="24" t="s">
        <v>2076</v>
      </c>
      <c r="J99" s="34" t="str">
        <f>VLOOKUP(A99,TableS10!A:J,10,FALSE)</f>
        <v>GO:0000187,GO:0001816,GO:0001932,GO:0001934,GO:0002227,GO:0002251,GO:0002252,GO:0002376,GO:0002385,GO:0002443,GO:0002444,GO:0002446,GO:0002682,GO:0002684,GO:0002791,GO:0002793,GO:0003674,GO:0003824,GO:0004620,GO:0004623,GO:0005102,GO:0005488,GO:0005509,GO:0005515,GO:0005575,GO:0005576,GO:0005615,GO:0005622,GO:0005623,GO:0005737,GO:0005829,GO:0006082,GO:0006275,GO:0006355,GO:0006357,GO:0006575,GO:0006629,GO:0006631,GO:0006633,GO:0006644,GO:0006650,GO:0006654,GO:0006658,GO:0006690,GO:0006691,GO:0006793,GO:0006796,GO:0006807,GO:0006810,GO:0006811,GO:0006820,GO:0006869,GO:0006873,GO:0006874,GO:0006875,GO:0006928,GO:0006935,GO:0006950,GO:0006952,GO:0006955,GO:0006959,GO:0006996,GO:0007010,GO:0007015,GO:0007154,GO:0007165,GO:0007204,GO:0008150,GO:0008152,GO:0008284,GO:0008610,GO:0008654,GO:0009056,GO:0009058,GO:0009395,GO:0009605,GO:0009607,GO:0009617,GO:0009719,GO:0009725,GO:0009889,GO:0009891,GO:0009893,GO:0009966,GO:0009967,GO:0009986,GO:0009987,GO:0010033,GO:0010243,GO:0010468,GO:0010517,GO:0010518,GO:0010522,GO:0010524,GO:0010556,GO:0010557,GO:0010562,GO:0010604,GO:0010628,GO:0010646,GO:0010647,GO:0010827,GO:0010876,GO:0010959,GO:0012505,GO:0015711,GO:0015718,GO:0015849,GO:0015908,GO:0015909,GO:0016042,GO:0016043,GO:0016053,GO:0016298,GO:0016477,GO:0016787,GO:0016788,GO:0019219,GO:0019220,GO:0019222,GO:0019370,GO:0019637,GO:0019725,GO:0019730,GO:0019731,GO:0019752,GO:0023051,GO:0023052,GO:0023056,GO:0030003,GO:0030029,GO:0030036,GO:0030141,GO:0030593,GO:0030595,GO:0031323,GO:0031325,GO:0031326,GO:0031328,GO:0031399,GO:0031401,GO:0031406,GO:0031410,GO:0031982,GO:0032052,GO:0032147,GO:0032268,GO:0032270,GO:0032309,GO:0032429,GO:0032430,GO:0032431,GO:0032501,GO:0032637,GO:0032787,GO:0032868,GO:0032869,GO:0032870,GO:0032879,GO:0032880,GO:0033036,GO:0033293,GO:0033674,GO:0034762,GO:0035556,GO:0036094,GO:0036148,GO:0036149,GO:0036150,GO:0036151,GO:0036152,GO:0040011,GO:0042127,GO:0042221,GO:0042325,GO:0042327,GO:0042330,GO:0042592,GO:0042742,GO:0043085,GO:0043167,GO:0043168,GO:0043169,GO:0043177,GO:0043207,GO:0043226,GO:0043227,GO:0043229,GO:0043269,GO:0043270,GO:0043405,GO:0043406,GO:0043408,GO:0043410,GO:0043434,GO:0043436,GO:0043549,GO:0044093,GO:0044237,GO:0044238,GO:0044242,GO:0044248,GO:0044249,GO:0044255,GO:0044281,GO:0044283,GO:0044421,GO:0044424,GO:0044444,GO:0044464,GO:0045017,GO:0045087,GO:0045740,GO:0045859,GO:0045860,GO:0045893,GO:0045935,GO:0045937,GO:0045944,GO:0046324,GO:0046394,GO:0046434,GO:0046456,GO:0046470,GO:0046471,GO:0046473,GO:0046474,GO:0046486,GO:0046488,GO:0046717,GO:0046872,GO:0046903,GO:0046942,GO:0047498,GO:0048145,GO:0048146,GO:0048518,GO:0048522,GO:0048583,GO:0048584,GO:0048870,GO:0048878,GO:0050482,GO:0050708,GO:0050714,GO:0050776,GO:0050778,GO:0050789,GO:0050790,GO:0050794,GO:0050801,GO:0050830,GO:0050896,GO:0050900,GO:0051046,GO:0051047,GO:0051049,GO:0051050,GO:0051052,GO:0051054,GO:0051090,GO:0051091,GO:0051092,GO:0051171,GO:0051173,GO:0051174,GO:0051179,GO:0051222,GO:0051223,GO:0051234,GO:0051246,GO:0051247,GO:0051252,GO:0051254,GO:0051336,GO:0051338,GO:0051345,GO:0051347,GO:0051480,GO:0051674,GO:0051704,GO:0051707,GO:0051716,GO:0051924,GO:0051928,GO:0052689,GO:0055065,GO:0055074,GO:0055080,GO:0055082,GO:0060191,GO:0060193,GO:0060255,GO:0060326,GO:0060341,GO:0061844,GO:0065007,GO:0065008,GO:0065009,GO:0070201,GO:0070887,GO:0071310,GO:0071375,GO:0071417,GO:0071495,GO:0071621,GO:0071702,GO:0071704,GO:0071715,GO:0071840,GO:0071900,GO:0071902,GO:0072330,GO:0072503,GO:0072507,GO:0080090,GO:0090087,GO:0090407,GO:0097164,GO:0097435,GO:0097529,GO:0097530,GO:0097708,GO:0098542,GO:0098771,GO:0099503,GO:1901564,GO:1901568,GO:1901570,GO:1901571,GO:1901575,GO:1901576,GO:1901652,GO:1901653,GO:1901698,GO:1901699,GO:1901700,GO:1901701,GO:1902531,GO:1902533,GO:1902680,GO:1903506,GO:1903508,GO:1903530,GO:1903532,GO:1903963,GO:1904951,GO:1990266,GO:2000112,GO:2001141</v>
      </c>
    </row>
    <row r="100" spans="1:10" ht="15.75" customHeight="1" x14ac:dyDescent="0.2">
      <c r="A100" s="24" t="s">
        <v>2078</v>
      </c>
      <c r="B100" s="24">
        <v>27.340790104689201</v>
      </c>
      <c r="C100" s="24">
        <v>-8.3172201042552505</v>
      </c>
      <c r="D100" s="24">
        <v>1.34311974802267</v>
      </c>
      <c r="E100" s="24">
        <v>-6.1924635658881497</v>
      </c>
      <c r="F100" s="26">
        <v>5.9231044023744704E-10</v>
      </c>
      <c r="G100" s="26">
        <v>7.8714947793134995E-7</v>
      </c>
      <c r="H100" s="27" t="str">
        <f>VLOOKUP(A100,TableS10!A:J,8,FALSE)</f>
        <v>K10443</v>
      </c>
      <c r="I100" s="24" t="s">
        <v>2080</v>
      </c>
      <c r="J100" s="34" t="str">
        <f>VLOOKUP(A100,TableS10!A:J,10,FALSE)</f>
        <v>-</v>
      </c>
    </row>
    <row r="101" spans="1:10" ht="15.75" customHeight="1" x14ac:dyDescent="0.2">
      <c r="A101" s="24" t="s">
        <v>2081</v>
      </c>
      <c r="B101" s="24">
        <v>27.721860022923</v>
      </c>
      <c r="C101" s="24">
        <v>-8.3280833492226201</v>
      </c>
      <c r="D101" s="24">
        <v>1.34502011964831</v>
      </c>
      <c r="E101" s="24">
        <v>-6.1917909089718401</v>
      </c>
      <c r="F101" s="26">
        <v>5.9484427903512703E-10</v>
      </c>
      <c r="G101" s="26">
        <v>7.8714947793134995E-7</v>
      </c>
      <c r="H101" s="27" t="str">
        <f>VLOOKUP(A101,TableS10!A:J,8,FALSE)</f>
        <v>-</v>
      </c>
      <c r="I101" s="24" t="s">
        <v>2082</v>
      </c>
      <c r="J101" s="34" t="str">
        <f>VLOOKUP(A101,TableS10!A:J,10,FALSE)</f>
        <v>-</v>
      </c>
    </row>
    <row r="102" spans="1:10" ht="15.75" customHeight="1" x14ac:dyDescent="0.2">
      <c r="A102" s="24" t="s">
        <v>2084</v>
      </c>
      <c r="B102" s="24">
        <v>22.139404720252401</v>
      </c>
      <c r="C102" s="24">
        <v>-8.0089442718487103</v>
      </c>
      <c r="D102" s="24">
        <v>1.29616943941787</v>
      </c>
      <c r="E102" s="24">
        <v>-6.1789331149835096</v>
      </c>
      <c r="F102" s="26">
        <v>6.45362277484242E-10</v>
      </c>
      <c r="G102" s="26">
        <v>8.4859421089250705E-7</v>
      </c>
      <c r="H102" s="27" t="str">
        <f>VLOOKUP(A102,TableS10!A:J,8,FALSE)</f>
        <v>-</v>
      </c>
      <c r="I102" s="24" t="s">
        <v>10</v>
      </c>
      <c r="J102" s="34" t="str">
        <f>VLOOKUP(A102,TableS10!A:J,10,FALSE)</f>
        <v>-</v>
      </c>
    </row>
    <row r="103" spans="1:10" ht="15.75" customHeight="1" x14ac:dyDescent="0.2">
      <c r="A103" s="24" t="s">
        <v>2086</v>
      </c>
      <c r="B103" s="24">
        <v>43.038860075244102</v>
      </c>
      <c r="C103" s="24">
        <v>-6.21126109211139</v>
      </c>
      <c r="D103" s="24">
        <v>1.00684939888671</v>
      </c>
      <c r="E103" s="24">
        <v>-6.1690071017366703</v>
      </c>
      <c r="F103" s="26">
        <v>6.8720141974318201E-10</v>
      </c>
      <c r="G103" s="26">
        <v>8.9792590037839402E-7</v>
      </c>
      <c r="H103" s="27" t="str">
        <f>VLOOKUP(A103,TableS10!A:J,8,FALSE)</f>
        <v>K03648</v>
      </c>
      <c r="I103" s="24" t="s">
        <v>2089</v>
      </c>
      <c r="J103" s="34" t="str">
        <f>VLOOKUP(A103,TableS10!A:J,10,FALSE)</f>
        <v>GO:0003674,GO:0003824,GO:0004844,GO:0006139,GO:0006259,GO:0006281,GO:0006284,GO:0006285,GO:0006725,GO:0006807,GO:0006950,GO:0006974,GO:0008150,GO:0008152,GO:0009987,GO:0016787,GO:0016798,GO:0016799,GO:0019104,GO:0033554,GO:0034641,GO:0043170,GO:0044237,GO:0044238,GO:0044260,GO:0046483,GO:0050896,GO:0051716,GO:0071704,GO:0090304,GO:0097506,GO:0097510,GO:0140097,GO:1901360</v>
      </c>
    </row>
    <row r="104" spans="1:10" ht="15.75" customHeight="1" x14ac:dyDescent="0.2">
      <c r="A104" s="24" t="s">
        <v>2090</v>
      </c>
      <c r="B104" s="24">
        <v>902.30270853216098</v>
      </c>
      <c r="C104" s="24">
        <v>-6.9872458665064396</v>
      </c>
      <c r="D104" s="24">
        <v>1.1349140609488699</v>
      </c>
      <c r="E104" s="24">
        <v>-6.1566299219736598</v>
      </c>
      <c r="F104" s="26">
        <v>7.4309217302554804E-10</v>
      </c>
      <c r="G104" s="26">
        <v>9.51404424390818E-7</v>
      </c>
      <c r="H104" s="27" t="str">
        <f>VLOOKUP(A104,TableS10!A:J,8,FALSE)</f>
        <v>-</v>
      </c>
      <c r="I104" s="24" t="s">
        <v>10</v>
      </c>
      <c r="J104" s="34" t="str">
        <f>VLOOKUP(A104,TableS10!A:J,10,FALSE)</f>
        <v>GO:0005575,GO:0005622,GO:0005623,GO:0005737,GO:0005739,GO:0008150,GO:0019222,GO:0031323,GO:0043226,GO:0043227,GO:0043229,GO:0043231,GO:0043457,GO:0043467,GO:0044424,GO:0044444,GO:0044464,GO:0050789,GO:0050794,GO:0065007</v>
      </c>
    </row>
    <row r="105" spans="1:10" ht="15.75" customHeight="1" x14ac:dyDescent="0.2">
      <c r="A105" s="24" t="s">
        <v>2091</v>
      </c>
      <c r="B105" s="24">
        <v>42.516330653046801</v>
      </c>
      <c r="C105" s="24">
        <v>-2.7743705212893599</v>
      </c>
      <c r="D105" s="24">
        <v>0.45068361534624601</v>
      </c>
      <c r="E105" s="24">
        <v>-6.1559160946152902</v>
      </c>
      <c r="F105" s="26">
        <v>7.4644737661344704E-10</v>
      </c>
      <c r="G105" s="26">
        <v>9.51404424390818E-7</v>
      </c>
      <c r="H105" s="27" t="str">
        <f>VLOOKUP(A105,TableS10!A:J,8,FALSE)</f>
        <v>K07374</v>
      </c>
      <c r="I105" s="24" t="s">
        <v>2093</v>
      </c>
      <c r="J105" s="34" t="str">
        <f>VLOOKUP(A105,TableS10!A:J,10,FALSE)</f>
        <v>-</v>
      </c>
    </row>
    <row r="106" spans="1:10" ht="15.75" customHeight="1" x14ac:dyDescent="0.2">
      <c r="A106" s="24" t="s">
        <v>2094</v>
      </c>
      <c r="B106" s="24">
        <v>65.863069131020097</v>
      </c>
      <c r="C106" s="24">
        <v>-4.3110585424242398</v>
      </c>
      <c r="D106" s="24">
        <v>0.700885110529892</v>
      </c>
      <c r="E106" s="24">
        <v>-6.1508776226747601</v>
      </c>
      <c r="F106" s="26">
        <v>7.7055359609986895E-10</v>
      </c>
      <c r="G106" s="26">
        <v>9.7614105433734306E-7</v>
      </c>
      <c r="H106" s="27" t="str">
        <f>VLOOKUP(A106,TableS10!A:J,8,FALSE)</f>
        <v>-</v>
      </c>
      <c r="I106" s="24" t="s">
        <v>10</v>
      </c>
      <c r="J106" s="34" t="str">
        <f>VLOOKUP(A106,TableS10!A:J,10,FALSE)</f>
        <v>-</v>
      </c>
    </row>
    <row r="107" spans="1:10" ht="15.75" customHeight="1" x14ac:dyDescent="0.2">
      <c r="A107" s="24" t="s">
        <v>2096</v>
      </c>
      <c r="B107" s="24">
        <v>22.4755583455091</v>
      </c>
      <c r="C107" s="24">
        <v>-8.0293708249795905</v>
      </c>
      <c r="D107" s="24">
        <v>1.30715199496481</v>
      </c>
      <c r="E107" s="24">
        <v>-6.1426451215382603</v>
      </c>
      <c r="F107" s="26">
        <v>8.1158470544984602E-10</v>
      </c>
      <c r="G107" s="26">
        <v>1.01867009839483E-6</v>
      </c>
      <c r="H107" s="27" t="str">
        <f>VLOOKUP(A107,TableS10!A:J,8,FALSE)</f>
        <v>-</v>
      </c>
      <c r="I107" s="24" t="s">
        <v>10</v>
      </c>
      <c r="J107" s="34" t="str">
        <f>VLOOKUP(A107,TableS10!A:J,10,FALSE)</f>
        <v>-</v>
      </c>
    </row>
    <row r="108" spans="1:10" ht="15.75" customHeight="1" x14ac:dyDescent="0.2">
      <c r="A108" s="24" t="s">
        <v>2098</v>
      </c>
      <c r="B108" s="24">
        <v>26.505316399476701</v>
      </c>
      <c r="C108" s="24">
        <v>-8.2695716754214192</v>
      </c>
      <c r="D108" s="24">
        <v>1.3463563214468499</v>
      </c>
      <c r="E108" s="24">
        <v>-6.1421865398415196</v>
      </c>
      <c r="F108" s="26">
        <v>8.1393190248918197E-10</v>
      </c>
      <c r="G108" s="26">
        <v>1.01867009839483E-6</v>
      </c>
      <c r="H108" s="27" t="str">
        <f>VLOOKUP(A108,TableS10!A:J,8,FALSE)</f>
        <v>-</v>
      </c>
      <c r="I108" s="24" t="s">
        <v>10</v>
      </c>
      <c r="J108" s="34" t="str">
        <f>VLOOKUP(A108,TableS10!A:J,10,FALSE)</f>
        <v>-</v>
      </c>
    </row>
    <row r="109" spans="1:10" ht="15.75" customHeight="1" x14ac:dyDescent="0.2">
      <c r="A109" s="24" t="s">
        <v>2099</v>
      </c>
      <c r="B109" s="24">
        <v>47.269241173096198</v>
      </c>
      <c r="C109" s="24">
        <v>-9.1047916033396401</v>
      </c>
      <c r="D109" s="24">
        <v>1.48716353603469</v>
      </c>
      <c r="E109" s="24">
        <v>-6.1222531232955504</v>
      </c>
      <c r="F109" s="26">
        <v>9.2261300483356902E-10</v>
      </c>
      <c r="G109" s="26">
        <v>1.13419164161067E-6</v>
      </c>
      <c r="H109" s="27" t="str">
        <f>VLOOKUP(A109,TableS10!A:J,8,FALSE)</f>
        <v>-</v>
      </c>
      <c r="I109" s="24" t="s">
        <v>5184</v>
      </c>
      <c r="J109" s="34" t="str">
        <f>VLOOKUP(A109,TableS10!A:J,10,FALSE)</f>
        <v>GO:0000381,GO:0001558,GO:0001655,GO:0001822,GO:0002009,GO:0005575,GO:0005622,GO:0005623,GO:0005634,GO:0005654,GO:0005737,GO:0005829,GO:0007049,GO:0007050,GO:0007275,GO:0008150,GO:0009653,GO:0009887,GO:0009888,GO:0009987,GO:0010468,GO:0019219,GO:0019222,GO:0022402,GO:0030307,GO:0030856,GO:0030858,GO:0031323,GO:0031974,GO:0031981,GO:0032501,GO:0032502,GO:0035239,GO:0035295,GO:0040008,GO:0043226,GO:0043227,GO:0043229,GO:0043231,GO:0043233,GO:0043484,GO:0044422,GO:0044424,GO:0044428,GO:0044444,GO:0044446,GO:0044464,GO:0045595,GO:0045597,GO:0045786,GO:0045927,GO:0048024,GO:0048513,GO:0048518,GO:0048519,GO:0048522,GO:0048523,GO:0048729,GO:0048731,GO:0048856,GO:0050684,GO:0050789,GO:0050793,GO:0050794,GO:0051094,GO:0051128,GO:0051171,GO:0051239,GO:0051252,GO:0051726,GO:0060255,GO:0060429,GO:0060562,GO:0060993,GO:0061326,GO:0061333,GO:0065007,GO:0070013,GO:0072001,GO:0072006,GO:0072009,GO:0072014,GO:0072028,GO:0072073,GO:0072078,GO:0072080,GO:0072088,GO:0072158,GO:0080090,GO:1903311,GO:2000026</v>
      </c>
    </row>
    <row r="110" spans="1:10" ht="15.75" customHeight="1" x14ac:dyDescent="0.2">
      <c r="A110" s="24" t="s">
        <v>2101</v>
      </c>
      <c r="B110" s="24">
        <v>34.948111021232101</v>
      </c>
      <c r="C110" s="24">
        <v>-8.6702356607820104</v>
      </c>
      <c r="D110" s="24">
        <v>1.4174045642808799</v>
      </c>
      <c r="E110" s="24">
        <v>-6.1169802040117203</v>
      </c>
      <c r="F110" s="26">
        <v>9.5365207715551206E-10</v>
      </c>
      <c r="G110" s="26">
        <v>1.16545259377365E-6</v>
      </c>
      <c r="H110" s="27" t="str">
        <f>VLOOKUP(A110,TableS10!A:J,8,FALSE)</f>
        <v>-</v>
      </c>
      <c r="I110" s="24" t="s">
        <v>10</v>
      </c>
      <c r="J110" s="34" t="str">
        <f>VLOOKUP(A110,TableS10!A:J,10,FALSE)</f>
        <v>-</v>
      </c>
    </row>
    <row r="111" spans="1:10" ht="15.75" customHeight="1" x14ac:dyDescent="0.2">
      <c r="A111" s="24" t="s">
        <v>2103</v>
      </c>
      <c r="B111" s="24">
        <v>213.302781523487</v>
      </c>
      <c r="C111" s="24">
        <v>-4.8300738844295301</v>
      </c>
      <c r="D111" s="24">
        <v>0.79067273659093495</v>
      </c>
      <c r="E111" s="24">
        <v>-6.1088155198759901</v>
      </c>
      <c r="F111" s="26">
        <v>1.00373266180738E-9</v>
      </c>
      <c r="G111" s="26">
        <v>1.2116528416485099E-6</v>
      </c>
      <c r="H111" s="27" t="str">
        <f>VLOOKUP(A111,TableS10!A:J,8,FALSE)</f>
        <v>-</v>
      </c>
      <c r="I111" s="24" t="s">
        <v>10</v>
      </c>
      <c r="J111" s="34" t="str">
        <f>VLOOKUP(A111,TableS10!A:J,10,FALSE)</f>
        <v>-</v>
      </c>
    </row>
    <row r="112" spans="1:10" ht="15.75" customHeight="1" x14ac:dyDescent="0.2">
      <c r="A112" s="24" t="s">
        <v>2104</v>
      </c>
      <c r="B112" s="24">
        <v>26.943570081153901</v>
      </c>
      <c r="C112" s="24">
        <v>-8.2868281537797994</v>
      </c>
      <c r="D112" s="24">
        <v>1.3567198938632099</v>
      </c>
      <c r="E112" s="24">
        <v>-6.1079875007827402</v>
      </c>
      <c r="F112" s="26">
        <v>1.0089525289531599E-9</v>
      </c>
      <c r="G112" s="26">
        <v>1.2116528416485099E-6</v>
      </c>
      <c r="H112" s="27" t="str">
        <f>VLOOKUP(A112,TableS10!A:J,8,FALSE)</f>
        <v>-</v>
      </c>
      <c r="I112" s="24" t="s">
        <v>10</v>
      </c>
      <c r="J112" s="34" t="str">
        <f>VLOOKUP(A112,TableS10!A:J,10,FALSE)</f>
        <v>-</v>
      </c>
    </row>
    <row r="113" spans="1:10" ht="15.75" customHeight="1" x14ac:dyDescent="0.2">
      <c r="A113" s="24" t="s">
        <v>2105</v>
      </c>
      <c r="B113" s="24">
        <v>81.704646682445997</v>
      </c>
      <c r="C113" s="24">
        <v>-2.9870737186785501</v>
      </c>
      <c r="D113" s="24">
        <v>0.48999388115870801</v>
      </c>
      <c r="E113" s="24">
        <v>-6.09614493882024</v>
      </c>
      <c r="F113" s="26">
        <v>1.0865690364717101E-9</v>
      </c>
      <c r="G113" s="26">
        <v>1.29736342954722E-6</v>
      </c>
      <c r="H113" s="27" t="str">
        <f>VLOOKUP(A113,TableS10!A:J,8,FALSE)</f>
        <v>-</v>
      </c>
      <c r="I113" s="24" t="s">
        <v>2106</v>
      </c>
      <c r="J113" s="34" t="str">
        <f>VLOOKUP(A113,TableS10!A:J,10,FALSE)</f>
        <v>-</v>
      </c>
    </row>
    <row r="114" spans="1:10" ht="15.75" customHeight="1" x14ac:dyDescent="0.2">
      <c r="A114" s="24" t="s">
        <v>2107</v>
      </c>
      <c r="B114" s="24">
        <v>36.937357518359597</v>
      </c>
      <c r="C114" s="24">
        <v>-8.7485805815984996</v>
      </c>
      <c r="D114" s="24">
        <v>1.4353487775882701</v>
      </c>
      <c r="E114" s="24">
        <v>-6.0950904185798196</v>
      </c>
      <c r="F114" s="26">
        <v>1.09375611404666E-9</v>
      </c>
      <c r="G114" s="26">
        <v>1.29848225845644E-6</v>
      </c>
      <c r="H114" s="27" t="str">
        <f>VLOOKUP(A114,TableS10!A:J,8,FALSE)</f>
        <v>-</v>
      </c>
      <c r="I114" s="24" t="s">
        <v>2109</v>
      </c>
      <c r="J114" s="34" t="str">
        <f>VLOOKUP(A114,TableS10!A:J,10,FALSE)</f>
        <v>-</v>
      </c>
    </row>
    <row r="115" spans="1:10" ht="15.75" customHeight="1" x14ac:dyDescent="0.2">
      <c r="A115" s="24" t="s">
        <v>2110</v>
      </c>
      <c r="B115" s="24">
        <v>474.37725271996698</v>
      </c>
      <c r="C115" s="24">
        <v>-3.9434816837047699</v>
      </c>
      <c r="D115" s="24">
        <v>0.64854644277626905</v>
      </c>
      <c r="E115" s="24">
        <v>-6.0804923496668701</v>
      </c>
      <c r="F115" s="26">
        <v>1.1981406920894699E-9</v>
      </c>
      <c r="G115" s="26">
        <v>1.4143233956007901E-6</v>
      </c>
      <c r="H115" s="27" t="str">
        <f>VLOOKUP(A115,TableS10!A:J,8,FALSE)</f>
        <v>K00461</v>
      </c>
      <c r="I115" s="24" t="s">
        <v>2111</v>
      </c>
      <c r="J115" s="34" t="str">
        <f>VLOOKUP(A115,TableS10!A:J,10,FALSE)</f>
        <v>GO:0001676,GO:0001775,GO:0002252,GO:0002263,GO:0002274,GO:0002275,GO:0002283,GO:0002366,GO:0002376,GO:0002443,GO:0002444,GO:0002446,GO:0002526,GO:0002532,GO:0002538,GO:0002540,GO:0003008,GO:0003013,GO:0003018,GO:0003674,GO:0003824,GO:0004051,GO:0005488,GO:0005506,GO:0005575,GO:0005576,GO:0005622,GO:0005623,GO:0005634,GO:0005635,GO:0005641,GO:0005654,GO:0005737,GO:0005829,GO:0005886,GO:0006082,GO:0006629,GO:0006631,GO:0006633,GO:0006690,GO:0006691,GO:0006810,GO:0006887,GO:0006950,GO:0006952,GO:0006954,GO:0006955,GO:0007154,GO:0007165,GO:0007166,GO:0007584,GO:0007600,GO:0008015,GO:0008150,GO:0008152,GO:0008610,GO:0009058,GO:0009605,GO:0009628,GO:0009987,GO:0009991,GO:0010033,GO:0012505,GO:0016020,GO:0016053,GO:0016192,GO:0016363,GO:0016491,GO:0016701,GO:0016702,GO:0019221,GO:0019229,GO:0019233,GO:0019369,GO:0019370,GO:0019372,GO:0019752,GO:0023052,GO:0030141,GO:0030425,GO:0031090,GO:0031410,GO:0031667,GO:0031965,GO:0031967,GO:0031970,GO:0031974,GO:0031975,GO:0031981,GO:0031982,GO:0031983,GO:0032501,GO:0032787,GO:0032940,GO:0033559,GO:0034097,GO:0034399,GO:0034774,GO:0035150,GO:0035296,GO:0035655,GO:0036230,GO:0036296,GO:0036477,GO:0042119,GO:0042221,GO:0042383,GO:0042759,GO:0042995,GO:0043005,GO:0043167,GO:0043169,GO:0043226,GO:0043227,GO:0043229,GO:0043231,GO:0043233,GO:0043299,GO:0043312,GO:0043436,GO:0044057,GO:0044237,GO:0044238,GO:0044249,GO:0044255,GO:0044281,GO:0044283,GO:0044422,GO:0044424,GO:0044428,GO:0044433,GO:0044444,GO:0044446,GO:0044463,GO:0044464,GO:0045055,GO:0045321,GO:0045907,GO:0046394,GO:0046456,GO:0046872,GO:0046903,GO:0046914,GO:0048518,GO:0050789,GO:0050794,GO:0050877,GO:0050880,GO:0050896,GO:0051179,GO:0051213,GO:0051234,GO:0051239,GO:0051240,GO:0051716,GO:0055093,GO:0055114,GO:0060205,GO:0065007,GO:0065008,GO:0070013,GO:0070482,GO:0070673,GO:0070887,GO:0071310,GO:0071345,GO:0071351,GO:0071704,GO:0071944,GO:0072330,GO:0090066,GO:0097447,GO:0097458,GO:0097708,GO:0097746,GO:0099503,GO:0101002,GO:0120025,GO:0120038,GO:1901568,GO:1901570,GO:1901576,GO:1903522,GO:1903524,GO:1904813</v>
      </c>
    </row>
    <row r="116" spans="1:10" ht="15.75" customHeight="1" x14ac:dyDescent="0.2">
      <c r="A116" s="24" t="s">
        <v>2112</v>
      </c>
      <c r="B116" s="24">
        <v>194.74494605064399</v>
      </c>
      <c r="C116" s="24">
        <v>-2.0883528679054999</v>
      </c>
      <c r="D116" s="24">
        <v>0.34420914584750101</v>
      </c>
      <c r="E116" s="24">
        <v>-6.0671045296127399</v>
      </c>
      <c r="F116" s="26">
        <v>1.30236799342866E-9</v>
      </c>
      <c r="G116" s="26">
        <v>1.52008294855486E-6</v>
      </c>
      <c r="H116" s="27" t="str">
        <f>VLOOKUP(A116,TableS10!A:J,8,FALSE)</f>
        <v>-</v>
      </c>
      <c r="I116" s="24" t="s">
        <v>2113</v>
      </c>
      <c r="J116" s="34" t="str">
        <f>VLOOKUP(A116,TableS10!A:J,10,FALSE)</f>
        <v>-</v>
      </c>
    </row>
    <row r="117" spans="1:10" ht="15.75" customHeight="1" x14ac:dyDescent="0.2">
      <c r="A117" s="24" t="s">
        <v>2114</v>
      </c>
      <c r="B117" s="24">
        <v>25.936268172005001</v>
      </c>
      <c r="C117" s="24">
        <v>-8.2359334565421598</v>
      </c>
      <c r="D117" s="24">
        <v>1.3597659704126499</v>
      </c>
      <c r="E117" s="24">
        <v>-6.0568756946041002</v>
      </c>
      <c r="F117" s="26">
        <v>1.38790755320159E-9</v>
      </c>
      <c r="G117" s="26">
        <v>1.6108721878377E-6</v>
      </c>
      <c r="H117" s="27" t="str">
        <f>VLOOKUP(A117,TableS10!A:J,8,FALSE)</f>
        <v>-</v>
      </c>
      <c r="I117" s="24" t="s">
        <v>2116</v>
      </c>
      <c r="J117" s="34" t="str">
        <f>VLOOKUP(A117,TableS10!A:J,10,FALSE)</f>
        <v>-</v>
      </c>
    </row>
    <row r="118" spans="1:10" ht="15.75" customHeight="1" x14ac:dyDescent="0.2">
      <c r="A118" s="24" t="s">
        <v>2117</v>
      </c>
      <c r="B118" s="24">
        <v>587.12304481883803</v>
      </c>
      <c r="C118" s="24">
        <v>-2.1055839744883902</v>
      </c>
      <c r="D118" s="24">
        <v>0.34806520872417801</v>
      </c>
      <c r="E118" s="24">
        <v>-6.0493951182490804</v>
      </c>
      <c r="F118" s="26">
        <v>1.4539067980611699E-9</v>
      </c>
      <c r="G118" s="26">
        <v>1.6596585754834999E-6</v>
      </c>
      <c r="H118" s="27" t="str">
        <f>VLOOKUP(A118,TableS10!A:J,8,FALSE)</f>
        <v>-</v>
      </c>
      <c r="I118" s="24" t="s">
        <v>5132</v>
      </c>
      <c r="J118" s="34" t="str">
        <f>VLOOKUP(A118,TableS10!A:J,10,FALSE)</f>
        <v>-</v>
      </c>
    </row>
    <row r="119" spans="1:10" ht="15.75" customHeight="1" x14ac:dyDescent="0.2">
      <c r="A119" s="24" t="s">
        <v>2119</v>
      </c>
      <c r="B119" s="24">
        <v>32.794868541857397</v>
      </c>
      <c r="C119" s="24">
        <v>-6.2203310302484303</v>
      </c>
      <c r="D119" s="24">
        <v>1.0313416195060701</v>
      </c>
      <c r="E119" s="24">
        <v>-6.0313003107811198</v>
      </c>
      <c r="F119" s="26">
        <v>1.62645615250094E-9</v>
      </c>
      <c r="G119" s="26">
        <v>1.8464810077540201E-6</v>
      </c>
      <c r="H119" s="27" t="str">
        <f>VLOOKUP(A119,TableS10!A:J,8,FALSE)</f>
        <v>K06619</v>
      </c>
      <c r="I119" s="24" t="s">
        <v>2120</v>
      </c>
      <c r="J119" s="34" t="str">
        <f>VLOOKUP(A119,TableS10!A:J,10,FALSE)</f>
        <v>-</v>
      </c>
    </row>
    <row r="120" spans="1:10" ht="15.75" customHeight="1" x14ac:dyDescent="0.2">
      <c r="A120" s="24" t="s">
        <v>2121</v>
      </c>
      <c r="B120" s="24">
        <v>22.170487619522401</v>
      </c>
      <c r="C120" s="24">
        <v>-8.0121095910720204</v>
      </c>
      <c r="D120" s="24">
        <v>1.33043366511887</v>
      </c>
      <c r="E120" s="24">
        <v>-6.0221789339314</v>
      </c>
      <c r="F120" s="26">
        <v>1.72084495546714E-9</v>
      </c>
      <c r="G120" s="26">
        <v>1.9325181868542198E-6</v>
      </c>
      <c r="H120" s="27" t="str">
        <f>VLOOKUP(A120,TableS10!A:J,8,FALSE)</f>
        <v>-</v>
      </c>
      <c r="I120" s="24" t="s">
        <v>2122</v>
      </c>
      <c r="J120" s="34" t="str">
        <f>VLOOKUP(A120,TableS10!A:J,10,FALSE)</f>
        <v>-</v>
      </c>
    </row>
    <row r="121" spans="1:10" ht="15.75" customHeight="1" x14ac:dyDescent="0.2">
      <c r="A121" s="24" t="s">
        <v>2123</v>
      </c>
      <c r="B121" s="24">
        <v>57.607917991787502</v>
      </c>
      <c r="C121" s="24">
        <v>-6.6728216811752796</v>
      </c>
      <c r="D121" s="24">
        <v>1.1095580099300799</v>
      </c>
      <c r="E121" s="24">
        <v>-6.0139457526838003</v>
      </c>
      <c r="F121" s="26">
        <v>1.81061122144609E-9</v>
      </c>
      <c r="G121" s="26">
        <v>2.0140201800818802E-6</v>
      </c>
      <c r="H121" s="27" t="str">
        <f>VLOOKUP(A121,TableS10!A:J,8,FALSE)</f>
        <v>-</v>
      </c>
      <c r="I121" s="24" t="s">
        <v>10</v>
      </c>
      <c r="J121" s="34" t="str">
        <f>VLOOKUP(A121,TableS10!A:J,10,FALSE)</f>
        <v>-</v>
      </c>
    </row>
    <row r="122" spans="1:10" ht="15.75" customHeight="1" x14ac:dyDescent="0.2">
      <c r="A122" s="24" t="s">
        <v>2124</v>
      </c>
      <c r="B122" s="24">
        <v>33.884816732730698</v>
      </c>
      <c r="C122" s="24">
        <v>-6.8051379606954097</v>
      </c>
      <c r="D122" s="24">
        <v>1.13159655404908</v>
      </c>
      <c r="E122" s="24">
        <v>-6.0137492787029601</v>
      </c>
      <c r="F122" s="26">
        <v>1.81280816763565E-9</v>
      </c>
      <c r="G122" s="26">
        <v>2.0140201800818802E-6</v>
      </c>
      <c r="H122" s="27" t="str">
        <f>VLOOKUP(A122,TableS10!A:J,8,FALSE)</f>
        <v>K07374</v>
      </c>
      <c r="I122" s="24" t="s">
        <v>2125</v>
      </c>
      <c r="J122" s="34" t="str">
        <f>VLOOKUP(A122,TableS10!A:J,10,FALSE)</f>
        <v>-</v>
      </c>
    </row>
    <row r="123" spans="1:10" ht="15.75" customHeight="1" x14ac:dyDescent="0.2">
      <c r="A123" s="24" t="s">
        <v>2126</v>
      </c>
      <c r="B123" s="24">
        <v>401.62240459145198</v>
      </c>
      <c r="C123" s="24">
        <v>-2.8457460760142399</v>
      </c>
      <c r="D123" s="24">
        <v>0.47458068077096999</v>
      </c>
      <c r="E123" s="24">
        <v>-5.9963378015962201</v>
      </c>
      <c r="F123" s="26">
        <v>2.0181698941564999E-9</v>
      </c>
      <c r="G123" s="26">
        <v>2.2256212410350801E-6</v>
      </c>
      <c r="H123" s="27" t="str">
        <f>VLOOKUP(A123,TableS10!A:J,8,FALSE)</f>
        <v>K01311,K01345,K01346,K09632,K20751</v>
      </c>
      <c r="I123" s="24" t="s">
        <v>2127</v>
      </c>
      <c r="J123" s="34" t="str">
        <f>VLOOKUP(A123,TableS10!A:J,10,FALSE)</f>
        <v>GO:0003674,GO:0003824,GO:0005575,GO:0005576,GO:0006508,GO:0006725,GO:0006766,GO:0006767,GO:0006807,GO:0006873,GO:0006874,GO:0006875,GO:0008150,GO:0008152,GO:0008233,GO:0009235,GO:0009987,GO:0016787,GO:0017144,GO:0019538,GO:0019725,GO:0030003,GO:0033013,GO:0042592,GO:0043170,GO:0044237,GO:0044238,GO:0044281,GO:0046483,GO:0048878,GO:0050801,GO:0051186,GO:0055065,GO:0055074,GO:0055080,GO:0055082,GO:0065007,GO:0065008,GO:0071704,GO:0072503,GO:0072507,GO:0098771,GO:0140096,GO:1901360,GO:1901564</v>
      </c>
    </row>
    <row r="124" spans="1:10" ht="15.75" customHeight="1" x14ac:dyDescent="0.2">
      <c r="A124" s="24" t="s">
        <v>2128</v>
      </c>
      <c r="B124" s="24">
        <v>28.713322863473</v>
      </c>
      <c r="C124" s="24">
        <v>-8.3875567575653207</v>
      </c>
      <c r="D124" s="24">
        <v>1.3989022400417299</v>
      </c>
      <c r="E124" s="24">
        <v>-5.99581337243061</v>
      </c>
      <c r="F124" s="26">
        <v>2.02469442305219E-9</v>
      </c>
      <c r="G124" s="26">
        <v>2.2256212410350801E-6</v>
      </c>
      <c r="H124" s="27" t="str">
        <f>VLOOKUP(A124,TableS10!A:J,8,FALSE)</f>
        <v>-</v>
      </c>
      <c r="I124" s="24" t="s">
        <v>260</v>
      </c>
      <c r="J124" s="34" t="str">
        <f>VLOOKUP(A124,TableS10!A:J,10,FALSE)</f>
        <v>-</v>
      </c>
    </row>
    <row r="125" spans="1:10" ht="15.75" customHeight="1" x14ac:dyDescent="0.2">
      <c r="A125" s="24" t="s">
        <v>2130</v>
      </c>
      <c r="B125" s="24">
        <v>23.302468622428801</v>
      </c>
      <c r="C125" s="24">
        <v>-8.0836731369862793</v>
      </c>
      <c r="D125" s="24">
        <v>1.3490993697079201</v>
      </c>
      <c r="E125" s="24">
        <v>-5.9919034272000404</v>
      </c>
      <c r="F125" s="26">
        <v>2.0739908123830001E-9</v>
      </c>
      <c r="G125" s="26">
        <v>2.2678107116707498E-6</v>
      </c>
      <c r="H125" s="27" t="str">
        <f>VLOOKUP(A125,TableS10!A:J,8,FALSE)</f>
        <v>-</v>
      </c>
      <c r="I125" s="24" t="s">
        <v>10</v>
      </c>
      <c r="J125" s="34" t="str">
        <f>VLOOKUP(A125,TableS10!A:J,10,FALSE)</f>
        <v>-</v>
      </c>
    </row>
    <row r="126" spans="1:10" ht="15.75" customHeight="1" x14ac:dyDescent="0.2">
      <c r="A126" s="24" t="s">
        <v>2131</v>
      </c>
      <c r="B126" s="24">
        <v>1062.6279804479</v>
      </c>
      <c r="C126" s="24">
        <v>-2.1484191172729901</v>
      </c>
      <c r="D126" s="24">
        <v>0.35939655029905998</v>
      </c>
      <c r="E126" s="24">
        <v>-5.9778512495049201</v>
      </c>
      <c r="F126" s="26">
        <v>2.2610004108068799E-9</v>
      </c>
      <c r="G126" s="26">
        <v>2.4465437570187199E-6</v>
      </c>
      <c r="H126" s="27" t="str">
        <f>VLOOKUP(A126,TableS10!A:J,8,FALSE)</f>
        <v>-</v>
      </c>
      <c r="I126" s="24" t="s">
        <v>2132</v>
      </c>
      <c r="J126" s="34" t="str">
        <f>VLOOKUP(A126,TableS10!A:J,10,FALSE)</f>
        <v>-</v>
      </c>
    </row>
    <row r="127" spans="1:10" ht="15.75" customHeight="1" x14ac:dyDescent="0.2">
      <c r="A127" s="24" t="s">
        <v>2133</v>
      </c>
      <c r="B127" s="24">
        <v>100.75672916184701</v>
      </c>
      <c r="C127" s="24">
        <v>-3.81418187765725</v>
      </c>
      <c r="D127" s="24">
        <v>0.63827611110969995</v>
      </c>
      <c r="E127" s="24">
        <v>-5.9757553373350598</v>
      </c>
      <c r="F127" s="26">
        <v>2.2902650782034901E-9</v>
      </c>
      <c r="G127" s="26">
        <v>2.4653694900893499E-6</v>
      </c>
      <c r="H127" s="27" t="str">
        <f>VLOOKUP(A127,TableS10!A:J,8,FALSE)</f>
        <v>-</v>
      </c>
      <c r="I127" s="24" t="s">
        <v>5185</v>
      </c>
      <c r="J127" s="34" t="str">
        <f>VLOOKUP(A127,TableS10!A:J,10,FALSE)</f>
        <v>-</v>
      </c>
    </row>
    <row r="128" spans="1:10" ht="15.75" customHeight="1" x14ac:dyDescent="0.2">
      <c r="A128" s="24" t="s">
        <v>2136</v>
      </c>
      <c r="B128" s="24">
        <v>24.231879846417801</v>
      </c>
      <c r="C128" s="24">
        <v>-8.1388785508810209</v>
      </c>
      <c r="D128" s="24">
        <v>1.3628231085126801</v>
      </c>
      <c r="E128" s="24">
        <v>-5.97207260431869</v>
      </c>
      <c r="F128" s="26">
        <v>2.3425822769527099E-9</v>
      </c>
      <c r="G128" s="26">
        <v>2.4958231975927601E-6</v>
      </c>
      <c r="H128" s="27" t="str">
        <f>VLOOKUP(A128,TableS10!A:J,8,FALSE)</f>
        <v>-</v>
      </c>
      <c r="I128" s="24" t="s">
        <v>2137</v>
      </c>
      <c r="J128" s="34" t="str">
        <f>VLOOKUP(A128,TableS10!A:J,10,FALSE)</f>
        <v>-</v>
      </c>
    </row>
    <row r="129" spans="1:10" ht="15.75" customHeight="1" x14ac:dyDescent="0.2">
      <c r="A129" s="24" t="s">
        <v>2138</v>
      </c>
      <c r="B129" s="24">
        <v>1425.9926569322499</v>
      </c>
      <c r="C129" s="24">
        <v>-9.1920463008000795</v>
      </c>
      <c r="D129" s="24">
        <v>1.5398184205918499</v>
      </c>
      <c r="E129" s="24">
        <v>-5.9695650979853898</v>
      </c>
      <c r="F129" s="26">
        <v>2.3788683299366002E-9</v>
      </c>
      <c r="G129" s="26">
        <v>2.5215518813995302E-6</v>
      </c>
      <c r="H129" s="27" t="str">
        <f>VLOOKUP(A129,TableS10!A:J,8,FALSE)</f>
        <v>-</v>
      </c>
      <c r="I129" s="24" t="s">
        <v>5103</v>
      </c>
      <c r="J129" s="34" t="str">
        <f>VLOOKUP(A129,TableS10!A:J,10,FALSE)</f>
        <v>-</v>
      </c>
    </row>
    <row r="130" spans="1:10" ht="15.75" customHeight="1" x14ac:dyDescent="0.2">
      <c r="A130" s="24" t="s">
        <v>2139</v>
      </c>
      <c r="B130" s="24">
        <v>210.36653747998801</v>
      </c>
      <c r="C130" s="24">
        <v>-2.5693246106946499</v>
      </c>
      <c r="D130" s="24">
        <v>0.430894985097449</v>
      </c>
      <c r="E130" s="24">
        <v>-5.9627628530269003</v>
      </c>
      <c r="F130" s="26">
        <v>2.4800823806099099E-9</v>
      </c>
      <c r="G130" s="26">
        <v>2.6154923607410802E-6</v>
      </c>
      <c r="H130" s="27" t="str">
        <f>VLOOKUP(A130,TableS10!A:J,8,FALSE)</f>
        <v>K12800</v>
      </c>
      <c r="I130" s="24" t="s">
        <v>2141</v>
      </c>
      <c r="J130" s="34" t="str">
        <f>VLOOKUP(A130,TableS10!A:J,10,FALSE)</f>
        <v>-</v>
      </c>
    </row>
    <row r="131" spans="1:10" ht="15.75" customHeight="1" x14ac:dyDescent="0.2">
      <c r="A131" s="24" t="s">
        <v>2142</v>
      </c>
      <c r="B131" s="24">
        <v>77.4675662545487</v>
      </c>
      <c r="C131" s="24">
        <v>-5.0451669063905102</v>
      </c>
      <c r="D131" s="24">
        <v>0.84650856891756998</v>
      </c>
      <c r="E131" s="24">
        <v>-5.9599714540890796</v>
      </c>
      <c r="F131" s="26">
        <v>2.5228199940478902E-9</v>
      </c>
      <c r="G131" s="26">
        <v>2.6392726926202902E-6</v>
      </c>
      <c r="H131" s="27" t="str">
        <f>VLOOKUP(A131,TableS10!A:J,8,FALSE)</f>
        <v>-</v>
      </c>
      <c r="I131" s="24" t="s">
        <v>2143</v>
      </c>
      <c r="J131" s="34" t="str">
        <f>VLOOKUP(A131,TableS10!A:J,10,FALSE)</f>
        <v>-</v>
      </c>
    </row>
    <row r="132" spans="1:10" ht="15.75" customHeight="1" x14ac:dyDescent="0.2">
      <c r="A132" s="24" t="s">
        <v>2144</v>
      </c>
      <c r="B132" s="24">
        <v>77.762956289182199</v>
      </c>
      <c r="C132" s="24">
        <v>-2.0172781905026098</v>
      </c>
      <c r="D132" s="24">
        <v>0.33849029643865097</v>
      </c>
      <c r="E132" s="24">
        <v>-5.95963373758996</v>
      </c>
      <c r="F132" s="26">
        <v>2.52803897760564E-9</v>
      </c>
      <c r="G132" s="26">
        <v>2.6392726926202902E-6</v>
      </c>
      <c r="H132" s="27" t="str">
        <f>VLOOKUP(A132,TableS10!A:J,8,FALSE)</f>
        <v>K05111</v>
      </c>
      <c r="I132" s="24" t="s">
        <v>2145</v>
      </c>
      <c r="J132" s="34" t="str">
        <f>VLOOKUP(A132,TableS10!A:J,10,FALSE)</f>
        <v>-</v>
      </c>
    </row>
    <row r="133" spans="1:10" ht="15.75" customHeight="1" x14ac:dyDescent="0.2">
      <c r="A133" s="24" t="s">
        <v>2146</v>
      </c>
      <c r="B133" s="24">
        <v>19.7950555033757</v>
      </c>
      <c r="C133" s="24">
        <v>-7.8498727430575297</v>
      </c>
      <c r="D133" s="24">
        <v>1.31764779320326</v>
      </c>
      <c r="E133" s="24">
        <v>-5.9574893864271203</v>
      </c>
      <c r="F133" s="26">
        <v>2.56142342582686E-9</v>
      </c>
      <c r="G133" s="26">
        <v>2.66075542628043E-6</v>
      </c>
      <c r="H133" s="27" t="str">
        <f>VLOOKUP(A133,TableS10!A:J,8,FALSE)</f>
        <v>-</v>
      </c>
      <c r="I133" s="24" t="s">
        <v>2148</v>
      </c>
      <c r="J133" s="34" t="str">
        <f>VLOOKUP(A133,TableS10!A:J,10,FALSE)</f>
        <v>-</v>
      </c>
    </row>
    <row r="134" spans="1:10" ht="15.75" customHeight="1" x14ac:dyDescent="0.2">
      <c r="A134" s="24" t="s">
        <v>2149</v>
      </c>
      <c r="B134" s="24">
        <v>56.011934016019801</v>
      </c>
      <c r="C134" s="24">
        <v>-5.2140082672965402</v>
      </c>
      <c r="D134" s="24">
        <v>0.87771021522464199</v>
      </c>
      <c r="E134" s="24">
        <v>-5.9404666561412398</v>
      </c>
      <c r="F134" s="26">
        <v>2.8421186436538799E-9</v>
      </c>
      <c r="G134" s="26">
        <v>2.9231049551037398E-6</v>
      </c>
      <c r="H134" s="27" t="str">
        <f>VLOOKUP(A134,TableS10!A:J,8,FALSE)</f>
        <v>-</v>
      </c>
      <c r="I134" s="24" t="s">
        <v>10</v>
      </c>
      <c r="J134" s="34" t="str">
        <f>VLOOKUP(A134,TableS10!A:J,10,FALSE)</f>
        <v>-</v>
      </c>
    </row>
    <row r="135" spans="1:10" ht="15.75" customHeight="1" x14ac:dyDescent="0.2">
      <c r="A135" s="24" t="s">
        <v>2150</v>
      </c>
      <c r="B135" s="24">
        <v>30.848863415873701</v>
      </c>
      <c r="C135" s="24">
        <v>-6.6914300224915504</v>
      </c>
      <c r="D135" s="24">
        <v>1.12796740757604</v>
      </c>
      <c r="E135" s="24">
        <v>-5.9322902218169302</v>
      </c>
      <c r="F135" s="26">
        <v>2.9873795574332199E-9</v>
      </c>
      <c r="G135" s="26">
        <v>3.0530644813768702E-6</v>
      </c>
      <c r="H135" s="27" t="str">
        <f>VLOOKUP(A135,TableS10!A:J,8,FALSE)</f>
        <v>K05111</v>
      </c>
      <c r="I135" s="24" t="s">
        <v>2022</v>
      </c>
      <c r="J135" s="34" t="str">
        <f>VLOOKUP(A135,TableS10!A:J,10,FALSE)</f>
        <v>-</v>
      </c>
    </row>
    <row r="136" spans="1:10" ht="15.75" customHeight="1" x14ac:dyDescent="0.2">
      <c r="A136" s="24" t="s">
        <v>2152</v>
      </c>
      <c r="B136" s="24">
        <v>25.78711732635</v>
      </c>
      <c r="C136" s="24">
        <v>-8.2316398903181103</v>
      </c>
      <c r="D136" s="24">
        <v>1.3886038758978301</v>
      </c>
      <c r="E136" s="24">
        <v>-5.9279972015026896</v>
      </c>
      <c r="F136" s="26">
        <v>3.0665172296456798E-9</v>
      </c>
      <c r="G136" s="26">
        <v>3.1077431881086302E-6</v>
      </c>
      <c r="H136" s="27" t="str">
        <f>VLOOKUP(A136,TableS10!A:J,8,FALSE)</f>
        <v>-</v>
      </c>
      <c r="I136" s="24" t="s">
        <v>2153</v>
      </c>
      <c r="J136" s="34" t="str">
        <f>VLOOKUP(A136,TableS10!A:J,10,FALSE)</f>
        <v>-</v>
      </c>
    </row>
    <row r="137" spans="1:10" ht="15.75" customHeight="1" x14ac:dyDescent="0.2">
      <c r="A137" s="24" t="s">
        <v>2154</v>
      </c>
      <c r="B137" s="24">
        <v>185.72281663942999</v>
      </c>
      <c r="C137" s="24">
        <v>-2.1449482367602299</v>
      </c>
      <c r="D137" s="24">
        <v>0.36217810973757802</v>
      </c>
      <c r="E137" s="24">
        <v>-5.9223574785190403</v>
      </c>
      <c r="F137" s="26">
        <v>3.17358814533693E-9</v>
      </c>
      <c r="G137" s="26">
        <v>3.2006406734107699E-6</v>
      </c>
      <c r="H137" s="27" t="str">
        <f>VLOOKUP(A137,TableS10!A:J,8,FALSE)</f>
        <v>-</v>
      </c>
      <c r="I137" s="24" t="s">
        <v>10</v>
      </c>
      <c r="J137" s="34" t="str">
        <f>VLOOKUP(A137,TableS10!A:J,10,FALSE)</f>
        <v>-</v>
      </c>
    </row>
    <row r="138" spans="1:10" ht="15.75" customHeight="1" x14ac:dyDescent="0.2">
      <c r="A138" s="24" t="s">
        <v>2155</v>
      </c>
      <c r="B138" s="24">
        <v>19.215269268703899</v>
      </c>
      <c r="C138" s="24">
        <v>-7.8037961668490601</v>
      </c>
      <c r="D138" s="24">
        <v>1.31845419149952</v>
      </c>
      <c r="E138" s="24">
        <v>-5.9188982197201296</v>
      </c>
      <c r="F138" s="26">
        <v>3.2410544812221302E-9</v>
      </c>
      <c r="G138" s="26">
        <v>3.2528913758492E-6</v>
      </c>
      <c r="H138" s="27" t="str">
        <f>VLOOKUP(A138,TableS10!A:J,8,FALSE)</f>
        <v>-</v>
      </c>
      <c r="I138" s="24" t="s">
        <v>2156</v>
      </c>
      <c r="J138" s="34" t="str">
        <f>VLOOKUP(A138,TableS10!A:J,10,FALSE)</f>
        <v>-</v>
      </c>
    </row>
    <row r="139" spans="1:10" ht="15.75" customHeight="1" x14ac:dyDescent="0.2">
      <c r="A139" s="24" t="s">
        <v>2157</v>
      </c>
      <c r="B139" s="24">
        <v>21.403925747559001</v>
      </c>
      <c r="C139" s="24">
        <v>-7.9574891348340104</v>
      </c>
      <c r="D139" s="24">
        <v>1.34511818287697</v>
      </c>
      <c r="E139" s="24">
        <v>-5.9158289852378196</v>
      </c>
      <c r="F139" s="26">
        <v>3.3020817021737202E-9</v>
      </c>
      <c r="G139" s="26">
        <v>3.2982081063307901E-6</v>
      </c>
      <c r="H139" s="27" t="str">
        <f>VLOOKUP(A139,TableS10!A:J,8,FALSE)</f>
        <v>-</v>
      </c>
      <c r="I139" s="24" t="s">
        <v>2159</v>
      </c>
      <c r="J139" s="34" t="str">
        <f>VLOOKUP(A139,TableS10!A:J,10,FALSE)</f>
        <v>-</v>
      </c>
    </row>
    <row r="140" spans="1:10" ht="15.75" customHeight="1" x14ac:dyDescent="0.2">
      <c r="A140" s="24" t="s">
        <v>2160</v>
      </c>
      <c r="B140" s="24">
        <v>24.783673724003499</v>
      </c>
      <c r="C140" s="24">
        <v>-8.1664942861170502</v>
      </c>
      <c r="D140" s="24">
        <v>1.3810680551453101</v>
      </c>
      <c r="E140" s="24">
        <v>-5.9131729647151996</v>
      </c>
      <c r="F140" s="26">
        <v>3.3557945669075099E-9</v>
      </c>
      <c r="G140" s="26">
        <v>3.3358203638394098E-6</v>
      </c>
      <c r="H140" s="27" t="str">
        <f>VLOOKUP(A140,TableS10!A:J,8,FALSE)</f>
        <v>-</v>
      </c>
      <c r="I140" s="24" t="s">
        <v>10</v>
      </c>
      <c r="J140" s="34" t="str">
        <f>VLOOKUP(A140,TableS10!A:J,10,FALSE)</f>
        <v>-</v>
      </c>
    </row>
    <row r="141" spans="1:10" ht="15.75" customHeight="1" x14ac:dyDescent="0.2">
      <c r="A141" s="24" t="s">
        <v>2161</v>
      </c>
      <c r="B141" s="24">
        <v>34.123781940776098</v>
      </c>
      <c r="C141" s="24">
        <v>-7.6680482937391901</v>
      </c>
      <c r="D141" s="24">
        <v>1.29770604365429</v>
      </c>
      <c r="E141" s="24">
        <v>-5.9089254698593203</v>
      </c>
      <c r="F141" s="26">
        <v>3.4434644065661202E-9</v>
      </c>
      <c r="G141" s="26">
        <v>3.4066685297645298E-6</v>
      </c>
      <c r="H141" s="27" t="str">
        <f>VLOOKUP(A141,TableS10!A:J,8,FALSE)</f>
        <v>-</v>
      </c>
      <c r="I141" s="24" t="s">
        <v>2162</v>
      </c>
      <c r="J141" s="34" t="str">
        <f>VLOOKUP(A141,TableS10!A:J,10,FALSE)</f>
        <v>-</v>
      </c>
    </row>
    <row r="142" spans="1:10" ht="15.75" customHeight="1" x14ac:dyDescent="0.2">
      <c r="A142" s="24" t="s">
        <v>2164</v>
      </c>
      <c r="B142" s="24">
        <v>23.328822178592901</v>
      </c>
      <c r="C142" s="24">
        <v>-8.08688088509731</v>
      </c>
      <c r="D142" s="24">
        <v>1.37171340925258</v>
      </c>
      <c r="E142" s="24">
        <v>-5.8954595256918196</v>
      </c>
      <c r="F142" s="26">
        <v>3.7364008939424603E-9</v>
      </c>
      <c r="G142" s="26">
        <v>3.6789559437057299E-6</v>
      </c>
      <c r="H142" s="27" t="str">
        <f>VLOOKUP(A142,TableS10!A:J,8,FALSE)</f>
        <v>-</v>
      </c>
      <c r="I142" s="24" t="s">
        <v>2166</v>
      </c>
      <c r="J142" s="34" t="str">
        <f>VLOOKUP(A142,TableS10!A:J,10,FALSE)</f>
        <v>-</v>
      </c>
    </row>
    <row r="143" spans="1:10" ht="15.75" customHeight="1" x14ac:dyDescent="0.2">
      <c r="A143" s="24" t="s">
        <v>2167</v>
      </c>
      <c r="B143" s="24">
        <v>24.296983144160599</v>
      </c>
      <c r="C143" s="24">
        <v>-8.1377303647134198</v>
      </c>
      <c r="D143" s="24">
        <v>1.38391149138574</v>
      </c>
      <c r="E143" s="24">
        <v>-5.8802390292784903</v>
      </c>
      <c r="F143" s="26">
        <v>4.0967444300324397E-9</v>
      </c>
      <c r="G143" s="26">
        <v>3.9772113822701796E-6</v>
      </c>
      <c r="H143" s="27" t="str">
        <f>VLOOKUP(A143,TableS10!A:J,8,FALSE)</f>
        <v>-</v>
      </c>
      <c r="I143" s="24" t="s">
        <v>2168</v>
      </c>
      <c r="J143" s="34" t="str">
        <f>VLOOKUP(A143,TableS10!A:J,10,FALSE)</f>
        <v>-</v>
      </c>
    </row>
    <row r="144" spans="1:10" ht="15.75" customHeight="1" x14ac:dyDescent="0.2">
      <c r="A144" s="24" t="s">
        <v>2169</v>
      </c>
      <c r="B144" s="24">
        <v>23.816280523054399</v>
      </c>
      <c r="C144" s="24">
        <v>-8.1088009662921596</v>
      </c>
      <c r="D144" s="24">
        <v>1.37937509764678</v>
      </c>
      <c r="E144" s="24">
        <v>-5.8786047247959203</v>
      </c>
      <c r="F144" s="26">
        <v>4.1373901986228497E-9</v>
      </c>
      <c r="G144" s="26">
        <v>3.9979890144422696E-6</v>
      </c>
      <c r="H144" s="27" t="str">
        <f>VLOOKUP(A144,TableS10!A:J,8,FALSE)</f>
        <v>-</v>
      </c>
      <c r="I144" s="24" t="s">
        <v>2170</v>
      </c>
      <c r="J144" s="34" t="str">
        <f>VLOOKUP(A144,TableS10!A:J,10,FALSE)</f>
        <v>-</v>
      </c>
    </row>
    <row r="145" spans="1:10" ht="15.75" customHeight="1" x14ac:dyDescent="0.2">
      <c r="A145" s="24" t="s">
        <v>2171</v>
      </c>
      <c r="B145" s="24">
        <v>20.010843954362802</v>
      </c>
      <c r="C145" s="24">
        <v>-7.8644450631158698</v>
      </c>
      <c r="D145" s="24">
        <v>1.34128368528321</v>
      </c>
      <c r="E145" s="24">
        <v>-5.8633718947049704</v>
      </c>
      <c r="F145" s="26">
        <v>4.5356080215792901E-9</v>
      </c>
      <c r="G145" s="26">
        <v>4.3423953001439003E-6</v>
      </c>
      <c r="H145" s="27" t="str">
        <f>VLOOKUP(A145,TableS10!A:J,8,FALSE)</f>
        <v>K12800</v>
      </c>
      <c r="I145" s="24" t="s">
        <v>2172</v>
      </c>
      <c r="J145" s="34" t="str">
        <f>VLOOKUP(A145,TableS10!A:J,10,FALSE)</f>
        <v>-</v>
      </c>
    </row>
    <row r="146" spans="1:10" ht="15.75" customHeight="1" x14ac:dyDescent="0.2">
      <c r="A146" s="24" t="s">
        <v>2173</v>
      </c>
      <c r="B146" s="24">
        <v>222.653909714489</v>
      </c>
      <c r="C146" s="24">
        <v>-3.75314256972618</v>
      </c>
      <c r="D146" s="24">
        <v>0.64086326457329401</v>
      </c>
      <c r="E146" s="24">
        <v>-5.8563858738652002</v>
      </c>
      <c r="F146" s="26">
        <v>4.7304839589136896E-9</v>
      </c>
      <c r="G146" s="26">
        <v>4.5081946117801499E-6</v>
      </c>
      <c r="H146" s="27" t="str">
        <f>VLOOKUP(A146,TableS10!A:J,8,FALSE)</f>
        <v>-</v>
      </c>
      <c r="I146" s="24" t="s">
        <v>10</v>
      </c>
      <c r="J146" s="34" t="str">
        <f>VLOOKUP(A146,TableS10!A:J,10,FALSE)</f>
        <v>-</v>
      </c>
    </row>
    <row r="147" spans="1:10" ht="15.75" customHeight="1" x14ac:dyDescent="0.2">
      <c r="A147" s="24" t="s">
        <v>2174</v>
      </c>
      <c r="B147" s="24">
        <v>20.370270282245901</v>
      </c>
      <c r="C147" s="24">
        <v>-7.8906949729512199</v>
      </c>
      <c r="D147" s="24">
        <v>1.35039460841204</v>
      </c>
      <c r="E147" s="24">
        <v>-5.8432512421165903</v>
      </c>
      <c r="F147" s="26">
        <v>5.1191720012230904E-9</v>
      </c>
      <c r="G147" s="26">
        <v>4.8563410880644003E-6</v>
      </c>
      <c r="H147" s="27" t="str">
        <f>VLOOKUP(A147,TableS10!A:J,8,FALSE)</f>
        <v>K06254</v>
      </c>
      <c r="I147" s="24" t="s">
        <v>5186</v>
      </c>
      <c r="J147" s="34" t="str">
        <f>VLOOKUP(A147,TableS10!A:J,10,FALSE)</f>
        <v>GO:0002162,GO:0003674,GO:0005488,GO:0005515,GO:0005575,GO:0005576,GO:0005604,GO:0005605,GO:0031012,GO:0044420,GO:0044421,GO:0062023</v>
      </c>
    </row>
    <row r="148" spans="1:10" ht="15.75" customHeight="1" x14ac:dyDescent="0.2">
      <c r="A148" s="24" t="s">
        <v>2177</v>
      </c>
      <c r="B148" s="24">
        <v>229.313873277705</v>
      </c>
      <c r="C148" s="24">
        <v>-9.6630950271881595</v>
      </c>
      <c r="D148" s="24">
        <v>1.65605168874729</v>
      </c>
      <c r="E148" s="24">
        <v>-5.8350201825510499</v>
      </c>
      <c r="F148" s="26">
        <v>5.3784056375221596E-9</v>
      </c>
      <c r="G148" s="26">
        <v>5.0790729164957004E-6</v>
      </c>
      <c r="H148" s="27" t="str">
        <f>VLOOKUP(A148,TableS10!A:J,8,FALSE)</f>
        <v>-</v>
      </c>
      <c r="I148" s="24" t="s">
        <v>10</v>
      </c>
      <c r="J148" s="34" t="str">
        <f>VLOOKUP(A148,TableS10!A:J,10,FALSE)</f>
        <v>-</v>
      </c>
    </row>
    <row r="149" spans="1:10" ht="15.75" customHeight="1" x14ac:dyDescent="0.2">
      <c r="A149" s="24" t="s">
        <v>2178</v>
      </c>
      <c r="B149" s="24">
        <v>24.209255882107701</v>
      </c>
      <c r="C149" s="24">
        <v>-8.1422418556183196</v>
      </c>
      <c r="D149" s="24">
        <v>1.3962016530952199</v>
      </c>
      <c r="E149" s="24">
        <v>-5.8317090783898404</v>
      </c>
      <c r="F149" s="26">
        <v>5.4862511575429302E-9</v>
      </c>
      <c r="G149" s="26">
        <v>5.1574732827443002E-6</v>
      </c>
      <c r="H149" s="27" t="str">
        <f>VLOOKUP(A149,TableS10!A:J,8,FALSE)</f>
        <v>-</v>
      </c>
      <c r="I149" s="24" t="s">
        <v>260</v>
      </c>
      <c r="J149" s="34" t="str">
        <f>VLOOKUP(A149,TableS10!A:J,10,FALSE)</f>
        <v>-</v>
      </c>
    </row>
    <row r="150" spans="1:10" ht="15.75" customHeight="1" x14ac:dyDescent="0.2">
      <c r="A150" s="24" t="s">
        <v>2182</v>
      </c>
      <c r="B150" s="24">
        <v>379.88627999194102</v>
      </c>
      <c r="C150" s="24">
        <v>-6.5542897693309197</v>
      </c>
      <c r="D150" s="24">
        <v>1.1261825732200801</v>
      </c>
      <c r="E150" s="24">
        <v>-5.8199175916835104</v>
      </c>
      <c r="F150" s="26">
        <v>5.8876648733423704E-9</v>
      </c>
      <c r="G150" s="26">
        <v>5.50989956498251E-6</v>
      </c>
      <c r="H150" s="27" t="str">
        <f>VLOOKUP(A150,TableS10!A:J,8,FALSE)</f>
        <v>-</v>
      </c>
      <c r="I150" s="24" t="s">
        <v>2184</v>
      </c>
      <c r="J150" s="34" t="str">
        <f>VLOOKUP(A150,TableS10!A:J,10,FALSE)</f>
        <v>-</v>
      </c>
    </row>
    <row r="151" spans="1:10" ht="15.75" customHeight="1" x14ac:dyDescent="0.2">
      <c r="A151" s="24" t="s">
        <v>2185</v>
      </c>
      <c r="B151" s="24">
        <v>34.221755257846901</v>
      </c>
      <c r="C151" s="24">
        <v>-7.6610116957912204</v>
      </c>
      <c r="D151" s="24">
        <v>1.31746147291724</v>
      </c>
      <c r="E151" s="24">
        <v>-5.81497968121037</v>
      </c>
      <c r="F151" s="26">
        <v>6.0641251505143003E-9</v>
      </c>
      <c r="G151" s="26">
        <v>5.6243677891529003E-6</v>
      </c>
      <c r="H151" s="27" t="str">
        <f>VLOOKUP(A151,TableS10!A:J,8,FALSE)</f>
        <v>-</v>
      </c>
      <c r="I151" s="24" t="s">
        <v>2186</v>
      </c>
      <c r="J151" s="34" t="str">
        <f>VLOOKUP(A151,TableS10!A:J,10,FALSE)</f>
        <v>-</v>
      </c>
    </row>
    <row r="152" spans="1:10" ht="15.75" customHeight="1" x14ac:dyDescent="0.2">
      <c r="A152" s="24" t="s">
        <v>2187</v>
      </c>
      <c r="B152" s="24">
        <v>19.160150746511899</v>
      </c>
      <c r="C152" s="24">
        <v>-7.8042897473831996</v>
      </c>
      <c r="D152" s="24">
        <v>1.3451916190914699</v>
      </c>
      <c r="E152" s="24">
        <v>-5.8016193653170101</v>
      </c>
      <c r="F152" s="26">
        <v>6.5677517304791802E-9</v>
      </c>
      <c r="G152" s="26">
        <v>6.0375656129089898E-6</v>
      </c>
      <c r="H152" s="27" t="str">
        <f>VLOOKUP(A152,TableS10!A:J,8,FALSE)</f>
        <v>-</v>
      </c>
      <c r="I152" s="24" t="s">
        <v>10</v>
      </c>
      <c r="J152" s="34" t="str">
        <f>VLOOKUP(A152,TableS10!A:J,10,FALSE)</f>
        <v>-</v>
      </c>
    </row>
    <row r="153" spans="1:10" ht="15.75" customHeight="1" x14ac:dyDescent="0.2">
      <c r="A153" s="24" t="s">
        <v>2188</v>
      </c>
      <c r="B153" s="24">
        <v>28.7661916892385</v>
      </c>
      <c r="C153" s="24">
        <v>-6.5336812450993396</v>
      </c>
      <c r="D153" s="24">
        <v>1.12657544255704</v>
      </c>
      <c r="E153" s="24">
        <v>-5.7995949479153701</v>
      </c>
      <c r="F153" s="26">
        <v>6.6475291357754E-9</v>
      </c>
      <c r="G153" s="26">
        <v>6.0839826569698403E-6</v>
      </c>
      <c r="H153" s="27" t="str">
        <f>VLOOKUP(A153,TableS10!A:J,8,FALSE)</f>
        <v>-</v>
      </c>
      <c r="I153" s="24" t="s">
        <v>3908</v>
      </c>
      <c r="J153" s="34" t="str">
        <f>VLOOKUP(A153,TableS10!A:J,10,FALSE)</f>
        <v>-</v>
      </c>
    </row>
    <row r="154" spans="1:10" ht="15.75" customHeight="1" x14ac:dyDescent="0.2">
      <c r="A154" s="24" t="s">
        <v>2189</v>
      </c>
      <c r="B154" s="24">
        <v>274.210206714923</v>
      </c>
      <c r="C154" s="24">
        <v>-2.28973196396722</v>
      </c>
      <c r="D154" s="24">
        <v>0.39567851230973</v>
      </c>
      <c r="E154" s="24">
        <v>-5.7868494061028599</v>
      </c>
      <c r="F154" s="26">
        <v>7.1718819796703598E-9</v>
      </c>
      <c r="G154" s="26">
        <v>6.5009731124017502E-6</v>
      </c>
      <c r="H154" s="27" t="str">
        <f>VLOOKUP(A154,TableS10!A:J,8,FALSE)</f>
        <v>-</v>
      </c>
      <c r="I154" s="24" t="s">
        <v>2190</v>
      </c>
      <c r="J154" s="34" t="str">
        <f>VLOOKUP(A154,TableS10!A:J,10,FALSE)</f>
        <v>-</v>
      </c>
    </row>
    <row r="155" spans="1:10" ht="15.75" customHeight="1" x14ac:dyDescent="0.2">
      <c r="A155" s="24" t="s">
        <v>2191</v>
      </c>
      <c r="B155" s="24">
        <v>38.019754288923203</v>
      </c>
      <c r="C155" s="24">
        <v>-3.77171008519448</v>
      </c>
      <c r="D155" s="24">
        <v>0.65197342412367598</v>
      </c>
      <c r="E155" s="24">
        <v>-5.78506722151148</v>
      </c>
      <c r="F155" s="26">
        <v>7.24833388756197E-9</v>
      </c>
      <c r="G155" s="26">
        <v>6.5009731124017502E-6</v>
      </c>
      <c r="H155" s="27" t="str">
        <f>VLOOKUP(A155,TableS10!A:J,8,FALSE)</f>
        <v>K05104,K05105,K05106,K05108,K05110</v>
      </c>
      <c r="I155" s="24" t="s">
        <v>2192</v>
      </c>
      <c r="J155" s="34" t="str">
        <f>VLOOKUP(A155,TableS10!A:J,10,FALSE)</f>
        <v>-</v>
      </c>
    </row>
    <row r="156" spans="1:10" ht="15.75" customHeight="1" x14ac:dyDescent="0.2">
      <c r="A156" s="24" t="s">
        <v>2193</v>
      </c>
      <c r="B156" s="24">
        <v>17.319049171399399</v>
      </c>
      <c r="C156" s="24">
        <v>-7.65168004836758</v>
      </c>
      <c r="D156" s="24">
        <v>1.32511145319904</v>
      </c>
      <c r="E156" s="24">
        <v>-5.7743671522083204</v>
      </c>
      <c r="F156" s="26">
        <v>7.7242844102700808E-9</v>
      </c>
      <c r="G156" s="26">
        <v>6.8579762048720999E-6</v>
      </c>
      <c r="H156" s="27" t="str">
        <f>VLOOKUP(A156,TableS10!A:J,8,FALSE)</f>
        <v>-</v>
      </c>
      <c r="I156" s="24" t="s">
        <v>10</v>
      </c>
      <c r="J156" s="34" t="str">
        <f>VLOOKUP(A156,TableS10!A:J,10,FALSE)</f>
        <v>-</v>
      </c>
    </row>
    <row r="157" spans="1:10" ht="15.75" customHeight="1" x14ac:dyDescent="0.2">
      <c r="A157" s="24" t="s">
        <v>2194</v>
      </c>
      <c r="B157" s="24">
        <v>17.8235298791137</v>
      </c>
      <c r="C157" s="24">
        <v>-7.69359162857873</v>
      </c>
      <c r="D157" s="24">
        <v>1.33392683848091</v>
      </c>
      <c r="E157" s="24">
        <v>-5.7676263844726803</v>
      </c>
      <c r="F157" s="26">
        <v>8.0395790668665404E-9</v>
      </c>
      <c r="G157" s="26">
        <v>7.0774185958301897E-6</v>
      </c>
      <c r="H157" s="27" t="str">
        <f>VLOOKUP(A157,TableS10!A:J,8,FALSE)</f>
        <v>K07375</v>
      </c>
      <c r="I157" s="24" t="s">
        <v>2195</v>
      </c>
      <c r="J157" s="34" t="str">
        <f>VLOOKUP(A157,TableS10!A:J,10,FALSE)</f>
        <v>-</v>
      </c>
    </row>
    <row r="158" spans="1:10" ht="15.75" customHeight="1" x14ac:dyDescent="0.2">
      <c r="A158" s="24" t="s">
        <v>2196</v>
      </c>
      <c r="B158" s="24">
        <v>19.139711049755501</v>
      </c>
      <c r="C158" s="24">
        <v>-7.7964156281493402</v>
      </c>
      <c r="D158" s="24">
        <v>1.3564952761076501</v>
      </c>
      <c r="E158" s="24">
        <v>-5.74746979622405</v>
      </c>
      <c r="F158" s="26">
        <v>9.0588774893845803E-9</v>
      </c>
      <c r="G158" s="26">
        <v>7.7770088912586097E-6</v>
      </c>
      <c r="H158" s="27" t="str">
        <f>VLOOKUP(A158,TableS10!A:J,8,FALSE)</f>
        <v>-</v>
      </c>
      <c r="I158" s="24" t="s">
        <v>2197</v>
      </c>
      <c r="J158" s="34" t="str">
        <f>VLOOKUP(A158,TableS10!A:J,10,FALSE)</f>
        <v>GO:0000139,GO:0002009,GO:0002165,GO:0005575,GO:0005622,GO:0005623,GO:0005737,GO:0005783,GO:0005793,GO:0005794,GO:0005795,GO:0005798,GO:0005886,GO:0006464,GO:0006486,GO:0006487,GO:0006807,GO:0006810,GO:0006888,GO:0006900,GO:0006901,GO:0006903,GO:0006996,GO:0007030,GO:0007275,GO:0007399,GO:0007444,GO:0007472,GO:0007476,GO:0007552,GO:0007560,GO:0008150,GO:0008152,GO:0009058,GO:0009059,GO:0009100,GO:0009101,GO:0009653,GO:0009791,GO:0009886,GO:0009887,GO:0009888,GO:0009893,GO:0009987,GO:0010256,GO:0010604,GO:0010721,GO:0010769,GO:0010771,GO:0010975,GO:0010977,GO:0012505,GO:0016020,GO:0016043,GO:0016050,GO:0016192,GO:0016333,GO:0019222,GO:0019538,GO:0022008,GO:0022603,GO:0022604,GO:0022607,GO:0030154,GO:0031090,GO:0031323,GO:0031325,GO:0031344,GO:0031345,GO:0031396,GO:0031398,GO:0031399,GO:0031401,GO:0031410,GO:0031982,GO:0031984,GO:0032268,GO:0032270,GO:0032501,GO:0032502,GO:0033116,GO:0034645,GO:0035107,GO:0035114,GO:0035120,GO:0035220,GO:0035239,GO:0035295,GO:0036211,GO:0043085,GO:0043170,GO:0043226,GO:0043227,GO:0043229,GO:0043231,GO:0043412,GO:0043413,GO:0043933,GO:0044085,GO:0044093,GO:0044237,GO:0044238,GO:0044249,GO:0044260,GO:0044267,GO:0044422,GO:0044424,GO:0044431,GO:0044444,GO:0044446,GO:0044464,GO:0044719,GO:0045595,GO:0045596,GO:0045664,GO:0045665,GO:0046907,GO:0048193,GO:0048194,GO:0048199,GO:0048207,GO:0048208,GO:0048513,GO:0048518,GO:0048519,GO:0048522,GO:0048523,GO:0048563,GO:0048569,GO:0048699,GO:0048707,GO:0048729,GO:0048731,GO:0048736,GO:0048737,GO:0048814,GO:0048856,GO:0048869,GO:0050767,GO:0050768,GO:0050773,GO:0050774,GO:0050789,GO:0050790,GO:0050793,GO:0050794,GO:0051093,GO:0051128,GO:0051129,GO:0051171,GO:0051173,GO:0051179,GO:0051234,GO:0051239,GO:0051241,GO:0051246,GO:0051247,GO:0051338,GO:0051347,GO:0051438,GO:0051443,GO:0051640,GO:0051641,GO:0051648,GO:0051649,GO:0051650,GO:0051656,GO:0051960,GO:0051961,GO:0060255,GO:0060284,GO:0060429,GO:0060562,GO:0061024,GO:0065003,GO:0065007,GO:0065008,GO:0065009,GO:0070085,GO:0071704,GO:0071840,GO:0071944,GO:0080090,GO:0090066,GO:0090114,GO:0097708,GO:0098588,GO:0098791,GO:0120035,GO:1901135,GO:1901137,GO:1901564,GO:1901566,GO:1901576,GO:1903320,GO:1903322,GO:1904666,GO:1904668,GO:2000026,GO:2000171</v>
      </c>
    </row>
    <row r="159" spans="1:10" ht="15.75" customHeight="1" x14ac:dyDescent="0.2">
      <c r="A159" s="24" t="s">
        <v>2198</v>
      </c>
      <c r="B159" s="24">
        <v>37.000253646621502</v>
      </c>
      <c r="C159" s="24">
        <v>-6.4190129467931802</v>
      </c>
      <c r="D159" s="24">
        <v>1.11735003769791</v>
      </c>
      <c r="E159" s="24">
        <v>-5.7448541014222601</v>
      </c>
      <c r="F159" s="26">
        <v>9.2000277218667199E-9</v>
      </c>
      <c r="G159" s="26">
        <v>7.8656829604285707E-6</v>
      </c>
      <c r="H159" s="27" t="str">
        <f>VLOOKUP(A159,TableS10!A:J,8,FALSE)</f>
        <v>K06254</v>
      </c>
      <c r="I159" s="24" t="s">
        <v>86</v>
      </c>
      <c r="J159" s="34" t="str">
        <f>VLOOKUP(A159,TableS10!A:J,10,FALSE)</f>
        <v>-</v>
      </c>
    </row>
    <row r="160" spans="1:10" ht="15.75" customHeight="1" x14ac:dyDescent="0.2">
      <c r="A160" s="24" t="s">
        <v>2199</v>
      </c>
      <c r="B160" s="24">
        <v>24.006855129830001</v>
      </c>
      <c r="C160" s="24">
        <v>-4.3759304418017404</v>
      </c>
      <c r="D160" s="24">
        <v>0.76199882707850897</v>
      </c>
      <c r="E160" s="24">
        <v>-5.7426997080546496</v>
      </c>
      <c r="F160" s="26">
        <v>9.3178884066308604E-9</v>
      </c>
      <c r="G160" s="26">
        <v>7.89073182903798E-6</v>
      </c>
      <c r="H160" s="27" t="str">
        <f>VLOOKUP(A160,TableS10!A:J,8,FALSE)</f>
        <v>-</v>
      </c>
      <c r="I160" s="24" t="s">
        <v>10</v>
      </c>
      <c r="J160" s="34" t="str">
        <f>VLOOKUP(A160,TableS10!A:J,10,FALSE)</f>
        <v>-</v>
      </c>
    </row>
    <row r="161" spans="1:10" ht="15.75" customHeight="1" x14ac:dyDescent="0.2">
      <c r="A161" s="24" t="s">
        <v>2200</v>
      </c>
      <c r="B161" s="24">
        <v>30.789895732004702</v>
      </c>
      <c r="C161" s="24">
        <v>-8.4799033719717301</v>
      </c>
      <c r="D161" s="24">
        <v>1.47724426560521</v>
      </c>
      <c r="E161" s="24">
        <v>-5.7403528782679603</v>
      </c>
      <c r="F161" s="26">
        <v>9.4479470072255808E-9</v>
      </c>
      <c r="G161" s="26">
        <v>7.9468327062071205E-6</v>
      </c>
      <c r="H161" s="27" t="str">
        <f>VLOOKUP(A161,TableS10!A:J,8,FALSE)</f>
        <v>K03231</v>
      </c>
      <c r="I161" s="24" t="s">
        <v>2201</v>
      </c>
      <c r="J161" s="34" t="str">
        <f>VLOOKUP(A161,TableS10!A:J,10,FALSE)</f>
        <v>GO:0000166,GO:0000302,GO:0000322,GO:0000323,GO:0000324,GO:0000329,GO:0001882,GO:0001883,GO:0001932,GO:0001933,GO:0003674,GO:0003676,GO:0003723,GO:0003746,GO:0003779,GO:0003785,GO:0003824,GO:0003924,GO:0005488,GO:0005515,GO:0005516,GO:0005525,GO:0005575,GO:0005622,GO:0005623,GO:0005737,GO:0005739,GO:0005773,GO:0005774,GO:0005829,GO:0005840,GO:0005853,GO:0005938,GO:0006403,GO:0006405,GO:0006409,GO:0006412,GO:0006414,GO:0006469,GO:0006518,GO:0006611,GO:0006807,GO:0006810,GO:0006886,GO:0006913,GO:0006950,GO:0006979,GO:0006996,GO:0007010,GO:0007015,GO:0007017,GO:0007154,GO:0007165,GO:0008092,GO:0008104,GO:0008135,GO:0008150,GO:0008152,GO:0009058,GO:0009059,GO:0009267,GO:0009268,GO:0009605,GO:0009628,GO:0009892,GO:0009987,GO:0009991,GO:0010446,GO:0010467,GO:0010563,GO:0010605,GO:0015031,GO:0015833,GO:0015931,GO:0016020,GO:0016043,GO:0016462,GO:0016787,GO:0016817,GO:0016818,GO:0017016,GO:0017048,GO:0017076,GO:0017111,GO:0019001,GO:0019003,GO:0019220,GO:0019222,GO:0019538,GO:0019722,GO:0019899,GO:0019900,GO:0019901,GO:0019932,GO:0022607,GO:0023052,GO:0030027,GO:0030029,GO:0030036,GO:0030175,GO:0031090,GO:0031143,GO:0031252,GO:0031267,GO:0031323,GO:0031324,GO:0031399,GO:0031400,GO:0031503,GO:0031667,GO:0031668,GO:0031669,GO:0032268,GO:0032269,GO:0032549,GO:0032550,GO:0032553,GO:0032555,GO:0032561,GO:0032991,GO:0033036,GO:0033554,GO:0033673,GO:0034198,GO:0034613,GO:0034641,GO:0034645,GO:0035556,GO:0035639,GO:0036094,GO:0042221,GO:0042325,GO:0042326,GO:0042594,GO:0042886,GO:0042995,GO:0043021,GO:0043022,GO:0043043,GO:0043086,GO:0043167,GO:0043168,GO:0043170,GO:0043226,GO:0043227,GO:0043228,GO:0043229,GO:0043231,GO:0043232,GO:0043549,GO:0043603,GO:0043604,GO:0044085,GO:0044092,GO:0044237,GO:0044238,GO:0044249,GO:0044260,GO:0044267,GO:0044271,GO:0044422,GO:0044424,GO:0044437,GO:0044444,GO:0044446,GO:0044464,GO:0044877,GO:0045184,GO:0045859,GO:0045936,GO:0046907,GO:0048519,GO:0048523,GO:0050657,GO:0050658,GO:0050789,GO:0050790,GO:0050794,GO:0050896,GO:0051015,GO:0051017,GO:0051020,GO:0051031,GO:0051168,GO:0051169,GO:0051171,GO:0051172,GO:0051174,GO:0051179,GO:0051234,GO:0051236,GO:0051246,GO:0051248,GO:0051338,GO:0051348,GO:0051641,GO:0051649,GO:0051716,GO:0060255,GO:0061572,GO:0065007,GO:0065009,GO:0070727,GO:0071166,GO:0071426,GO:0071431,GO:0071496,GO:0071702,GO:0071704,GO:0071705,GO:0071840,GO:0071944,GO:0080090,GO:0097064,GO:0097159,GO:0097367,GO:0097435,GO:0098588,GO:0098805,GO:0098852,GO:0098858,GO:0099568,GO:0120025,GO:1901265,GO:1901363,GO:1901564,GO:1901566,GO:1901576,GO:1901700,GO:1990904,GO:1990928</v>
      </c>
    </row>
    <row r="162" spans="1:10" ht="15.75" customHeight="1" x14ac:dyDescent="0.2">
      <c r="A162" s="24" t="s">
        <v>2202</v>
      </c>
      <c r="B162" s="24">
        <v>54.925476596782801</v>
      </c>
      <c r="C162" s="24">
        <v>-2.84026302043398</v>
      </c>
      <c r="D162" s="24">
        <v>0.49487421461398001</v>
      </c>
      <c r="E162" s="24">
        <v>-5.7393635323058598</v>
      </c>
      <c r="F162" s="26">
        <v>9.5033026433103096E-9</v>
      </c>
      <c r="G162" s="26">
        <v>7.9611618708208707E-6</v>
      </c>
      <c r="H162" s="27" t="str">
        <f>VLOOKUP(A162,TableS10!A:J,8,FALSE)</f>
        <v>K07374</v>
      </c>
      <c r="I162" s="24" t="s">
        <v>2203</v>
      </c>
      <c r="J162" s="34" t="str">
        <f>VLOOKUP(A162,TableS10!A:J,10,FALSE)</f>
        <v>-</v>
      </c>
    </row>
    <row r="163" spans="1:10" ht="15.75" customHeight="1" x14ac:dyDescent="0.2">
      <c r="A163" s="24" t="s">
        <v>2204</v>
      </c>
      <c r="B163" s="24">
        <v>33.577280674448403</v>
      </c>
      <c r="C163" s="24">
        <v>-7.6454103046085402</v>
      </c>
      <c r="D163" s="24">
        <v>1.3362787324202601</v>
      </c>
      <c r="E163" s="24">
        <v>-5.7214188321034003</v>
      </c>
      <c r="F163" s="26">
        <v>1.05638122961323E-8</v>
      </c>
      <c r="G163" s="26">
        <v>8.7894342474707999E-6</v>
      </c>
      <c r="H163" s="27" t="str">
        <f>VLOOKUP(A163,TableS10!A:J,8,FALSE)</f>
        <v>-</v>
      </c>
      <c r="I163" s="24" t="s">
        <v>10</v>
      </c>
      <c r="J163" s="34" t="str">
        <f>VLOOKUP(A163,TableS10!A:J,10,FALSE)</f>
        <v>-</v>
      </c>
    </row>
    <row r="164" spans="1:10" ht="15.75" customHeight="1" x14ac:dyDescent="0.2">
      <c r="A164" s="24" t="s">
        <v>2205</v>
      </c>
      <c r="B164" s="24">
        <v>465.42783856957499</v>
      </c>
      <c r="C164" s="24">
        <v>-2.6815594300616201</v>
      </c>
      <c r="D164" s="24">
        <v>0.46883963563772402</v>
      </c>
      <c r="E164" s="24">
        <v>-5.7195664065690899</v>
      </c>
      <c r="F164" s="26">
        <v>1.06796230001419E-8</v>
      </c>
      <c r="G164" s="26">
        <v>8.8045863334027208E-6</v>
      </c>
      <c r="H164" s="27" t="str">
        <f>VLOOKUP(A164,TableS10!A:J,8,FALSE)</f>
        <v>-</v>
      </c>
      <c r="I164" s="24" t="s">
        <v>10</v>
      </c>
      <c r="J164" s="34" t="str">
        <f>VLOOKUP(A164,TableS10!A:J,10,FALSE)</f>
        <v>-</v>
      </c>
    </row>
    <row r="165" spans="1:10" ht="15.75" customHeight="1" x14ac:dyDescent="0.2">
      <c r="A165" s="24" t="s">
        <v>2206</v>
      </c>
      <c r="B165" s="24">
        <v>298.44344940973201</v>
      </c>
      <c r="C165" s="24">
        <v>-3.7182024799834399</v>
      </c>
      <c r="D165" s="24">
        <v>0.65020174028714195</v>
      </c>
      <c r="E165" s="24">
        <v>-5.7185366473202697</v>
      </c>
      <c r="F165" s="26">
        <v>1.07445345607396E-8</v>
      </c>
      <c r="G165" s="26">
        <v>8.8230890205573797E-6</v>
      </c>
      <c r="H165" s="27" t="str">
        <f>VLOOKUP(A165,TableS10!A:J,8,FALSE)</f>
        <v>-</v>
      </c>
      <c r="I165" s="24" t="s">
        <v>2207</v>
      </c>
      <c r="J165" s="34" t="str">
        <f>VLOOKUP(A165,TableS10!A:J,10,FALSE)</f>
        <v>-</v>
      </c>
    </row>
    <row r="166" spans="1:10" ht="15.75" customHeight="1" x14ac:dyDescent="0.2">
      <c r="A166" s="24" t="s">
        <v>2208</v>
      </c>
      <c r="B166" s="24">
        <v>115.36711052057299</v>
      </c>
      <c r="C166" s="24">
        <v>-2.4840911287968201</v>
      </c>
      <c r="D166" s="24">
        <v>0.43492049790920401</v>
      </c>
      <c r="E166" s="24">
        <v>-5.7115981903327198</v>
      </c>
      <c r="F166" s="26">
        <v>1.11920090853066E-8</v>
      </c>
      <c r="G166" s="26">
        <v>9.1543584233344904E-6</v>
      </c>
      <c r="H166" s="27" t="str">
        <f>VLOOKUP(A166,TableS10!A:J,8,FALSE)</f>
        <v>-</v>
      </c>
      <c r="I166" s="24" t="s">
        <v>10</v>
      </c>
      <c r="J166" s="34" t="str">
        <f>VLOOKUP(A166,TableS10!A:J,10,FALSE)</f>
        <v>-</v>
      </c>
    </row>
    <row r="167" spans="1:10" ht="15.75" customHeight="1" x14ac:dyDescent="0.2">
      <c r="A167" s="24" t="s">
        <v>2209</v>
      </c>
      <c r="B167" s="24">
        <v>36.313987162082199</v>
      </c>
      <c r="C167" s="24">
        <v>-6.79662461262566</v>
      </c>
      <c r="D167" s="24">
        <v>1.1910241424796899</v>
      </c>
      <c r="E167" s="24">
        <v>-5.7065380710715097</v>
      </c>
      <c r="F167" s="26">
        <v>1.15297127509214E-8</v>
      </c>
      <c r="G167" s="26">
        <v>9.3935960873741997E-6</v>
      </c>
      <c r="H167" s="27" t="str">
        <f>VLOOKUP(A167,TableS10!A:J,8,FALSE)</f>
        <v>-</v>
      </c>
      <c r="I167" s="24" t="s">
        <v>2210</v>
      </c>
      <c r="J167" s="34" t="str">
        <f>VLOOKUP(A167,TableS10!A:J,10,FALSE)</f>
        <v>GO:0003008,GO:0005575,GO:0005623,GO:0005886,GO:0005929,GO:0007600,GO:0007605,GO:0008150,GO:0009986,GO:0016020,GO:0031090,GO:0031253,GO:0032420,GO:0032421,GO:0032501,GO:0042995,GO:0043005,GO:0043226,GO:0043227,GO:0044422,GO:0044425,GO:0044441,GO:0044459,GO:0044463,GO:0044464,GO:0050877,GO:0050954,GO:0060170,GO:0071944,GO:0097458,GO:0098588,GO:0098590,GO:0098858,GO:0098862,GO:0120025,GO:0120038</v>
      </c>
    </row>
    <row r="168" spans="1:10" ht="15.75" customHeight="1" x14ac:dyDescent="0.2">
      <c r="A168" s="24" t="s">
        <v>2211</v>
      </c>
      <c r="B168" s="24">
        <v>17.180309541624801</v>
      </c>
      <c r="C168" s="24">
        <v>-7.6456327273422904</v>
      </c>
      <c r="D168" s="24">
        <v>1.3409526888302801</v>
      </c>
      <c r="E168" s="24">
        <v>-5.7016424151485801</v>
      </c>
      <c r="F168" s="26">
        <v>1.1865854012415099E-8</v>
      </c>
      <c r="G168" s="26">
        <v>9.6296967429816592E-6</v>
      </c>
      <c r="H168" s="27" t="str">
        <f>VLOOKUP(A168,TableS10!A:J,8,FALSE)</f>
        <v>-</v>
      </c>
      <c r="I168" s="24" t="s">
        <v>2212</v>
      </c>
      <c r="J168" s="34" t="str">
        <f>VLOOKUP(A168,TableS10!A:J,10,FALSE)</f>
        <v>GO:0003674,GO:0003712,GO:0003713,GO:0005575,GO:0005622,GO:0005623,GO:0005634,GO:0005654,GO:0006355,GO:0006357,GO:0008150,GO:0009889,GO:0009891,GO:0009893,GO:0010468,GO:0010556,GO:0010557,GO:0010604,GO:0010628,GO:0019216,GO:0019219,GO:0019222,GO:0030374,GO:0031323,GO:0031325,GO:0031326,GO:0031328,GO:0031974,GO:0031981,GO:0043226,GO:0043227,GO:0043229,GO:0043231,GO:0043233,GO:0044422,GO:0044424,GO:0044428,GO:0044446,GO:0044464,GO:0045893,GO:0045935,GO:0045944,GO:0048518,GO:0048522,GO:0050789,GO:0050794,GO:0051171,GO:0051173,GO:0051252,GO:0051254,GO:0060255,GO:0065007,GO:0070013,GO:0080090,GO:0140110,GO:1902680,GO:1903506,GO:1903508,GO:2000112,GO:2001141</v>
      </c>
    </row>
    <row r="169" spans="1:10" ht="15.75" customHeight="1" x14ac:dyDescent="0.2">
      <c r="A169" s="24" t="s">
        <v>2213</v>
      </c>
      <c r="B169" s="24">
        <v>18.578041734274699</v>
      </c>
      <c r="C169" s="24">
        <v>-7.7537527205897598</v>
      </c>
      <c r="D169" s="24">
        <v>1.36060656409426</v>
      </c>
      <c r="E169" s="24">
        <v>-5.6987471067739301</v>
      </c>
      <c r="F169" s="26">
        <v>1.2069110151514401E-8</v>
      </c>
      <c r="G169" s="26">
        <v>9.7565371542335308E-6</v>
      </c>
      <c r="H169" s="27" t="str">
        <f>VLOOKUP(A169,TableS10!A:J,8,FALSE)</f>
        <v>-</v>
      </c>
      <c r="I169" s="24" t="s">
        <v>2214</v>
      </c>
      <c r="J169" s="34" t="str">
        <f>VLOOKUP(A169,TableS10!A:J,10,FALSE)</f>
        <v>-</v>
      </c>
    </row>
    <row r="170" spans="1:10" ht="15.75" customHeight="1" x14ac:dyDescent="0.2">
      <c r="A170" s="24" t="s">
        <v>2215</v>
      </c>
      <c r="B170" s="24">
        <v>26.261679828322801</v>
      </c>
      <c r="C170" s="24">
        <v>-7.2869438586433404</v>
      </c>
      <c r="D170" s="24">
        <v>1.2807120233549101</v>
      </c>
      <c r="E170" s="24">
        <v>-5.6897598568292702</v>
      </c>
      <c r="F170" s="26">
        <v>1.2721815488047199E-8</v>
      </c>
      <c r="G170" s="26">
        <v>1.02047625426051E-5</v>
      </c>
      <c r="H170" s="27" t="str">
        <f>VLOOKUP(A170,TableS10!A:J,8,FALSE)</f>
        <v>-</v>
      </c>
      <c r="I170" s="24" t="s">
        <v>10</v>
      </c>
      <c r="J170" s="34" t="str">
        <f>VLOOKUP(A170,TableS10!A:J,10,FALSE)</f>
        <v>-</v>
      </c>
    </row>
    <row r="171" spans="1:10" ht="15.75" customHeight="1" x14ac:dyDescent="0.2">
      <c r="A171" s="24" t="s">
        <v>2216</v>
      </c>
      <c r="B171" s="24">
        <v>39.040019797182197</v>
      </c>
      <c r="C171" s="24">
        <v>-6.8916800275230496</v>
      </c>
      <c r="D171" s="24">
        <v>1.21352715726959</v>
      </c>
      <c r="E171" s="24">
        <v>-5.6790488669649299</v>
      </c>
      <c r="F171" s="26">
        <v>1.35445783241089E-8</v>
      </c>
      <c r="G171" s="26">
        <v>1.07814843459907E-5</v>
      </c>
      <c r="H171" s="27" t="str">
        <f>VLOOKUP(A171,TableS10!A:J,8,FALSE)</f>
        <v>-</v>
      </c>
      <c r="I171" s="24" t="s">
        <v>5105</v>
      </c>
      <c r="J171" s="34" t="str">
        <f>VLOOKUP(A171,TableS10!A:J,10,FALSE)</f>
        <v>GO:0005575,GO:0005622,GO:0005623,GO:0005737,GO:0005739,GO:0008150,GO:0019222,GO:0031323,GO:0043226,GO:0043227,GO:0043229,GO:0043231,GO:0043457,GO:0043467,GO:0044424,GO:0044444,GO:0044464,GO:0050789,GO:0050794,GO:0065007</v>
      </c>
    </row>
    <row r="172" spans="1:10" ht="15.75" customHeight="1" x14ac:dyDescent="0.2">
      <c r="A172" s="24" t="s">
        <v>2217</v>
      </c>
      <c r="B172" s="24">
        <v>81.125841176311695</v>
      </c>
      <c r="C172" s="24">
        <v>-2.08979478466643</v>
      </c>
      <c r="D172" s="24">
        <v>0.36984997404771902</v>
      </c>
      <c r="E172" s="24">
        <v>-5.6503851056017602</v>
      </c>
      <c r="F172" s="26">
        <v>1.6008877894174899E-8</v>
      </c>
      <c r="G172" s="26">
        <v>1.26145253833592E-5</v>
      </c>
      <c r="H172" s="27" t="str">
        <f>VLOOKUP(A172,TableS10!A:J,8,FALSE)</f>
        <v>K22078,K01194</v>
      </c>
      <c r="I172" s="24" t="s">
        <v>1881</v>
      </c>
      <c r="J172" s="34" t="str">
        <f>VLOOKUP(A172,TableS10!A:J,10,FALSE)</f>
        <v>-</v>
      </c>
    </row>
    <row r="173" spans="1:10" ht="15.75" customHeight="1" x14ac:dyDescent="0.2">
      <c r="A173" s="24" t="s">
        <v>2218</v>
      </c>
      <c r="B173" s="24">
        <v>23.8395580700039</v>
      </c>
      <c r="C173" s="24">
        <v>-8.1097561907666798</v>
      </c>
      <c r="D173" s="24">
        <v>1.4353135908319199</v>
      </c>
      <c r="E173" s="24">
        <v>-5.6501633110477201</v>
      </c>
      <c r="F173" s="26">
        <v>1.6029547648235601E-8</v>
      </c>
      <c r="G173" s="26">
        <v>1.26145253833592E-5</v>
      </c>
      <c r="H173" s="27" t="str">
        <f>VLOOKUP(A173,TableS10!A:J,8,FALSE)</f>
        <v>-</v>
      </c>
      <c r="I173" s="24" t="s">
        <v>2219</v>
      </c>
      <c r="J173" s="34" t="str">
        <f>VLOOKUP(A173,TableS10!A:J,10,FALSE)</f>
        <v>-</v>
      </c>
    </row>
    <row r="174" spans="1:10" ht="15.75" customHeight="1" x14ac:dyDescent="0.2">
      <c r="A174" s="24" t="s">
        <v>2220</v>
      </c>
      <c r="B174" s="24">
        <v>488.55724812220097</v>
      </c>
      <c r="C174" s="24">
        <v>-3.49839215373221</v>
      </c>
      <c r="D174" s="24">
        <v>0.620833518609057</v>
      </c>
      <c r="E174" s="24">
        <v>-5.6349923914710001</v>
      </c>
      <c r="F174" s="26">
        <v>1.7506606619479299E-8</v>
      </c>
      <c r="G174" s="26">
        <v>1.36733179129193E-5</v>
      </c>
      <c r="H174" s="27" t="str">
        <f>VLOOKUP(A174,TableS10!A:J,8,FALSE)</f>
        <v>-</v>
      </c>
      <c r="I174" s="24" t="s">
        <v>2207</v>
      </c>
      <c r="J174" s="34" t="str">
        <f>VLOOKUP(A174,TableS10!A:J,10,FALSE)</f>
        <v>-</v>
      </c>
    </row>
    <row r="175" spans="1:10" ht="15.75" customHeight="1" x14ac:dyDescent="0.2">
      <c r="A175" s="24" t="s">
        <v>2221</v>
      </c>
      <c r="B175" s="24">
        <v>16.0664503022326</v>
      </c>
      <c r="C175" s="24">
        <v>-7.5453164252626301</v>
      </c>
      <c r="D175" s="24">
        <v>1.3403332766937699</v>
      </c>
      <c r="E175" s="24">
        <v>-5.6294330346515098</v>
      </c>
      <c r="F175" s="26">
        <v>1.80802950503364E-8</v>
      </c>
      <c r="G175" s="26">
        <v>1.40160066361108E-5</v>
      </c>
      <c r="H175" s="27" t="str">
        <f>VLOOKUP(A175,TableS10!A:J,8,FALSE)</f>
        <v>-</v>
      </c>
      <c r="I175" s="24" t="s">
        <v>10</v>
      </c>
      <c r="J175" s="34" t="str">
        <f>VLOOKUP(A175,TableS10!A:J,10,FALSE)</f>
        <v>-</v>
      </c>
    </row>
    <row r="176" spans="1:10" ht="15.75" customHeight="1" x14ac:dyDescent="0.2">
      <c r="A176" s="24" t="s">
        <v>2222</v>
      </c>
      <c r="B176" s="24">
        <v>586.68765766631202</v>
      </c>
      <c r="C176" s="24">
        <v>-2.73117235249777</v>
      </c>
      <c r="D176" s="24">
        <v>0.48545614512054303</v>
      </c>
      <c r="E176" s="24">
        <v>-5.6259919252224</v>
      </c>
      <c r="F176" s="26">
        <v>1.8444497417302699E-8</v>
      </c>
      <c r="G176" s="26">
        <v>1.4245185893788599E-5</v>
      </c>
      <c r="H176" s="27" t="str">
        <f>VLOOKUP(A176,TableS10!A:J,8,FALSE)</f>
        <v>-</v>
      </c>
      <c r="I176" s="24" t="s">
        <v>2223</v>
      </c>
      <c r="J176" s="34" t="str">
        <f>VLOOKUP(A176,TableS10!A:J,10,FALSE)</f>
        <v>-</v>
      </c>
    </row>
    <row r="177" spans="1:10" ht="15.75" customHeight="1" x14ac:dyDescent="0.2">
      <c r="A177" s="24" t="s">
        <v>2224</v>
      </c>
      <c r="B177" s="24">
        <v>31.726074497878301</v>
      </c>
      <c r="C177" s="24">
        <v>-6.7154944220333199</v>
      </c>
      <c r="D177" s="24">
        <v>1.1950891430292301</v>
      </c>
      <c r="E177" s="24">
        <v>-5.6192414274732103</v>
      </c>
      <c r="F177" s="26">
        <v>1.91797688363767E-8</v>
      </c>
      <c r="G177" s="26">
        <v>1.47437284905023E-5</v>
      </c>
      <c r="H177" s="27" t="str">
        <f>VLOOKUP(A177,TableS10!A:J,8,FALSE)</f>
        <v>-</v>
      </c>
      <c r="I177" s="24" t="s">
        <v>10</v>
      </c>
      <c r="J177" s="34" t="str">
        <f>VLOOKUP(A177,TableS10!A:J,10,FALSE)</f>
        <v>-</v>
      </c>
    </row>
    <row r="178" spans="1:10" ht="15.75" customHeight="1" x14ac:dyDescent="0.2">
      <c r="A178" s="24" t="s">
        <v>2225</v>
      </c>
      <c r="B178" s="24">
        <v>17.529681838951099</v>
      </c>
      <c r="C178" s="24">
        <v>-7.67014265510642</v>
      </c>
      <c r="D178" s="24">
        <v>1.36509233169785</v>
      </c>
      <c r="E178" s="24">
        <v>-5.6187720617891097</v>
      </c>
      <c r="F178" s="26">
        <v>1.9231937565827799E-8</v>
      </c>
      <c r="G178" s="26">
        <v>1.47437284905023E-5</v>
      </c>
      <c r="H178" s="27" t="str">
        <f>VLOOKUP(A178,TableS10!A:J,8,FALSE)</f>
        <v>-</v>
      </c>
      <c r="I178" s="24" t="s">
        <v>10</v>
      </c>
      <c r="J178" s="34" t="str">
        <f>VLOOKUP(A178,TableS10!A:J,10,FALSE)</f>
        <v>-</v>
      </c>
    </row>
    <row r="179" spans="1:10" ht="15.75" customHeight="1" x14ac:dyDescent="0.2">
      <c r="A179" s="24" t="s">
        <v>2226</v>
      </c>
      <c r="B179" s="24">
        <v>18.127768429799001</v>
      </c>
      <c r="C179" s="24">
        <v>-7.7143044465335402</v>
      </c>
      <c r="D179" s="24">
        <v>1.3739153694359401</v>
      </c>
      <c r="E179" s="24">
        <v>-5.6148323383998697</v>
      </c>
      <c r="F179" s="26">
        <v>1.9675292776302701E-8</v>
      </c>
      <c r="G179" s="26">
        <v>1.5028162228064499E-5</v>
      </c>
      <c r="H179" s="27" t="str">
        <f>VLOOKUP(A179,TableS10!A:J,8,FALSE)</f>
        <v>-</v>
      </c>
      <c r="I179" s="24" t="s">
        <v>2227</v>
      </c>
      <c r="J179" s="34" t="str">
        <f>VLOOKUP(A179,TableS10!A:J,10,FALSE)</f>
        <v>-</v>
      </c>
    </row>
    <row r="180" spans="1:10" ht="15.75" customHeight="1" x14ac:dyDescent="0.2">
      <c r="A180" s="24" t="s">
        <v>2228</v>
      </c>
      <c r="B180" s="24">
        <v>25.958609050320401</v>
      </c>
      <c r="C180" s="24">
        <v>-8.2384870255712404</v>
      </c>
      <c r="D180" s="24">
        <v>1.47040318216824</v>
      </c>
      <c r="E180" s="24">
        <v>-5.6028762216243599</v>
      </c>
      <c r="F180" s="26">
        <v>2.10823781624534E-8</v>
      </c>
      <c r="G180" s="26">
        <v>1.60439214561124E-5</v>
      </c>
      <c r="H180" s="27" t="str">
        <f>VLOOKUP(A180,TableS10!A:J,8,FALSE)</f>
        <v>-</v>
      </c>
      <c r="I180" s="24" t="s">
        <v>2229</v>
      </c>
      <c r="J180" s="34" t="str">
        <f>VLOOKUP(A180,TableS10!A:J,10,FALSE)</f>
        <v>-</v>
      </c>
    </row>
    <row r="181" spans="1:10" ht="15.75" customHeight="1" x14ac:dyDescent="0.2">
      <c r="A181" s="24" t="s">
        <v>2230</v>
      </c>
      <c r="B181" s="24">
        <v>16.0445892582181</v>
      </c>
      <c r="C181" s="24">
        <v>-7.5455923390103798</v>
      </c>
      <c r="D181" s="24">
        <v>1.34850067235487</v>
      </c>
      <c r="E181" s="24">
        <v>-5.5955421407640804</v>
      </c>
      <c r="F181" s="26">
        <v>2.1993341701722999E-8</v>
      </c>
      <c r="G181" s="26">
        <v>1.6676090140814501E-5</v>
      </c>
      <c r="H181" s="27" t="str">
        <f>VLOOKUP(A181,TableS10!A:J,8,FALSE)</f>
        <v>-</v>
      </c>
      <c r="I181" s="24" t="s">
        <v>10</v>
      </c>
      <c r="J181" s="34" t="str">
        <f>VLOOKUP(A181,TableS10!A:J,10,FALSE)</f>
        <v>-</v>
      </c>
    </row>
    <row r="182" spans="1:10" ht="15.75" customHeight="1" x14ac:dyDescent="0.2">
      <c r="A182" s="24" t="s">
        <v>2231</v>
      </c>
      <c r="B182" s="24">
        <v>58.124402363225698</v>
      </c>
      <c r="C182" s="24">
        <v>-8.4343940750850894</v>
      </c>
      <c r="D182" s="24">
        <v>1.5083796737897399</v>
      </c>
      <c r="E182" s="24">
        <v>-5.59169168190527</v>
      </c>
      <c r="F182" s="26">
        <v>2.24867862285602E-8</v>
      </c>
      <c r="G182" s="26">
        <v>1.6988235489820902E-5</v>
      </c>
      <c r="H182" s="27" t="str">
        <f>VLOOKUP(A182,TableS10!A:J,8,FALSE)</f>
        <v>-</v>
      </c>
      <c r="I182" s="24" t="s">
        <v>10</v>
      </c>
      <c r="J182" s="34" t="str">
        <f>VLOOKUP(A182,TableS10!A:J,10,FALSE)</f>
        <v>-</v>
      </c>
    </row>
    <row r="183" spans="1:10" ht="15.75" customHeight="1" x14ac:dyDescent="0.2">
      <c r="A183" s="24" t="s">
        <v>2232</v>
      </c>
      <c r="B183" s="24">
        <v>29.877040761906901</v>
      </c>
      <c r="C183" s="24">
        <v>-4.0610539189638404</v>
      </c>
      <c r="D183" s="24">
        <v>0.72836607421750899</v>
      </c>
      <c r="E183" s="24">
        <v>-5.5755670983532104</v>
      </c>
      <c r="F183" s="26">
        <v>2.46724783788032E-8</v>
      </c>
      <c r="G183" s="26">
        <v>1.83145669558855E-5</v>
      </c>
      <c r="H183" s="27" t="str">
        <f>VLOOKUP(A183,TableS10!A:J,8,FALSE)</f>
        <v>-</v>
      </c>
      <c r="I183" s="24" t="s">
        <v>10</v>
      </c>
      <c r="J183" s="34" t="str">
        <f>VLOOKUP(A183,TableS10!A:J,10,FALSE)</f>
        <v>-</v>
      </c>
    </row>
    <row r="184" spans="1:10" ht="15.75" customHeight="1" x14ac:dyDescent="0.2">
      <c r="A184" s="24" t="s">
        <v>2233</v>
      </c>
      <c r="B184" s="24">
        <v>15.56654105032</v>
      </c>
      <c r="C184" s="24">
        <v>-7.5032519480495896</v>
      </c>
      <c r="D184" s="24">
        <v>1.34717730133991</v>
      </c>
      <c r="E184" s="24">
        <v>-5.5696098357556902</v>
      </c>
      <c r="F184" s="26">
        <v>2.5531040375435199E-8</v>
      </c>
      <c r="G184" s="26">
        <v>1.8809314979570599E-5</v>
      </c>
      <c r="H184" s="27" t="str">
        <f>VLOOKUP(A184,TableS10!A:J,8,FALSE)</f>
        <v>K21626</v>
      </c>
      <c r="I184" s="24" t="s">
        <v>2234</v>
      </c>
      <c r="J184" s="34" t="str">
        <f>VLOOKUP(A184,TableS10!A:J,10,FALSE)</f>
        <v>GO:0000981,GO:0003674,GO:0003700,GO:0006355,GO:0006357,GO:0008150,GO:0009889,GO:0010468,GO:0010556,GO:0019219,GO:0019222,GO:0031323,GO:0031326,GO:0050789,GO:0050794,GO:0051171,GO:0051252,GO:0060255,GO:0065007,GO:0080090,GO:0140110,GO:1903506,GO:2000112,GO:2001141</v>
      </c>
    </row>
    <row r="185" spans="1:10" ht="15.75" customHeight="1" x14ac:dyDescent="0.2">
      <c r="A185" s="24" t="s">
        <v>2235</v>
      </c>
      <c r="B185" s="24">
        <v>14.9609017991425</v>
      </c>
      <c r="C185" s="24">
        <v>-7.4438787982165104</v>
      </c>
      <c r="D185" s="24">
        <v>1.3372595976028001</v>
      </c>
      <c r="E185" s="24">
        <v>-5.5665173849270397</v>
      </c>
      <c r="F185" s="26">
        <v>2.5988086438478498E-8</v>
      </c>
      <c r="G185" s="26">
        <v>1.90783776894436E-5</v>
      </c>
      <c r="H185" s="27" t="str">
        <f>VLOOKUP(A185,TableS10!A:J,8,FALSE)</f>
        <v>-</v>
      </c>
      <c r="I185" s="24" t="s">
        <v>2236</v>
      </c>
      <c r="J185" s="34" t="str">
        <f>VLOOKUP(A185,TableS10!A:J,10,FALSE)</f>
        <v>-</v>
      </c>
    </row>
    <row r="186" spans="1:10" ht="15.75" customHeight="1" x14ac:dyDescent="0.2">
      <c r="A186" s="24" t="s">
        <v>2237</v>
      </c>
      <c r="B186" s="24">
        <v>107.384163290845</v>
      </c>
      <c r="C186" s="24">
        <v>-2.3036160182852501</v>
      </c>
      <c r="D186" s="24">
        <v>0.41482266216070202</v>
      </c>
      <c r="E186" s="24">
        <v>-5.5532549892195302</v>
      </c>
      <c r="F186" s="26">
        <v>2.8039858518002102E-8</v>
      </c>
      <c r="G186" s="26">
        <v>2.0368702259671502E-5</v>
      </c>
      <c r="H186" s="27" t="str">
        <f>VLOOKUP(A186,TableS10!A:J,8,FALSE)</f>
        <v>-</v>
      </c>
      <c r="I186" s="24" t="s">
        <v>5187</v>
      </c>
      <c r="J186" s="34" t="str">
        <f>VLOOKUP(A186,TableS10!A:J,10,FALSE)</f>
        <v>-</v>
      </c>
    </row>
    <row r="187" spans="1:10" ht="15.75" customHeight="1" x14ac:dyDescent="0.2">
      <c r="A187" s="24" t="s">
        <v>2238</v>
      </c>
      <c r="B187" s="24">
        <v>16.758870458182699</v>
      </c>
      <c r="C187" s="24">
        <v>-7.6071194990667097</v>
      </c>
      <c r="D187" s="24">
        <v>1.37071087430955</v>
      </c>
      <c r="E187" s="24">
        <v>-5.5497622741911403</v>
      </c>
      <c r="F187" s="26">
        <v>2.8605830726902401E-8</v>
      </c>
      <c r="G187" s="26">
        <v>2.0707431945987299E-5</v>
      </c>
      <c r="H187" s="27" t="str">
        <f>VLOOKUP(A187,TableS10!A:J,8,FALSE)</f>
        <v>-</v>
      </c>
      <c r="I187" s="24" t="s">
        <v>1925</v>
      </c>
      <c r="J187" s="34" t="str">
        <f>VLOOKUP(A187,TableS10!A:J,10,FALSE)</f>
        <v>-</v>
      </c>
    </row>
    <row r="188" spans="1:10" ht="15.75" customHeight="1" x14ac:dyDescent="0.2">
      <c r="A188" s="24" t="s">
        <v>2239</v>
      </c>
      <c r="B188" s="24">
        <v>26.1050161864027</v>
      </c>
      <c r="C188" s="24">
        <v>-6.3997332068699304</v>
      </c>
      <c r="D188" s="24">
        <v>1.1539846140285599</v>
      </c>
      <c r="E188" s="24">
        <v>-5.5457699600763597</v>
      </c>
      <c r="F188" s="26">
        <v>2.9266339796980699E-8</v>
      </c>
      <c r="G188" s="26">
        <v>2.1112005871047E-5</v>
      </c>
      <c r="H188" s="27" t="str">
        <f>VLOOKUP(A188,TableS10!A:J,8,FALSE)</f>
        <v>-</v>
      </c>
      <c r="I188" s="24" t="s">
        <v>2240</v>
      </c>
      <c r="J188" s="34" t="str">
        <f>VLOOKUP(A188,TableS10!A:J,10,FALSE)</f>
        <v>-</v>
      </c>
    </row>
    <row r="189" spans="1:10" ht="15.75" customHeight="1" x14ac:dyDescent="0.2">
      <c r="A189" s="24" t="s">
        <v>2241</v>
      </c>
      <c r="B189" s="24">
        <v>68.573162257467104</v>
      </c>
      <c r="C189" s="24">
        <v>-7.1956351175466304</v>
      </c>
      <c r="D189" s="24">
        <v>1.30032992533139</v>
      </c>
      <c r="E189" s="24">
        <v>-5.5336995460693004</v>
      </c>
      <c r="F189" s="26">
        <v>3.1354589377773898E-8</v>
      </c>
      <c r="G189" s="26">
        <v>2.25401524940097E-5</v>
      </c>
      <c r="H189" s="27" t="str">
        <f>VLOOKUP(A189,TableS10!A:J,8,FALSE)</f>
        <v>-</v>
      </c>
      <c r="I189" s="24" t="s">
        <v>10</v>
      </c>
      <c r="J189" s="34" t="str">
        <f>VLOOKUP(A189,TableS10!A:J,10,FALSE)</f>
        <v>-</v>
      </c>
    </row>
    <row r="190" spans="1:10" ht="15.75" customHeight="1" x14ac:dyDescent="0.2">
      <c r="A190" s="24" t="s">
        <v>2242</v>
      </c>
      <c r="B190" s="24">
        <v>23.709777914847699</v>
      </c>
      <c r="C190" s="24">
        <v>-8.1098985635828509</v>
      </c>
      <c r="D190" s="24">
        <v>1.4675990048937699</v>
      </c>
      <c r="E190" s="24">
        <v>-5.5259635203758402</v>
      </c>
      <c r="F190" s="26">
        <v>3.2768221900010802E-8</v>
      </c>
      <c r="G190" s="26">
        <v>2.3314365441981601E-5</v>
      </c>
      <c r="H190" s="27" t="str">
        <f>VLOOKUP(A190,TableS10!A:J,8,FALSE)</f>
        <v>K00412</v>
      </c>
      <c r="I190" s="24" t="s">
        <v>2244</v>
      </c>
      <c r="J190" s="34" t="str">
        <f>VLOOKUP(A190,TableS10!A:J,10,FALSE)</f>
        <v>GO:0000003,GO:0001666,GO:0003674,GO:0003824,GO:0005488,GO:0005575,GO:0005622,GO:0005623,GO:0005737,GO:0005739,GO:0005740,GO:0005743,GO:0005746,GO:0005750,GO:0006091,GO:0006119,GO:0006122,GO:0006139,GO:0006163,GO:0006725,GO:0006753,GO:0006793,GO:0006796,GO:0006807,GO:0006810,GO:0006811,GO:0006812,GO:0006950,GO:0006970,GO:0006972,GO:0006979,GO:0007275,GO:0007276,GO:0007283,GO:0007584,GO:0008121,GO:0008150,GO:0008152,GO:0009055,GO:0009117,GO:0009123,GO:0009126,GO:0009141,GO:0009144,GO:0009150,GO:0009161,GO:0009167,GO:0009199,GO:0009205,GO:0009259,GO:0009266,GO:0009408,GO:0009605,GO:0009628,GO:0009636,GO:0009651,GO:0009719,GO:0009725,GO:0009987,GO:0009991,GO:0010033,GO:0010035,GO:0010038,GO:0010243,GO:0014070,GO:0015672,GO:0015980,GO:0015988,GO:0015990,GO:0016020,GO:0016021,GO:0016310,GO:0016491,GO:0016679,GO:0016681,GO:0017144,GO:0019637,GO:0019693,GO:0019866,GO:0019953,GO:0020037,GO:0022414,GO:0022900,GO:0022904,GO:0031090,GO:0031099,GO:0031100,GO:0031224,GO:0031300,GO:0031301,GO:0031304,GO:0031305,GO:0031667,GO:0031966,GO:0031967,GO:0031975,GO:0032501,GO:0032502,GO:0032504,GO:0032592,GO:0032991,GO:0033273,GO:0033590,GO:0033762,GO:0034220,GO:0034641,GO:0036293,GO:0036296,GO:0042221,GO:0042493,GO:0042538,GO:0042773,GO:0042775,GO:0043226,GO:0043227,GO:0043229,GO:0043231,GO:0043434,GO:0044237,GO:0044238,GO:0044281,GO:0044422,GO:0044424,GO:0044425,GO:0044429,GO:0044444,GO:0044446,GO:0044455,GO:0044464,GO:0044703,GO:0044877,GO:0045275,GO:0045333,GO:0045471,GO:0046034,GO:0046483,GO:0046677,GO:0046686,GO:0046688,GO:0046689,GO:0046906,GO:0048037,GO:0048038,GO:0048039,GO:0048232,GO:0048513,GO:0048609,GO:0048731,GO:0048856,GO:0050896,GO:0051179,GO:0051234,GO:0051592,GO:0051704,GO:0055085,GO:0055086,GO:0055093,GO:0055114,GO:0070069,GO:0070469,GO:0070482,GO:0071704,GO:0072521,GO:0097159,GO:0097305,GO:0098573,GO:0098655,GO:0098660,GO:0098662,GO:0098796,GO:0098798,GO:0098800,GO:0098803,GO:1901135,GO:1901360,GO:1901363,GO:1901564,GO:1901652,GO:1901698,GO:1901700,GO:1902494,GO:1902600,GO:1990204</v>
      </c>
    </row>
    <row r="191" spans="1:10" ht="15.75" customHeight="1" x14ac:dyDescent="0.2">
      <c r="A191" s="24" t="s">
        <v>2245</v>
      </c>
      <c r="B191" s="24">
        <v>3101.1403615331401</v>
      </c>
      <c r="C191" s="24">
        <v>-13.414344504207101</v>
      </c>
      <c r="D191" s="24">
        <v>2.4283343575141001</v>
      </c>
      <c r="E191" s="24">
        <v>-5.5240928674827998</v>
      </c>
      <c r="F191" s="26">
        <v>3.3119226043459401E-8</v>
      </c>
      <c r="G191" s="26">
        <v>2.3483678927934999E-5</v>
      </c>
      <c r="H191" s="27" t="str">
        <f>VLOOKUP(A191,TableS10!A:J,8,FALSE)</f>
        <v>-</v>
      </c>
      <c r="I191" s="24" t="s">
        <v>10</v>
      </c>
      <c r="J191" s="34" t="str">
        <f>VLOOKUP(A191,TableS10!A:J,10,FALSE)</f>
        <v>-</v>
      </c>
    </row>
    <row r="192" spans="1:10" ht="15.75" customHeight="1" x14ac:dyDescent="0.2">
      <c r="A192" s="24" t="s">
        <v>2246</v>
      </c>
      <c r="B192" s="24">
        <v>37.936530405978502</v>
      </c>
      <c r="C192" s="24">
        <v>-3.4491799272397499</v>
      </c>
      <c r="D192" s="24">
        <v>0.62503959346365201</v>
      </c>
      <c r="E192" s="24">
        <v>-5.51833829938061</v>
      </c>
      <c r="F192" s="26">
        <v>3.4222015808353302E-8</v>
      </c>
      <c r="G192" s="26">
        <v>2.41011156484076E-5</v>
      </c>
      <c r="H192" s="27" t="str">
        <f>VLOOKUP(A192,TableS10!A:J,8,FALSE)</f>
        <v>-</v>
      </c>
      <c r="I192" s="24" t="s">
        <v>10</v>
      </c>
      <c r="J192" s="34" t="str">
        <f>VLOOKUP(A192,TableS10!A:J,10,FALSE)</f>
        <v>-</v>
      </c>
    </row>
    <row r="193" spans="1:10" ht="15.75" customHeight="1" x14ac:dyDescent="0.2">
      <c r="A193" s="24" t="s">
        <v>2247</v>
      </c>
      <c r="B193" s="24">
        <v>14.3873659038443</v>
      </c>
      <c r="C193" s="24">
        <v>-21.553393515074699</v>
      </c>
      <c r="D193" s="24">
        <v>3.9099088760607299</v>
      </c>
      <c r="E193" s="24">
        <v>-5.5125053289707298</v>
      </c>
      <c r="F193" s="26">
        <v>3.5376147631032898E-8</v>
      </c>
      <c r="G193" s="26">
        <v>2.4746151270144299E-5</v>
      </c>
      <c r="H193" s="27" t="str">
        <f>VLOOKUP(A193,TableS10!A:J,8,FALSE)</f>
        <v>K10421</v>
      </c>
      <c r="I193" s="24" t="s">
        <v>2248</v>
      </c>
      <c r="J193" s="34" t="str">
        <f>VLOOKUP(A193,TableS10!A:J,10,FALSE)</f>
        <v>-</v>
      </c>
    </row>
    <row r="194" spans="1:10" ht="15.75" customHeight="1" x14ac:dyDescent="0.2">
      <c r="A194" s="24" t="s">
        <v>2249</v>
      </c>
      <c r="B194" s="24">
        <v>14.3873659038443</v>
      </c>
      <c r="C194" s="24">
        <v>-21.553393515074699</v>
      </c>
      <c r="D194" s="24">
        <v>3.9099088760607299</v>
      </c>
      <c r="E194" s="24">
        <v>-5.5125053289707298</v>
      </c>
      <c r="F194" s="26">
        <v>3.5376147631032898E-8</v>
      </c>
      <c r="G194" s="26">
        <v>2.4746151270144299E-5</v>
      </c>
      <c r="H194" s="27" t="str">
        <f>VLOOKUP(A194,TableS10!A:J,8,FALSE)</f>
        <v>K02901</v>
      </c>
      <c r="I194" s="24" t="s">
        <v>2251</v>
      </c>
      <c r="J194" s="34" t="str">
        <f>VLOOKUP(A194,TableS10!A:J,10,FALSE)</f>
        <v>GO:0000184,GO:0000956,GO:0002181,GO:0002262,GO:0002376,GO:0002520,GO:0003674,GO:0003735,GO:0005198,GO:0005575,GO:0005622,GO:0005623,GO:0005737,GO:0005783,GO:0005789,GO:0005791,GO:0005829,GO:0005840,GO:0006139,GO:0006364,GO:0006396,GO:0006401,GO:0006402,GO:0006412,GO:0006413,GO:0006518,GO:0006605,GO:0006612,GO:0006613,GO:0006614,GO:0006725,GO:0006807,GO:0006810,GO:0006886,GO:0007275,GO:0008104,GO:0008150,GO:0008152,GO:0009056,GO:0009057,GO:0009058,GO:0009059,GO:0009719,GO:0009725,GO:0009892,GO:0009987,GO:0010033,GO:0010467,GO:0010468,GO:0010605,GO:0010629,GO:0012505,GO:0014070,GO:0015031,GO:0015833,GO:0015934,GO:0016020,GO:0016070,GO:0016071,GO:0016072,GO:0019222,GO:0019439,GO:0019538,GO:0022613,GO:0022625,GO:0022626,GO:0030097,GO:0030099,GO:0030154,GO:0030218,GO:0030867,GO:0031090,GO:0031960,GO:0031984,GO:0032501,GO:0032502,GO:0032991,GO:0033036,GO:0033365,GO:0033993,GO:0034101,GO:0034470,GO:0034613,GO:0034641,GO:0034645,GO:0034655,GO:0034660,GO:0042175,GO:0042221,GO:0042254,GO:0042592,GO:0042886,GO:0043043,GO:0043170,GO:0043226,GO:0043227,GO:0043228,GO:0043229,GO:0043231,GO:0043232,GO:0043603,GO:0043604,GO:0044085,GO:0044237,GO:0044238,GO:0044248,GO:0044249,GO:0044260,GO:0044265,GO:0044267,GO:0044270,GO:0044271,GO:0044391,GO:0044422,GO:0044424,GO:0044425,GO:0044432,GO:0044444,GO:0044445,GO:0044446,GO:0044464,GO:0045047,GO:0045184,GO:0046483,GO:0046700,GO:0046907,GO:0048513,GO:0048519,GO:0048534,GO:0048545,GO:0048731,GO:0048856,GO:0048869,GO:0048872,GO:0050789,GO:0050896,GO:0051179,GO:0051234,GO:0051385,GO:0051641,GO:0051649,GO:0060255,GO:0065007,GO:0065008,GO:0070727,GO:0070972,GO:0071702,GO:0071704,GO:0071705,GO:0071840,GO:0072594,GO:0072599,GO:0072657,GO:0090150,GO:0090304,GO:0097305,GO:0098552,GO:0098554,GO:0098556,GO:0098562,GO:0098588,GO:0098827,GO:1901360,GO:1901361,GO:1901564,GO:1901566,GO:1901575,GO:1901576,GO:1901654,GO:1901700,GO:1904044,GO:1990904</v>
      </c>
    </row>
    <row r="195" spans="1:10" ht="15.75" customHeight="1" x14ac:dyDescent="0.2">
      <c r="A195" s="24" t="s">
        <v>2252</v>
      </c>
      <c r="B195" s="24">
        <v>14.1902786996821</v>
      </c>
      <c r="C195" s="24">
        <v>-21.510415575918699</v>
      </c>
      <c r="D195" s="24">
        <v>3.9099526330561201</v>
      </c>
      <c r="E195" s="24">
        <v>-5.5014517040595399</v>
      </c>
      <c r="F195" s="26">
        <v>3.7667679954786997E-8</v>
      </c>
      <c r="G195" s="26">
        <v>2.5912869260552101E-5</v>
      </c>
      <c r="H195" s="27" t="str">
        <f>VLOOKUP(A195,TableS10!A:J,8,FALSE)</f>
        <v>-</v>
      </c>
      <c r="I195" s="24" t="s">
        <v>2253</v>
      </c>
      <c r="J195" s="34" t="str">
        <f>VLOOKUP(A195,TableS10!A:J,10,FALSE)</f>
        <v>-</v>
      </c>
    </row>
    <row r="196" spans="1:10" ht="15.75" customHeight="1" x14ac:dyDescent="0.2">
      <c r="A196" s="24" t="s">
        <v>2254</v>
      </c>
      <c r="B196" s="24">
        <v>14.1902786996821</v>
      </c>
      <c r="C196" s="24">
        <v>-21.510415575918699</v>
      </c>
      <c r="D196" s="24">
        <v>3.9099526330561201</v>
      </c>
      <c r="E196" s="24">
        <v>-5.5014517040595399</v>
      </c>
      <c r="F196" s="26">
        <v>3.7667679954786997E-8</v>
      </c>
      <c r="G196" s="26">
        <v>2.5912869260552101E-5</v>
      </c>
      <c r="H196" s="27" t="str">
        <f>VLOOKUP(A196,TableS10!A:J,8,FALSE)</f>
        <v>K02997</v>
      </c>
      <c r="I196" s="24" t="s">
        <v>2256</v>
      </c>
      <c r="J196" s="34" t="str">
        <f>VLOOKUP(A196,TableS10!A:J,10,FALSE)</f>
        <v>GO:0003674,GO:0003676,GO:0003723,GO:0003735,GO:0005198,GO:0005488,GO:0005575,GO:0005622,GO:0005623,GO:0005737,GO:0005829,GO:0005840,GO:0006417,GO:0006450,GO:0008150,GO:0009889,GO:0009891,GO:0009893,GO:0010468,GO:0010556,GO:0010557,GO:0010604,GO:0010608,GO:0010628,GO:0015935,GO:0019222,GO:0019843,GO:0022626,GO:0022627,GO:0031323,GO:0031325,GO:0031326,GO:0031328,GO:0032268,GO:0032270,GO:0032991,GO:0034248,GO:0034250,GO:0043226,GO:0043228,GO:0043229,GO:0043232,GO:0044391,GO:0044422,GO:0044424,GO:0044444,GO:0044445,GO:0044446,GO:0044464,GO:0045727,GO:0045903,GO:0048518,GO:0048522,GO:0050789,GO:0050794,GO:0051171,GO:0051173,GO:0051246,GO:0051247,GO:0060255,GO:0065007,GO:0065008,GO:0080090,GO:0097159,GO:1901363,GO:1990904,GO:1990932,GO:2000112</v>
      </c>
    </row>
    <row r="197" spans="1:10" ht="15.75" customHeight="1" x14ac:dyDescent="0.2">
      <c r="A197" s="24" t="s">
        <v>2257</v>
      </c>
      <c r="B197" s="24">
        <v>14.1902786996821</v>
      </c>
      <c r="C197" s="24">
        <v>-21.510415575918699</v>
      </c>
      <c r="D197" s="24">
        <v>3.9099526330561201</v>
      </c>
      <c r="E197" s="24">
        <v>-5.5014517040595399</v>
      </c>
      <c r="F197" s="26">
        <v>3.7667679954786997E-8</v>
      </c>
      <c r="G197" s="26">
        <v>2.5912869260552101E-5</v>
      </c>
      <c r="H197" s="27" t="str">
        <f>VLOOKUP(A197,TableS10!A:J,8,FALSE)</f>
        <v>-</v>
      </c>
      <c r="I197" s="24" t="s">
        <v>10</v>
      </c>
      <c r="J197" s="34" t="str">
        <f>VLOOKUP(A197,TableS10!A:J,10,FALSE)</f>
        <v>-</v>
      </c>
    </row>
    <row r="198" spans="1:10" ht="15.75" customHeight="1" x14ac:dyDescent="0.2">
      <c r="A198" s="24" t="s">
        <v>2258</v>
      </c>
      <c r="B198" s="24">
        <v>1872.6336054457199</v>
      </c>
      <c r="C198" s="24">
        <v>-3.96127840446864</v>
      </c>
      <c r="D198" s="24">
        <v>0.72165669635055796</v>
      </c>
      <c r="E198" s="24">
        <v>-5.4891452189122099</v>
      </c>
      <c r="F198" s="26">
        <v>4.0388347390125401E-8</v>
      </c>
      <c r="G198" s="26">
        <v>2.7601715461785901E-5</v>
      </c>
      <c r="H198" s="27" t="str">
        <f>VLOOKUP(A198,TableS10!A:J,8,FALSE)</f>
        <v>K17513</v>
      </c>
      <c r="I198" s="24" t="s">
        <v>2259</v>
      </c>
      <c r="J198" s="34" t="str">
        <f>VLOOKUP(A198,TableS10!A:J,10,FALSE)</f>
        <v>-</v>
      </c>
    </row>
    <row r="199" spans="1:10" ht="15.75" customHeight="1" x14ac:dyDescent="0.2">
      <c r="A199" s="24" t="s">
        <v>2260</v>
      </c>
      <c r="B199" s="24">
        <v>15.692973126978501</v>
      </c>
      <c r="C199" s="24">
        <v>-7.5115987832662396</v>
      </c>
      <c r="D199" s="24">
        <v>1.3694586482744799</v>
      </c>
      <c r="E199" s="24">
        <v>-5.4850862366168398</v>
      </c>
      <c r="F199" s="26">
        <v>4.1326776424756799E-8</v>
      </c>
      <c r="G199" s="26">
        <v>2.8058450205561299E-5</v>
      </c>
      <c r="H199" s="27" t="str">
        <f>VLOOKUP(A199,TableS10!A:J,8,FALSE)</f>
        <v>K07375</v>
      </c>
      <c r="I199" s="24" t="s">
        <v>2261</v>
      </c>
      <c r="J199" s="34" t="str">
        <f>VLOOKUP(A199,TableS10!A:J,10,FALSE)</f>
        <v>-</v>
      </c>
    </row>
    <row r="200" spans="1:10" ht="15.75" customHeight="1" x14ac:dyDescent="0.2">
      <c r="A200" s="24" t="s">
        <v>2262</v>
      </c>
      <c r="B200" s="24">
        <v>18.7505089878814</v>
      </c>
      <c r="C200" s="24">
        <v>-7.77434175563626</v>
      </c>
      <c r="D200" s="24">
        <v>1.4185501402348499</v>
      </c>
      <c r="E200" s="24">
        <v>-5.4804842882389604</v>
      </c>
      <c r="F200" s="26">
        <v>4.2416318513829598E-8</v>
      </c>
      <c r="G200" s="26">
        <v>2.8611183990776602E-5</v>
      </c>
      <c r="H200" s="27" t="str">
        <f>VLOOKUP(A200,TableS10!A:J,8,FALSE)</f>
        <v>-</v>
      </c>
      <c r="I200" s="24" t="s">
        <v>2263</v>
      </c>
      <c r="J200" s="34" t="str">
        <f>VLOOKUP(A200,TableS10!A:J,10,FALSE)</f>
        <v>-</v>
      </c>
    </row>
    <row r="201" spans="1:10" ht="15.75" customHeight="1" x14ac:dyDescent="0.2">
      <c r="A201" s="24" t="s">
        <v>2264</v>
      </c>
      <c r="B201" s="24">
        <v>311.32118400994</v>
      </c>
      <c r="C201" s="24">
        <v>-3.4872341651256802</v>
      </c>
      <c r="D201" s="24">
        <v>0.63818013971217002</v>
      </c>
      <c r="E201" s="24">
        <v>-5.4643414110292996</v>
      </c>
      <c r="F201" s="26">
        <v>4.6462854512263501E-8</v>
      </c>
      <c r="G201" s="26">
        <v>3.1138505813063898E-5</v>
      </c>
      <c r="H201" s="27" t="str">
        <f>VLOOKUP(A201,TableS10!A:J,8,FALSE)</f>
        <v>-</v>
      </c>
      <c r="I201" s="24" t="s">
        <v>5188</v>
      </c>
      <c r="J201" s="34" t="str">
        <f>VLOOKUP(A201,TableS10!A:J,10,FALSE)</f>
        <v>-</v>
      </c>
    </row>
    <row r="202" spans="1:10" ht="15.75" customHeight="1" x14ac:dyDescent="0.2">
      <c r="A202" s="24" t="s">
        <v>2265</v>
      </c>
      <c r="B202" s="24">
        <v>88.820949825325897</v>
      </c>
      <c r="C202" s="24">
        <v>-2.7100240188315698</v>
      </c>
      <c r="D202" s="24">
        <v>0.496389083692371</v>
      </c>
      <c r="E202" s="24">
        <v>-5.4594754555703702</v>
      </c>
      <c r="F202" s="26">
        <v>4.7754334546501203E-8</v>
      </c>
      <c r="G202" s="26">
        <v>3.1901123884382297E-5</v>
      </c>
      <c r="H202" s="27" t="str">
        <f>VLOOKUP(A202,TableS10!A:J,8,FALSE)</f>
        <v>K10104</v>
      </c>
      <c r="I202" s="24" t="s">
        <v>2266</v>
      </c>
      <c r="J202" s="34" t="str">
        <f>VLOOKUP(A202,TableS10!A:J,10,FALSE)</f>
        <v>GO:0003674,GO:0005488,GO:0005575,GO:0008061,GO:0008144,GO:0016020,GO:0097367</v>
      </c>
    </row>
    <row r="203" spans="1:10" ht="15.75" customHeight="1" x14ac:dyDescent="0.2">
      <c r="A203" s="24" t="s">
        <v>2267</v>
      </c>
      <c r="B203" s="24">
        <v>646.99103666644203</v>
      </c>
      <c r="C203" s="24">
        <v>-3.4942183231104602</v>
      </c>
      <c r="D203" s="24">
        <v>0.64080114072505301</v>
      </c>
      <c r="E203" s="24">
        <v>-5.4528902978493798</v>
      </c>
      <c r="F203" s="26">
        <v>4.9557644216145198E-8</v>
      </c>
      <c r="G203" s="26">
        <v>3.2789483859138398E-5</v>
      </c>
      <c r="H203" s="27" t="str">
        <f>VLOOKUP(A203,TableS10!A:J,8,FALSE)</f>
        <v>-</v>
      </c>
      <c r="I203" s="24" t="s">
        <v>2268</v>
      </c>
      <c r="J203" s="34" t="str">
        <f>VLOOKUP(A203,TableS10!A:J,10,FALSE)</f>
        <v>-</v>
      </c>
    </row>
    <row r="204" spans="1:10" ht="15.75" customHeight="1" x14ac:dyDescent="0.2">
      <c r="A204" s="24" t="s">
        <v>2269</v>
      </c>
      <c r="B204" s="24">
        <v>21.1267219087567</v>
      </c>
      <c r="C204" s="24">
        <v>-4.44912167056793</v>
      </c>
      <c r="D204" s="24">
        <v>0.816043850938582</v>
      </c>
      <c r="E204" s="24">
        <v>-5.45206200065196</v>
      </c>
      <c r="F204" s="26">
        <v>4.9789089611286898E-8</v>
      </c>
      <c r="G204" s="26">
        <v>3.2838038416769901E-5</v>
      </c>
      <c r="H204" s="27" t="str">
        <f>VLOOKUP(A204,TableS10!A:J,8,FALSE)</f>
        <v>-</v>
      </c>
      <c r="I204" s="24" t="s">
        <v>10</v>
      </c>
      <c r="J204" s="34" t="str">
        <f>VLOOKUP(A204,TableS10!A:J,10,FALSE)</f>
        <v>-</v>
      </c>
    </row>
    <row r="205" spans="1:10" ht="15.75" customHeight="1" x14ac:dyDescent="0.2">
      <c r="A205" s="24" t="s">
        <v>2270</v>
      </c>
      <c r="B205" s="24">
        <v>16.871757071451601</v>
      </c>
      <c r="C205" s="24">
        <v>-7.6139055966920104</v>
      </c>
      <c r="D205" s="24">
        <v>1.39683286642567</v>
      </c>
      <c r="E205" s="24">
        <v>-5.4508350853564203</v>
      </c>
      <c r="F205" s="26">
        <v>5.0133844537777103E-8</v>
      </c>
      <c r="G205" s="26">
        <v>3.2960781663893703E-5</v>
      </c>
      <c r="H205" s="27" t="str">
        <f>VLOOKUP(A205,TableS10!A:J,8,FALSE)</f>
        <v>-</v>
      </c>
      <c r="I205" s="24" t="s">
        <v>10</v>
      </c>
      <c r="J205" s="34" t="str">
        <f>VLOOKUP(A205,TableS10!A:J,10,FALSE)</f>
        <v>-</v>
      </c>
    </row>
    <row r="206" spans="1:10" ht="15.75" customHeight="1" x14ac:dyDescent="0.2">
      <c r="A206" s="24" t="s">
        <v>2271</v>
      </c>
      <c r="B206" s="24">
        <v>114.10138128196699</v>
      </c>
      <c r="C206" s="24">
        <v>-8.4984851670933708</v>
      </c>
      <c r="D206" s="24">
        <v>1.5638482502825</v>
      </c>
      <c r="E206" s="24">
        <v>-5.4343413215177199</v>
      </c>
      <c r="F206" s="26">
        <v>5.4999214686545102E-8</v>
      </c>
      <c r="G206" s="26">
        <v>3.5819488546764503E-5</v>
      </c>
      <c r="H206" s="27" t="str">
        <f>VLOOKUP(A206,TableS10!A:J,8,FALSE)</f>
        <v>-</v>
      </c>
      <c r="I206" s="24" t="s">
        <v>2272</v>
      </c>
      <c r="J206" s="34" t="str">
        <f>VLOOKUP(A206,TableS10!A:J,10,FALSE)</f>
        <v>-</v>
      </c>
    </row>
    <row r="207" spans="1:10" ht="15.75" customHeight="1" x14ac:dyDescent="0.2">
      <c r="A207" s="24" t="s">
        <v>2273</v>
      </c>
      <c r="B207" s="24">
        <v>44.999072659415802</v>
      </c>
      <c r="C207" s="24">
        <v>-5.4610099300846704</v>
      </c>
      <c r="D207" s="24">
        <v>1.00572494287322</v>
      </c>
      <c r="E207" s="24">
        <v>-5.4299239258035197</v>
      </c>
      <c r="F207" s="26">
        <v>5.63780791127819E-8</v>
      </c>
      <c r="G207" s="26">
        <v>3.6552413390021797E-5</v>
      </c>
      <c r="H207" s="27" t="str">
        <f>VLOOKUP(A207,TableS10!A:J,8,FALSE)</f>
        <v>-</v>
      </c>
      <c r="I207" s="24" t="s">
        <v>10</v>
      </c>
      <c r="J207" s="34" t="str">
        <f>VLOOKUP(A207,TableS10!A:J,10,FALSE)</f>
        <v>-</v>
      </c>
    </row>
    <row r="208" spans="1:10" ht="15.75" customHeight="1" x14ac:dyDescent="0.2">
      <c r="A208" s="24" t="s">
        <v>2274</v>
      </c>
      <c r="B208" s="24">
        <v>92.501473631290494</v>
      </c>
      <c r="C208" s="24">
        <v>-5.27634818253083</v>
      </c>
      <c r="D208" s="24">
        <v>0.97190105864234699</v>
      </c>
      <c r="E208" s="24">
        <v>-5.4288943669856504</v>
      </c>
      <c r="F208" s="26">
        <v>5.6704231357578599E-8</v>
      </c>
      <c r="G208" s="26">
        <v>3.6585851832065601E-5</v>
      </c>
      <c r="H208" s="27" t="str">
        <f>VLOOKUP(A208,TableS10!A:J,8,FALSE)</f>
        <v>-</v>
      </c>
      <c r="I208" s="24" t="s">
        <v>2275</v>
      </c>
      <c r="J208" s="34" t="str">
        <f>VLOOKUP(A208,TableS10!A:J,10,FALSE)</f>
        <v>-</v>
      </c>
    </row>
    <row r="209" spans="1:10" ht="15.75" customHeight="1" x14ac:dyDescent="0.2">
      <c r="A209" s="24" t="s">
        <v>2276</v>
      </c>
      <c r="B209" s="24">
        <v>14.9338898160157</v>
      </c>
      <c r="C209" s="24">
        <v>-7.43647501073404</v>
      </c>
      <c r="D209" s="24">
        <v>1.37036901070132</v>
      </c>
      <c r="E209" s="24">
        <v>-5.4266222839702296</v>
      </c>
      <c r="F209" s="26">
        <v>5.7430483621099102E-8</v>
      </c>
      <c r="G209" s="26">
        <v>3.6825702330818097E-5</v>
      </c>
      <c r="H209" s="27" t="str">
        <f>VLOOKUP(A209,TableS10!A:J,8,FALSE)</f>
        <v>-</v>
      </c>
      <c r="I209" s="24" t="s">
        <v>10</v>
      </c>
      <c r="J209" s="34" t="str">
        <f>VLOOKUP(A209,TableS10!A:J,10,FALSE)</f>
        <v>-</v>
      </c>
    </row>
    <row r="210" spans="1:10" ht="15.75" customHeight="1" x14ac:dyDescent="0.2">
      <c r="A210" s="24" t="s">
        <v>2277</v>
      </c>
      <c r="B210" s="24">
        <v>682.61181523526602</v>
      </c>
      <c r="C210" s="24">
        <v>-3.3875143625922099</v>
      </c>
      <c r="D210" s="24">
        <v>0.62441134133041598</v>
      </c>
      <c r="E210" s="24">
        <v>-5.4251326623480702</v>
      </c>
      <c r="F210" s="26">
        <v>5.7911511909382899E-8</v>
      </c>
      <c r="G210" s="26">
        <v>3.7019889440756099E-5</v>
      </c>
      <c r="H210" s="27" t="str">
        <f>VLOOKUP(A210,TableS10!A:J,8,FALSE)</f>
        <v>-</v>
      </c>
      <c r="I210" s="24" t="s">
        <v>2207</v>
      </c>
      <c r="J210" s="34" t="str">
        <f>VLOOKUP(A210,TableS10!A:J,10,FALSE)</f>
        <v>-</v>
      </c>
    </row>
    <row r="211" spans="1:10" ht="15.75" customHeight="1" x14ac:dyDescent="0.2">
      <c r="A211" s="24" t="s">
        <v>2278</v>
      </c>
      <c r="B211" s="24">
        <v>28.083456085390399</v>
      </c>
      <c r="C211" s="24">
        <v>-8.3499597454332601</v>
      </c>
      <c r="D211" s="24">
        <v>1.5447794322717201</v>
      </c>
      <c r="E211" s="24">
        <v>-5.4052763591977602</v>
      </c>
      <c r="F211" s="26">
        <v>6.4708543707039402E-8</v>
      </c>
      <c r="G211" s="26">
        <v>4.0986549409755101E-5</v>
      </c>
      <c r="H211" s="27" t="str">
        <f>VLOOKUP(A211,TableS10!A:J,8,FALSE)</f>
        <v>-</v>
      </c>
      <c r="I211" s="24" t="s">
        <v>2279</v>
      </c>
      <c r="J211" s="34" t="str">
        <f>VLOOKUP(A211,TableS10!A:J,10,FALSE)</f>
        <v>-</v>
      </c>
    </row>
    <row r="212" spans="1:10" ht="15.75" customHeight="1" x14ac:dyDescent="0.2">
      <c r="A212" s="24" t="s">
        <v>2280</v>
      </c>
      <c r="B212" s="24">
        <v>379.747630666448</v>
      </c>
      <c r="C212" s="24">
        <v>-2.91652146023144</v>
      </c>
      <c r="D212" s="24">
        <v>0.53972756105215702</v>
      </c>
      <c r="E212" s="24">
        <v>-5.4036919192081001</v>
      </c>
      <c r="F212" s="26">
        <v>6.5283034491152895E-8</v>
      </c>
      <c r="G212" s="26">
        <v>4.1099824587102999E-5</v>
      </c>
      <c r="H212" s="27" t="str">
        <f>VLOOKUP(A212,TableS10!A:J,8,FALSE)</f>
        <v>-</v>
      </c>
      <c r="I212" s="24" t="s">
        <v>2281</v>
      </c>
      <c r="J212" s="34" t="str">
        <f>VLOOKUP(A212,TableS10!A:J,10,FALSE)</f>
        <v>-</v>
      </c>
    </row>
    <row r="213" spans="1:10" ht="15.75" customHeight="1" x14ac:dyDescent="0.2">
      <c r="A213" s="24" t="s">
        <v>2282</v>
      </c>
      <c r="B213" s="24">
        <v>30.817562180355399</v>
      </c>
      <c r="C213" s="24">
        <v>-7.5135895492788496</v>
      </c>
      <c r="D213" s="24">
        <v>1.3932776288705</v>
      </c>
      <c r="E213" s="24">
        <v>-5.39274398266907</v>
      </c>
      <c r="F213" s="26">
        <v>6.9389785506416398E-8</v>
      </c>
      <c r="G213" s="26">
        <v>4.31467819865092E-5</v>
      </c>
      <c r="H213" s="27" t="str">
        <f>VLOOKUP(A213,TableS10!A:J,8,FALSE)</f>
        <v>K05111</v>
      </c>
      <c r="I213" s="24" t="s">
        <v>2283</v>
      </c>
      <c r="J213" s="34" t="str">
        <f>VLOOKUP(A213,TableS10!A:J,10,FALSE)</f>
        <v>-</v>
      </c>
    </row>
    <row r="214" spans="1:10" ht="15.75" customHeight="1" x14ac:dyDescent="0.2">
      <c r="A214" s="24" t="s">
        <v>2284</v>
      </c>
      <c r="B214" s="24">
        <v>14.068818969474099</v>
      </c>
      <c r="C214" s="24">
        <v>-7.3502264897372003</v>
      </c>
      <c r="D214" s="24">
        <v>1.36310411866523</v>
      </c>
      <c r="E214" s="24">
        <v>-5.3922707657391999</v>
      </c>
      <c r="F214" s="26">
        <v>6.9572825648744596E-8</v>
      </c>
      <c r="G214" s="26">
        <v>4.31467819865092E-5</v>
      </c>
      <c r="H214" s="27" t="str">
        <f>VLOOKUP(A214,TableS10!A:J,8,FALSE)</f>
        <v>K13239,K17964</v>
      </c>
      <c r="I214" s="24" t="s">
        <v>2285</v>
      </c>
      <c r="J214" s="34" t="str">
        <f>VLOOKUP(A214,TableS10!A:J,10,FALSE)</f>
        <v>GO:0003674,GO:0003824,GO:0004165,GO:0005575,GO:0005622,GO:0005623,GO:0005737,GO:0005777,GO:0006950,GO:0006952,GO:0008150,GO:0009605,GO:0009607,GO:0009617,GO:0016853,GO:0016860,GO:0016863,GO:0042579,GO:0042742,GO:0043207,GO:0043226,GO:0043227,GO:0043229,GO:0043231,GO:0044424,GO:0044444,GO:0044464,GO:0050829,GO:0050896,GO:0051704,GO:0051707,GO:0098542</v>
      </c>
    </row>
    <row r="215" spans="1:10" ht="15.75" customHeight="1" x14ac:dyDescent="0.2">
      <c r="A215" s="24" t="s">
        <v>2286</v>
      </c>
      <c r="B215" s="24">
        <v>111.67047643440399</v>
      </c>
      <c r="C215" s="24">
        <v>-2.6285309899598102</v>
      </c>
      <c r="D215" s="24">
        <v>0.48772174251629102</v>
      </c>
      <c r="E215" s="24">
        <v>-5.3894070344260196</v>
      </c>
      <c r="F215" s="26">
        <v>7.0690535929072695E-8</v>
      </c>
      <c r="G215" s="26">
        <v>4.3528290415146298E-5</v>
      </c>
      <c r="H215" s="27" t="str">
        <f>VLOOKUP(A215,TableS10!A:J,8,FALSE)</f>
        <v>-</v>
      </c>
      <c r="I215" s="24" t="s">
        <v>10</v>
      </c>
      <c r="J215" s="34" t="str">
        <f>VLOOKUP(A215,TableS10!A:J,10,FALSE)</f>
        <v>-</v>
      </c>
    </row>
    <row r="216" spans="1:10" ht="15.75" customHeight="1" x14ac:dyDescent="0.2">
      <c r="A216" s="24" t="s">
        <v>2287</v>
      </c>
      <c r="B216" s="24">
        <v>23.982036980278899</v>
      </c>
      <c r="C216" s="24">
        <v>-8.1186563572990398</v>
      </c>
      <c r="D216" s="24">
        <v>1.50649942248715</v>
      </c>
      <c r="E216" s="24">
        <v>-5.3890869363199503</v>
      </c>
      <c r="F216" s="26">
        <v>7.0816545179534902E-8</v>
      </c>
      <c r="G216" s="26">
        <v>4.3528290415146298E-5</v>
      </c>
      <c r="H216" s="27" t="str">
        <f>VLOOKUP(A216,TableS10!A:J,8,FALSE)</f>
        <v>-</v>
      </c>
      <c r="I216" s="24" t="s">
        <v>2288</v>
      </c>
      <c r="J216" s="34" t="str">
        <f>VLOOKUP(A216,TableS10!A:J,10,FALSE)</f>
        <v>-</v>
      </c>
    </row>
    <row r="217" spans="1:10" ht="15.75" customHeight="1" x14ac:dyDescent="0.2">
      <c r="A217" s="24" t="s">
        <v>2289</v>
      </c>
      <c r="B217" s="24">
        <v>25.562221866018</v>
      </c>
      <c r="C217" s="24">
        <v>-4.6961746019563</v>
      </c>
      <c r="D217" s="24">
        <v>0.87507862931247704</v>
      </c>
      <c r="E217" s="24">
        <v>-5.3665744364548598</v>
      </c>
      <c r="F217" s="26">
        <v>8.0246091581388898E-8</v>
      </c>
      <c r="G217" s="26">
        <v>4.87473888964416E-5</v>
      </c>
      <c r="H217" s="27" t="str">
        <f>VLOOKUP(A217,TableS10!A:J,8,FALSE)</f>
        <v>-</v>
      </c>
      <c r="I217" s="24" t="s">
        <v>10</v>
      </c>
      <c r="J217" s="34" t="str">
        <f>VLOOKUP(A217,TableS10!A:J,10,FALSE)</f>
        <v>-</v>
      </c>
    </row>
    <row r="218" spans="1:10" ht="15.75" customHeight="1" x14ac:dyDescent="0.2">
      <c r="A218" s="24" t="s">
        <v>2290</v>
      </c>
      <c r="B218" s="24">
        <v>91.698594515939106</v>
      </c>
      <c r="C218" s="24">
        <v>-2.4169199670868302</v>
      </c>
      <c r="D218" s="24">
        <v>0.45156322449089298</v>
      </c>
      <c r="E218" s="24">
        <v>-5.35234012869791</v>
      </c>
      <c r="F218" s="26">
        <v>8.6824002154460803E-8</v>
      </c>
      <c r="G218" s="26">
        <v>5.2589525923038403E-5</v>
      </c>
      <c r="H218" s="27" t="str">
        <f>VLOOKUP(A218,TableS10!A:J,8,FALSE)</f>
        <v>-</v>
      </c>
      <c r="I218" s="24" t="s">
        <v>2291</v>
      </c>
      <c r="J218" s="34" t="str">
        <f>VLOOKUP(A218,TableS10!A:J,10,FALSE)</f>
        <v>-</v>
      </c>
    </row>
    <row r="219" spans="1:10" ht="15.75" customHeight="1" x14ac:dyDescent="0.2">
      <c r="A219" s="24" t="s">
        <v>2292</v>
      </c>
      <c r="B219" s="24">
        <v>57.968420924354497</v>
      </c>
      <c r="C219" s="24">
        <v>-5.1614626364012004</v>
      </c>
      <c r="D219" s="24">
        <v>0.96562994133385405</v>
      </c>
      <c r="E219" s="24">
        <v>-5.34517667220583</v>
      </c>
      <c r="F219" s="26">
        <v>9.0328904428141998E-8</v>
      </c>
      <c r="G219" s="26">
        <v>5.4395280777892903E-5</v>
      </c>
      <c r="H219" s="27" t="str">
        <f>VLOOKUP(A219,TableS10!A:J,8,FALSE)</f>
        <v>K12667</v>
      </c>
      <c r="I219" s="24" t="s">
        <v>2294</v>
      </c>
      <c r="J219" s="34" t="str">
        <f>VLOOKUP(A219,TableS10!A:J,10,FALSE)</f>
        <v>GO:0000421,GO:0002252,GO:0002376,GO:0003674,GO:0005488,GO:0005575,GO:0005622,GO:0005623,GO:0005737,GO:0005773,GO:0005774,GO:0005776,GO:0005783,GO:0005789,GO:0005791,GO:0006464,GO:0006486,GO:0006487,GO:0006807,GO:0006996,GO:0007029,GO:0007568,GO:0008150,GO:0008152,GO:0008250,GO:0009058,GO:0009059,GO:0009100,GO:0009101,GO:0009987,GO:0010256,GO:0012505,GO:0016020,GO:0016043,GO:0018193,GO:0018196,GO:0018279,GO:0019538,GO:0031090,GO:0031984,GO:0032502,GO:0032991,GO:0034645,GO:0035010,GO:0036211,GO:0042175,GO:0042221,GO:0042493,GO:0043021,GO:0043022,GO:0043170,GO:0043226,GO:0043227,GO:0043229,GO:0043231,GO:0043412,GO:0043413,GO:0044237,GO:0044238,GO:0044249,GO:0044260,GO:0044267,GO:0044422,GO:0044424,GO:0044425,GO:0044432,GO:0044437,GO:0044444,GO:0044446,GO:0044464,GO:0044877,GO:0050789,GO:0050794,GO:0050896,GO:0051302,GO:0065007,GO:0070085,GO:0071704,GO:0071840,GO:0098588,GO:0098796,GO:0098805,GO:0098827,GO:1901135,GO:1901137,GO:1901564,GO:1901566,GO:1901576,GO:1902494,GO:1990234</v>
      </c>
    </row>
    <row r="220" spans="1:10" ht="15.75" customHeight="1" x14ac:dyDescent="0.2">
      <c r="A220" s="24" t="s">
        <v>2295</v>
      </c>
      <c r="B220" s="24">
        <v>13.223028853067801</v>
      </c>
      <c r="C220" s="24">
        <v>-7.2643176452489104</v>
      </c>
      <c r="D220" s="24">
        <v>1.3592140750889501</v>
      </c>
      <c r="E220" s="24">
        <v>-5.3444985439644803</v>
      </c>
      <c r="F220" s="26">
        <v>9.0667704990191296E-8</v>
      </c>
      <c r="G220" s="26">
        <v>5.4441502074977401E-5</v>
      </c>
      <c r="H220" s="27" t="str">
        <f>VLOOKUP(A220,TableS10!A:J,8,FALSE)</f>
        <v>K21248</v>
      </c>
      <c r="I220" s="24" t="s">
        <v>2297</v>
      </c>
      <c r="J220" s="34" t="str">
        <f>VLOOKUP(A220,TableS10!A:J,10,FALSE)</f>
        <v>GO:0000003,GO:0000407,GO:0000421,GO:0002790,GO:0005575,GO:0005622,GO:0005623,GO:0005634,GO:0005730,GO:0005737,GO:0005773,GO:0005774,GO:0005776,GO:0005783,GO:0006810,GO:0006887,GO:0006914,GO:0006996,GO:0007029,GO:0007030,GO:0007155,GO:0007275,GO:0007565,GO:0007566,GO:0008104,GO:0008150,GO:0008152,GO:0009056,GO:0009306,GO:0009892,GO:0009894,GO:0009895,GO:0009987,GO:0010256,GO:0010506,GO:0010507,GO:0010639,GO:0012505,GO:0015031,GO:0015833,GO:0016020,GO:0016043,GO:0016192,GO:0016236,GO:0016241,GO:0016242,GO:0019222,GO:0022414,GO:0022607,GO:0022610,GO:0031090,GO:0031323,GO:0031324,GO:0031329,GO:0031330,GO:0031974,GO:0031981,GO:0032501,GO:0032502,GO:0032940,GO:0033036,GO:0033043,GO:0034329,GO:0034330,GO:0042886,GO:0043226,GO:0043227,GO:0043228,GO:0043229,GO:0043231,GO:0043232,GO:0043233,GO:0044085,GO:0044087,GO:0044088,GO:0044237,GO:0044248,GO:0044422,GO:0044424,GO:0044428,GO:0044437,GO:0044444,GO:0044446,GO:0044464,GO:0044703,GO:0044706,GO:0045184,GO:0046903,GO:0048519,GO:0048523,GO:0048856,GO:0050789,GO:0050794,GO:0051128,GO:0051129,GO:0051179,GO:0051234,GO:0051704,GO:0061919,GO:0065007,GO:0070013,GO:0071702,GO:0071705,GO:0071840,GO:0098588,GO:0098609,GO:0098805,GO:1902115,GO:1902116,GO:1902902,GO:2000785</v>
      </c>
    </row>
    <row r="221" spans="1:10" ht="15.75" customHeight="1" x14ac:dyDescent="0.2">
      <c r="A221" s="24" t="s">
        <v>2298</v>
      </c>
      <c r="B221" s="24">
        <v>111.26040744917501</v>
      </c>
      <c r="C221" s="24">
        <v>-2.5528315067986198</v>
      </c>
      <c r="D221" s="24">
        <v>0.47784061347582002</v>
      </c>
      <c r="E221" s="24">
        <v>-5.3424330933892099</v>
      </c>
      <c r="F221" s="26">
        <v>9.1707224944376495E-8</v>
      </c>
      <c r="G221" s="26">
        <v>5.4906992004449199E-5</v>
      </c>
      <c r="H221" s="27" t="str">
        <f>VLOOKUP(A221,TableS10!A:J,8,FALSE)</f>
        <v>K00799</v>
      </c>
      <c r="I221" s="24" t="s">
        <v>2300</v>
      </c>
      <c r="J221" s="34" t="str">
        <f>VLOOKUP(A221,TableS10!A:J,10,FALSE)</f>
        <v>GO:0000003,GO:0000323,GO:0001775,GO:0002237,GO:0002252,GO:0002263,GO:0002274,GO:0002275,GO:0002283,GO:0002366,GO:0002376,GO:0002443,GO:0002444,GO:0002446,GO:0003006,GO:0003674,GO:0003824,GO:0004364,GO:0004601,GO:0004602,GO:0005488,GO:0005515,GO:0005575,GO:0005622,GO:0005623,GO:0005634,GO:0005737,GO:0005739,GO:0005740,GO:0005741,GO:0005764,GO:0005765,GO:0005766,GO:0005773,GO:0005774,GO:0005777,GO:0005778,GO:0005783,GO:0005789,GO:0005886,GO:0006518,GO:0006575,GO:0006749,GO:0006790,GO:0006805,GO:0006807,GO:0006810,GO:0006887,GO:0006950,GO:0006955,GO:0006979,GO:0006982,GO:0007275,GO:0007548,GO:0008150,GO:0008152,GO:0008406,GO:0008584,GO:0009058,GO:0009410,GO:0009605,GO:0009607,GO:0009617,GO:0009636,GO:0009987,GO:0010033,GO:0010243,GO:0012505,GO:0012506,GO:0016020,GO:0016021,GO:0016043,GO:0016192,GO:0016209,GO:0016491,GO:0016684,GO:0016740,GO:0016765,GO:0019867,GO:0022414,GO:0022607,GO:0030141,GO:0030154,GO:0030659,GO:0030667,GO:0031090,GO:0031224,GO:0031410,GO:0031903,GO:0031966,GO:0031967,GO:0031968,GO:0031975,GO:0031982,GO:0031984,GO:0032496,GO:0032501,GO:0032502,GO:0032940,GO:0033194,GO:0033218,GO:0033327,GO:0033554,GO:0033993,GO:0034599,GO:0034641,GO:0035577,GO:0036230,GO:0042119,GO:0042175,GO:0042221,GO:0042277,GO:0042493,GO:0042579,GO:0042582,GO:0042802,GO:0042803,GO:0043167,GO:0043168,GO:0043207,GO:0043226,GO:0043227,GO:0043229,GO:0043231,GO:0043295,GO:0043299,GO:0043312,GO:0043603,GO:0043933,GO:0044085,GO:0044237,GO:0044249,GO:0044272,GO:0044422,GO:0044424,GO:0044425,GO:0044429,GO:0044432,GO:0044433,GO:0044437,GO:0044438,GO:0044439,GO:0044444,GO:0044446,GO:0044464,GO:0045055,GO:0045137,GO:0045177,GO:0045321,GO:0046546,GO:0046661,GO:0046903,GO:0046983,GO:0048037,GO:0048513,GO:0048608,GO:0048731,GO:0048856,GO:0048869,GO:0050896,GO:0051179,GO:0051186,GO:0051234,GO:0051259,GO:0051260,GO:0051704,GO:0051707,GO:0051716,GO:0055114,GO:0061458,GO:0065003,GO:0070206,GO:0070207,GO:0070887,GO:0071447,GO:0071449,GO:0071466,GO:0071704,GO:0071840,GO:0071944,GO:0072341,GO:0097237,GO:0097708,GO:0098588,GO:0098754,GO:0098805,GO:0098827,GO:0098852,GO:0098869,GO:0099503,GO:1900750,GO:1901564,GO:1901566,GO:1901576,GO:1901681,GO:1901685,GO:1901687,GO:1901698,GO:1901700,GO:1901701,GO:1990748</v>
      </c>
    </row>
    <row r="222" spans="1:10" ht="15.75" customHeight="1" x14ac:dyDescent="0.2">
      <c r="A222" s="24" t="s">
        <v>2301</v>
      </c>
      <c r="B222" s="24">
        <v>15.399303679477701</v>
      </c>
      <c r="C222" s="24">
        <v>-7.47922560219176</v>
      </c>
      <c r="D222" s="24">
        <v>1.40067189284156</v>
      </c>
      <c r="E222" s="24">
        <v>-5.3397413344381102</v>
      </c>
      <c r="F222" s="26">
        <v>9.3079288796272203E-8</v>
      </c>
      <c r="G222" s="26">
        <v>5.5568335411374497E-5</v>
      </c>
      <c r="H222" s="27" t="str">
        <f>VLOOKUP(A222,TableS10!A:J,8,FALSE)</f>
        <v>-</v>
      </c>
      <c r="I222" s="24" t="s">
        <v>10</v>
      </c>
      <c r="J222" s="34" t="str">
        <f>VLOOKUP(A222,TableS10!A:J,10,FALSE)</f>
        <v>-</v>
      </c>
    </row>
    <row r="223" spans="1:10" ht="15.75" customHeight="1" x14ac:dyDescent="0.2">
      <c r="A223" s="24" t="s">
        <v>2302</v>
      </c>
      <c r="B223" s="24">
        <v>62.533871044011399</v>
      </c>
      <c r="C223" s="24">
        <v>-2.0426375242048902</v>
      </c>
      <c r="D223" s="24">
        <v>0.38313811466028802</v>
      </c>
      <c r="E223" s="24">
        <v>-5.3313346964083896</v>
      </c>
      <c r="F223" s="26">
        <v>9.7493542422205696E-8</v>
      </c>
      <c r="G223" s="26">
        <v>5.7871052569907902E-5</v>
      </c>
      <c r="H223" s="27" t="str">
        <f>VLOOKUP(A223,TableS10!A:J,8,FALSE)</f>
        <v>-</v>
      </c>
      <c r="I223" s="24" t="s">
        <v>10</v>
      </c>
      <c r="J223" s="34" t="str">
        <f>VLOOKUP(A223,TableS10!A:J,10,FALSE)</f>
        <v>-</v>
      </c>
    </row>
    <row r="224" spans="1:10" ht="15.75" customHeight="1" x14ac:dyDescent="0.2">
      <c r="A224" s="24" t="s">
        <v>2303</v>
      </c>
      <c r="B224" s="24">
        <v>14.460997391553001</v>
      </c>
      <c r="C224" s="24">
        <v>-7.3899512720784601</v>
      </c>
      <c r="D224" s="24">
        <v>1.3954152834909801</v>
      </c>
      <c r="E224" s="24">
        <v>-5.2958795560778302</v>
      </c>
      <c r="F224" s="26">
        <v>1.18444892451675E-7</v>
      </c>
      <c r="G224" s="26">
        <v>6.90834573768076E-5</v>
      </c>
      <c r="H224" s="27" t="str">
        <f>VLOOKUP(A224,TableS10!A:J,8,FALSE)</f>
        <v>-</v>
      </c>
      <c r="I224" s="24" t="s">
        <v>10</v>
      </c>
      <c r="J224" s="34" t="str">
        <f>VLOOKUP(A224,TableS10!A:J,10,FALSE)</f>
        <v>-</v>
      </c>
    </row>
    <row r="225" spans="1:10" ht="15.75" customHeight="1" x14ac:dyDescent="0.2">
      <c r="A225" s="24" t="s">
        <v>2304</v>
      </c>
      <c r="B225" s="24">
        <v>165.46618709542</v>
      </c>
      <c r="C225" s="24">
        <v>-4.4279215766575097</v>
      </c>
      <c r="D225" s="24">
        <v>0.83806767492358503</v>
      </c>
      <c r="E225" s="24">
        <v>-5.2834892803391398</v>
      </c>
      <c r="F225" s="26">
        <v>1.26746283624684E-7</v>
      </c>
      <c r="G225" s="26">
        <v>7.3145280279805202E-5</v>
      </c>
      <c r="H225" s="27" t="str">
        <f>VLOOKUP(A225,TableS10!A:J,8,FALSE)</f>
        <v>-</v>
      </c>
      <c r="I225" s="24" t="s">
        <v>10</v>
      </c>
      <c r="J225" s="34" t="str">
        <f>VLOOKUP(A225,TableS10!A:J,10,FALSE)</f>
        <v>-</v>
      </c>
    </row>
    <row r="226" spans="1:10" ht="15.75" customHeight="1" x14ac:dyDescent="0.2">
      <c r="A226" s="24" t="s">
        <v>2305</v>
      </c>
      <c r="B226" s="24">
        <v>14.4317318858668</v>
      </c>
      <c r="C226" s="24">
        <v>-7.3914267843367503</v>
      </c>
      <c r="D226" s="24">
        <v>1.39993414051286</v>
      </c>
      <c r="E226" s="24">
        <v>-5.2798389370152199</v>
      </c>
      <c r="F226" s="26">
        <v>1.29297492930215E-7</v>
      </c>
      <c r="G226" s="26">
        <v>7.4410886263739101E-5</v>
      </c>
      <c r="H226" s="27" t="str">
        <f>VLOOKUP(A226,TableS10!A:J,8,FALSE)</f>
        <v>-</v>
      </c>
      <c r="I226" s="24" t="s">
        <v>10</v>
      </c>
      <c r="J226" s="34" t="str">
        <f>VLOOKUP(A226,TableS10!A:J,10,FALSE)</f>
        <v>-</v>
      </c>
    </row>
    <row r="227" spans="1:10" ht="15.75" customHeight="1" x14ac:dyDescent="0.2">
      <c r="A227" s="24" t="s">
        <v>2306</v>
      </c>
      <c r="B227" s="24">
        <v>16.0219008832253</v>
      </c>
      <c r="C227" s="24">
        <v>-7.5375218679051299</v>
      </c>
      <c r="D227" s="24">
        <v>1.4284401451150299</v>
      </c>
      <c r="E227" s="24">
        <v>-5.2767502325399596</v>
      </c>
      <c r="F227" s="26">
        <v>1.3149491472105099E-7</v>
      </c>
      <c r="G227" s="26">
        <v>7.5258560613737104E-5</v>
      </c>
      <c r="H227" s="27" t="str">
        <f>VLOOKUP(A227,TableS10!A:J,8,FALSE)</f>
        <v>-</v>
      </c>
      <c r="I227" s="24" t="s">
        <v>2307</v>
      </c>
      <c r="J227" s="34" t="str">
        <f>VLOOKUP(A227,TableS10!A:J,10,FALSE)</f>
        <v>-</v>
      </c>
    </row>
    <row r="228" spans="1:10" ht="15.75" customHeight="1" x14ac:dyDescent="0.2">
      <c r="A228" s="24" t="s">
        <v>2308</v>
      </c>
      <c r="B228" s="24">
        <v>68.755363301070005</v>
      </c>
      <c r="C228" s="24">
        <v>-3.7910037932107001</v>
      </c>
      <c r="D228" s="24">
        <v>0.72098782439387399</v>
      </c>
      <c r="E228" s="24">
        <v>-5.2580690893050104</v>
      </c>
      <c r="F228" s="26">
        <v>1.4557583122456699E-7</v>
      </c>
      <c r="G228" s="26">
        <v>8.2409407062373802E-5</v>
      </c>
      <c r="H228" s="27" t="str">
        <f>VLOOKUP(A228,TableS10!A:J,8,FALSE)</f>
        <v>-</v>
      </c>
      <c r="I228" s="24" t="s">
        <v>2309</v>
      </c>
      <c r="J228" s="34" t="str">
        <f>VLOOKUP(A228,TableS10!A:J,10,FALSE)</f>
        <v>-</v>
      </c>
    </row>
    <row r="229" spans="1:10" ht="15.75" customHeight="1" x14ac:dyDescent="0.2">
      <c r="A229" s="24" t="s">
        <v>2310</v>
      </c>
      <c r="B229" s="24">
        <v>25.3065426497276</v>
      </c>
      <c r="C229" s="24">
        <v>-4.8774842783114201</v>
      </c>
      <c r="D229" s="24">
        <v>0.929278167001093</v>
      </c>
      <c r="E229" s="24">
        <v>-5.2486805904971598</v>
      </c>
      <c r="F229" s="26">
        <v>1.5319242069223699E-7</v>
      </c>
      <c r="G229" s="26">
        <v>8.6251069250234099E-5</v>
      </c>
      <c r="H229" s="27" t="str">
        <f>VLOOKUP(A229,TableS10!A:J,8,FALSE)</f>
        <v>-</v>
      </c>
      <c r="I229" s="24" t="s">
        <v>10</v>
      </c>
      <c r="J229" s="34" t="str">
        <f>VLOOKUP(A229,TableS10!A:J,10,FALSE)</f>
        <v>-</v>
      </c>
    </row>
    <row r="230" spans="1:10" ht="15.75" customHeight="1" x14ac:dyDescent="0.2">
      <c r="A230" s="24" t="s">
        <v>2311</v>
      </c>
      <c r="B230" s="24">
        <v>13.4959269681693</v>
      </c>
      <c r="C230" s="24">
        <v>-7.2951433043647897</v>
      </c>
      <c r="D230" s="24">
        <v>1.39356671487273</v>
      </c>
      <c r="E230" s="24">
        <v>-5.2348719487255</v>
      </c>
      <c r="F230" s="26">
        <v>1.65099283347398E-7</v>
      </c>
      <c r="G230" s="26">
        <v>9.1958087697378306E-5</v>
      </c>
      <c r="H230" s="27" t="str">
        <f>VLOOKUP(A230,TableS10!A:J,8,FALSE)</f>
        <v>-</v>
      </c>
      <c r="I230" s="24" t="s">
        <v>2312</v>
      </c>
      <c r="J230" s="34" t="str">
        <f>VLOOKUP(A230,TableS10!A:J,10,FALSE)</f>
        <v>-</v>
      </c>
    </row>
    <row r="231" spans="1:10" ht="15.75" customHeight="1" x14ac:dyDescent="0.2">
      <c r="A231" s="24" t="s">
        <v>2313</v>
      </c>
      <c r="B231" s="24">
        <v>44.752450961264998</v>
      </c>
      <c r="C231" s="24">
        <v>-3.4978532851972601</v>
      </c>
      <c r="D231" s="24">
        <v>0.66861121316856498</v>
      </c>
      <c r="E231" s="24">
        <v>-5.2315205253899997</v>
      </c>
      <c r="F231" s="26">
        <v>1.68121363112251E-7</v>
      </c>
      <c r="G231" s="26">
        <v>9.3390967686494397E-5</v>
      </c>
      <c r="H231" s="27" t="str">
        <f>VLOOKUP(A231,TableS10!A:J,8,FALSE)</f>
        <v>-</v>
      </c>
      <c r="I231" s="24" t="s">
        <v>10</v>
      </c>
      <c r="J231" s="34" t="str">
        <f>VLOOKUP(A231,TableS10!A:J,10,FALSE)</f>
        <v>-</v>
      </c>
    </row>
    <row r="232" spans="1:10" ht="15.75" customHeight="1" x14ac:dyDescent="0.2">
      <c r="A232" s="24" t="s">
        <v>2314</v>
      </c>
      <c r="B232" s="24">
        <v>17.479570901536501</v>
      </c>
      <c r="C232" s="24">
        <v>-7.66362284162454</v>
      </c>
      <c r="D232" s="24">
        <v>1.4652748874207999</v>
      </c>
      <c r="E232" s="24">
        <v>-5.2301605025895004</v>
      </c>
      <c r="F232" s="26">
        <v>1.6936293280495701E-7</v>
      </c>
      <c r="G232" s="26">
        <v>9.3829774580871095E-5</v>
      </c>
      <c r="H232" s="27" t="str">
        <f>VLOOKUP(A232,TableS10!A:J,8,FALSE)</f>
        <v>-</v>
      </c>
      <c r="I232" s="24" t="s">
        <v>10</v>
      </c>
      <c r="J232" s="34" t="str">
        <f>VLOOKUP(A232,TableS10!A:J,10,FALSE)</f>
        <v>-</v>
      </c>
    </row>
    <row r="233" spans="1:10" ht="15.75" customHeight="1" x14ac:dyDescent="0.2">
      <c r="A233" s="24" t="s">
        <v>2315</v>
      </c>
      <c r="B233" s="24">
        <v>534.90538821812004</v>
      </c>
      <c r="C233" s="24">
        <v>-2.8088195192882299</v>
      </c>
      <c r="D233" s="24">
        <v>0.53728904613804396</v>
      </c>
      <c r="E233" s="24">
        <v>-5.2277624855329199</v>
      </c>
      <c r="F233" s="26">
        <v>1.7157371974405101E-7</v>
      </c>
      <c r="G233" s="26">
        <v>9.4801781167939094E-5</v>
      </c>
      <c r="H233" s="27" t="str">
        <f>VLOOKUP(A233,TableS10!A:J,8,FALSE)</f>
        <v>-</v>
      </c>
      <c r="I233" s="24" t="s">
        <v>10</v>
      </c>
      <c r="J233" s="34" t="str">
        <f>VLOOKUP(A233,TableS10!A:J,10,FALSE)</f>
        <v>-</v>
      </c>
    </row>
    <row r="234" spans="1:10" ht="15.75" customHeight="1" x14ac:dyDescent="0.2">
      <c r="A234" s="24" t="s">
        <v>2316</v>
      </c>
      <c r="B234" s="24">
        <v>16.8694342938863</v>
      </c>
      <c r="C234" s="24">
        <v>-7.6117842981640296</v>
      </c>
      <c r="D234" s="24">
        <v>1.45671634133386</v>
      </c>
      <c r="E234" s="24">
        <v>-5.2253030203493296</v>
      </c>
      <c r="F234" s="26">
        <v>1.7387013070096699E-7</v>
      </c>
      <c r="G234" s="26">
        <v>9.5562335645264706E-5</v>
      </c>
      <c r="H234" s="27" t="str">
        <f>VLOOKUP(A234,TableS10!A:J,8,FALSE)</f>
        <v>K06063</v>
      </c>
      <c r="I234" s="24" t="s">
        <v>2318</v>
      </c>
      <c r="J234" s="34" t="str">
        <f>VLOOKUP(A234,TableS10!A:J,10,FALSE)</f>
        <v>GO:0000350,GO:0000375,GO:0000377,GO:0000393,GO:0000398,GO:0000974,GO:0001700,GO:0003674,GO:0003712,GO:0005488,GO:0005515,GO:0005575,GO:0005622,GO:0005623,GO:0005634,GO:0005681,GO:0006139,GO:0006355,GO:0006357,GO:0006396,GO:0006397,GO:0006725,GO:0006807,GO:0007275,GO:0007444,GO:0008150,GO:0008152,GO:0008380,GO:0009790,GO:0009792,GO:0009888,GO:0009889,GO:0009987,GO:0010467,GO:0010468,GO:0010556,GO:0016043,GO:0016070,GO:0016071,GO:0019219,GO:0019222,GO:0022607,GO:0022613,GO:0022618,GO:0031323,GO:0031326,GO:0032501,GO:0032502,GO:0032991,GO:0034622,GO:0034641,GO:0035214,GO:0035295,GO:0043170,GO:0043226,GO:0043227,GO:0043229,GO:0043231,GO:0043933,GO:0044085,GO:0044237,GO:0044238,GO:0044422,GO:0044424,GO:0044428,GO:0044446,GO:0044464,GO:0046483,GO:0048513,GO:0048731,GO:0048856,GO:0050789,GO:0050794,GO:0051171,GO:0051252,GO:0060255,GO:0060429,GO:0065003,GO:0065007,GO:0071014,GO:0071141,GO:0071704,GO:0071826,GO:0071840,GO:0080090,GO:0090304,GO:0140110,GO:1901360,GO:1903506,GO:1990904,GO:2000112,GO:2001141</v>
      </c>
    </row>
    <row r="235" spans="1:10" ht="15.75" customHeight="1" x14ac:dyDescent="0.2">
      <c r="A235" s="24" t="s">
        <v>2319</v>
      </c>
      <c r="B235" s="24">
        <v>117.392111143346</v>
      </c>
      <c r="C235" s="24">
        <v>-10.4146573935143</v>
      </c>
      <c r="D235" s="24">
        <v>1.9957109204127499</v>
      </c>
      <c r="E235" s="24">
        <v>-5.2185200206051503</v>
      </c>
      <c r="F235" s="26">
        <v>1.80358485772442E-7</v>
      </c>
      <c r="G235" s="26">
        <v>9.8079181673755406E-5</v>
      </c>
      <c r="H235" s="27" t="str">
        <f>VLOOKUP(A235,TableS10!A:J,8,FALSE)</f>
        <v>-</v>
      </c>
      <c r="I235" s="24" t="s">
        <v>2320</v>
      </c>
      <c r="J235" s="34" t="str">
        <f>VLOOKUP(A235,TableS10!A:J,10,FALSE)</f>
        <v>-</v>
      </c>
    </row>
    <row r="236" spans="1:10" ht="15.75" customHeight="1" x14ac:dyDescent="0.2">
      <c r="A236" s="24" t="s">
        <v>2321</v>
      </c>
      <c r="B236" s="24">
        <v>27.523149451764599</v>
      </c>
      <c r="C236" s="24">
        <v>-3.1183133943780699</v>
      </c>
      <c r="D236" s="24">
        <v>0.59769137948723206</v>
      </c>
      <c r="E236" s="24">
        <v>-5.2172634597027603</v>
      </c>
      <c r="F236" s="26">
        <v>1.8158589100175799E-7</v>
      </c>
      <c r="G236" s="26">
        <v>9.8079181673755406E-5</v>
      </c>
      <c r="H236" s="27" t="str">
        <f>VLOOKUP(A236,TableS10!A:J,8,FALSE)</f>
        <v>-</v>
      </c>
      <c r="I236" s="24" t="s">
        <v>2322</v>
      </c>
      <c r="J236" s="34" t="str">
        <f>VLOOKUP(A236,TableS10!A:J,10,FALSE)</f>
        <v>-</v>
      </c>
    </row>
    <row r="237" spans="1:10" ht="15.75" customHeight="1" x14ac:dyDescent="0.2">
      <c r="A237" s="24" t="s">
        <v>2323</v>
      </c>
      <c r="B237" s="24">
        <v>13.304579875076</v>
      </c>
      <c r="C237" s="24">
        <v>-7.2676176974020104</v>
      </c>
      <c r="D237" s="24">
        <v>1.39812262604652</v>
      </c>
      <c r="E237" s="24">
        <v>-5.1981260885196496</v>
      </c>
      <c r="F237" s="26">
        <v>2.0130756743082299E-7</v>
      </c>
      <c r="G237" s="24">
        <v>1.07790863348345E-4</v>
      </c>
      <c r="H237" s="27" t="str">
        <f>VLOOKUP(A237,TableS10!A:J,8,FALSE)</f>
        <v>-</v>
      </c>
      <c r="I237" s="24" t="s">
        <v>10</v>
      </c>
      <c r="J237" s="34" t="str">
        <f>VLOOKUP(A237,TableS10!A:J,10,FALSE)</f>
        <v>-</v>
      </c>
    </row>
    <row r="238" spans="1:10" ht="15.75" customHeight="1" x14ac:dyDescent="0.2">
      <c r="A238" s="24" t="s">
        <v>2324</v>
      </c>
      <c r="B238" s="24">
        <v>11.8189819103614</v>
      </c>
      <c r="C238" s="24">
        <v>-7.1035347844921803</v>
      </c>
      <c r="D238" s="24">
        <v>1.3668300746361099</v>
      </c>
      <c r="E238" s="24">
        <v>-5.1970869798013002</v>
      </c>
      <c r="F238" s="26">
        <v>2.02435658492078E-7</v>
      </c>
      <c r="G238" s="24">
        <v>1.0800990103250301E-4</v>
      </c>
      <c r="H238" s="27" t="str">
        <f>VLOOKUP(A238,TableS10!A:J,8,FALSE)</f>
        <v>K10104</v>
      </c>
      <c r="I238" s="24" t="s">
        <v>2266</v>
      </c>
      <c r="J238" s="34" t="str">
        <f>VLOOKUP(A238,TableS10!A:J,10,FALSE)</f>
        <v>-</v>
      </c>
    </row>
    <row r="239" spans="1:10" ht="15.75" customHeight="1" x14ac:dyDescent="0.2">
      <c r="A239" s="24" t="s">
        <v>2325</v>
      </c>
      <c r="B239" s="24">
        <v>77.340154479128103</v>
      </c>
      <c r="C239" s="24">
        <v>-2.8942174900280002</v>
      </c>
      <c r="D239" s="24">
        <v>0.55717017122609802</v>
      </c>
      <c r="E239" s="24">
        <v>-5.1944946795321796</v>
      </c>
      <c r="F239" s="26">
        <v>2.05276643789739E-7</v>
      </c>
      <c r="G239" s="24">
        <v>1.0879452654893101E-4</v>
      </c>
      <c r="H239" s="27" t="str">
        <f>VLOOKUP(A239,TableS10!A:J,8,FALSE)</f>
        <v>K11997</v>
      </c>
      <c r="I239" s="24" t="s">
        <v>2326</v>
      </c>
      <c r="J239" s="34" t="str">
        <f>VLOOKUP(A239,TableS10!A:J,10,FALSE)</f>
        <v>-</v>
      </c>
    </row>
    <row r="240" spans="1:10" ht="15.75" customHeight="1" x14ac:dyDescent="0.2">
      <c r="A240" s="24" t="s">
        <v>2327</v>
      </c>
      <c r="B240" s="24">
        <v>24.5112068935547</v>
      </c>
      <c r="C240" s="24">
        <v>-8.1512978449067095</v>
      </c>
      <c r="D240" s="24">
        <v>1.57198365912446</v>
      </c>
      <c r="E240" s="24">
        <v>-5.1853578741694397</v>
      </c>
      <c r="F240" s="26">
        <v>2.1560045338205199E-7</v>
      </c>
      <c r="G240" s="24">
        <v>1.13111837860711E-4</v>
      </c>
      <c r="H240" s="27" t="str">
        <f>VLOOKUP(A240,TableS10!A:J,8,FALSE)</f>
        <v>-</v>
      </c>
      <c r="I240" s="24" t="s">
        <v>281</v>
      </c>
      <c r="J240" s="34" t="str">
        <f>VLOOKUP(A240,TableS10!A:J,10,FALSE)</f>
        <v>-</v>
      </c>
    </row>
    <row r="241" spans="1:10" ht="15.75" customHeight="1" x14ac:dyDescent="0.2">
      <c r="A241" s="24" t="s">
        <v>2328</v>
      </c>
      <c r="B241" s="24">
        <v>97.857491238079405</v>
      </c>
      <c r="C241" s="24">
        <v>-3.3559416178363999</v>
      </c>
      <c r="D241" s="24">
        <v>0.64740617697817004</v>
      </c>
      <c r="E241" s="24">
        <v>-5.1836725338342999</v>
      </c>
      <c r="F241" s="26">
        <v>2.17558780975881E-7</v>
      </c>
      <c r="G241" s="24">
        <v>1.13851743326008E-4</v>
      </c>
      <c r="H241" s="27" t="str">
        <f>VLOOKUP(A241,TableS10!A:J,8,FALSE)</f>
        <v>-</v>
      </c>
      <c r="I241" s="24" t="s">
        <v>2329</v>
      </c>
      <c r="J241" s="34" t="str">
        <f>VLOOKUP(A241,TableS10!A:J,10,FALSE)</f>
        <v>-</v>
      </c>
    </row>
    <row r="242" spans="1:10" ht="15.75" customHeight="1" x14ac:dyDescent="0.2">
      <c r="A242" s="24" t="s">
        <v>2330</v>
      </c>
      <c r="B242" s="24">
        <v>12.975904810819999</v>
      </c>
      <c r="C242" s="24">
        <v>-7.2369497064015604</v>
      </c>
      <c r="D242" s="24">
        <v>1.39816500076355</v>
      </c>
      <c r="E242" s="24">
        <v>-5.1760340892880397</v>
      </c>
      <c r="F242" s="26">
        <v>2.2665206230700201E-7</v>
      </c>
      <c r="G242" s="24">
        <v>1.1742724652532E-4</v>
      </c>
      <c r="H242" s="27" t="str">
        <f>VLOOKUP(A242,TableS10!A:J,8,FALSE)</f>
        <v>-</v>
      </c>
      <c r="I242" s="24" t="s">
        <v>2331</v>
      </c>
      <c r="J242" s="34" t="str">
        <f>VLOOKUP(A242,TableS10!A:J,10,FALSE)</f>
        <v>-</v>
      </c>
    </row>
    <row r="243" spans="1:10" ht="15.75" customHeight="1" x14ac:dyDescent="0.2">
      <c r="A243" s="24" t="s">
        <v>2332</v>
      </c>
      <c r="B243" s="24">
        <v>18.714374798508899</v>
      </c>
      <c r="C243" s="24">
        <v>-7.76530047319127</v>
      </c>
      <c r="D243" s="24">
        <v>1.5025424360672199</v>
      </c>
      <c r="E243" s="24">
        <v>-5.1681072605951099</v>
      </c>
      <c r="F243" s="26">
        <v>2.36476590456139E-7</v>
      </c>
      <c r="G243" s="24">
        <v>1.21607501303974E-4</v>
      </c>
      <c r="H243" s="27" t="str">
        <f>VLOOKUP(A243,TableS10!A:J,8,FALSE)</f>
        <v>K05110</v>
      </c>
      <c r="I243" s="24" t="s">
        <v>2334</v>
      </c>
      <c r="J243" s="34" t="str">
        <f>VLOOKUP(A243,TableS10!A:J,10,FALSE)</f>
        <v>GO:0000003,GO:0000902,GO:0000904,GO:0001556,GO:0002009,GO:0002252,GO:0002376,GO:0003006,GO:0003674,GO:0003824,GO:0004672,GO:0004713,GO:0004714,GO:0004888,GO:0005003,GO:0005005,GO:0005488,GO:0005515,GO:0005575,GO:0005623,GO:0005886,GO:0005887,GO:0006464,GO:0006468,GO:0006582,GO:0006725,GO:0006793,GO:0006796,GO:0006807,GO:0006928,GO:0006935,GO:0006950,GO:0006952,GO:0006955,GO:0007154,GO:0007165,GO:0007166,GO:0007167,GO:0007169,GO:0007275,GO:0007276,GO:0007281,GO:0007292,GO:0007399,GO:0007409,GO:0007411,GO:0007417,GO:0007420,GO:0007422,GO:0008150,GO:0008152,GO:0009605,GO:0009653,GO:0009790,GO:0009792,GO:0009888,GO:0009987,GO:0009994,GO:0010171,GO:0010172,GO:0010769,GO:0010975,GO:0016020,GO:0016021,GO:0016043,GO:0016301,GO:0016310,GO:0016319,GO:0016331,GO:0016740,GO:0016772,GO:0016773,GO:0018108,GO:0018193,GO:0018212,GO:0018958,GO:0019199,GO:0019538,GO:0019748,GO:0019904,GO:0019953,GO:0021700,GO:0022008,GO:0022412,GO:0022414,GO:0022603,GO:0022604,GO:0023052,GO:0030030,GO:0030154,GO:0030182,GO:0030424,GO:0031175,GO:0031224,GO:0031226,GO:0031344,GO:0032101,GO:0032501,GO:0032502,GO:0032504,GO:0032879,GO:0032989,GO:0032990,GO:0035006,GO:0035010,GO:0035011,GO:0036211,GO:0038023,GO:0040011,GO:0040012,GO:0042221,GO:0042330,GO:0042440,GO:0042995,GO:0043005,GO:0043170,GO:0043412,GO:0044237,GO:0044238,GO:0044260,GO:0044267,GO:0044425,GO:0044459,GO:0044464,GO:0044703,GO:0045087,GO:0045595,GO:0045664,GO:0046777,GO:0048013,GO:0048468,GO:0048469,GO:0048477,GO:0048513,GO:0048583,GO:0048598,GO:0048599,GO:0048609,GO:0048666,GO:0048667,GO:0048699,GO:0048729,GO:0048731,GO:0048812,GO:0048856,GO:0048858,GO:0048869,GO:0050767,GO:0050770,GO:0050789,GO:0050793,GO:0050794,GO:0050896,GO:0050920,GO:0051128,GO:0051239,GO:0051270,GO:0051704,GO:0051716,GO:0051960,GO:0060089,GO:0060284,GO:0060322,GO:0060429,GO:0061564,GO:0065007,GO:0071695,GO:0071704,GO:0071840,GO:0071944,GO:0097458,GO:0097485,GO:0120025,GO:0120035,GO:0120036,GO:0120039,GO:0140096,GO:1901360,GO:1901564,GO:1901615,GO:1902667,GO:2000026</v>
      </c>
    </row>
    <row r="244" spans="1:10" ht="15.75" customHeight="1" x14ac:dyDescent="0.2">
      <c r="A244" s="24" t="s">
        <v>2335</v>
      </c>
      <c r="B244" s="24">
        <v>21.239804252209201</v>
      </c>
      <c r="C244" s="24">
        <v>-5.0679012414629403</v>
      </c>
      <c r="D244" s="24">
        <v>0.98317862616621698</v>
      </c>
      <c r="E244" s="24">
        <v>-5.1546088437912703</v>
      </c>
      <c r="F244" s="26">
        <v>2.5416090007837001E-7</v>
      </c>
      <c r="G244" s="24">
        <v>1.2879425245783299E-4</v>
      </c>
      <c r="H244" s="27" t="str">
        <f>VLOOKUP(A244,TableS10!A:J,8,FALSE)</f>
        <v>-</v>
      </c>
      <c r="I244" s="24" t="s">
        <v>10</v>
      </c>
      <c r="J244" s="34" t="str">
        <f>VLOOKUP(A244,TableS10!A:J,10,FALSE)</f>
        <v>-</v>
      </c>
    </row>
    <row r="245" spans="1:10" ht="15.75" customHeight="1" x14ac:dyDescent="0.2">
      <c r="A245" s="24" t="s">
        <v>2336</v>
      </c>
      <c r="B245" s="24">
        <v>22.606969378109898</v>
      </c>
      <c r="C245" s="24">
        <v>-6.2469120885520102</v>
      </c>
      <c r="D245" s="24">
        <v>1.21190990503913</v>
      </c>
      <c r="E245" s="24">
        <v>-5.1546010661166202</v>
      </c>
      <c r="F245" s="26">
        <v>2.5417144875580799E-7</v>
      </c>
      <c r="G245" s="24">
        <v>1.2879425245783299E-4</v>
      </c>
      <c r="H245" s="27" t="str">
        <f>VLOOKUP(A245,TableS10!A:J,8,FALSE)</f>
        <v>K14074,K14075,K19404</v>
      </c>
      <c r="I245" s="24" t="s">
        <v>2337</v>
      </c>
      <c r="J245" s="34" t="str">
        <f>VLOOKUP(A245,TableS10!A:J,10,FALSE)</f>
        <v>-</v>
      </c>
    </row>
    <row r="246" spans="1:10" ht="15.75" customHeight="1" x14ac:dyDescent="0.2">
      <c r="A246" s="24" t="s">
        <v>2338</v>
      </c>
      <c r="B246" s="24">
        <v>13.6743918691588</v>
      </c>
      <c r="C246" s="24">
        <v>-7.3115889592428003</v>
      </c>
      <c r="D246" s="24">
        <v>1.41940340076868</v>
      </c>
      <c r="E246" s="24">
        <v>-5.1511705236743799</v>
      </c>
      <c r="F246" s="26">
        <v>2.5886567888529399E-7</v>
      </c>
      <c r="G246" s="24">
        <v>1.3074972387864601E-4</v>
      </c>
      <c r="H246" s="27" t="str">
        <f>VLOOKUP(A246,TableS10!A:J,8,FALSE)</f>
        <v>K12800</v>
      </c>
      <c r="I246" s="24" t="s">
        <v>2339</v>
      </c>
      <c r="J246" s="34" t="str">
        <f>VLOOKUP(A246,TableS10!A:J,10,FALSE)</f>
        <v>-</v>
      </c>
    </row>
    <row r="247" spans="1:10" ht="15.75" customHeight="1" x14ac:dyDescent="0.2">
      <c r="A247" s="24" t="s">
        <v>2340</v>
      </c>
      <c r="B247" s="24">
        <v>62.358260971056197</v>
      </c>
      <c r="C247" s="24">
        <v>-2.6145125266440901</v>
      </c>
      <c r="D247" s="24">
        <v>0.50758718099293199</v>
      </c>
      <c r="E247" s="24">
        <v>-5.1508639787349102</v>
      </c>
      <c r="F247" s="26">
        <v>2.5928919616281798E-7</v>
      </c>
      <c r="G247" s="24">
        <v>1.3074972387864601E-4</v>
      </c>
      <c r="H247" s="27" t="str">
        <f>VLOOKUP(A247,TableS10!A:J,8,FALSE)</f>
        <v>-</v>
      </c>
      <c r="I247" s="24" t="s">
        <v>2341</v>
      </c>
      <c r="J247" s="34" t="str">
        <f>VLOOKUP(A247,TableS10!A:J,10,FALSE)</f>
        <v>-</v>
      </c>
    </row>
    <row r="248" spans="1:10" ht="15.75" customHeight="1" x14ac:dyDescent="0.2">
      <c r="A248" s="24" t="s">
        <v>2342</v>
      </c>
      <c r="B248" s="24">
        <v>12.8291812360631</v>
      </c>
      <c r="C248" s="24">
        <v>-7.2263306528236999</v>
      </c>
      <c r="D248" s="24">
        <v>1.40539487272838</v>
      </c>
      <c r="E248" s="24">
        <v>-5.1418507303892502</v>
      </c>
      <c r="F248" s="26">
        <v>2.7204522476846401E-7</v>
      </c>
      <c r="G248" s="24">
        <v>1.36519390620766E-4</v>
      </c>
      <c r="H248" s="27" t="str">
        <f>VLOOKUP(A248,TableS10!A:J,8,FALSE)</f>
        <v>-</v>
      </c>
      <c r="I248" s="24" t="s">
        <v>10</v>
      </c>
      <c r="J248" s="34" t="str">
        <f>VLOOKUP(A248,TableS10!A:J,10,FALSE)</f>
        <v>-</v>
      </c>
    </row>
    <row r="249" spans="1:10" ht="15.75" customHeight="1" x14ac:dyDescent="0.2">
      <c r="A249" s="24" t="s">
        <v>2343</v>
      </c>
      <c r="B249" s="24">
        <v>18.051947830213599</v>
      </c>
      <c r="C249" s="24">
        <v>-7.71662266740785</v>
      </c>
      <c r="D249" s="24">
        <v>1.50434990321006</v>
      </c>
      <c r="E249" s="24">
        <v>-5.1295397772431199</v>
      </c>
      <c r="F249" s="26">
        <v>2.90451394864162E-7</v>
      </c>
      <c r="G249" s="24">
        <v>1.4505533651778599E-4</v>
      </c>
      <c r="H249" s="27" t="str">
        <f>VLOOKUP(A249,TableS10!A:J,8,FALSE)</f>
        <v>-</v>
      </c>
      <c r="I249" s="24" t="s">
        <v>10</v>
      </c>
      <c r="J249" s="34" t="str">
        <f>VLOOKUP(A249,TableS10!A:J,10,FALSE)</f>
        <v>-</v>
      </c>
    </row>
    <row r="250" spans="1:10" ht="15.75" customHeight="1" x14ac:dyDescent="0.2">
      <c r="A250" s="24" t="s">
        <v>2344</v>
      </c>
      <c r="B250" s="24">
        <v>12.8041652391819</v>
      </c>
      <c r="C250" s="24">
        <v>-7.2185394935938501</v>
      </c>
      <c r="D250" s="24">
        <v>1.4090677626072099</v>
      </c>
      <c r="E250" s="24">
        <v>-5.1229186311361801</v>
      </c>
      <c r="F250" s="26">
        <v>3.0084219627662398E-7</v>
      </c>
      <c r="G250" s="24">
        <v>1.49525768731211E-4</v>
      </c>
      <c r="H250" s="27" t="str">
        <f>VLOOKUP(A250,TableS10!A:J,8,FALSE)</f>
        <v>-</v>
      </c>
      <c r="I250" s="24" t="s">
        <v>10</v>
      </c>
      <c r="J250" s="34" t="str">
        <f>VLOOKUP(A250,TableS10!A:J,10,FALSE)</f>
        <v>-</v>
      </c>
    </row>
    <row r="251" spans="1:10" ht="15.75" customHeight="1" x14ac:dyDescent="0.2">
      <c r="A251" s="24" t="s">
        <v>2345</v>
      </c>
      <c r="B251" s="24">
        <v>50.108228391496503</v>
      </c>
      <c r="C251" s="24">
        <v>-4.4837679424148096</v>
      </c>
      <c r="D251" s="24">
        <v>0.87577199144037898</v>
      </c>
      <c r="E251" s="24">
        <v>-5.11978915315661</v>
      </c>
      <c r="F251" s="26">
        <v>3.0587744471278699E-7</v>
      </c>
      <c r="G251" s="24">
        <v>1.5166557136933099E-4</v>
      </c>
      <c r="H251" s="27" t="str">
        <f>VLOOKUP(A251,TableS10!A:J,8,FALSE)</f>
        <v>-</v>
      </c>
      <c r="I251" s="24" t="s">
        <v>10</v>
      </c>
      <c r="J251" s="34" t="str">
        <f>VLOOKUP(A251,TableS10!A:J,10,FALSE)</f>
        <v>-</v>
      </c>
    </row>
    <row r="252" spans="1:10" ht="15.75" customHeight="1" x14ac:dyDescent="0.2">
      <c r="A252" s="24" t="s">
        <v>2346</v>
      </c>
      <c r="B252" s="24">
        <v>12.659036760021801</v>
      </c>
      <c r="C252" s="24">
        <v>-7.1967907763466901</v>
      </c>
      <c r="D252" s="24">
        <v>1.4065419198626601</v>
      </c>
      <c r="E252" s="24">
        <v>-5.1166557318458104</v>
      </c>
      <c r="F252" s="26">
        <v>3.11000517975755E-7</v>
      </c>
      <c r="G252" s="24">
        <v>1.5383862764897899E-4</v>
      </c>
      <c r="H252" s="27" t="str">
        <f>VLOOKUP(A252,TableS10!A:J,8,FALSE)</f>
        <v>-</v>
      </c>
      <c r="I252" s="24" t="s">
        <v>10</v>
      </c>
      <c r="J252" s="34" t="str">
        <f>VLOOKUP(A252,TableS10!A:J,10,FALSE)</f>
        <v>-</v>
      </c>
    </row>
    <row r="253" spans="1:10" ht="15.75" customHeight="1" x14ac:dyDescent="0.2">
      <c r="A253" s="24" t="s">
        <v>2347</v>
      </c>
      <c r="B253" s="24">
        <v>13.094853482154599</v>
      </c>
      <c r="C253" s="24">
        <v>-7.2522638848550098</v>
      </c>
      <c r="D253" s="24">
        <v>1.42071900235532</v>
      </c>
      <c r="E253" s="24">
        <v>-5.1046434043832196</v>
      </c>
      <c r="F253" s="26">
        <v>3.3141887047815202E-7</v>
      </c>
      <c r="G253" s="24">
        <v>1.62856336359163E-4</v>
      </c>
      <c r="H253" s="27" t="str">
        <f>VLOOKUP(A253,TableS10!A:J,8,FALSE)</f>
        <v>-</v>
      </c>
      <c r="I253" s="24" t="s">
        <v>2043</v>
      </c>
      <c r="J253" s="34" t="str">
        <f>VLOOKUP(A253,TableS10!A:J,10,FALSE)</f>
        <v>-</v>
      </c>
    </row>
    <row r="254" spans="1:10" ht="15.75" customHeight="1" x14ac:dyDescent="0.2">
      <c r="A254" s="24" t="s">
        <v>2348</v>
      </c>
      <c r="B254" s="24">
        <v>26.182412373180998</v>
      </c>
      <c r="C254" s="24">
        <v>-4.6234783467742897</v>
      </c>
      <c r="D254" s="24">
        <v>0.90660092776739198</v>
      </c>
      <c r="E254" s="24">
        <v>-5.0997944135796702</v>
      </c>
      <c r="F254" s="26">
        <v>3.40022597065609E-7</v>
      </c>
      <c r="G254" s="24">
        <v>1.6660786480179901E-4</v>
      </c>
      <c r="H254" s="27" t="str">
        <f>VLOOKUP(A254,TableS10!A:J,8,FALSE)</f>
        <v>K14007</v>
      </c>
      <c r="I254" s="24" t="s">
        <v>2350</v>
      </c>
      <c r="J254" s="34" t="str">
        <f>VLOOKUP(A254,TableS10!A:J,10,FALSE)</f>
        <v>GO:0000902,GO:0002790,GO:0003330,GO:0003331,GO:0005575,GO:0005622,GO:0005623,GO:0005737,GO:0005783,GO:0005798,GO:0006810,GO:0006888,GO:0006900,GO:0006996,GO:0007029,GO:0007030,GO:0007163,GO:0007275,GO:0007424,GO:0007517,GO:0008104,GO:0008150,GO:0008360,GO:0009306,GO:0009653,GO:0009987,GO:0010256,GO:0012505,GO:0012506,GO:0012507,GO:0015031,GO:0015833,GO:0016020,GO:0016043,GO:0016050,GO:0016192,GO:0016203,GO:0022407,GO:0022409,GO:0022603,GO:0022604,GO:0022607,GO:0030011,GO:0030117,GO:0030120,GO:0030127,GO:0030133,GO:0030134,GO:0030135,GO:0030155,GO:0030198,GO:0030658,GO:0030659,GO:0030660,GO:0030662,GO:0031090,GO:0031410,GO:0031982,GO:0032501,GO:0032502,GO:0032879,GO:0032940,GO:0032989,GO:0032991,GO:0033036,GO:0034394,GO:0034613,GO:0034622,GO:0035148,GO:0035149,GO:0035150,GO:0035151,GO:0035152,GO:0035158,GO:0035159,GO:0035239,GO:0035295,GO:0035296,GO:0035459,GO:0040003,GO:0042335,GO:0042886,GO:0043062,GO:0043226,GO:0043227,GO:0043229,GO:0043231,GO:0043933,GO:0044085,GO:0044422,GO:0044424,GO:0044425,GO:0044432,GO:0044433,GO:0044444,GO:0044446,GO:0044464,GO:0045184,GO:0045785,GO:0046903,GO:0046907,GO:0048070,GO:0048079,GO:0048081,GO:0048087,GO:0048193,GO:0048194,GO:0048475,GO:0048513,GO:0048518,GO:0048522,GO:0048646,GO:0048731,GO:0048856,GO:0048869,GO:0050789,GO:0050793,GO:0050794,GO:0051046,GO:0051047,GO:0051049,GO:0051050,GO:0051094,GO:0051128,GO:0051130,GO:0051179,GO:0051234,GO:0051239,GO:0051240,GO:0051641,GO:0051649,GO:0051668,GO:0060538,GO:0060541,GO:0061024,GO:0061061,GO:0065003,GO:0065007,GO:0065008,GO:0070727,GO:0070971,GO:0071702,GO:0071705,GO:0071711,GO:0071840,GO:0072657,GO:0072659,GO:0090066,GO:0090110,GO:0090114,GO:0097708,GO:0098588,GO:0098796,GO:0098805,GO:1903053,GO:1903055,GO:1903530,GO:1903532,GO:1990778,GO:2000026</v>
      </c>
    </row>
    <row r="255" spans="1:10" ht="15.75" customHeight="1" x14ac:dyDescent="0.2">
      <c r="A255" s="24" t="s">
        <v>2351</v>
      </c>
      <c r="B255" s="24">
        <v>56.505523974811098</v>
      </c>
      <c r="C255" s="24">
        <v>-4.4601954779139401</v>
      </c>
      <c r="D255" s="24">
        <v>0.87660296158492701</v>
      </c>
      <c r="E255" s="24">
        <v>-5.0880451850741597</v>
      </c>
      <c r="F255" s="26">
        <v>3.6177318559006401E-7</v>
      </c>
      <c r="G255" s="24">
        <v>1.75199417122259E-4</v>
      </c>
      <c r="H255" s="27" t="str">
        <f>VLOOKUP(A255,TableS10!A:J,8,FALSE)</f>
        <v>-</v>
      </c>
      <c r="I255" s="24" t="s">
        <v>10</v>
      </c>
      <c r="J255" s="34" t="str">
        <f>VLOOKUP(A255,TableS10!A:J,10,FALSE)</f>
        <v>-</v>
      </c>
    </row>
    <row r="256" spans="1:10" ht="15.75" customHeight="1" x14ac:dyDescent="0.2">
      <c r="A256" s="24" t="s">
        <v>2352</v>
      </c>
      <c r="B256" s="24">
        <v>38.665089566748101</v>
      </c>
      <c r="C256" s="24">
        <v>-7.0602497600104401</v>
      </c>
      <c r="D256" s="24">
        <v>1.3908860157571401</v>
      </c>
      <c r="E256" s="24">
        <v>-5.0760807715556098</v>
      </c>
      <c r="F256" s="26">
        <v>3.8529955578051499E-7</v>
      </c>
      <c r="G256" s="24">
        <v>1.85296978034113E-4</v>
      </c>
      <c r="H256" s="27" t="str">
        <f>VLOOKUP(A256,TableS10!A:J,8,FALSE)</f>
        <v>-</v>
      </c>
      <c r="I256" s="24" t="s">
        <v>10</v>
      </c>
      <c r="J256" s="34" t="str">
        <f>VLOOKUP(A256,TableS10!A:J,10,FALSE)</f>
        <v>-</v>
      </c>
    </row>
    <row r="257" spans="1:10" ht="15.75" customHeight="1" x14ac:dyDescent="0.2">
      <c r="A257" s="24" t="s">
        <v>2353</v>
      </c>
      <c r="B257" s="24">
        <v>17.4198068242139</v>
      </c>
      <c r="C257" s="24">
        <v>-7.6580935012775999</v>
      </c>
      <c r="D257" s="24">
        <v>1.5091735006523701</v>
      </c>
      <c r="E257" s="24">
        <v>-5.0743625553769904</v>
      </c>
      <c r="F257" s="26">
        <v>3.8879713623724501E-7</v>
      </c>
      <c r="G257" s="24">
        <v>1.8654720054527699E-4</v>
      </c>
      <c r="H257" s="27" t="str">
        <f>VLOOKUP(A257,TableS10!A:J,8,FALSE)</f>
        <v>-</v>
      </c>
      <c r="I257" s="24" t="s">
        <v>10</v>
      </c>
      <c r="J257" s="34" t="str">
        <f>VLOOKUP(A257,TableS10!A:J,10,FALSE)</f>
        <v>-</v>
      </c>
    </row>
    <row r="258" spans="1:10" ht="15.75" customHeight="1" x14ac:dyDescent="0.2">
      <c r="A258" s="24" t="s">
        <v>2354</v>
      </c>
      <c r="B258" s="24">
        <v>12.2631190574425</v>
      </c>
      <c r="C258" s="24">
        <v>-7.1497697642681803</v>
      </c>
      <c r="D258" s="24">
        <v>1.4111215592637301</v>
      </c>
      <c r="E258" s="24">
        <v>-5.0667284595939996</v>
      </c>
      <c r="F258" s="26">
        <v>4.0471095503240002E-7</v>
      </c>
      <c r="G258" s="24">
        <v>1.93289952123474E-4</v>
      </c>
      <c r="H258" s="27" t="str">
        <f>VLOOKUP(A258,TableS10!A:J,8,FALSE)</f>
        <v>-</v>
      </c>
      <c r="I258" s="24" t="s">
        <v>5189</v>
      </c>
      <c r="J258" s="34" t="str">
        <f>VLOOKUP(A258,TableS10!A:J,10,FALSE)</f>
        <v>GO:0001654,GO:0001786,GO:0003008,GO:0003407,GO:0003674,GO:0005488,GO:0005543,GO:0005546,GO:0005547,GO:0005575,GO:0005576,GO:0005615,GO:0005623,GO:0005886,GO:0007154,GO:0007155,GO:0007165,GO:0007186,GO:0007275,GO:0007423,GO:0007600,GO:0007601,GO:0007602,GO:0007603,GO:0008150,GO:0008289,GO:0009314,GO:0009416,GO:0009581,GO:0009582,GO:0009583,GO:0009584,GO:0009605,GO:0009628,GO:0009642,GO:0009653,GO:0009887,GO:0009966,GO:0009987,GO:0010314,GO:0010646,GO:0010842,GO:0016020,GO:0016043,GO:0016056,GO:0016062,GO:0019897,GO:0019898,GO:0022607,GO:0022610,GO:0023051,GO:0023052,GO:0023058,GO:0030246,GO:0032266,GO:0032501,GO:0032502,GO:0035091,GO:0036367,GO:0043010,GO:0043167,GO:0043168,GO:0043325,GO:0043933,GO:0044085,GO:0044421,GO:0044425,GO:0044459,GO:0044464,GO:0048513,GO:0048583,GO:0048592,GO:0048593,GO:0048646,GO:0048731,GO:0048856,GO:0050789,GO:0050794,GO:0050877,GO:0050896,GO:0050953,GO:0051259,GO:0051260,GO:0051606,GO:0051716,GO:0060041,GO:0060042,GO:0065003,GO:0065007,GO:0070273,GO:0070492,GO:0071214,GO:0071478,GO:0071482,GO:0071840,GO:0071944,GO:0072341,GO:0080025,GO:0090596,GO:0104004,GO:1901981,GO:1902936</v>
      </c>
    </row>
    <row r="259" spans="1:10" ht="15.75" customHeight="1" x14ac:dyDescent="0.2">
      <c r="A259" s="24" t="s">
        <v>2355</v>
      </c>
      <c r="B259" s="24">
        <v>11.7957092077349</v>
      </c>
      <c r="C259" s="24">
        <v>-7.0964243620327396</v>
      </c>
      <c r="D259" s="24">
        <v>1.40233053832225</v>
      </c>
      <c r="E259" s="24">
        <v>-5.0604505629057304</v>
      </c>
      <c r="F259" s="26">
        <v>4.1826690144494898E-7</v>
      </c>
      <c r="G259" s="24">
        <v>1.9885001916841399E-4</v>
      </c>
      <c r="H259" s="27" t="str">
        <f>VLOOKUP(A259,TableS10!A:J,8,FALSE)</f>
        <v>-</v>
      </c>
      <c r="I259" s="24" t="s">
        <v>2356</v>
      </c>
      <c r="J259" s="34" t="str">
        <f>VLOOKUP(A259,TableS10!A:J,10,FALSE)</f>
        <v>-</v>
      </c>
    </row>
    <row r="260" spans="1:10" ht="15.75" customHeight="1" x14ac:dyDescent="0.2">
      <c r="A260" s="24" t="s">
        <v>2357</v>
      </c>
      <c r="B260" s="24">
        <v>20.620725931749501</v>
      </c>
      <c r="C260" s="24">
        <v>-5.5158236838828003</v>
      </c>
      <c r="D260" s="24">
        <v>1.0913185797536</v>
      </c>
      <c r="E260" s="24">
        <v>-5.0542745136146898</v>
      </c>
      <c r="F260" s="26">
        <v>4.3202983683444199E-7</v>
      </c>
      <c r="G260" s="24">
        <v>2.04457382189923E-4</v>
      </c>
      <c r="H260" s="27" t="str">
        <f>VLOOKUP(A260,TableS10!A:J,8,FALSE)</f>
        <v>-</v>
      </c>
      <c r="I260" s="24" t="s">
        <v>10</v>
      </c>
      <c r="J260" s="34" t="str">
        <f>VLOOKUP(A260,TableS10!A:J,10,FALSE)</f>
        <v>-</v>
      </c>
    </row>
    <row r="261" spans="1:10" ht="15.75" customHeight="1" x14ac:dyDescent="0.2">
      <c r="A261" s="24" t="s">
        <v>2358</v>
      </c>
      <c r="B261" s="24">
        <v>10.9185835000679</v>
      </c>
      <c r="C261" s="24">
        <v>-6.9874700564951802</v>
      </c>
      <c r="D261" s="24">
        <v>1.3845318444122301</v>
      </c>
      <c r="E261" s="24">
        <v>-5.0468106491703999</v>
      </c>
      <c r="F261" s="26">
        <v>4.4924618163683001E-7</v>
      </c>
      <c r="G261" s="24">
        <v>2.1164079299805299E-4</v>
      </c>
      <c r="H261" s="27" t="str">
        <f>VLOOKUP(A261,TableS10!A:J,8,FALSE)</f>
        <v>-</v>
      </c>
      <c r="I261" s="24" t="s">
        <v>2359</v>
      </c>
      <c r="J261" s="34" t="str">
        <f>VLOOKUP(A261,TableS10!A:J,10,FALSE)</f>
        <v>-</v>
      </c>
    </row>
    <row r="262" spans="1:10" ht="15.75" customHeight="1" x14ac:dyDescent="0.2">
      <c r="A262" s="24" t="s">
        <v>2360</v>
      </c>
      <c r="B262" s="24">
        <v>10.7076981405254</v>
      </c>
      <c r="C262" s="24">
        <v>-6.9602307420030902</v>
      </c>
      <c r="D262" s="24">
        <v>1.3814689987128901</v>
      </c>
      <c r="E262" s="24">
        <v>-5.0382822549676396</v>
      </c>
      <c r="F262" s="26">
        <v>4.6972839692283902E-7</v>
      </c>
      <c r="G262" s="24">
        <v>2.20290954472012E-4</v>
      </c>
      <c r="H262" s="27" t="str">
        <f>VLOOKUP(A262,TableS10!A:J,8,FALSE)</f>
        <v>-</v>
      </c>
      <c r="I262" s="24" t="s">
        <v>2361</v>
      </c>
      <c r="J262" s="34" t="str">
        <f>VLOOKUP(A262,TableS10!A:J,10,FALSE)</f>
        <v>-</v>
      </c>
    </row>
    <row r="263" spans="1:10" ht="15.75" customHeight="1" x14ac:dyDescent="0.2">
      <c r="A263" s="24" t="s">
        <v>2362</v>
      </c>
      <c r="B263" s="24">
        <v>15.200721028728401</v>
      </c>
      <c r="C263" s="24">
        <v>-7.4656268655611902</v>
      </c>
      <c r="D263" s="24">
        <v>1.4839971656656199</v>
      </c>
      <c r="E263" s="24">
        <v>-5.0307554746660204</v>
      </c>
      <c r="F263" s="26">
        <v>4.8855091535565897E-7</v>
      </c>
      <c r="G263" s="24">
        <v>2.28088503304787E-4</v>
      </c>
      <c r="H263" s="27" t="str">
        <f>VLOOKUP(A263,TableS10!A:J,8,FALSE)</f>
        <v>-</v>
      </c>
      <c r="I263" s="24" t="s">
        <v>2363</v>
      </c>
      <c r="J263" s="34" t="str">
        <f>VLOOKUP(A263,TableS10!A:J,10,FALSE)</f>
        <v>-</v>
      </c>
    </row>
    <row r="264" spans="1:10" ht="15.75" customHeight="1" x14ac:dyDescent="0.2">
      <c r="A264" s="24" t="s">
        <v>2364</v>
      </c>
      <c r="B264" s="24">
        <v>64.497913828117305</v>
      </c>
      <c r="C264" s="24">
        <v>-2.59105167931058</v>
      </c>
      <c r="D264" s="24">
        <v>0.51549153743005804</v>
      </c>
      <c r="E264" s="24">
        <v>-5.0263709317674996</v>
      </c>
      <c r="F264" s="26">
        <v>4.9984862583607102E-7</v>
      </c>
      <c r="G264" s="24">
        <v>2.32839800693271E-4</v>
      </c>
      <c r="H264" s="27" t="str">
        <f>VLOOKUP(A264,TableS10!A:J,8,FALSE)</f>
        <v>-</v>
      </c>
      <c r="I264" s="24" t="s">
        <v>10</v>
      </c>
      <c r="J264" s="34" t="str">
        <f>VLOOKUP(A264,TableS10!A:J,10,FALSE)</f>
        <v>-</v>
      </c>
    </row>
    <row r="265" spans="1:10" ht="15.75" customHeight="1" x14ac:dyDescent="0.2">
      <c r="A265" s="24" t="s">
        <v>2365</v>
      </c>
      <c r="B265" s="24">
        <v>34.392010497649501</v>
      </c>
      <c r="C265" s="24">
        <v>-5.8342639162913601</v>
      </c>
      <c r="D265" s="24">
        <v>1.1616328373273901</v>
      </c>
      <c r="E265" s="24">
        <v>-5.0224681403759597</v>
      </c>
      <c r="F265" s="26">
        <v>5.1011661074928196E-7</v>
      </c>
      <c r="G265" s="24">
        <v>2.36562023622384E-4</v>
      </c>
      <c r="H265" s="27" t="str">
        <f>VLOOKUP(A265,TableS10!A:J,8,FALSE)</f>
        <v>-</v>
      </c>
      <c r="I265" s="24" t="s">
        <v>2272</v>
      </c>
      <c r="J265" s="34" t="str">
        <f>VLOOKUP(A265,TableS10!A:J,10,FALSE)</f>
        <v>-</v>
      </c>
    </row>
    <row r="266" spans="1:10" ht="15.75" customHeight="1" x14ac:dyDescent="0.2">
      <c r="A266" s="24" t="s">
        <v>2366</v>
      </c>
      <c r="B266" s="24">
        <v>17.887939511566898</v>
      </c>
      <c r="C266" s="24">
        <v>-7.7041982001075198</v>
      </c>
      <c r="D266" s="24">
        <v>1.53554895080995</v>
      </c>
      <c r="E266" s="24">
        <v>-5.0172273544544499</v>
      </c>
      <c r="F266" s="26">
        <v>5.2422518431706103E-7</v>
      </c>
      <c r="G266" s="24">
        <v>2.4202428309550101E-4</v>
      </c>
      <c r="H266" s="27" t="str">
        <f>VLOOKUP(A266,TableS10!A:J,8,FALSE)</f>
        <v>-</v>
      </c>
      <c r="I266" s="24" t="s">
        <v>10</v>
      </c>
      <c r="J266" s="34" t="str">
        <f>VLOOKUP(A266,TableS10!A:J,10,FALSE)</f>
        <v>-</v>
      </c>
    </row>
    <row r="267" spans="1:10" ht="15.75" customHeight="1" x14ac:dyDescent="0.2">
      <c r="A267" s="24" t="s">
        <v>2367</v>
      </c>
      <c r="B267" s="24">
        <v>19.589527088497</v>
      </c>
      <c r="C267" s="24">
        <v>-4.7515305626737598</v>
      </c>
      <c r="D267" s="24">
        <v>0.94722003705312396</v>
      </c>
      <c r="E267" s="24">
        <v>-5.0162901720873103</v>
      </c>
      <c r="F267" s="26">
        <v>5.2678749242874704E-7</v>
      </c>
      <c r="G267" s="24">
        <v>2.42412602319019E-4</v>
      </c>
      <c r="H267" s="27" t="str">
        <f>VLOOKUP(A267,TableS10!A:J,8,FALSE)</f>
        <v>-</v>
      </c>
      <c r="I267" s="24" t="s">
        <v>2368</v>
      </c>
      <c r="J267" s="34" t="str">
        <f>VLOOKUP(A267,TableS10!A:J,10,FALSE)</f>
        <v>-</v>
      </c>
    </row>
    <row r="268" spans="1:10" ht="15.75" customHeight="1" x14ac:dyDescent="0.2">
      <c r="A268" s="24" t="s">
        <v>2369</v>
      </c>
      <c r="B268" s="24">
        <v>11.314501202647101</v>
      </c>
      <c r="C268" s="24">
        <v>-7.0401628987685001</v>
      </c>
      <c r="D268" s="24">
        <v>1.40364143159404</v>
      </c>
      <c r="E268" s="24">
        <v>-5.01564198683801</v>
      </c>
      <c r="F268" s="26">
        <v>5.2856672659521504E-7</v>
      </c>
      <c r="G268" s="24">
        <v>2.42412602319019E-4</v>
      </c>
      <c r="H268" s="27" t="str">
        <f>VLOOKUP(A268,TableS10!A:J,8,FALSE)</f>
        <v>K05111</v>
      </c>
      <c r="I268" s="24" t="s">
        <v>2022</v>
      </c>
      <c r="J268" s="34" t="str">
        <f>VLOOKUP(A268,TableS10!A:J,10,FALSE)</f>
        <v>-</v>
      </c>
    </row>
    <row r="269" spans="1:10" ht="15.75" customHeight="1" x14ac:dyDescent="0.2">
      <c r="A269" s="24" t="s">
        <v>2370</v>
      </c>
      <c r="B269" s="24">
        <v>93.9543713816322</v>
      </c>
      <c r="C269" s="24">
        <v>-2.02375383968623</v>
      </c>
      <c r="D269" s="24">
        <v>0.40402087909550499</v>
      </c>
      <c r="E269" s="24">
        <v>-5.0090328109202602</v>
      </c>
      <c r="F269" s="26">
        <v>5.4704247517993302E-7</v>
      </c>
      <c r="G269" s="24">
        <v>2.4869005792884502E-4</v>
      </c>
      <c r="H269" s="27" t="str">
        <f>VLOOKUP(A269,TableS10!A:J,8,FALSE)</f>
        <v>K04615</v>
      </c>
      <c r="I269" s="24" t="s">
        <v>2371</v>
      </c>
      <c r="J269" s="34" t="str">
        <f>VLOOKUP(A269,TableS10!A:J,10,FALSE)</f>
        <v>-</v>
      </c>
    </row>
    <row r="270" spans="1:10" ht="15.75" customHeight="1" x14ac:dyDescent="0.2">
      <c r="A270" s="24" t="s">
        <v>2372</v>
      </c>
      <c r="B270" s="24">
        <v>15.375263212232699</v>
      </c>
      <c r="C270" s="24">
        <v>-7.4881447270640704</v>
      </c>
      <c r="D270" s="24">
        <v>1.4955512406144</v>
      </c>
      <c r="E270" s="24">
        <v>-5.0069462842261299</v>
      </c>
      <c r="F270" s="26">
        <v>5.5300351381673296E-7</v>
      </c>
      <c r="G270" s="24">
        <v>2.50851087372291E-4</v>
      </c>
      <c r="H270" s="27" t="str">
        <f>VLOOKUP(A270,TableS10!A:J,8,FALSE)</f>
        <v>-</v>
      </c>
      <c r="I270" s="24" t="s">
        <v>2373</v>
      </c>
      <c r="J270" s="34" t="str">
        <f>VLOOKUP(A270,TableS10!A:J,10,FALSE)</f>
        <v>-</v>
      </c>
    </row>
    <row r="271" spans="1:10" ht="15.75" customHeight="1" x14ac:dyDescent="0.2">
      <c r="A271" s="24" t="s">
        <v>2374</v>
      </c>
      <c r="B271" s="24">
        <v>11.562383320867299</v>
      </c>
      <c r="C271" s="24">
        <v>-7.0670112103138001</v>
      </c>
      <c r="D271" s="24">
        <v>1.41169217029371</v>
      </c>
      <c r="E271" s="24">
        <v>-5.0060568153774296</v>
      </c>
      <c r="F271" s="26">
        <v>5.5556364966011902E-7</v>
      </c>
      <c r="G271" s="24">
        <v>2.5146335860302298E-4</v>
      </c>
      <c r="H271" s="27" t="str">
        <f>VLOOKUP(A271,TableS10!A:J,8,FALSE)</f>
        <v>K11997,K12021,K12035</v>
      </c>
      <c r="I271" s="24" t="s">
        <v>2326</v>
      </c>
      <c r="J271" s="34" t="str">
        <f>VLOOKUP(A271,TableS10!A:J,10,FALSE)</f>
        <v>-</v>
      </c>
    </row>
    <row r="272" spans="1:10" ht="15.75" customHeight="1" x14ac:dyDescent="0.2">
      <c r="A272" s="24" t="s">
        <v>2375</v>
      </c>
      <c r="B272" s="24">
        <v>10.756244376347</v>
      </c>
      <c r="C272" s="24">
        <v>-6.9633224390423001</v>
      </c>
      <c r="D272" s="24">
        <v>1.3924968457260001</v>
      </c>
      <c r="E272" s="24">
        <v>-5.0006019477996499</v>
      </c>
      <c r="F272" s="26">
        <v>5.7151597958316905E-7</v>
      </c>
      <c r="G272" s="24">
        <v>2.5756154849084802E-4</v>
      </c>
      <c r="H272" s="27" t="str">
        <f>VLOOKUP(A272,TableS10!A:J,8,FALSE)</f>
        <v>-</v>
      </c>
      <c r="I272" s="24" t="s">
        <v>2376</v>
      </c>
      <c r="J272" s="34" t="str">
        <f>VLOOKUP(A272,TableS10!A:J,10,FALSE)</f>
        <v>-</v>
      </c>
    </row>
    <row r="273" spans="1:10" ht="15.75" customHeight="1" x14ac:dyDescent="0.2">
      <c r="A273" s="24" t="s">
        <v>2377</v>
      </c>
      <c r="B273" s="24">
        <v>13.5516249736717</v>
      </c>
      <c r="C273" s="24">
        <v>-7.2982010599019498</v>
      </c>
      <c r="D273" s="24">
        <v>1.46068677736403</v>
      </c>
      <c r="E273" s="24">
        <v>-4.9964175571386802</v>
      </c>
      <c r="F273" s="26">
        <v>5.8405127029498398E-7</v>
      </c>
      <c r="G273" s="24">
        <v>2.6150895627457898E-4</v>
      </c>
      <c r="H273" s="27" t="str">
        <f>VLOOKUP(A273,TableS10!A:J,8,FALSE)</f>
        <v>-</v>
      </c>
      <c r="I273" s="24" t="s">
        <v>2378</v>
      </c>
      <c r="J273" s="34" t="str">
        <f>VLOOKUP(A273,TableS10!A:J,10,FALSE)</f>
        <v>-</v>
      </c>
    </row>
    <row r="274" spans="1:10" ht="15.75" customHeight="1" x14ac:dyDescent="0.2">
      <c r="A274" s="24" t="s">
        <v>2379</v>
      </c>
      <c r="B274" s="24">
        <v>10.902789358442099</v>
      </c>
      <c r="C274" s="24">
        <v>-6.9855213197495196</v>
      </c>
      <c r="D274" s="24">
        <v>1.3984257012858901</v>
      </c>
      <c r="E274" s="24">
        <v>-4.9952752679860897</v>
      </c>
      <c r="F274" s="26">
        <v>5.8751904848050797E-7</v>
      </c>
      <c r="G274" s="24">
        <v>2.6249592997014301E-4</v>
      </c>
      <c r="H274" s="27" t="str">
        <f>VLOOKUP(A274,TableS10!A:J,8,FALSE)</f>
        <v>K04556</v>
      </c>
      <c r="I274" s="24" t="s">
        <v>2381</v>
      </c>
      <c r="J274" s="34" t="str">
        <f>VLOOKUP(A274,TableS10!A:J,10,FALSE)</f>
        <v>GO:0000122,GO:0000139,GO:0000151,GO:0000209,GO:0000266,GO:0000422,GO:0000423,GO:0000976,GO:0001067,GO:0001101,GO:0001504,GO:0001505,GO:0001558,GO:0001664,GO:0001932,GO:0001933,GO:0001959,GO:0001961,GO:0001963,GO:0001964,GO:0002020,GO:0002791,GO:0002792,GO:0002793,GO:0003008,GO:0003674,GO:0003676,GO:0003677,GO:0003690,GO:0003700,GO:0003779,GO:0003824,GO:0004842,GO:0005102,GO:0005488,GO:0005515,GO:0005575,GO:0005622,GO:0005623,GO:0005634,GO:0005654,GO:0005737,GO:0005739,GO:0005740,GO:0005741,GO:0005783,GO:0005789,GO:0005794,GO:0005829,GO:0006109,GO:0006140,GO:0006355,GO:0006357,GO:0006464,GO:0006508,GO:0006511,GO:0006513,GO:0006584,GO:0006725,GO:0006807,GO:0006810,GO:0006811,GO:0006812,GO:0006836,GO:0006839,GO:0006914,GO:0006915,GO:0006950,GO:0006979,GO:0006986,GO:0006996,GO:0007005,GO:0007034,GO:0007041,GO:0007154,GO:0007267,GO:0007268,GO:0007275,GO:0007399,GO:0007417,GO:0007420,GO:0007568,GO:0007584,GO:0007610,GO:0007611,GO:0007612,GO:0007626,GO:0008013,GO:0008021,GO:0008092,GO:0008104,GO:0008150,GO:0008152,GO:0008219,GO:0008270,GO:0008340,GO:0008344,GO:0008637,GO:0009056,GO:0009057,GO:0009605,GO:0009636,GO:0009712,GO:0009719,GO:0009725,GO:0009889,GO:0009890,GO:0009891,GO:0009892,GO:0009893,GO:0009894,GO:0009896,GO:0009966,GO:0009967,GO:0009968,GO:0009987,GO:0009991,GO:0010033,GO:0010035,GO:0010038,GO:0010042,GO:0010243,GO:0010259,GO:0010468,GO:0010498,GO:0010506,GO:0010508,GO:0010556,GO:0010557,GO:0010558,GO:0010562,GO:0010563,GO:0010604,GO:0010605,GO:0010628,GO:0010629,GO:0010635,GO:0010636,GO:0010637,GO:0010638,GO:0010639,GO:0010646,GO:0010647,GO:0010648,GO:0010675,GO:0010677,GO:0010720,GO:0010803,GO:0010817,GO:0010821,GO:0010822,GO:0010823,GO:0010906,GO:0010918,GO:0010941,GO:0010942,GO:0010975,GO:0010976,GO:0010992,GO:0010994,GO:0012501,GO:0012505,GO:0012506,GO:0014059,GO:0014069,GO:0014070,GO:0014823,GO:0014850,GO:0015631,GO:0015696,GO:0015844,GO:0015850,GO:0015872,GO:0015893,GO:0016020,GO:0016032,GO:0016043,GO:0016192,GO:0016234,GO:0016235,GO:0016236,GO:0016239,GO:0016241,GO:0016567,GO:0016579,GO:0016604,GO:0016607,GO:0016740,GO:0017124,GO:0017144,GO:0017157,GO:0018958,GO:0019048,GO:0019054,GO:0019219,GO:0019220,GO:0019222,GO:0019538,GO:0019725,GO:0019787,GO:0019867,GO:0019899,GO:0019900,GO:0019901,GO:0019904,GO:0019941,GO:0022008,GO:0022411,GO:0022603,GO:0022604,GO:0022607,GO:0023051,GO:0023052,GO:0023056,GO:0023057,GO:0030100,GO:0030111,GO:0030133,GO:0030154,GO:0030162,GO:0030163,GO:0030165,GO:0030178,GO:0030307,GO:0030334,GO:0030336,GO:0030424,GO:0030534,GO:0030544,GO:0030658,GO:0030659,GO:0030672,GO:0030808,GO:0030810,GO:0031072,GO:0031090,GO:0031323,GO:0031324,GO:0031325,GO:0031326,GO:0031327,GO:0031328,GO:0031329,GO:0031331,GO:0031344,GO:0031346,GO:0031396,GO:0031398,GO:0031399,GO:0031400,GO:0031401,GO:0031410,GO:0031624,GO:0031625,GO:0031644,GO:0031645,GO:0031647,GO:0031648,GO:0031667,GO:0031668,GO:0031669,GO:0031670,GO:0031960,GO:0031966,GO:0031967,GO:0031968,GO:0031974,GO:0031975,GO:0031981,GO:0031982,GO:0031984,GO:0032024,GO:0032092,GO:0032182,GO:0032231,GO:0032232,GO:0032268,GO:0032269,GO:0032270,GO:0032279,GO:0032368,GO:0032386,GO:0032388,GO:0032434,GO:0032436,GO:0032446,GO:0032501,GO:0032502,GO:0032872,GO:0032873,GO:0032879,GO:0032880,GO:0032956,GO:0032970,GO:0032991,GO:0033036,GO:0033043,GO:0033131,GO:0033132,GO:0033157,GO:0033238,GO:0033267,GO:0033365,GO:0033554,GO:0033673,GO:0033993,GO:0034613,GO:0034620,GO:0034622,GO:0034976,GO:0035249,GO:0035519,GO:0035690,GO:0035774,GO:0035821,GO:0035966,GO:0035967,GO:0036211,GO:0036477,GO:0036503,GO:0040008,GO:0040012,GO:0040013,GO:0042053,GO:0042069,GO:0042175,GO:0042176,GO:0042221,GO:0042325,GO:0042326,GO:0042391,GO:0042415,GO:0042417,GO:0042493,GO:0042592,GO:0042802,GO:0042826,GO:0042981,GO:0042995,GO:0043005,GO:0043025,GO:0043065,GO:0043066,GO:0043067,GO:0043068,GO:0043069,GO:0043086,GO:0043122,GO:0043123,GO:0043130,GO:0043161,GO:0043167,GO:0043169,GO:0043170,GO:0043195,GO:0043200,GO:0043226,GO:0043227,GO:0043229,GO:0043231,GO:0043233,GO:0043269,GO:0043274,GO:0043388,GO:0043393,GO:0043408,GO:0043409,GO:0043412,GO:0043523,GO:0043524,GO:0043549,GO:0043565,GO:0043632,GO:0043653,GO:0043679,GO:0043900,GO:0043901,GO:0043903,GO:0043933,GO:0044003,GO:0044057,GO:0044068,GO:0044085,GO:0044087,GO:0044092,GO:0044093,GO:0044212,GO:0044237,GO:0044238,GO:0044248,GO:0044257,GO:0044260,GO:0044265,GO:0044267,GO:0044297,GO:0044306,GO:0044314,GO:0044389,GO:0044390,GO:0044403,GO:0044419,GO:0044422,GO:0044424,GO:0044425,GO:0044428,GO:0044429,GO:0044431,GO:0044432,GO:0044433,GO:0044444,GO:0044446,GO:0044451,GO:0044456,GO:0044463,GO:0044464,GO:0044788,GO:0044793,GO:0044827,GO:0044828,GO:0044877,GO:0045069,GO:0045071,GO:0045121,GO:0045202,GO:0045472,GO:0045595,GO:0045597,GO:0045664,GO:0045666,GO:0045732,GO:0045806,GO:0045838,GO:0045862,GO:0045892,GO:0045893,GO:0045912,GO:0045920,GO:0045927,GO:0045934,GO:0045935,GO:0045936,GO:0045937,GO:0045944,GO:0045981,GO:0046328,GO:0046329,GO:0046676,GO:0046677,GO:0046872,GO:0046883,GO:0046887,GO:0046888,GO:0046914,GO:0046928,GO:0046929,GO:0048285,GO:0048471,GO:0048513,GO:0048518,GO:0048519,GO:0048522,GO:0048523,GO:0048525,GO:0048545,GO:0048583,GO:0048584,GO:0048585,GO:0048638,GO:0048639,GO:0048699,GO:0048731,GO:0048856,GO:0048869,GO:0048878,GO:0050433,GO:0050708,GO:0050709,GO:0050714,GO:0050764,GO:0050765,GO:0050767,GO:0050769,GO:0050789,GO:0050790,GO:0050792,GO:0050793,GO:0050794,GO:0050796,GO:0050801,GO:0050804,GO:0050805,GO:0050821,GO:0050877,GO:0050890,GO:0050896,GO:0050905,GO:0051046,GO:0051047,GO:0051048,GO:0051049,GO:0051050,GO:0051051,GO:0051087,GO:0051093,GO:0051094,GO:0051098,GO:0051099,GO:0051101,GO:0051128,GO:0051129,GO:0051130,GO:0051171,GO:0051172,GO:0051173,GO:0051174,GO:0051179,GO:0051222,GO:0051223,GO:0051224,GO:0051234,GO:0051239,GO:0051240,GO:0051241,GO:0051246,GO:0051247,GO:0051248,GO:0051252,GO:0051253,GO:0051254,GO:0051258,GO:0051270,GO:0051271,GO:0051338,GO:0051341,GO:0051348,GO:0051354,GO:0051384,GO:0051385,GO:0051412,GO:0051493,GO:0051494,GO:0051580,GO:0051582,GO:0051583,GO:0051588,GO:0051589,GO:0051590,GO:0051603,GO:0051640,GO:0051641,GO:0051646,GO:0051649,GO:0051701,GO:0051702,GO:0051704,GO:0051716,GO:0051817,GO:0051851,GO:0051865,GO:0051881,GO:0051934,GO:0051937,GO:0051952,GO:0051960,GO:0051962,GO:0051966,GO:0051967,GO:0055065,GO:0055069,GO:0055076,GO:0055080,GO:0060099,GO:0060101,GO:0060249,GO:0060255,GO:0060284,GO:0060322,GO:0060341,GO:0060359,GO:0060548,GO:0060627,GO:0060759,GO:0060760,GO:0060828,GO:0061136,GO:0061178,GO:0061630,GO:0061659,GO:0061726,GO:0061734,GO:0061912,GO:0061919,GO:0062012,GO:0062013,GO:0065003,GO:0065007,GO:0065008,GO:0065009,GO:0070013,GO:0070050,GO:0070201,GO:0070302,GO:0070303,GO:0070382,GO:0070534,GO:0070585,GO:0070646,GO:0070647,GO:0070727,GO:0070841,GO:0070842,GO:0070887,GO:0070936,GO:0070979,GO:0071229,GO:0071230,GO:0071241,GO:0071242,GO:0071248,GO:0071287,GO:0071310,GO:0071407,GO:0071417,GO:0071495,GO:0071496,GO:0071702,GO:0071704,GO:0071705,GO:0071840,GO:0071867,GO:0071868,GO:0071869,GO:0071870,GO:0072507,GO:0080090,GO:0080134,GO:0080135,GO:0085020,GO:0090087,GO:0090090,GO:0090140,GO:0090141,GO:0090199,GO:0090201,GO:0090258,GO:0090276,GO:0090277,GO:0090278,GO:0090394,GO:0090493,GO:0090494,GO:0097159,GO:0097164,GO:0097237,GO:0097305,GO:0097327,GO:0097413,GO:0097458,GO:0097602,GO:0097708,GO:0098588,GO:0098589,GO:0098657,GO:0098771,GO:0098779,GO:0098780,GO:0098791,GO:0098793,GO:0098794,GO:0098805,GO:0098810,GO:0098815,GO:0098827,GO:0098857,GO:0098916,GO:0098984,GO:0099074,GO:0099075,GO:0099177,GO:0099501,GO:0099503,GO:0099536,GO:0099537,GO:0099572,GO:0110053,GO:0120025,GO:0120035,GO:0120038,GO:0140096,GO:0140110,GO:0150003,GO:0150034,GO:1900371,GO:1900373,GO:1900407,GO:1900408,GO:1900542,GO:1900544,GO:1901074,GO:1901075,GO:1901214,GO:1901215,GO:1901360,GO:1901363,GO:1901524,GO:1901526,GO:1901564,GO:1901565,GO:1901575,GO:1901615,GO:1901654,GO:1901698,GO:1901699,GO:1901700,GO:1901701,GO:1901796,GO:1901797,GO:1901800,GO:1902065,GO:1902175,GO:1902176,GO:1902235,GO:1902236,GO:1902253,GO:1902254,GO:1902283,GO:1902494,GO:1902528,GO:1902530,GO:1902531,GO:1902532,GO:1902533,GO:1902679,GO:1902680,GO:1902803,GO:1902882,GO:1902883,GO:1902903,GO:1902904,GO:1902914,GO:1902916,GO:1903008,GO:1903050,GO:1903052,GO:1903146,GO:1903201,GO:1903202,GO:1903203,GO:1903204,GO:1903214,GO:1903265,GO:1903299,GO:1903300,GO:1903320,GO:1903322,GO:1903350,GO:1903351,GO:1903362,GO:1903364,GO:1903376,GO:1903377,GO:1903381,GO:1903382,GO:1903426,GO:1903427,GO:1903506,GO:1903507,GO:1903508,GO:1903530,GO:1903531,GO:1903532,GO:1903533,GO:1903541,GO:1903542,GO:1903573,GO:1903578,GO:1903580,GO:1903599,GO:1903649,GO:1903651,GO:1903747,GO:1903827,GO:1903829,GO:1903859,GO:1903861,GO:1903900,GO:1903901,GO:1904048,GO:1904049,GO:1904643,GO:1904844,GO:1904845,GO:1904880,GO:1904881,GO:1904923,GO:1904925,GO:1904950,GO:1904951,GO:1904978,GO:1904979,GO:1905153,GO:1905154,GO:1905232,GO:1905279,GO:1905281,GO:1905365,GO:1905366,GO:1905475,GO:1905477,GO:1905897,GO:1905952,GO:1990234,GO:1990381,GO:1990444,GO:1990452,GO:1990837,GO:2000026,GO:2000058,GO:2000060,GO:2000112,GO:2000113,GO:2000145,GO:2000146,GO:2000377,GO:2000378,GO:2000425,GO:2000426,GO:2001023,GO:2001141,GO:2001169,GO:2001171,GO:2001233,GO:2001234,GO:2001242,GO:2001243</v>
      </c>
    </row>
    <row r="275" spans="1:10" ht="15.75" customHeight="1" x14ac:dyDescent="0.2">
      <c r="A275" s="24" t="s">
        <v>2382</v>
      </c>
      <c r="B275" s="24">
        <v>11.7155746886618</v>
      </c>
      <c r="C275" s="24">
        <v>-7.0895081710506096</v>
      </c>
      <c r="D275" s="24">
        <v>1.4198237519894901</v>
      </c>
      <c r="E275" s="24">
        <v>-4.9932311395105398</v>
      </c>
      <c r="F275" s="26">
        <v>5.9377424378728598E-7</v>
      </c>
      <c r="G275" s="24">
        <v>2.6472137723663401E-4</v>
      </c>
      <c r="H275" s="27" t="str">
        <f>VLOOKUP(A275,TableS10!A:J,8,FALSE)</f>
        <v>-</v>
      </c>
      <c r="I275" s="24" t="s">
        <v>2383</v>
      </c>
      <c r="J275" s="34" t="str">
        <f>VLOOKUP(A275,TableS10!A:J,10,FALSE)</f>
        <v>-</v>
      </c>
    </row>
    <row r="276" spans="1:10" ht="15.75" customHeight="1" x14ac:dyDescent="0.2">
      <c r="A276" s="24" t="s">
        <v>2384</v>
      </c>
      <c r="B276" s="24">
        <v>21.634243862027802</v>
      </c>
      <c r="C276" s="24">
        <v>-6.0918769050377302</v>
      </c>
      <c r="D276" s="24">
        <v>1.22039372515318</v>
      </c>
      <c r="E276" s="24">
        <v>-4.9917307664566204</v>
      </c>
      <c r="F276" s="26">
        <v>5.9840630611572997E-7</v>
      </c>
      <c r="G276" s="24">
        <v>2.6564636866106698E-4</v>
      </c>
      <c r="H276" s="27" t="str">
        <f>VLOOKUP(A276,TableS10!A:J,8,FALSE)</f>
        <v>K00318</v>
      </c>
      <c r="I276" s="24" t="s">
        <v>2385</v>
      </c>
      <c r="J276" s="34" t="str">
        <f>VLOOKUP(A276,TableS10!A:J,10,FALSE)</f>
        <v>-</v>
      </c>
    </row>
    <row r="277" spans="1:10" ht="15.75" customHeight="1" x14ac:dyDescent="0.2">
      <c r="A277" s="24" t="s">
        <v>2386</v>
      </c>
      <c r="B277" s="24">
        <v>72.666464953810006</v>
      </c>
      <c r="C277" s="24">
        <v>-3.0979757183129002</v>
      </c>
      <c r="D277" s="24">
        <v>0.62107282884081305</v>
      </c>
      <c r="E277" s="24">
        <v>-4.9881037689171501</v>
      </c>
      <c r="F277" s="26">
        <v>6.0974816625059097E-7</v>
      </c>
      <c r="G277" s="24">
        <v>2.7010413651931301E-4</v>
      </c>
      <c r="H277" s="27" t="str">
        <f>VLOOKUP(A277,TableS10!A:J,8,FALSE)</f>
        <v>-</v>
      </c>
      <c r="I277" s="24" t="s">
        <v>10</v>
      </c>
      <c r="J277" s="34" t="str">
        <f>VLOOKUP(A277,TableS10!A:J,10,FALSE)</f>
        <v>-</v>
      </c>
    </row>
    <row r="278" spans="1:10" ht="15.75" customHeight="1" x14ac:dyDescent="0.2">
      <c r="A278" s="24" t="s">
        <v>2387</v>
      </c>
      <c r="B278" s="24">
        <v>67.284807867162797</v>
      </c>
      <c r="C278" s="24">
        <v>-2.5139177063357701</v>
      </c>
      <c r="D278" s="24">
        <v>0.50451233700881504</v>
      </c>
      <c r="E278" s="24">
        <v>-4.9828666653434901</v>
      </c>
      <c r="F278" s="26">
        <v>6.2649122273413201E-7</v>
      </c>
      <c r="G278" s="24">
        <v>2.7634248507505798E-4</v>
      </c>
      <c r="H278" s="27" t="str">
        <f>VLOOKUP(A278,TableS10!A:J,8,FALSE)</f>
        <v>-</v>
      </c>
      <c r="I278" s="24" t="s">
        <v>10</v>
      </c>
      <c r="J278" s="34" t="str">
        <f>VLOOKUP(A278,TableS10!A:J,10,FALSE)</f>
        <v>-</v>
      </c>
    </row>
    <row r="279" spans="1:10" ht="15.75" customHeight="1" x14ac:dyDescent="0.2">
      <c r="A279" s="24" t="s">
        <v>2388</v>
      </c>
      <c r="B279" s="24">
        <v>10.5017158724275</v>
      </c>
      <c r="C279" s="24">
        <v>-6.9325734940345098</v>
      </c>
      <c r="D279" s="24">
        <v>1.3914845581952699</v>
      </c>
      <c r="E279" s="24">
        <v>-4.9821418809174203</v>
      </c>
      <c r="F279" s="26">
        <v>6.28842983475467E-7</v>
      </c>
      <c r="G279" s="24">
        <v>2.7679216710790102E-4</v>
      </c>
      <c r="H279" s="27" t="str">
        <f>VLOOKUP(A279,TableS10!A:J,8,FALSE)</f>
        <v>-</v>
      </c>
      <c r="I279" s="24" t="s">
        <v>2389</v>
      </c>
      <c r="J279" s="34" t="str">
        <f>VLOOKUP(A279,TableS10!A:J,10,FALSE)</f>
        <v>-</v>
      </c>
    </row>
    <row r="280" spans="1:10" ht="15.75" customHeight="1" x14ac:dyDescent="0.2">
      <c r="A280" s="24" t="s">
        <v>2390</v>
      </c>
      <c r="B280" s="24">
        <v>44.502592602535103</v>
      </c>
      <c r="C280" s="24">
        <v>-3.3513039716686599</v>
      </c>
      <c r="D280" s="24">
        <v>0.674580215251954</v>
      </c>
      <c r="E280" s="24">
        <v>-4.9679843788732496</v>
      </c>
      <c r="F280" s="26">
        <v>6.7652410970477895E-7</v>
      </c>
      <c r="G280" s="24">
        <v>2.9465816129103998E-4</v>
      </c>
      <c r="H280" s="27" t="str">
        <f>VLOOKUP(A280,TableS10!A:J,8,FALSE)</f>
        <v>-</v>
      </c>
      <c r="I280" s="24" t="s">
        <v>2391</v>
      </c>
      <c r="J280" s="34" t="str">
        <f>VLOOKUP(A280,TableS10!A:J,10,FALSE)</f>
        <v>-</v>
      </c>
    </row>
    <row r="281" spans="1:10" ht="15.75" customHeight="1" x14ac:dyDescent="0.2">
      <c r="A281" s="24" t="s">
        <v>2392</v>
      </c>
      <c r="B281" s="24">
        <v>10.4758628559218</v>
      </c>
      <c r="C281" s="24">
        <v>-6.9322534193810297</v>
      </c>
      <c r="D281" s="24">
        <v>1.3957376398424901</v>
      </c>
      <c r="E281" s="24">
        <v>-4.9667310112546303</v>
      </c>
      <c r="F281" s="26">
        <v>6.8090930228689703E-7</v>
      </c>
      <c r="G281" s="24">
        <v>2.9547447396239201E-4</v>
      </c>
      <c r="H281" s="27" t="str">
        <f>VLOOKUP(A281,TableS10!A:J,8,FALSE)</f>
        <v>-</v>
      </c>
      <c r="I281" s="24" t="s">
        <v>10</v>
      </c>
      <c r="J281" s="34" t="str">
        <f>VLOOKUP(A281,TableS10!A:J,10,FALSE)</f>
        <v>-</v>
      </c>
    </row>
    <row r="282" spans="1:10" ht="15.75" customHeight="1" x14ac:dyDescent="0.2">
      <c r="A282" s="24" t="s">
        <v>2393</v>
      </c>
      <c r="B282" s="24">
        <v>12.188972497106001</v>
      </c>
      <c r="C282" s="24">
        <v>-7.14466251308881</v>
      </c>
      <c r="D282" s="24">
        <v>1.44001075671087</v>
      </c>
      <c r="E282" s="24">
        <v>-4.9615341272921603</v>
      </c>
      <c r="F282" s="26">
        <v>6.9938578901260103E-7</v>
      </c>
      <c r="G282" s="24">
        <v>3.0208231597110601E-4</v>
      </c>
      <c r="H282" s="27" t="str">
        <f>VLOOKUP(A282,TableS10!A:J,8,FALSE)</f>
        <v>-</v>
      </c>
      <c r="I282" s="24" t="s">
        <v>2394</v>
      </c>
      <c r="J282" s="34" t="str">
        <f>VLOOKUP(A282,TableS10!A:J,10,FALSE)</f>
        <v>-</v>
      </c>
    </row>
    <row r="283" spans="1:10" ht="15.75" customHeight="1" x14ac:dyDescent="0.2">
      <c r="A283" s="24" t="s">
        <v>2395</v>
      </c>
      <c r="B283" s="24">
        <v>1283.45518144635</v>
      </c>
      <c r="C283" s="24">
        <v>-2.5145928837492399</v>
      </c>
      <c r="D283" s="24">
        <v>0.50758596255676702</v>
      </c>
      <c r="E283" s="24">
        <v>-4.9540236910472402</v>
      </c>
      <c r="F283" s="26">
        <v>7.2694349814016702E-7</v>
      </c>
      <c r="G283" s="24">
        <v>3.1268503809442799E-4</v>
      </c>
      <c r="H283" s="27" t="str">
        <f>VLOOKUP(A283,TableS10!A:J,8,FALSE)</f>
        <v>-</v>
      </c>
      <c r="I283" s="24" t="s">
        <v>2396</v>
      </c>
      <c r="J283" s="34" t="str">
        <f>VLOOKUP(A283,TableS10!A:J,10,FALSE)</f>
        <v>-</v>
      </c>
    </row>
    <row r="284" spans="1:10" ht="15.75" customHeight="1" x14ac:dyDescent="0.2">
      <c r="A284" s="24" t="s">
        <v>2397</v>
      </c>
      <c r="B284" s="24">
        <v>273.964389320066</v>
      </c>
      <c r="C284" s="24">
        <v>-2.7354028784460298</v>
      </c>
      <c r="D284" s="24">
        <v>0.55317050681392499</v>
      </c>
      <c r="E284" s="24">
        <v>-4.9449543038746304</v>
      </c>
      <c r="F284" s="26">
        <v>7.6161727747382201E-7</v>
      </c>
      <c r="G284" s="24">
        <v>3.2624857546154898E-4</v>
      </c>
      <c r="H284" s="27" t="str">
        <f>VLOOKUP(A284,TableS10!A:J,8,FALSE)</f>
        <v>K21294</v>
      </c>
      <c r="I284" s="24" t="s">
        <v>2398</v>
      </c>
      <c r="J284" s="34" t="str">
        <f>VLOOKUP(A284,TableS10!A:J,10,FALSE)</f>
        <v>-</v>
      </c>
    </row>
    <row r="285" spans="1:10" ht="15.75" customHeight="1" x14ac:dyDescent="0.2">
      <c r="A285" s="24" t="s">
        <v>2399</v>
      </c>
      <c r="B285" s="24">
        <v>62.044577051048599</v>
      </c>
      <c r="C285" s="24">
        <v>-2.2151943360988402</v>
      </c>
      <c r="D285" s="24">
        <v>0.448469835597952</v>
      </c>
      <c r="E285" s="24">
        <v>-4.93945001483831</v>
      </c>
      <c r="F285" s="26">
        <v>7.8343222274990303E-7</v>
      </c>
      <c r="G285" s="24">
        <v>3.3421508186782102E-4</v>
      </c>
      <c r="H285" s="27" t="str">
        <f>VLOOKUP(A285,TableS10!A:J,8,FALSE)</f>
        <v>-</v>
      </c>
      <c r="I285" s="24" t="s">
        <v>10</v>
      </c>
      <c r="J285" s="34" t="str">
        <f>VLOOKUP(A285,TableS10!A:J,10,FALSE)</f>
        <v>-</v>
      </c>
    </row>
    <row r="286" spans="1:10" ht="15.75" customHeight="1" x14ac:dyDescent="0.2">
      <c r="A286" s="24" t="s">
        <v>2400</v>
      </c>
      <c r="B286" s="24">
        <v>22.9541926461423</v>
      </c>
      <c r="C286" s="24">
        <v>-4.5894960908482796</v>
      </c>
      <c r="D286" s="24">
        <v>0.92927173608412095</v>
      </c>
      <c r="E286" s="24">
        <v>-4.93880951355312</v>
      </c>
      <c r="F286" s="26">
        <v>7.8600944981592497E-7</v>
      </c>
      <c r="G286" s="24">
        <v>3.3462741650810897E-4</v>
      </c>
      <c r="H286" s="27" t="str">
        <f>VLOOKUP(A286,TableS10!A:J,8,FALSE)</f>
        <v>-</v>
      </c>
      <c r="I286" s="24" t="s">
        <v>2401</v>
      </c>
      <c r="J286" s="34" t="str">
        <f>VLOOKUP(A286,TableS10!A:J,10,FALSE)</f>
        <v>-</v>
      </c>
    </row>
    <row r="287" spans="1:10" ht="15.75" customHeight="1" x14ac:dyDescent="0.2">
      <c r="A287" s="24" t="s">
        <v>2402</v>
      </c>
      <c r="B287" s="24">
        <v>77.541660442593297</v>
      </c>
      <c r="C287" s="24">
        <v>-4.9682391229888401</v>
      </c>
      <c r="D287" s="24">
        <v>1.0066228012214999</v>
      </c>
      <c r="E287" s="24">
        <v>-4.9355519435483401</v>
      </c>
      <c r="F287" s="26">
        <v>7.9924404552329104E-7</v>
      </c>
      <c r="G287" s="24">
        <v>3.3818278191799798E-4</v>
      </c>
      <c r="H287" s="27" t="str">
        <f>VLOOKUP(A287,TableS10!A:J,8,FALSE)</f>
        <v>-</v>
      </c>
      <c r="I287" s="24" t="s">
        <v>2403</v>
      </c>
      <c r="J287" s="34" t="str">
        <f>VLOOKUP(A287,TableS10!A:J,10,FALSE)</f>
        <v>-</v>
      </c>
    </row>
    <row r="288" spans="1:10" ht="15.75" customHeight="1" x14ac:dyDescent="0.2">
      <c r="A288" s="24" t="s">
        <v>2404</v>
      </c>
      <c r="B288" s="24">
        <v>11.8741004325533</v>
      </c>
      <c r="C288" s="24">
        <v>-7.1026431934696097</v>
      </c>
      <c r="D288" s="24">
        <v>1.4426121159590499</v>
      </c>
      <c r="E288" s="24">
        <v>-4.9234601005328296</v>
      </c>
      <c r="F288" s="26">
        <v>8.5027219506226505E-7</v>
      </c>
      <c r="G288" s="24">
        <v>3.5765025288211297E-4</v>
      </c>
      <c r="H288" s="27" t="str">
        <f>VLOOKUP(A288,TableS10!A:J,8,FALSE)</f>
        <v>-</v>
      </c>
      <c r="I288" s="24" t="s">
        <v>10</v>
      </c>
      <c r="J288" s="34" t="str">
        <f>VLOOKUP(A288,TableS10!A:J,10,FALSE)</f>
        <v>-</v>
      </c>
    </row>
    <row r="289" spans="1:10" ht="15.75" customHeight="1" x14ac:dyDescent="0.2">
      <c r="A289" s="24" t="s">
        <v>2405</v>
      </c>
      <c r="B289" s="24">
        <v>18.8374796830471</v>
      </c>
      <c r="C289" s="24">
        <v>-4.6739822936804201</v>
      </c>
      <c r="D289" s="24">
        <v>0.94939430309669404</v>
      </c>
      <c r="E289" s="24">
        <v>-4.9231202235309599</v>
      </c>
      <c r="F289" s="26">
        <v>8.51750882490336E-7</v>
      </c>
      <c r="G289" s="24">
        <v>3.5765025288211297E-4</v>
      </c>
      <c r="H289" s="27" t="str">
        <f>VLOOKUP(A289,TableS10!A:J,8,FALSE)</f>
        <v>K18655,K18656</v>
      </c>
      <c r="I289" s="24" t="s">
        <v>2406</v>
      </c>
      <c r="J289" s="34" t="str">
        <f>VLOOKUP(A289,TableS10!A:J,10,FALSE)</f>
        <v>GO:0000003,GO:0000166,GO:0003006,GO:0003674,GO:0003676,GO:0003723,GO:0003724,GO:0003824,GO:0004004,GO:0004386,GO:0005488,GO:0005524,GO:0005575,GO:0005622,GO:0005623,GO:0005634,GO:0005635,GO:0005643,GO:0005681,GO:0005730,GO:0005737,GO:0006139,GO:0006396,GO:0006403,GO:0006405,GO:0006406,GO:0006417,GO:0006611,GO:0006725,GO:0006807,GO:0006810,GO:0006886,GO:0006913,GO:0007276,GO:0007281,GO:0007283,GO:0007286,GO:0008026,GO:0008104,GO:0008144,GO:0008150,GO:0008152,GO:0008186,GO:0008380,GO:0009889,GO:0009987,GO:0010467,GO:0010468,GO:0010501,GO:0010556,GO:0010608,GO:0010941,GO:0010942,GO:0012505,GO:0015031,GO:0015833,GO:0015931,GO:0016020,GO:0016070,GO:0016462,GO:0016787,GO:0016817,GO:0016818,GO:0016887,GO:0017076,GO:0017111,GO:0019222,GO:0019953,GO:0022412,GO:0022414,GO:0030154,GO:0030554,GO:0031090,GO:0031323,GO:0031326,GO:0031503,GO:0031965,GO:0031967,GO:0031974,GO:0031975,GO:0031981,GO:0032268,GO:0032501,GO:0032502,GO:0032504,GO:0032553,GO:0032555,GO:0032559,GO:0032991,GO:0033036,GO:0033391,GO:0034248,GO:0034613,GO:0034641,GO:0035639,GO:0035770,GO:0036094,GO:0036464,GO:0042623,GO:0042886,GO:0042981,GO:0043065,GO:0043067,GO:0043068,GO:0043167,GO:0043168,GO:0043170,GO:0043186,GO:0043226,GO:0043227,GO:0043228,GO:0043229,GO:0043231,GO:0043232,GO:0043233,GO:0044237,GO:0044238,GO:0044422,GO:0044424,GO:0044428,GO:0044444,GO:0044446,GO:0044464,GO:0044614,GO:0044703,GO:0045184,GO:0045495,GO:0046483,GO:0046907,GO:0048232,GO:0048468,GO:0048515,GO:0048518,GO:0048522,GO:0048609,GO:0048856,GO:0048869,GO:0050657,GO:0050658,GO:0050789,GO:0050794,GO:0051028,GO:0051168,GO:0051169,GO:0051171,GO:0051179,GO:0051234,GO:0051236,GO:0051246,GO:0051641,GO:0051649,GO:0051704,GO:0060255,GO:0060293,GO:0065007,GO:0070013,GO:0070035,GO:0070727,GO:0071013,GO:0071166,GO:0071426,GO:0071427,GO:0071702,GO:0071704,GO:0071705,GO:0080090,GO:0090304,GO:0097159,GO:0097367,GO:0140098,GO:1901265,GO:1901360,GO:1901363,GO:1902494,GO:1990904,GO:2000112</v>
      </c>
    </row>
    <row r="290" spans="1:10" ht="15.75" customHeight="1" x14ac:dyDescent="0.2">
      <c r="A290" s="24" t="s">
        <v>2407</v>
      </c>
      <c r="B290" s="24">
        <v>121.941826044899</v>
      </c>
      <c r="C290" s="24">
        <v>-3.4978382407285902</v>
      </c>
      <c r="D290" s="24">
        <v>0.71105090784907199</v>
      </c>
      <c r="E290" s="24">
        <v>-4.9192514939746701</v>
      </c>
      <c r="F290" s="26">
        <v>8.6875787748372901E-7</v>
      </c>
      <c r="G290" s="24">
        <v>3.6389044676312401E-4</v>
      </c>
      <c r="H290" s="27" t="str">
        <f>VLOOKUP(A290,TableS10!A:J,8,FALSE)</f>
        <v>-</v>
      </c>
      <c r="I290" s="24" t="s">
        <v>10</v>
      </c>
      <c r="J290" s="34" t="str">
        <f>VLOOKUP(A290,TableS10!A:J,10,FALSE)</f>
        <v>-</v>
      </c>
    </row>
    <row r="291" spans="1:10" ht="15.75" customHeight="1" x14ac:dyDescent="0.2">
      <c r="A291" s="24" t="s">
        <v>2408</v>
      </c>
      <c r="B291" s="24">
        <v>67.179143019469393</v>
      </c>
      <c r="C291" s="24">
        <v>-7.6871140979933097</v>
      </c>
      <c r="D291" s="24">
        <v>1.5631899291936799</v>
      </c>
      <c r="E291" s="24">
        <v>-4.9175816415081801</v>
      </c>
      <c r="F291" s="26">
        <v>8.7619918378757502E-7</v>
      </c>
      <c r="G291" s="24">
        <v>3.6567858263324398E-4</v>
      </c>
      <c r="H291" s="27" t="str">
        <f>VLOOKUP(A291,TableS10!A:J,8,FALSE)</f>
        <v>-</v>
      </c>
      <c r="I291" s="24" t="s">
        <v>10</v>
      </c>
      <c r="J291" s="34" t="str">
        <f>VLOOKUP(A291,TableS10!A:J,10,FALSE)</f>
        <v>-</v>
      </c>
    </row>
    <row r="292" spans="1:10" ht="15.75" customHeight="1" x14ac:dyDescent="0.2">
      <c r="A292" s="24" t="s">
        <v>2409</v>
      </c>
      <c r="B292" s="24">
        <v>33.912482162689301</v>
      </c>
      <c r="C292" s="24">
        <v>-3.5147605128755002</v>
      </c>
      <c r="D292" s="24">
        <v>0.71474483679171597</v>
      </c>
      <c r="E292" s="24">
        <v>-4.9175038866349103</v>
      </c>
      <c r="F292" s="26">
        <v>8.7654717144802199E-7</v>
      </c>
      <c r="G292" s="24">
        <v>3.6567858263324398E-4</v>
      </c>
      <c r="H292" s="27" t="str">
        <f>VLOOKUP(A292,TableS10!A:J,8,FALSE)</f>
        <v>-</v>
      </c>
      <c r="I292" s="24" t="s">
        <v>10</v>
      </c>
      <c r="J292" s="34" t="str">
        <f>VLOOKUP(A292,TableS10!A:J,10,FALSE)</f>
        <v>-</v>
      </c>
    </row>
    <row r="293" spans="1:10" ht="15.75" customHeight="1" x14ac:dyDescent="0.2">
      <c r="A293" s="24" t="s">
        <v>2410</v>
      </c>
      <c r="B293" s="24">
        <v>10.1322306696644</v>
      </c>
      <c r="C293" s="24">
        <v>-6.8819750897429497</v>
      </c>
      <c r="D293" s="24">
        <v>1.4014584235410601</v>
      </c>
      <c r="E293" s="24">
        <v>-4.9105809877358304</v>
      </c>
      <c r="F293" s="26">
        <v>9.0806941654897905E-7</v>
      </c>
      <c r="G293" s="24">
        <v>3.77313739409099E-4</v>
      </c>
      <c r="H293" s="27" t="str">
        <f>VLOOKUP(A293,TableS10!A:J,8,FALSE)</f>
        <v>-</v>
      </c>
      <c r="I293" s="24" t="s">
        <v>2412</v>
      </c>
      <c r="J293" s="34" t="str">
        <f>VLOOKUP(A293,TableS10!A:J,10,FALSE)</f>
        <v>-</v>
      </c>
    </row>
    <row r="294" spans="1:10" ht="15.75" customHeight="1" x14ac:dyDescent="0.2">
      <c r="A294" s="24" t="s">
        <v>2413</v>
      </c>
      <c r="B294" s="24">
        <v>11.3010298385867</v>
      </c>
      <c r="C294" s="24">
        <v>-7.0441747623786402</v>
      </c>
      <c r="D294" s="24">
        <v>1.4394808859801</v>
      </c>
      <c r="E294" s="24">
        <v>-4.8935521346519897</v>
      </c>
      <c r="F294" s="26">
        <v>9.90320643836331E-7</v>
      </c>
      <c r="G294" s="24">
        <v>4.0580878832516899E-4</v>
      </c>
      <c r="H294" s="27" t="str">
        <f>VLOOKUP(A294,TableS10!A:J,8,FALSE)</f>
        <v>-</v>
      </c>
      <c r="I294" s="24" t="s">
        <v>2414</v>
      </c>
      <c r="J294" s="34" t="str">
        <f>VLOOKUP(A294,TableS10!A:J,10,FALSE)</f>
        <v>GO:0003674,GO:0003712,GO:0003713,GO:0005575,GO:0005622,GO:0005623,GO:0005634,GO:0005654,GO:0006355,GO:0006357,GO:0008150,GO:0009889,GO:0009891,GO:0009893,GO:0010468,GO:0010556,GO:0010557,GO:0010604,GO:0010628,GO:0019216,GO:0019219,GO:0019222,GO:0030374,GO:0031323,GO:0031325,GO:0031326,GO:0031328,GO:0031974,GO:0031981,GO:0043226,GO:0043227,GO:0043229,GO:0043231,GO:0043233,GO:0044422,GO:0044424,GO:0044428,GO:0044446,GO:0044464,GO:0045893,GO:0045935,GO:0045944,GO:0048518,GO:0048522,GO:0050789,GO:0050794,GO:0051171,GO:0051173,GO:0051252,GO:0051254,GO:0060255,GO:0065007,GO:0070013,GO:0080090,GO:0140110,GO:1902680,GO:1903506,GO:1903508,GO:2000112,GO:2001141</v>
      </c>
    </row>
    <row r="295" spans="1:10" ht="15.75" customHeight="1" x14ac:dyDescent="0.2">
      <c r="A295" s="24" t="s">
        <v>2415</v>
      </c>
      <c r="B295" s="24">
        <v>10.374124829147901</v>
      </c>
      <c r="C295" s="24">
        <v>-6.9094646956600902</v>
      </c>
      <c r="D295" s="24">
        <v>1.41238729295617</v>
      </c>
      <c r="E295" s="24">
        <v>-4.8920467708246997</v>
      </c>
      <c r="F295" s="26">
        <v>9.979272168493399E-7</v>
      </c>
      <c r="G295" s="24">
        <v>4.0674339402990798E-4</v>
      </c>
      <c r="H295" s="27" t="str">
        <f>VLOOKUP(A295,TableS10!A:J,8,FALSE)</f>
        <v>-</v>
      </c>
      <c r="I295" s="24" t="s">
        <v>10</v>
      </c>
      <c r="J295" s="34" t="str">
        <f>VLOOKUP(A295,TableS10!A:J,10,FALSE)</f>
        <v>-</v>
      </c>
    </row>
    <row r="296" spans="1:10" ht="15.75" customHeight="1" x14ac:dyDescent="0.2">
      <c r="A296" s="24" t="s">
        <v>2416</v>
      </c>
      <c r="B296" s="24">
        <v>11.384250055520599</v>
      </c>
      <c r="C296" s="24">
        <v>-7.04315993957161</v>
      </c>
      <c r="D296" s="24">
        <v>1.4397481624852899</v>
      </c>
      <c r="E296" s="24">
        <v>-4.8919388286724601</v>
      </c>
      <c r="F296" s="26">
        <v>9.9847480195639593E-7</v>
      </c>
      <c r="G296" s="24">
        <v>4.0674339402990798E-4</v>
      </c>
      <c r="H296" s="27" t="str">
        <f>VLOOKUP(A296,TableS10!A:J,8,FALSE)</f>
        <v>-</v>
      </c>
      <c r="I296" s="24" t="s">
        <v>2417</v>
      </c>
      <c r="J296" s="34" t="str">
        <f>VLOOKUP(A296,TableS10!A:J,10,FALSE)</f>
        <v>-</v>
      </c>
    </row>
    <row r="297" spans="1:10" ht="15.75" customHeight="1" x14ac:dyDescent="0.2">
      <c r="A297" s="24" t="s">
        <v>2418</v>
      </c>
      <c r="B297" s="24">
        <v>11.152488870246</v>
      </c>
      <c r="C297" s="24">
        <v>-7.0230388665712802</v>
      </c>
      <c r="D297" s="24">
        <v>1.43820126370708</v>
      </c>
      <c r="E297" s="24">
        <v>-4.8832100511918801</v>
      </c>
      <c r="F297" s="26">
        <v>1.043725823121E-6</v>
      </c>
      <c r="G297" s="24">
        <v>4.2393718767799298E-4</v>
      </c>
      <c r="H297" s="27" t="str">
        <f>VLOOKUP(A297,TableS10!A:J,8,FALSE)</f>
        <v>-</v>
      </c>
      <c r="I297" s="24" t="s">
        <v>2419</v>
      </c>
      <c r="J297" s="34" t="str">
        <f>VLOOKUP(A297,TableS10!A:J,10,FALSE)</f>
        <v>GO:0000375,GO:0000377,GO:0000398,GO:0001932,GO:0001934,GO:0003674,GO:0003676,GO:0003712,GO:0003713,GO:0003723,GO:0003727,GO:0005488,GO:0005515,GO:0005575,GO:0005622,GO:0005623,GO:0005634,GO:0005654,GO:0005685,GO:0005737,GO:0005829,GO:0006139,GO:0006396,GO:0006397,GO:0006725,GO:0006807,GO:0006950,GO:0006979,GO:0008143,GO:0008150,GO:0008152,GO:0008380,GO:0009889,GO:0009891,GO:0009893,GO:0009966,GO:0009967,GO:0009987,GO:0010467,GO:0010494,GO:0010556,GO:0010557,GO:0010562,GO:0010604,GO:0010646,GO:0010647,GO:0010862,GO:0016070,GO:0016071,GO:0017069,GO:0019219,GO:0019220,GO:0019222,GO:0023051,GO:0023056,GO:0030532,GO:0030619,GO:0031323,GO:0031325,GO:0031326,GO:0031328,GO:0031399,GO:0031401,GO:0031974,GO:0031981,GO:0032268,GO:0032270,GO:0032991,GO:0034641,GO:0035613,GO:0035614,GO:0035770,GO:0036464,GO:0042325,GO:0042327,GO:0042802,GO:0042803,GO:0043170,GO:0043226,GO:0043227,GO:0043228,GO:0043229,GO:0043231,GO:0043232,GO:0043233,GO:0044237,GO:0044238,GO:0044422,GO:0044424,GO:0044428,GO:0044444,GO:0044446,GO:0044464,GO:0045935,GO:0045937,GO:0046483,GO:0046983,GO:0048518,GO:0048522,GO:0048583,GO:0048584,GO:0050789,GO:0050794,GO:0050896,GO:0051171,GO:0051173,GO:0051174,GO:0051246,GO:0051247,GO:0051252,GO:0051254,GO:0060255,GO:0060390,GO:0060391,GO:0060393,GO:0065007,GO:0070013,GO:0070717,GO:0071704,GO:0080090,GO:0090092,GO:0090100,GO:0090304,GO:0097159,GO:0097525,GO:0120114,GO:0140110,GO:1901360,GO:1901363,GO:1902680,GO:1903506,GO:1903508,GO:1990904,GO:2001141</v>
      </c>
    </row>
    <row r="298" spans="1:10" ht="15.75" customHeight="1" x14ac:dyDescent="0.2">
      <c r="A298" s="24" t="s">
        <v>2420</v>
      </c>
      <c r="B298" s="24">
        <v>304.696855920828</v>
      </c>
      <c r="C298" s="24">
        <v>-7.4996782152122003</v>
      </c>
      <c r="D298" s="24">
        <v>1.53811128182337</v>
      </c>
      <c r="E298" s="24">
        <v>-4.8759009207198902</v>
      </c>
      <c r="F298" s="26">
        <v>1.08312966910023E-6</v>
      </c>
      <c r="G298" s="24">
        <v>4.3779511193305098E-4</v>
      </c>
      <c r="H298" s="27" t="str">
        <f>VLOOKUP(A298,TableS10!A:J,8,FALSE)</f>
        <v>-</v>
      </c>
      <c r="I298" s="24" t="s">
        <v>10</v>
      </c>
      <c r="J298" s="34" t="str">
        <f>VLOOKUP(A298,TableS10!A:J,10,FALSE)</f>
        <v>-</v>
      </c>
    </row>
    <row r="299" spans="1:10" ht="15.75" customHeight="1" x14ac:dyDescent="0.2">
      <c r="A299" s="24" t="s">
        <v>2421</v>
      </c>
      <c r="B299" s="24">
        <v>9.73431698083958</v>
      </c>
      <c r="C299" s="24">
        <v>-6.8223183074481897</v>
      </c>
      <c r="D299" s="24">
        <v>1.4007208003470599</v>
      </c>
      <c r="E299" s="24">
        <v>-4.8705768528302098</v>
      </c>
      <c r="F299" s="26">
        <v>1.1127290989989901E-6</v>
      </c>
      <c r="G299" s="24">
        <v>4.4888572173132699E-4</v>
      </c>
      <c r="H299" s="27" t="str">
        <f>VLOOKUP(A299,TableS10!A:J,8,FALSE)</f>
        <v>-</v>
      </c>
      <c r="I299" s="24" t="s">
        <v>10</v>
      </c>
      <c r="J299" s="34" t="str">
        <f>VLOOKUP(A299,TableS10!A:J,10,FALSE)</f>
        <v>-</v>
      </c>
    </row>
    <row r="300" spans="1:10" ht="15.75" customHeight="1" x14ac:dyDescent="0.2">
      <c r="A300" s="24" t="s">
        <v>2422</v>
      </c>
      <c r="B300" s="24">
        <v>24.591663463257099</v>
      </c>
      <c r="C300" s="24">
        <v>-2.9836198064496902</v>
      </c>
      <c r="D300" s="24">
        <v>0.61378325938673295</v>
      </c>
      <c r="E300" s="24">
        <v>-4.8610315788521099</v>
      </c>
      <c r="F300" s="26">
        <v>1.1677562169114799E-6</v>
      </c>
      <c r="G300" s="24">
        <v>4.6873370230905698E-4</v>
      </c>
      <c r="H300" s="27" t="str">
        <f>VLOOKUP(A300,TableS10!A:J,8,FALSE)</f>
        <v>-</v>
      </c>
      <c r="I300" s="24" t="s">
        <v>10</v>
      </c>
      <c r="J300" s="34" t="str">
        <f>VLOOKUP(A300,TableS10!A:J,10,FALSE)</f>
        <v>-</v>
      </c>
    </row>
    <row r="301" spans="1:10" ht="15.75" customHeight="1" x14ac:dyDescent="0.2">
      <c r="A301" s="24" t="s">
        <v>2423</v>
      </c>
      <c r="B301" s="24">
        <v>17.110827695125799</v>
      </c>
      <c r="C301" s="24">
        <v>-6.6609106848197897</v>
      </c>
      <c r="D301" s="24">
        <v>1.3703118931864799</v>
      </c>
      <c r="E301" s="24">
        <v>-4.86087197953941</v>
      </c>
      <c r="F301" s="26">
        <v>1.16869817380048E-6</v>
      </c>
      <c r="G301" s="24">
        <v>4.6873370230905698E-4</v>
      </c>
      <c r="H301" s="27" t="str">
        <f>VLOOKUP(A301,TableS10!A:J,8,FALSE)</f>
        <v>-</v>
      </c>
      <c r="I301" s="24" t="s">
        <v>2153</v>
      </c>
      <c r="J301" s="34" t="str">
        <f>VLOOKUP(A301,TableS10!A:J,10,FALSE)</f>
        <v>-</v>
      </c>
    </row>
    <row r="302" spans="1:10" ht="15.75" customHeight="1" x14ac:dyDescent="0.2">
      <c r="A302" s="24" t="s">
        <v>2424</v>
      </c>
      <c r="B302" s="24">
        <v>44.0145279773662</v>
      </c>
      <c r="C302" s="24">
        <v>-2.6431245326422599</v>
      </c>
      <c r="D302" s="24">
        <v>0.54553294883430303</v>
      </c>
      <c r="E302" s="24">
        <v>-4.8450318872400002</v>
      </c>
      <c r="F302" s="26">
        <v>1.26591345684249E-6</v>
      </c>
      <c r="G302" s="24">
        <v>5.0322939062888102E-4</v>
      </c>
      <c r="H302" s="27" t="str">
        <f>VLOOKUP(A302,TableS10!A:J,8,FALSE)</f>
        <v>-</v>
      </c>
      <c r="I302" s="24" t="s">
        <v>2425</v>
      </c>
      <c r="J302" s="34" t="str">
        <f>VLOOKUP(A302,TableS10!A:J,10,FALSE)</f>
        <v>-</v>
      </c>
    </row>
    <row r="303" spans="1:10" ht="15.75" customHeight="1" x14ac:dyDescent="0.2">
      <c r="A303" s="24" t="s">
        <v>2426</v>
      </c>
      <c r="B303" s="24">
        <v>57.591519030028202</v>
      </c>
      <c r="C303" s="24">
        <v>-2.5710873642331298</v>
      </c>
      <c r="D303" s="24">
        <v>0.53072176913793501</v>
      </c>
      <c r="E303" s="24">
        <v>-4.8445108411690203</v>
      </c>
      <c r="F303" s="26">
        <v>1.26923988086762E-6</v>
      </c>
      <c r="G303" s="24">
        <v>5.0322939062888102E-4</v>
      </c>
      <c r="H303" s="27" t="str">
        <f>VLOOKUP(A303,TableS10!A:J,8,FALSE)</f>
        <v>K12309</v>
      </c>
      <c r="I303" s="24" t="s">
        <v>2428</v>
      </c>
      <c r="J303" s="34" t="str">
        <f>VLOOKUP(A303,TableS10!A:J,10,FALSE)</f>
        <v>GO:0000323,GO:0001775,GO:0002252,GO:0002263,GO:0002274,GO:0002275,GO:0002283,GO:0002366,GO:0002376,GO:0002443,GO:0002444,GO:0002446,GO:0003674,GO:0003824,GO:0004308,GO:0004553,GO:0004565,GO:0005488,GO:0005515,GO:0005575,GO:0005576,GO:0005615,GO:0005622,GO:0005623,GO:0005737,GO:0005764,GO:0005766,GO:0005773,GO:0005775,GO:0005794,GO:0005975,GO:0005996,GO:0006012,GO:0006022,GO:0006026,GO:0006027,GO:0006082,GO:0006629,GO:0006643,GO:0006664,GO:0006665,GO:0006687,GO:0006790,GO:0006807,GO:0006810,GO:0006887,GO:0006955,GO:0008150,GO:0008152,GO:0009056,GO:0009057,GO:0009987,GO:0012505,GO:0015925,GO:0016052,GO:0016192,GO:0016787,GO:0016798,GO:0016936,GO:0016997,GO:0019318,GO:0019320,GO:0019388,GO:0030141,GO:0030203,GO:0031410,GO:0031974,GO:0031982,GO:0031983,GO:0032940,GO:0034774,GO:0035578,GO:0036230,GO:0042119,GO:0042339,GO:0042340,GO:0042582,GO:0042802,GO:0042803,GO:0043170,GO:0043202,GO:0043226,GO:0043227,GO:0043229,GO:0043231,GO:0043233,GO:0043299,GO:0043312,GO:0043436,GO:0044237,GO:0044238,GO:0044248,GO:0044255,GO:0044262,GO:0044273,GO:0044281,GO:0044282,GO:0044421,GO:0044422,GO:0044424,GO:0044433,GO:0044437,GO:0044444,GO:0044446,GO:0044464,GO:0045055,GO:0045321,GO:0046365,GO:0046903,GO:0046983,GO:0050896,GO:0051179,GO:0051234,GO:0060205,GO:0070013,GO:0071704,GO:0097367,GO:0097708,GO:0099503,GO:0101002,GO:1901135,GO:1901136,GO:1901564,GO:1901565,GO:1901575,GO:1903509,GO:1903510,GO:1904813</v>
      </c>
    </row>
    <row r="304" spans="1:10" ht="15.75" customHeight="1" x14ac:dyDescent="0.2">
      <c r="A304" s="24" t="s">
        <v>2429</v>
      </c>
      <c r="B304" s="24">
        <v>12.445828622914</v>
      </c>
      <c r="C304" s="24">
        <v>-7.16981835684442</v>
      </c>
      <c r="D304" s="24">
        <v>1.4805805690999101</v>
      </c>
      <c r="E304" s="24">
        <v>-4.8425722358379701</v>
      </c>
      <c r="F304" s="26">
        <v>1.2816901746269701E-6</v>
      </c>
      <c r="G304" s="24">
        <v>5.07197759847238E-4</v>
      </c>
      <c r="H304" s="27" t="str">
        <f>VLOOKUP(A304,TableS10!A:J,8,FALSE)</f>
        <v>-</v>
      </c>
      <c r="I304" s="24" t="s">
        <v>2052</v>
      </c>
      <c r="J304" s="34" t="str">
        <f>VLOOKUP(A304,TableS10!A:J,10,FALSE)</f>
        <v>-</v>
      </c>
    </row>
    <row r="305" spans="1:10" ht="15.75" customHeight="1" x14ac:dyDescent="0.2">
      <c r="A305" s="24" t="s">
        <v>2430</v>
      </c>
      <c r="B305" s="24">
        <v>21.5687954968427</v>
      </c>
      <c r="C305" s="24">
        <v>-6.1729795889072099</v>
      </c>
      <c r="D305" s="24">
        <v>1.2764383035948801</v>
      </c>
      <c r="E305" s="24">
        <v>-4.83609710827543</v>
      </c>
      <c r="F305" s="26">
        <v>1.32413252293384E-6</v>
      </c>
      <c r="G305" s="24">
        <v>5.2299710348791505E-4</v>
      </c>
      <c r="H305" s="27" t="str">
        <f>VLOOKUP(A305,TableS10!A:J,8,FALSE)</f>
        <v>-</v>
      </c>
      <c r="I305" s="24" t="s">
        <v>2431</v>
      </c>
      <c r="J305" s="34" t="str">
        <f>VLOOKUP(A305,TableS10!A:J,10,FALSE)</f>
        <v>-</v>
      </c>
    </row>
    <row r="306" spans="1:10" ht="15.75" customHeight="1" x14ac:dyDescent="0.2">
      <c r="A306" s="24" t="s">
        <v>2432</v>
      </c>
      <c r="B306" s="24">
        <v>10.947849005754099</v>
      </c>
      <c r="C306" s="24">
        <v>-6.9854083777232203</v>
      </c>
      <c r="D306" s="24">
        <v>1.4446539529740601</v>
      </c>
      <c r="E306" s="24">
        <v>-4.8353506134410802</v>
      </c>
      <c r="F306" s="26">
        <v>1.3291115799253201E-6</v>
      </c>
      <c r="G306" s="24">
        <v>5.2396756242687902E-4</v>
      </c>
      <c r="H306" s="27" t="str">
        <f>VLOOKUP(A306,TableS10!A:J,8,FALSE)</f>
        <v>K11997</v>
      </c>
      <c r="I306" s="24" t="s">
        <v>2433</v>
      </c>
      <c r="J306" s="34" t="str">
        <f>VLOOKUP(A306,TableS10!A:J,10,FALSE)</f>
        <v>GO:0003674,GO:0003824,GO:0004842,GO:0005488,GO:0005515,GO:0005575,GO:0005622,GO:0005623,GO:0005737,GO:0006464,GO:0006807,GO:0007275,GO:0007399,GO:0008022,GO:0008150,GO:0008152,GO:0009987,GO:0016567,GO:0016740,GO:0019538,GO:0019787,GO:0032446,GO:0032501,GO:0032502,GO:0036211,GO:0043170,GO:0043412,GO:0044237,GO:0044238,GO:0044260,GO:0044267,GO:0044424,GO:0044464,GO:0048731,GO:0048856,GO:0061630,GO:0061659,GO:0070647,GO:0071704,GO:0140096,GO:1901564</v>
      </c>
    </row>
    <row r="307" spans="1:10" ht="15.75" customHeight="1" x14ac:dyDescent="0.2">
      <c r="A307" s="24" t="s">
        <v>2434</v>
      </c>
      <c r="B307" s="24">
        <v>11.914405187078801</v>
      </c>
      <c r="C307" s="24">
        <v>-7.11498102952664</v>
      </c>
      <c r="D307" s="24">
        <v>1.4721915868150399</v>
      </c>
      <c r="E307" s="24">
        <v>-4.8329178710491698</v>
      </c>
      <c r="F307" s="26">
        <v>1.3454630362078799E-6</v>
      </c>
      <c r="G307" s="24">
        <v>5.2670820777248799E-4</v>
      </c>
      <c r="H307" s="27" t="str">
        <f>VLOOKUP(A307,TableS10!A:J,8,FALSE)</f>
        <v>-</v>
      </c>
      <c r="I307" s="24" t="s">
        <v>10</v>
      </c>
      <c r="J307" s="34" t="str">
        <f>VLOOKUP(A307,TableS10!A:J,10,FALSE)</f>
        <v>-</v>
      </c>
    </row>
    <row r="308" spans="1:10" ht="15.75" customHeight="1" x14ac:dyDescent="0.2">
      <c r="A308" s="24" t="s">
        <v>2435</v>
      </c>
      <c r="B308" s="24">
        <v>1634.0956028379101</v>
      </c>
      <c r="C308" s="24">
        <v>-2.6523579082112998</v>
      </c>
      <c r="D308" s="24">
        <v>0.54882332986923099</v>
      </c>
      <c r="E308" s="24">
        <v>-4.8328082351077901</v>
      </c>
      <c r="F308" s="26">
        <v>1.34620448183057E-6</v>
      </c>
      <c r="G308" s="24">
        <v>5.2670820777248799E-4</v>
      </c>
      <c r="H308" s="27" t="str">
        <f>VLOOKUP(A308,TableS10!A:J,8,FALSE)</f>
        <v>-</v>
      </c>
      <c r="I308" s="24" t="s">
        <v>2436</v>
      </c>
      <c r="J308" s="34" t="str">
        <f>VLOOKUP(A308,TableS10!A:J,10,FALSE)</f>
        <v>-</v>
      </c>
    </row>
    <row r="309" spans="1:10" ht="15.75" customHeight="1" x14ac:dyDescent="0.2">
      <c r="A309" s="24" t="s">
        <v>2437</v>
      </c>
      <c r="B309" s="24">
        <v>11.327462338402899</v>
      </c>
      <c r="C309" s="24">
        <v>-7.04862543618255</v>
      </c>
      <c r="D309" s="24">
        <v>1.4604136634439699</v>
      </c>
      <c r="E309" s="24">
        <v>-4.8264581553971402</v>
      </c>
      <c r="F309" s="26">
        <v>1.38982578693416E-6</v>
      </c>
      <c r="G309" s="24">
        <v>5.4072031121777796E-4</v>
      </c>
      <c r="H309" s="27" t="str">
        <f>VLOOKUP(A309,TableS10!A:J,8,FALSE)</f>
        <v>-</v>
      </c>
      <c r="I309" s="24" t="s">
        <v>2438</v>
      </c>
      <c r="J309" s="34" t="str">
        <f>VLOOKUP(A309,TableS10!A:J,10,FALSE)</f>
        <v>GO:0005575,GO:0005623,GO:0005886,GO:0006810,GO:0006811,GO:0006820,GO:0006855,GO:0006869,GO:0008150,GO:0010876,GO:0015711,GO:0015718,GO:0015849,GO:0015850,GO:0015893,GO:0016020,GO:0033036,GO:0034220,GO:0034633,GO:0035461,GO:0042221,GO:0042493,GO:0044464,GO:0046864,GO:0046865,GO:0046942,GO:0050896,GO:0051179,GO:0051180,GO:0051234,GO:0055085,GO:0071702,GO:0071938,GO:0071939,GO:0071944,GO:0098656,GO:1903825,GO:1905039</v>
      </c>
    </row>
    <row r="310" spans="1:10" ht="15.75" customHeight="1" x14ac:dyDescent="0.2">
      <c r="A310" s="24" t="s">
        <v>2439</v>
      </c>
      <c r="B310" s="24">
        <v>10.8564918008568</v>
      </c>
      <c r="C310" s="24">
        <v>-6.9809724158075497</v>
      </c>
      <c r="D310" s="24">
        <v>1.44726512854282</v>
      </c>
      <c r="E310" s="24">
        <v>-4.8235615424772602</v>
      </c>
      <c r="F310" s="26">
        <v>1.41017229023538E-6</v>
      </c>
      <c r="G310" s="24">
        <v>5.4658909389951695E-4</v>
      </c>
      <c r="H310" s="27" t="str">
        <f>VLOOKUP(A310,TableS10!A:J,8,FALSE)</f>
        <v>-</v>
      </c>
      <c r="I310" s="24" t="s">
        <v>10</v>
      </c>
      <c r="J310" s="34" t="str">
        <f>VLOOKUP(A310,TableS10!A:J,10,FALSE)</f>
        <v>-</v>
      </c>
    </row>
    <row r="311" spans="1:10" ht="15.75" customHeight="1" x14ac:dyDescent="0.2">
      <c r="A311" s="24" t="s">
        <v>2440</v>
      </c>
      <c r="B311" s="24">
        <v>399.66723378255699</v>
      </c>
      <c r="C311" s="24">
        <v>-12.182363330454301</v>
      </c>
      <c r="D311" s="24">
        <v>2.5335105171452801</v>
      </c>
      <c r="E311" s="24">
        <v>-4.8084913198549399</v>
      </c>
      <c r="F311" s="26">
        <v>1.5207363090298101E-6</v>
      </c>
      <c r="G311" s="24">
        <v>5.8291899007158004E-4</v>
      </c>
      <c r="H311" s="27" t="str">
        <f>VLOOKUP(A311,TableS10!A:J,8,FALSE)</f>
        <v>-</v>
      </c>
      <c r="I311" s="24" t="s">
        <v>2441</v>
      </c>
      <c r="J311" s="34" t="str">
        <f>VLOOKUP(A311,TableS10!A:J,10,FALSE)</f>
        <v>-</v>
      </c>
    </row>
    <row r="312" spans="1:10" ht="15.75" customHeight="1" x14ac:dyDescent="0.2">
      <c r="A312" s="24" t="s">
        <v>2442</v>
      </c>
      <c r="B312" s="24">
        <v>11.665032466594599</v>
      </c>
      <c r="C312" s="24">
        <v>-7.0852555141340998</v>
      </c>
      <c r="D312" s="24">
        <v>1.4746984236473399</v>
      </c>
      <c r="E312" s="24">
        <v>-4.8045453907859397</v>
      </c>
      <c r="F312" s="26">
        <v>1.55103512475189E-6</v>
      </c>
      <c r="G312" s="24">
        <v>5.9343803568683896E-4</v>
      </c>
      <c r="H312" s="27" t="str">
        <f>VLOOKUP(A312,TableS10!A:J,8,FALSE)</f>
        <v>K00799</v>
      </c>
      <c r="I312" s="24" t="s">
        <v>2443</v>
      </c>
      <c r="J312" s="34" t="str">
        <f>VLOOKUP(A312,TableS10!A:J,10,FALSE)</f>
        <v>-</v>
      </c>
    </row>
    <row r="313" spans="1:10" ht="15.75" customHeight="1" x14ac:dyDescent="0.2">
      <c r="A313" s="24" t="s">
        <v>2444</v>
      </c>
      <c r="B313" s="24">
        <v>35.451718658476203</v>
      </c>
      <c r="C313" s="24">
        <v>-4.9534981925714803</v>
      </c>
      <c r="D313" s="24">
        <v>1.0331948507269999</v>
      </c>
      <c r="E313" s="24">
        <v>-4.7943504452098296</v>
      </c>
      <c r="F313" s="26">
        <v>1.6320276229630901E-6</v>
      </c>
      <c r="G313" s="24">
        <v>6.2213491896572501E-4</v>
      </c>
      <c r="H313" s="27" t="str">
        <f>VLOOKUP(A313,TableS10!A:J,8,FALSE)</f>
        <v>-</v>
      </c>
      <c r="I313" s="24" t="s">
        <v>2445</v>
      </c>
      <c r="J313" s="34" t="str">
        <f>VLOOKUP(A313,TableS10!A:J,10,FALSE)</f>
        <v>-</v>
      </c>
    </row>
    <row r="314" spans="1:10" ht="15.75" customHeight="1" x14ac:dyDescent="0.2">
      <c r="A314" s="24" t="s">
        <v>2446</v>
      </c>
      <c r="B314" s="24">
        <v>48.896536971943803</v>
      </c>
      <c r="C314" s="24">
        <v>-4.5568421774803998</v>
      </c>
      <c r="D314" s="24">
        <v>0.95159343153511</v>
      </c>
      <c r="E314" s="24">
        <v>-4.7886440011773796</v>
      </c>
      <c r="F314" s="26">
        <v>1.6791205229806601E-6</v>
      </c>
      <c r="G314" s="24">
        <v>6.3774655095497296E-4</v>
      </c>
      <c r="H314" s="27" t="str">
        <f>VLOOKUP(A314,TableS10!A:J,8,FALSE)</f>
        <v>K19031,K22144</v>
      </c>
      <c r="I314" s="24" t="s">
        <v>5116</v>
      </c>
      <c r="J314" s="34" t="str">
        <f>VLOOKUP(A314,TableS10!A:J,10,FALSE)</f>
        <v>-</v>
      </c>
    </row>
    <row r="315" spans="1:10" ht="15.75" customHeight="1" x14ac:dyDescent="0.2">
      <c r="A315" s="24" t="s">
        <v>2447</v>
      </c>
      <c r="B315" s="24">
        <v>9.9856856875693207</v>
      </c>
      <c r="C315" s="24">
        <v>-6.8582968085404703</v>
      </c>
      <c r="D315" s="24">
        <v>1.4323979314753901</v>
      </c>
      <c r="E315" s="24">
        <v>-4.7879829046362303</v>
      </c>
      <c r="F315" s="26">
        <v>1.6846599515347999E-6</v>
      </c>
      <c r="G315" s="24">
        <v>6.3868287023916698E-4</v>
      </c>
      <c r="H315" s="27" t="str">
        <f>VLOOKUP(A315,TableS10!A:J,8,FALSE)</f>
        <v>-</v>
      </c>
      <c r="I315" s="24" t="s">
        <v>2448</v>
      </c>
      <c r="J315" s="34" t="str">
        <f>VLOOKUP(A315,TableS10!A:J,10,FALSE)</f>
        <v>-</v>
      </c>
    </row>
    <row r="316" spans="1:10" ht="15.75" customHeight="1" x14ac:dyDescent="0.2">
      <c r="A316" s="24" t="s">
        <v>2449</v>
      </c>
      <c r="B316" s="24">
        <v>104.190019244166</v>
      </c>
      <c r="C316" s="24">
        <v>-3.7402394339145602</v>
      </c>
      <c r="D316" s="24">
        <v>0.78130763437602102</v>
      </c>
      <c r="E316" s="24">
        <v>-4.7871533175298397</v>
      </c>
      <c r="F316" s="26">
        <v>1.69163604064698E-6</v>
      </c>
      <c r="G316" s="24">
        <v>6.4015944856221098E-4</v>
      </c>
      <c r="H316" s="27" t="str">
        <f>VLOOKUP(A316,TableS10!A:J,8,FALSE)</f>
        <v>-</v>
      </c>
      <c r="I316" s="24" t="s">
        <v>10</v>
      </c>
      <c r="J316" s="34" t="str">
        <f>VLOOKUP(A316,TableS10!A:J,10,FALSE)</f>
        <v>-</v>
      </c>
    </row>
    <row r="317" spans="1:10" ht="15.75" customHeight="1" x14ac:dyDescent="0.2">
      <c r="A317" s="24" t="s">
        <v>2450</v>
      </c>
      <c r="B317" s="24">
        <v>78.4879930579053</v>
      </c>
      <c r="C317" s="24">
        <v>-3.3285564518369899</v>
      </c>
      <c r="D317" s="24">
        <v>0.69579536840892797</v>
      </c>
      <c r="E317" s="24">
        <v>-4.7838151890093501</v>
      </c>
      <c r="F317" s="26">
        <v>1.7199883909932999E-6</v>
      </c>
      <c r="G317" s="24">
        <v>6.4735128289711004E-4</v>
      </c>
      <c r="H317" s="27" t="str">
        <f>VLOOKUP(A317,TableS10!A:J,8,FALSE)</f>
        <v>-</v>
      </c>
      <c r="I317" s="24" t="s">
        <v>10</v>
      </c>
      <c r="J317" s="34" t="str">
        <f>VLOOKUP(A317,TableS10!A:J,10,FALSE)</f>
        <v>-</v>
      </c>
    </row>
    <row r="318" spans="1:10" ht="15.75" customHeight="1" x14ac:dyDescent="0.2">
      <c r="A318" s="24" t="s">
        <v>2451</v>
      </c>
      <c r="B318" s="24">
        <v>18.7085398827533</v>
      </c>
      <c r="C318" s="24">
        <v>-7.7655142374725701</v>
      </c>
      <c r="D318" s="24">
        <v>1.6240554313128099</v>
      </c>
      <c r="E318" s="24">
        <v>-4.7815573826783098</v>
      </c>
      <c r="F318" s="26">
        <v>1.7394233506592199E-6</v>
      </c>
      <c r="G318" s="24">
        <v>6.5311995718622196E-4</v>
      </c>
      <c r="H318" s="27" t="str">
        <f>VLOOKUP(A318,TableS10!A:J,8,FALSE)</f>
        <v>-</v>
      </c>
      <c r="I318" s="24" t="s">
        <v>10</v>
      </c>
      <c r="J318" s="34" t="str">
        <f>VLOOKUP(A318,TableS10!A:J,10,FALSE)</f>
        <v>-</v>
      </c>
    </row>
    <row r="319" spans="1:10" ht="15.75" customHeight="1" x14ac:dyDescent="0.2">
      <c r="A319" s="24" t="s">
        <v>2452</v>
      </c>
      <c r="B319" s="24">
        <v>14682.5683911169</v>
      </c>
      <c r="C319" s="24">
        <v>-12.5428375513715</v>
      </c>
      <c r="D319" s="24">
        <v>2.6235069182126298</v>
      </c>
      <c r="E319" s="24">
        <v>-4.7809431964131397</v>
      </c>
      <c r="F319" s="26">
        <v>1.74474660774347E-6</v>
      </c>
      <c r="G319" s="24">
        <v>6.5311995718622196E-4</v>
      </c>
      <c r="H319" s="27" t="str">
        <f>VLOOKUP(A319,TableS10!A:J,8,FALSE)</f>
        <v>-</v>
      </c>
      <c r="I319" s="24" t="s">
        <v>10</v>
      </c>
      <c r="J319" s="34" t="str">
        <f>VLOOKUP(A319,TableS10!A:J,10,FALSE)</f>
        <v>-</v>
      </c>
    </row>
    <row r="320" spans="1:10" ht="15.75" customHeight="1" x14ac:dyDescent="0.2">
      <c r="A320" s="24" t="s">
        <v>2453</v>
      </c>
      <c r="B320" s="24">
        <v>16.299959626085101</v>
      </c>
      <c r="C320" s="24">
        <v>-7.56084416677969</v>
      </c>
      <c r="D320" s="24">
        <v>1.5832026551506899</v>
      </c>
      <c r="E320" s="24">
        <v>-4.7756641527739401</v>
      </c>
      <c r="F320" s="26">
        <v>1.7911511108992E-6</v>
      </c>
      <c r="G320" s="24">
        <v>6.6808328580964796E-4</v>
      </c>
      <c r="H320" s="27" t="str">
        <f>VLOOKUP(A320,TableS10!A:J,8,FALSE)</f>
        <v>-</v>
      </c>
      <c r="I320" s="24" t="s">
        <v>1948</v>
      </c>
      <c r="J320" s="34" t="str">
        <f>VLOOKUP(A320,TableS10!A:J,10,FALSE)</f>
        <v>-</v>
      </c>
    </row>
    <row r="321" spans="1:10" ht="15.75" customHeight="1" x14ac:dyDescent="0.2">
      <c r="A321" s="24" t="s">
        <v>2454</v>
      </c>
      <c r="B321" s="24">
        <v>27.493780202005102</v>
      </c>
      <c r="C321" s="24">
        <v>-2.91230353515301</v>
      </c>
      <c r="D321" s="24">
        <v>0.61187876217951997</v>
      </c>
      <c r="E321" s="24">
        <v>-4.7596087904397102</v>
      </c>
      <c r="F321" s="26">
        <v>1.9396855317406202E-6</v>
      </c>
      <c r="G321" s="24">
        <v>7.2089679308104404E-4</v>
      </c>
      <c r="H321" s="27" t="str">
        <f>VLOOKUP(A321,TableS10!A:J,8,FALSE)</f>
        <v>-</v>
      </c>
      <c r="I321" s="24" t="s">
        <v>2455</v>
      </c>
      <c r="J321" s="34" t="str">
        <f>VLOOKUP(A321,TableS10!A:J,10,FALSE)</f>
        <v>GO:0008150,GO:0016032,GO:0019058,GO:0019079,GO:0039693,GO:0044403,GO:0044419,GO:0051704</v>
      </c>
    </row>
    <row r="322" spans="1:10" ht="15.75" customHeight="1" x14ac:dyDescent="0.2">
      <c r="A322" s="24" t="s">
        <v>2456</v>
      </c>
      <c r="B322" s="24">
        <v>38.0762835894907</v>
      </c>
      <c r="C322" s="24">
        <v>-4.5327439261315501</v>
      </c>
      <c r="D322" s="24">
        <v>0.95345251885083604</v>
      </c>
      <c r="E322" s="24">
        <v>-4.7540321479193501</v>
      </c>
      <c r="F322" s="26">
        <v>1.9939931022905201E-6</v>
      </c>
      <c r="G322" s="24">
        <v>7.3843855786001698E-4</v>
      </c>
      <c r="H322" s="27" t="str">
        <f>VLOOKUP(A322,TableS10!A:J,8,FALSE)</f>
        <v>K00699</v>
      </c>
      <c r="I322" s="24" t="s">
        <v>380</v>
      </c>
      <c r="J322" s="34" t="str">
        <f>VLOOKUP(A322,TableS10!A:J,10,FALSE)</f>
        <v>GO:0001523,GO:0001889,GO:0001972,GO:0002237,GO:0002526,GO:0003008,GO:0003674,GO:0003824,GO:0004857,GO:0005080,GO:0005488,GO:0005496,GO:0005501,GO:0005504,GO:0005515,GO:0005575,GO:0005622,GO:0005623,GO:0005737,GO:0005783,GO:0005789,GO:0005886,GO:0005887,GO:0005975,GO:0005996,GO:0006063,GO:0006082,GO:0006109,GO:0006629,GO:0006631,GO:0006706,GO:0006711,GO:0006720,GO:0006721,GO:0006725,GO:0006778,GO:0006787,GO:0006789,GO:0006805,GO:0006807,GO:0006950,GO:0006952,GO:0006953,GO:0006954,GO:0007275,GO:0007584,GO:0007588,GO:0008144,GO:0008150,GO:0008152,GO:0008194,GO:0008202,GO:0008210,GO:0008289,GO:0009056,GO:0009410,GO:0009605,GO:0009607,GO:0009617,GO:0009636,GO:0009698,GO:0009719,GO:0009725,GO:0009804,GO:0009812,GO:0009892,GO:0009987,GO:0009991,GO:0010033,GO:0010565,GO:0010675,GO:0010677,GO:0010817,GO:0012505,GO:0014070,GO:0015020,GO:0016020,GO:0016021,GO:0016042,GO:0016101,GO:0016740,GO:0016757,GO:0016758,GO:0016999,GO:0017001,GO:0017144,GO:0018879,GO:0019216,GO:0019217,GO:0019218,GO:0019222,GO:0019439,GO:0019585,GO:0019748,GO:0019752,GO:0019840,GO:0019899,GO:0019900,GO:0019901,GO:0030234,GO:0031099,GO:0031100,GO:0031224,GO:0031226,GO:0031323,GO:0031324,GO:0031406,GO:0031667,GO:0031960,GO:0031984,GO:0032355,GO:0032496,GO:0032501,GO:0032502,GO:0032787,GO:0032870,GO:0032991,GO:0033013,GO:0033015,GO:0033293,GO:0033993,GO:0034641,GO:0034663,GO:0034754,GO:0035690,GO:0036094,GO:0042167,GO:0042168,GO:0042175,GO:0042178,GO:0042221,GO:0042440,GO:0042445,GO:0042447,GO:0042493,GO:0042537,GO:0042573,GO:0042594,GO:0042802,GO:0042803,GO:0043086,GO:0043167,GO:0043168,GO:0043177,GO:0043207,GO:0043226,GO:0043227,GO:0043229,GO:0043231,GO:0043436,GO:0044092,GO:0044237,GO:0044238,GO:0044248,GO:0044255,GO:0044270,GO:0044281,GO:0044422,GO:0044424,GO:0044425,GO:0044432,GO:0044444,GO:0044446,GO:0044459,GO:0044464,GO:0044877,GO:0045471,GO:0045833,GO:0045912,GO:0045922,GO:0045939,GO:0046149,GO:0046226,GO:0046271,GO:0046483,GO:0046677,GO:0046700,GO:0046982,GO:0046983,GO:0048513,GO:0048519,GO:0048523,GO:0048545,GO:0048731,GO:0048732,GO:0048856,GO:0050789,GO:0050790,GO:0050794,GO:0050896,GO:0051186,GO:0051187,GO:0051338,GO:0051348,GO:0051384,GO:0051552,GO:0051704,GO:0051707,GO:0051716,GO:0052695,GO:0052696,GO:0052697,GO:0061008,GO:0062012,GO:0062014,GO:0065007,GO:0065008,GO:0065009,GO:0070069,GO:0070887,GO:0070980,GO:0071236,GO:0071310,GO:0071361,GO:0071383,GO:0071384,GO:0071385,GO:0071392,GO:0071396,GO:0071407,GO:0071466,GO:0071495,GO:0071704,GO:0071944,GO:0080090,GO:0097159,GO:0097237,GO:0097305,GO:0097306,GO:0098772,GO:0098827,GO:1901360,GO:1901361,GO:1901564,GO:1901565,GO:1901575,GO:1901700,GO:1901701,GO:1904223,GO:1904224,GO:2001029,GO:2001030</v>
      </c>
    </row>
    <row r="323" spans="1:10" ht="15.75" customHeight="1" x14ac:dyDescent="0.2">
      <c r="A323" s="24" t="s">
        <v>2457</v>
      </c>
      <c r="B323" s="24">
        <v>9.2507861981864608</v>
      </c>
      <c r="C323" s="24">
        <v>-6.7452202342924998</v>
      </c>
      <c r="D323" s="24">
        <v>1.4200272617776299</v>
      </c>
      <c r="E323" s="24">
        <v>-4.7500639007793701</v>
      </c>
      <c r="F323" s="26">
        <v>2.0335238038077299E-6</v>
      </c>
      <c r="G323" s="24">
        <v>7.5040279109037198E-4</v>
      </c>
      <c r="H323" s="27" t="str">
        <f>VLOOKUP(A323,TableS10!A:J,8,FALSE)</f>
        <v>-</v>
      </c>
      <c r="I323" s="24" t="s">
        <v>2458</v>
      </c>
      <c r="J323" s="34" t="str">
        <f>VLOOKUP(A323,TableS10!A:J,10,FALSE)</f>
        <v>-</v>
      </c>
    </row>
    <row r="324" spans="1:10" ht="15.75" customHeight="1" x14ac:dyDescent="0.2">
      <c r="A324" s="24" t="s">
        <v>2459</v>
      </c>
      <c r="B324" s="24">
        <v>63.916564712762003</v>
      </c>
      <c r="C324" s="24">
        <v>-2.3300149541823898</v>
      </c>
      <c r="D324" s="24">
        <v>0.49127420656078902</v>
      </c>
      <c r="E324" s="24">
        <v>-4.7427992820829701</v>
      </c>
      <c r="F324" s="26">
        <v>2.1078509266095201E-6</v>
      </c>
      <c r="G324" s="24">
        <v>7.7244032553060898E-4</v>
      </c>
      <c r="H324" s="27" t="str">
        <f>VLOOKUP(A324,TableS10!A:J,8,FALSE)</f>
        <v>K01047</v>
      </c>
      <c r="I324" s="24" t="s">
        <v>2460</v>
      </c>
      <c r="J324" s="34" t="str">
        <f>VLOOKUP(A324,TableS10!A:J,10,FALSE)</f>
        <v>GO:0002682,GO:0002683,GO:0002694,GO:0002695,GO:0003674,GO:0003824,GO:0004620,GO:0004623,GO:0005575,GO:0005576,GO:0005622,GO:0005623,GO:0005737,GO:0005829,GO:0006575,GO:0006629,GO:0006644,GO:0006650,GO:0006654,GO:0006658,GO:0006793,GO:0006796,GO:0006807,GO:0007162,GO:0008150,GO:0008152,GO:0008285,GO:0008610,GO:0008654,GO:0009058,GO:0009987,GO:0016298,GO:0016787,GO:0016788,GO:0019637,GO:0022407,GO:0022408,GO:0030155,GO:0032944,GO:0032945,GO:0036148,GO:0036149,GO:0036150,GO:0036151,GO:0036152,GO:0042127,GO:0042129,GO:0042130,GO:0044237,GO:0044238,GO:0044249,GO:0044255,GO:0044424,GO:0044444,GO:0044464,GO:0045017,GO:0046470,GO:0046471,GO:0046473,GO:0046474,GO:0046486,GO:0046488,GO:0048519,GO:0048523,GO:0050670,GO:0050672,GO:0050789,GO:0050794,GO:0050863,GO:0050865,GO:0050866,GO:0050868,GO:0051249,GO:0051250,GO:0052689,GO:0065007,GO:0070663,GO:0070664,GO:0071704,GO:0090407,GO:0097164,GO:1901564,GO:1901576,GO:1903037,GO:1903038</v>
      </c>
    </row>
    <row r="325" spans="1:10" ht="15.75" customHeight="1" x14ac:dyDescent="0.2">
      <c r="A325" s="24" t="s">
        <v>2461</v>
      </c>
      <c r="B325" s="24">
        <v>18.611263974125201</v>
      </c>
      <c r="C325" s="24">
        <v>-7.7627941366141098</v>
      </c>
      <c r="D325" s="24">
        <v>1.6367624459608201</v>
      </c>
      <c r="E325" s="24">
        <v>-4.7427738556508503</v>
      </c>
      <c r="F325" s="26">
        <v>2.1081155999145899E-6</v>
      </c>
      <c r="G325" s="24">
        <v>7.7244032553060898E-4</v>
      </c>
      <c r="H325" s="27" t="str">
        <f>VLOOKUP(A325,TableS10!A:J,8,FALSE)</f>
        <v>-</v>
      </c>
      <c r="I325" s="24" t="s">
        <v>2462</v>
      </c>
      <c r="J325" s="34" t="str">
        <f>VLOOKUP(A325,TableS10!A:J,10,FALSE)</f>
        <v>-</v>
      </c>
    </row>
    <row r="326" spans="1:10" ht="15.75" customHeight="1" x14ac:dyDescent="0.2">
      <c r="A326" s="24" t="s">
        <v>2463</v>
      </c>
      <c r="B326" s="24">
        <v>14.904807747314401</v>
      </c>
      <c r="C326" s="24">
        <v>-7.4307583754674598</v>
      </c>
      <c r="D326" s="24">
        <v>1.5682041435410801</v>
      </c>
      <c r="E326" s="24">
        <v>-4.7383871583762396</v>
      </c>
      <c r="F326" s="26">
        <v>2.1542593379834701E-6</v>
      </c>
      <c r="G326" s="24">
        <v>7.8519351407385001E-4</v>
      </c>
      <c r="H326" s="27" t="str">
        <f>VLOOKUP(A326,TableS10!A:J,8,FALSE)</f>
        <v>K06255</v>
      </c>
      <c r="I326" s="24" t="s">
        <v>2464</v>
      </c>
      <c r="J326" s="34" t="str">
        <f>VLOOKUP(A326,TableS10!A:J,10,FALSE)</f>
        <v>GO:0000902,GO:0000904,GO:0005575,GO:0005576,GO:0005604,GO:0006928,GO:0006935,GO:0007163,GO:0007275,GO:0007399,GO:0007409,GO:0007411,GO:0007414,GO:0007415,GO:0008037,GO:0008038,GO:0008045,GO:0008150,GO:0009605,GO:0009653,GO:0009966,GO:0009967,GO:0009987,GO:0010646,GO:0010647,GO:0016043,GO:0022008,GO:0023051,GO:0023056,GO:0030011,GO:0030030,GO:0030154,GO:0030182,GO:0031012,GO:0031175,GO:0032501,GO:0032502,GO:0032989,GO:0032990,GO:0035088,GO:0035090,GO:0040011,GO:0042221,GO:0042330,GO:0042493,GO:0044421,GO:0045197,GO:0045199,GO:0048468,GO:0048518,GO:0048522,GO:0048583,GO:0048584,GO:0048666,GO:0048667,GO:0048699,GO:0048731,GO:0048812,GO:0048856,GO:0048858,GO:0048869,GO:0050789,GO:0050794,GO:0050896,GO:0061245,GO:0061564,GO:0062023,GO:0065007,GO:0071840,GO:0072347,GO:0097485,GO:0120036,GO:0120039,GO:2001260,GO:2001262</v>
      </c>
    </row>
    <row r="327" spans="1:10" ht="15.75" customHeight="1" x14ac:dyDescent="0.2">
      <c r="A327" s="24" t="s">
        <v>2465</v>
      </c>
      <c r="B327" s="24">
        <v>37.202452938980599</v>
      </c>
      <c r="C327" s="24">
        <v>-3.5493311165874299</v>
      </c>
      <c r="D327" s="24">
        <v>0.74956032605652501</v>
      </c>
      <c r="E327" s="24">
        <v>-4.7352174244075096</v>
      </c>
      <c r="F327" s="26">
        <v>2.1882038729703399E-6</v>
      </c>
      <c r="G327" s="24">
        <v>7.9476827089407503E-4</v>
      </c>
      <c r="H327" s="27" t="str">
        <f>VLOOKUP(A327,TableS10!A:J,8,FALSE)</f>
        <v>-</v>
      </c>
      <c r="I327" s="24" t="s">
        <v>2466</v>
      </c>
      <c r="J327" s="34" t="str">
        <f>VLOOKUP(A327,TableS10!A:J,10,FALSE)</f>
        <v>-</v>
      </c>
    </row>
    <row r="328" spans="1:10" ht="15.75" customHeight="1" x14ac:dyDescent="0.2">
      <c r="A328" s="24" t="s">
        <v>2467</v>
      </c>
      <c r="B328" s="24">
        <v>63.481303882339503</v>
      </c>
      <c r="C328" s="24">
        <v>-3.5035232759244201</v>
      </c>
      <c r="D328" s="24">
        <v>0.73990570250529697</v>
      </c>
      <c r="E328" s="24">
        <v>-4.7350943019652396</v>
      </c>
      <c r="F328" s="26">
        <v>2.1895326948452899E-6</v>
      </c>
      <c r="G328" s="24">
        <v>7.9476827089407503E-4</v>
      </c>
      <c r="H328" s="27" t="str">
        <f>VLOOKUP(A328,TableS10!A:J,8,FALSE)</f>
        <v>-</v>
      </c>
      <c r="I328" s="24" t="s">
        <v>10</v>
      </c>
      <c r="J328" s="34" t="str">
        <f>VLOOKUP(A328,TableS10!A:J,10,FALSE)</f>
        <v>-</v>
      </c>
    </row>
    <row r="329" spans="1:10" ht="15.75" customHeight="1" x14ac:dyDescent="0.2">
      <c r="A329" s="24" t="s">
        <v>2468</v>
      </c>
      <c r="B329" s="24">
        <v>9.0453834133990902</v>
      </c>
      <c r="C329" s="24">
        <v>-6.7198606404569201</v>
      </c>
      <c r="D329" s="24">
        <v>1.4192948313900999</v>
      </c>
      <c r="E329" s="24">
        <v>-4.7346474402892502</v>
      </c>
      <c r="F329" s="26">
        <v>2.1943620459821601E-6</v>
      </c>
      <c r="G329" s="24">
        <v>7.9476827089407503E-4</v>
      </c>
      <c r="H329" s="27" t="str">
        <f>VLOOKUP(A329,TableS10!A:J,8,FALSE)</f>
        <v>-</v>
      </c>
      <c r="I329" s="24" t="s">
        <v>2469</v>
      </c>
      <c r="J329" s="34" t="str">
        <f>VLOOKUP(A329,TableS10!A:J,10,FALSE)</f>
        <v>-</v>
      </c>
    </row>
    <row r="330" spans="1:10" ht="15.75" customHeight="1" x14ac:dyDescent="0.2">
      <c r="A330" s="24" t="s">
        <v>2470</v>
      </c>
      <c r="B330" s="24">
        <v>23.192145974488501</v>
      </c>
      <c r="C330" s="24">
        <v>-4.6053474315354199</v>
      </c>
      <c r="D330" s="24">
        <v>0.972718557925075</v>
      </c>
      <c r="E330" s="24">
        <v>-4.7345117393042999</v>
      </c>
      <c r="F330" s="26">
        <v>2.1958306257975699E-6</v>
      </c>
      <c r="G330" s="24">
        <v>7.9476827089407503E-4</v>
      </c>
      <c r="H330" s="27" t="str">
        <f>VLOOKUP(A330,TableS10!A:J,8,FALSE)</f>
        <v>-</v>
      </c>
      <c r="I330" s="24" t="s">
        <v>10</v>
      </c>
      <c r="J330" s="34" t="str">
        <f>VLOOKUP(A330,TableS10!A:J,10,FALSE)</f>
        <v>-</v>
      </c>
    </row>
    <row r="331" spans="1:10" ht="15.75" customHeight="1" x14ac:dyDescent="0.2">
      <c r="A331" s="24" t="s">
        <v>2471</v>
      </c>
      <c r="B331" s="24">
        <v>11.40502138792</v>
      </c>
      <c r="C331" s="24">
        <v>-7.05202725346384</v>
      </c>
      <c r="D331" s="24">
        <v>1.49029908296417</v>
      </c>
      <c r="E331" s="24">
        <v>-4.7319543667956498</v>
      </c>
      <c r="F331" s="26">
        <v>2.22368410369702E-6</v>
      </c>
      <c r="G331" s="24">
        <v>7.9920159662491802E-4</v>
      </c>
      <c r="H331" s="27" t="str">
        <f>VLOOKUP(A331,TableS10!A:J,8,FALSE)</f>
        <v>-</v>
      </c>
      <c r="I331" s="24" t="s">
        <v>2472</v>
      </c>
      <c r="J331" s="34" t="str">
        <f>VLOOKUP(A331,TableS10!A:J,10,FALSE)</f>
        <v>-</v>
      </c>
    </row>
    <row r="332" spans="1:10" ht="15.75" customHeight="1" x14ac:dyDescent="0.2">
      <c r="A332" s="24" t="s">
        <v>2473</v>
      </c>
      <c r="B332" s="24">
        <v>11.5046152297903</v>
      </c>
      <c r="C332" s="24">
        <v>-7.0584240247589198</v>
      </c>
      <c r="D332" s="24">
        <v>1.49171792239598</v>
      </c>
      <c r="E332" s="24">
        <v>-4.7317417849493602</v>
      </c>
      <c r="F332" s="26">
        <v>2.2260146388794899E-6</v>
      </c>
      <c r="G332" s="24">
        <v>7.9920159662491802E-4</v>
      </c>
      <c r="H332" s="27" t="str">
        <f>VLOOKUP(A332,TableS10!A:J,8,FALSE)</f>
        <v>-</v>
      </c>
      <c r="I332" s="24" t="s">
        <v>2474</v>
      </c>
      <c r="J332" s="34" t="str">
        <f>VLOOKUP(A332,TableS10!A:J,10,FALSE)</f>
        <v>-</v>
      </c>
    </row>
    <row r="333" spans="1:10" ht="15.75" customHeight="1" x14ac:dyDescent="0.2">
      <c r="A333" s="24" t="s">
        <v>2475</v>
      </c>
      <c r="B333" s="24">
        <v>18.9178007557576</v>
      </c>
      <c r="C333" s="24">
        <v>-6.7955602877941903</v>
      </c>
      <c r="D333" s="24">
        <v>1.4362005806484399</v>
      </c>
      <c r="E333" s="24">
        <v>-4.7316234092636202</v>
      </c>
      <c r="F333" s="26">
        <v>2.2273134082569298E-6</v>
      </c>
      <c r="G333" s="24">
        <v>7.9920159662491802E-4</v>
      </c>
      <c r="H333" s="27" t="str">
        <f>VLOOKUP(A333,TableS10!A:J,8,FALSE)</f>
        <v>-</v>
      </c>
      <c r="I333" s="24" t="s">
        <v>2477</v>
      </c>
      <c r="J333" s="34" t="str">
        <f>VLOOKUP(A333,TableS10!A:J,10,FALSE)</f>
        <v>-</v>
      </c>
    </row>
    <row r="334" spans="1:10" ht="15.75" customHeight="1" x14ac:dyDescent="0.2">
      <c r="A334" s="24" t="s">
        <v>2478</v>
      </c>
      <c r="B334" s="24">
        <v>13.7480290837751</v>
      </c>
      <c r="C334" s="24">
        <v>-6.3472254546735201</v>
      </c>
      <c r="D334" s="24">
        <v>1.34292318456589</v>
      </c>
      <c r="E334" s="24">
        <v>-4.7264248079277298</v>
      </c>
      <c r="F334" s="26">
        <v>2.28507351644581E-6</v>
      </c>
      <c r="G334" s="24">
        <v>8.1631478329254395E-4</v>
      </c>
      <c r="H334" s="27" t="str">
        <f>VLOOKUP(A334,TableS10!A:J,8,FALSE)</f>
        <v>-</v>
      </c>
      <c r="I334" s="24" t="s">
        <v>10</v>
      </c>
      <c r="J334" s="34" t="str">
        <f>VLOOKUP(A334,TableS10!A:J,10,FALSE)</f>
        <v>-</v>
      </c>
    </row>
    <row r="335" spans="1:10" ht="15.75" customHeight="1" x14ac:dyDescent="0.2">
      <c r="A335" s="24" t="s">
        <v>2479</v>
      </c>
      <c r="B335" s="24">
        <v>11.5537409489224</v>
      </c>
      <c r="C335" s="24">
        <v>-7.06587773751325</v>
      </c>
      <c r="D335" s="24">
        <v>1.49499012441599</v>
      </c>
      <c r="E335" s="24">
        <v>-4.72637084494019</v>
      </c>
      <c r="F335" s="26">
        <v>2.2856805593049499E-6</v>
      </c>
      <c r="G335" s="24">
        <v>8.1631478329254395E-4</v>
      </c>
      <c r="H335" s="27" t="str">
        <f>VLOOKUP(A335,TableS10!A:J,8,FALSE)</f>
        <v>-</v>
      </c>
      <c r="I335" s="24" t="s">
        <v>2480</v>
      </c>
      <c r="J335" s="34" t="str">
        <f>VLOOKUP(A335,TableS10!A:J,10,FALSE)</f>
        <v>-</v>
      </c>
    </row>
    <row r="336" spans="1:10" ht="15.75" customHeight="1" x14ac:dyDescent="0.2">
      <c r="A336" s="24" t="s">
        <v>2481</v>
      </c>
      <c r="B336" s="24">
        <v>31.814868511088399</v>
      </c>
      <c r="C336" s="24">
        <v>-3.5589999031451698</v>
      </c>
      <c r="D336" s="24">
        <v>0.75310664314874398</v>
      </c>
      <c r="E336" s="24">
        <v>-4.7257582116989001</v>
      </c>
      <c r="F336" s="26">
        <v>2.2925830875211201E-6</v>
      </c>
      <c r="G336" s="24">
        <v>8.1697751617673697E-4</v>
      </c>
      <c r="H336" s="27" t="str">
        <f>VLOOKUP(A336,TableS10!A:J,8,FALSE)</f>
        <v>-</v>
      </c>
      <c r="I336" s="24" t="s">
        <v>10</v>
      </c>
      <c r="J336" s="34" t="str">
        <f>VLOOKUP(A336,TableS10!A:J,10,FALSE)</f>
        <v>-</v>
      </c>
    </row>
    <row r="337" spans="1:10" ht="15.75" customHeight="1" x14ac:dyDescent="0.2">
      <c r="A337" s="24" t="s">
        <v>2482</v>
      </c>
      <c r="B337" s="24">
        <v>47.789069378977302</v>
      </c>
      <c r="C337" s="24">
        <v>-2.7605853251549801</v>
      </c>
      <c r="D337" s="24">
        <v>0.58428554965370205</v>
      </c>
      <c r="E337" s="24">
        <v>-4.72471949167858</v>
      </c>
      <c r="F337" s="26">
        <v>2.3043320891219901E-6</v>
      </c>
      <c r="G337" s="24">
        <v>8.1975824915689701E-4</v>
      </c>
      <c r="H337" s="27" t="str">
        <f>VLOOKUP(A337,TableS10!A:J,8,FALSE)</f>
        <v>-</v>
      </c>
      <c r="I337" s="24" t="s">
        <v>2483</v>
      </c>
      <c r="J337" s="34" t="str">
        <f>VLOOKUP(A337,TableS10!A:J,10,FALSE)</f>
        <v>-</v>
      </c>
    </row>
    <row r="338" spans="1:10" ht="15.75" customHeight="1" x14ac:dyDescent="0.2">
      <c r="A338" s="24" t="s">
        <v>2484</v>
      </c>
      <c r="B338" s="24">
        <v>75.7870996640752</v>
      </c>
      <c r="C338" s="24">
        <v>-3.37898905436849</v>
      </c>
      <c r="D338" s="24">
        <v>0.71543629806329001</v>
      </c>
      <c r="E338" s="24">
        <v>-4.7229768233950704</v>
      </c>
      <c r="F338" s="26">
        <v>2.3241734487587301E-6</v>
      </c>
      <c r="G338" s="24">
        <v>8.2540338294071597E-4</v>
      </c>
      <c r="H338" s="27" t="str">
        <f>VLOOKUP(A338,TableS10!A:J,8,FALSE)</f>
        <v>-</v>
      </c>
      <c r="I338" s="24" t="s">
        <v>10</v>
      </c>
      <c r="J338" s="34" t="str">
        <f>VLOOKUP(A338,TableS10!A:J,10,FALSE)</f>
        <v>-</v>
      </c>
    </row>
    <row r="339" spans="1:10" ht="15.75" customHeight="1" x14ac:dyDescent="0.2">
      <c r="A339" s="24" t="s">
        <v>2485</v>
      </c>
      <c r="B339" s="24">
        <v>24.379237845039899</v>
      </c>
      <c r="C339" s="24">
        <v>-5.7225039609804202</v>
      </c>
      <c r="D339" s="24">
        <v>1.21282664405964</v>
      </c>
      <c r="E339" s="24">
        <v>-4.7183197936893402</v>
      </c>
      <c r="F339" s="26">
        <v>2.3780048011431599E-6</v>
      </c>
      <c r="G339" s="24">
        <v>8.4021218616717305E-4</v>
      </c>
      <c r="H339" s="27" t="str">
        <f>VLOOKUP(A339,TableS10!A:J,8,FALSE)</f>
        <v>-</v>
      </c>
      <c r="I339" s="24" t="s">
        <v>10</v>
      </c>
      <c r="J339" s="34" t="str">
        <f>VLOOKUP(A339,TableS10!A:J,10,FALSE)</f>
        <v>-</v>
      </c>
    </row>
    <row r="340" spans="1:10" ht="15.75" customHeight="1" x14ac:dyDescent="0.2">
      <c r="A340" s="24" t="s">
        <v>2486</v>
      </c>
      <c r="B340" s="24">
        <v>20.6149574479292</v>
      </c>
      <c r="C340" s="24">
        <v>-6.1019219621615699</v>
      </c>
      <c r="D340" s="24">
        <v>1.2941280548351499</v>
      </c>
      <c r="E340" s="24">
        <v>-4.71508359575658</v>
      </c>
      <c r="F340" s="26">
        <v>2.4161153151311099E-6</v>
      </c>
      <c r="G340" s="24">
        <v>8.5222827404138899E-4</v>
      </c>
      <c r="H340" s="27" t="str">
        <f>VLOOKUP(A340,TableS10!A:J,8,FALSE)</f>
        <v>K17725</v>
      </c>
      <c r="I340" s="24" t="s">
        <v>2487</v>
      </c>
      <c r="J340" s="34" t="str">
        <f>VLOOKUP(A340,TableS10!A:J,10,FALSE)</f>
        <v>GO:0003674,GO:0005488,GO:0005506,GO:0005575,GO:0005622,GO:0005623,GO:0005634,GO:0005654,GO:0005737,GO:0005739,GO:0006518,GO:0006575,GO:0006749,GO:0006790,GO:0006807,GO:0008150,GO:0008152,GO:0009987,GO:0031974,GO:0031981,GO:0034641,GO:0043167,GO:0043169,GO:0043226,GO:0043227,GO:0043229,GO:0043231,GO:0043233,GO:0043603,GO:0044237,GO:0044422,GO:0044424,GO:0044428,GO:0044444,GO:0044446,GO:0044464,GO:0046872,GO:0046914,GO:0051186,GO:0070013,GO:0071704,GO:1901564</v>
      </c>
    </row>
    <row r="341" spans="1:10" ht="15.75" customHeight="1" x14ac:dyDescent="0.2">
      <c r="A341" s="24" t="s">
        <v>2488</v>
      </c>
      <c r="B341" s="24">
        <v>17.658097392351699</v>
      </c>
      <c r="C341" s="24">
        <v>-5.8592444354761</v>
      </c>
      <c r="D341" s="24">
        <v>1.24352601432884</v>
      </c>
      <c r="E341" s="24">
        <v>-4.7117988429365196</v>
      </c>
      <c r="F341" s="26">
        <v>2.4553969099318399E-6</v>
      </c>
      <c r="G341" s="24">
        <v>8.6169500070911896E-4</v>
      </c>
      <c r="H341" s="27" t="str">
        <f>VLOOKUP(A341,TableS10!A:J,8,FALSE)</f>
        <v>K06063</v>
      </c>
      <c r="I341" s="24" t="s">
        <v>2318</v>
      </c>
      <c r="J341" s="34" t="str">
        <f>VLOOKUP(A341,TableS10!A:J,10,FALSE)</f>
        <v>GO:0000122,GO:0000350,GO:0000375,GO:0000377,GO:0000393,GO:0000398,GO:0000785,GO:0000974,GO:0001101,GO:0001700,GO:0003674,GO:0003712,GO:0003713,GO:0003714,GO:0005102,GO:0005112,GO:0005488,GO:0005515,GO:0005575,GO:0005622,GO:0005623,GO:0005634,GO:0005654,GO:0005681,GO:0005684,GO:0005694,GO:0005737,GO:0006139,GO:0006351,GO:0006352,GO:0006355,GO:0006357,GO:0006366,GO:0006367,GO:0006396,GO:0006397,GO:0006725,GO:0006807,GO:0006915,GO:0006950,GO:0006974,GO:0007154,GO:0007165,GO:0007166,GO:0007219,GO:0007221,GO:0007275,GO:0007399,GO:0007444,GO:0007517,GO:0007519,GO:0008134,GO:0008150,GO:0008152,GO:0008219,GO:0008380,GO:0008593,GO:0008630,GO:0009058,GO:0009059,GO:0009790,GO:0009792,GO:0009888,GO:0009889,GO:0009890,GO:0009891,GO:0009892,GO:0009893,GO:0009966,GO:0009967,GO:0009987,GO:0010033,GO:0010467,GO:0010468,GO:0010556,GO:0010557,GO:0010558,GO:0010604,GO:0010605,GO:0010628,GO:0010629,GO:0010638,GO:0010646,GO:0010647,GO:0010720,GO:0012501,GO:0014706,GO:0016043,GO:0016070,GO:0016071,GO:0016363,GO:0016604,GO:0016607,GO:0017015,GO:0018130,GO:0019219,GO:0019222,GO:0019438,GO:0019899,GO:0022008,GO:0022607,GO:0022613,GO:0022618,GO:0023051,GO:0023052,GO:0023056,GO:0030154,GO:0030511,GO:0030522,GO:0031056,GO:0031058,GO:0031060,GO:0031062,GO:0031323,GO:0031324,GO:0031325,GO:0031326,GO:0031327,GO:0031328,GO:0031399,GO:0031401,GO:0031974,GO:0031981,GO:0032101,GO:0032103,GO:0032104,GO:0032106,GO:0032107,GO:0032109,GO:0032268,GO:0032270,GO:0032501,GO:0032502,GO:0032526,GO:0032774,GO:0032991,GO:0033043,GO:0033044,GO:0033120,GO:0033554,GO:0033993,GO:0034399,GO:0034622,GO:0034641,GO:0034645,GO:0034654,GO:0035214,GO:0035257,GO:0035258,GO:0035295,GO:0035556,GO:0035821,GO:0035914,GO:0042221,GO:0042771,GO:0042809,GO:0042974,GO:0043170,GO:0043226,GO:0043227,GO:0043228,GO:0043229,GO:0043231,GO:0043232,GO:0043233,GO:0043484,GO:0043900,GO:0043902,GO:0043903,GO:0043921,GO:0043923,GO:0043933,GO:0044085,GO:0044237,GO:0044238,GO:0044249,GO:0044260,GO:0044271,GO:0044403,GO:0044419,GO:0044422,GO:0044424,GO:0044427,GO:0044428,GO:0044446,GO:0044451,GO:0044464,GO:0045595,GO:0045597,GO:0045747,GO:0045892,GO:0045893,GO:0045934,GO:0045935,GO:0045944,GO:0046332,GO:0046483,GO:0046782,GO:0048024,GO:0048026,GO:0048384,GO:0048385,GO:0048513,GO:0048518,GO:0048519,GO:0048522,GO:0048523,GO:0048524,GO:0048583,GO:0048584,GO:0048699,GO:0048731,GO:0048856,GO:0048869,GO:0050434,GO:0050681,GO:0050684,GO:0050685,GO:0050767,GO:0050769,GO:0050789,GO:0050792,GO:0050793,GO:0050794,GO:0050896,GO:0051094,GO:0051128,GO:0051130,GO:0051171,GO:0051172,GO:0051173,GO:0051239,GO:0051240,GO:0051246,GO:0051247,GO:0051252,GO:0051253,GO:0051254,GO:0051427,GO:0051569,GO:0051571,GO:0051702,GO:0051704,GO:0051716,GO:0051817,GO:0051851,GO:0051960,GO:0051962,GO:0052312,GO:0052472,GO:0060255,GO:0060284,GO:0060429,GO:0060537,GO:0060538,GO:0061061,GO:0065003,GO:0065007,GO:0070013,GO:0070562,GO:0070564,GO:0070887,GO:0071007,GO:0071013,GO:0071014,GO:0071141,GO:0071229,GO:0071300,GO:0071310,GO:0071396,GO:0071704,GO:0071826,GO:0071840,GO:0072331,GO:0072332,GO:0080090,GO:0090092,GO:0090100,GO:0090287,GO:0090304,GO:0097190,GO:0097193,GO:0097659,GO:0140110,GO:1901360,GO:1901362,GO:1901576,GO:1901700,GO:1901701,GO:1902275,GO:1902494,GO:1902679,GO:1902680,GO:1903311,GO:1903313,GO:1903506,GO:1903507,GO:1903508,GO:1903844,GO:1903846,GO:1905269,GO:1990904,GO:2000026,GO:2000112,GO:2000113,GO:2001141,GO:2001252</v>
      </c>
    </row>
    <row r="342" spans="1:10" ht="15.75" customHeight="1" x14ac:dyDescent="0.2">
      <c r="A342" s="24" t="s">
        <v>2489</v>
      </c>
      <c r="B342" s="24">
        <v>13.427553735976099</v>
      </c>
      <c r="C342" s="24">
        <v>-6.3091130834981799</v>
      </c>
      <c r="D342" s="24">
        <v>1.3406351988143199</v>
      </c>
      <c r="E342" s="24">
        <v>-4.7060625359367299</v>
      </c>
      <c r="F342" s="26">
        <v>2.5254707637388098E-6</v>
      </c>
      <c r="G342" s="24">
        <v>8.8479208092971499E-4</v>
      </c>
      <c r="H342" s="27" t="str">
        <f>VLOOKUP(A342,TableS10!A:J,8,FALSE)</f>
        <v>-</v>
      </c>
      <c r="I342" s="24" t="s">
        <v>2490</v>
      </c>
      <c r="J342" s="34" t="str">
        <f>VLOOKUP(A342,TableS10!A:J,10,FALSE)</f>
        <v>-</v>
      </c>
    </row>
    <row r="343" spans="1:10" ht="15.75" customHeight="1" x14ac:dyDescent="0.2">
      <c r="A343" s="24" t="s">
        <v>2491</v>
      </c>
      <c r="B343" s="24">
        <v>8.8043262735400294</v>
      </c>
      <c r="C343" s="24">
        <v>-6.6757172349970597</v>
      </c>
      <c r="D343" s="24">
        <v>1.4188617270870401</v>
      </c>
      <c r="E343" s="24">
        <v>-4.7049808360836503</v>
      </c>
      <c r="F343" s="26">
        <v>2.5388980215939301E-6</v>
      </c>
      <c r="G343" s="24">
        <v>8.8714049122104997E-4</v>
      </c>
      <c r="H343" s="27" t="str">
        <f>VLOOKUP(A343,TableS10!A:J,8,FALSE)</f>
        <v>-</v>
      </c>
      <c r="I343" s="24" t="s">
        <v>2492</v>
      </c>
      <c r="J343" s="34" t="str">
        <f>VLOOKUP(A343,TableS10!A:J,10,FALSE)</f>
        <v>-</v>
      </c>
    </row>
    <row r="344" spans="1:10" ht="15.75" customHeight="1" x14ac:dyDescent="0.2">
      <c r="A344" s="24" t="s">
        <v>2493</v>
      </c>
      <c r="B344" s="24">
        <v>8.7520407572181007</v>
      </c>
      <c r="C344" s="24">
        <v>-6.6681493990904404</v>
      </c>
      <c r="D344" s="24">
        <v>1.4172971974616899</v>
      </c>
      <c r="E344" s="24">
        <v>-4.7048349570102701</v>
      </c>
      <c r="F344" s="26">
        <v>2.5407140697574302E-6</v>
      </c>
      <c r="G344" s="24">
        <v>8.8714049122104997E-4</v>
      </c>
      <c r="H344" s="27" t="str">
        <f>VLOOKUP(A344,TableS10!A:J,8,FALSE)</f>
        <v>-</v>
      </c>
      <c r="I344" s="24" t="s">
        <v>2494</v>
      </c>
      <c r="J344" s="34" t="str">
        <f>VLOOKUP(A344,TableS10!A:J,10,FALSE)</f>
        <v>-</v>
      </c>
    </row>
    <row r="345" spans="1:10" ht="15.75" customHeight="1" x14ac:dyDescent="0.2">
      <c r="A345" s="24" t="s">
        <v>2495</v>
      </c>
      <c r="B345" s="24">
        <v>11.770361575210799</v>
      </c>
      <c r="C345" s="24">
        <v>-7.0941259933321499</v>
      </c>
      <c r="D345" s="24">
        <v>1.5081794787493901</v>
      </c>
      <c r="E345" s="24">
        <v>-4.7037677499860298</v>
      </c>
      <c r="F345" s="26">
        <v>2.55403770539852E-6</v>
      </c>
      <c r="G345" s="24">
        <v>8.9029640523955703E-4</v>
      </c>
      <c r="H345" s="27" t="str">
        <f>VLOOKUP(A345,TableS10!A:J,8,FALSE)</f>
        <v>-</v>
      </c>
      <c r="I345" s="24" t="s">
        <v>2496</v>
      </c>
      <c r="J345" s="34" t="str">
        <f>VLOOKUP(A345,TableS10!A:J,10,FALSE)</f>
        <v>-</v>
      </c>
    </row>
    <row r="346" spans="1:10" ht="15.75" customHeight="1" x14ac:dyDescent="0.2">
      <c r="A346" s="24" t="s">
        <v>2497</v>
      </c>
      <c r="B346" s="24">
        <v>15.0312224701463</v>
      </c>
      <c r="C346" s="24">
        <v>-5.6177541069632904</v>
      </c>
      <c r="D346" s="24">
        <v>1.19455141593376</v>
      </c>
      <c r="E346" s="24">
        <v>-4.7028148240667997</v>
      </c>
      <c r="F346" s="26">
        <v>2.56599124489288E-6</v>
      </c>
      <c r="G346" s="24">
        <v>8.9296495322272297E-4</v>
      </c>
      <c r="H346" s="27" t="str">
        <f>VLOOKUP(A346,TableS10!A:J,8,FALSE)</f>
        <v>-</v>
      </c>
      <c r="I346" s="24" t="s">
        <v>2498</v>
      </c>
      <c r="J346" s="34" t="str">
        <f>VLOOKUP(A346,TableS10!A:J,10,FALSE)</f>
        <v>-</v>
      </c>
    </row>
    <row r="347" spans="1:10" ht="15.75" customHeight="1" x14ac:dyDescent="0.2">
      <c r="A347" s="24" t="s">
        <v>2499</v>
      </c>
      <c r="B347" s="24">
        <v>10.841024450550799</v>
      </c>
      <c r="C347" s="24">
        <v>-6.9838231857685296</v>
      </c>
      <c r="D347" s="24">
        <v>1.4877800612493299</v>
      </c>
      <c r="E347" s="24">
        <v>-4.6941233907275404</v>
      </c>
      <c r="F347" s="26">
        <v>2.6775239013321999E-6</v>
      </c>
      <c r="G347" s="24">
        <v>9.30220159941759E-4</v>
      </c>
      <c r="H347" s="27" t="str">
        <f>VLOOKUP(A347,TableS10!A:J,8,FALSE)</f>
        <v>-</v>
      </c>
      <c r="I347" s="24" t="s">
        <v>2500</v>
      </c>
      <c r="J347" s="34" t="str">
        <f>VLOOKUP(A347,TableS10!A:J,10,FALSE)</f>
        <v>-</v>
      </c>
    </row>
    <row r="348" spans="1:10" ht="15.75" customHeight="1" x14ac:dyDescent="0.2">
      <c r="A348" s="24" t="s">
        <v>2501</v>
      </c>
      <c r="B348" s="24">
        <v>10.217520972172901</v>
      </c>
      <c r="C348" s="24">
        <v>-6.8888415883114904</v>
      </c>
      <c r="D348" s="24">
        <v>1.4698304357810901</v>
      </c>
      <c r="E348" s="24">
        <v>-4.68682741941634</v>
      </c>
      <c r="F348" s="26">
        <v>2.7747275590054202E-6</v>
      </c>
      <c r="G348" s="24">
        <v>9.6077716458121704E-4</v>
      </c>
      <c r="H348" s="27" t="str">
        <f>VLOOKUP(A348,TableS10!A:J,8,FALSE)</f>
        <v>-</v>
      </c>
      <c r="I348" s="24" t="s">
        <v>10</v>
      </c>
      <c r="J348" s="34" t="str">
        <f>VLOOKUP(A348,TableS10!A:J,10,FALSE)</f>
        <v>-</v>
      </c>
    </row>
    <row r="349" spans="1:10" ht="15.75" customHeight="1" x14ac:dyDescent="0.2">
      <c r="A349" s="24" t="s">
        <v>2502</v>
      </c>
      <c r="B349" s="24">
        <v>10.5057819442476</v>
      </c>
      <c r="C349" s="24">
        <v>-6.9403364994935401</v>
      </c>
      <c r="D349" s="24">
        <v>1.4813675954268599</v>
      </c>
      <c r="E349" s="24">
        <v>-4.6850872942806898</v>
      </c>
      <c r="F349" s="26">
        <v>2.7984063724809699E-6</v>
      </c>
      <c r="G349" s="24">
        <v>9.6575700053348203E-4</v>
      </c>
      <c r="H349" s="27" t="str">
        <f>VLOOKUP(A349,TableS10!A:J,8,FALSE)</f>
        <v>K04565</v>
      </c>
      <c r="I349" s="24" t="s">
        <v>2504</v>
      </c>
      <c r="J349" s="34" t="str">
        <f>VLOOKUP(A349,TableS10!A:J,10,FALSE)</f>
        <v>GO:0005575,GO:0005622,GO:0005623,GO:0005737,GO:0009507,GO:0009536,GO:0043226,GO:0043227,GO:0043229,GO:0043231,GO:0044424,GO:0044444,GO:0044464</v>
      </c>
    </row>
    <row r="350" spans="1:10" ht="15.75" customHeight="1" x14ac:dyDescent="0.2">
      <c r="A350" s="24" t="s">
        <v>2505</v>
      </c>
      <c r="B350" s="24">
        <v>43.807023366760198</v>
      </c>
      <c r="C350" s="24">
        <v>-3.31083519762548</v>
      </c>
      <c r="D350" s="24">
        <v>0.706735089685542</v>
      </c>
      <c r="E350" s="24">
        <v>-4.6846905522953701</v>
      </c>
      <c r="F350" s="26">
        <v>2.8038321331784302E-6</v>
      </c>
      <c r="G350" s="24">
        <v>9.6602479048195496E-4</v>
      </c>
      <c r="H350" s="27" t="str">
        <f>VLOOKUP(A350,TableS10!A:J,8,FALSE)</f>
        <v>-</v>
      </c>
      <c r="I350" s="24" t="s">
        <v>10</v>
      </c>
      <c r="J350" s="34" t="str">
        <f>VLOOKUP(A350,TableS10!A:J,10,FALSE)</f>
        <v>-</v>
      </c>
    </row>
    <row r="351" spans="1:10" ht="15.75" customHeight="1" x14ac:dyDescent="0.2">
      <c r="A351" s="24" t="s">
        <v>2506</v>
      </c>
      <c r="B351" s="24">
        <v>776.08542652304197</v>
      </c>
      <c r="C351" s="24">
        <v>13.027415045480801</v>
      </c>
      <c r="D351" s="24">
        <v>1.2044041546522599</v>
      </c>
      <c r="E351" s="24">
        <v>10.8164813241135</v>
      </c>
      <c r="F351" s="26">
        <v>2.8760824734217499E-27</v>
      </c>
      <c r="G351" s="26">
        <v>1.99174463449403E-22</v>
      </c>
      <c r="H351" s="27" t="str">
        <f>VLOOKUP(A351,TableS10!A:J,8,FALSE)</f>
        <v>-</v>
      </c>
      <c r="I351" s="24" t="s">
        <v>2507</v>
      </c>
      <c r="J351" s="34" t="str">
        <f>VLOOKUP(A351,TableS10!A:J,10,FALSE)</f>
        <v>-</v>
      </c>
    </row>
    <row r="352" spans="1:10" ht="15.75" customHeight="1" x14ac:dyDescent="0.2">
      <c r="A352" s="24" t="s">
        <v>2508</v>
      </c>
      <c r="B352" s="24">
        <v>155.18234853217101</v>
      </c>
      <c r="C352" s="24">
        <v>7.0436989927500901</v>
      </c>
      <c r="D352" s="24">
        <v>0.72032169695885095</v>
      </c>
      <c r="E352" s="24">
        <v>9.7785462002437296</v>
      </c>
      <c r="F352" s="26">
        <v>1.39195494389312E-22</v>
      </c>
      <c r="G352" s="26">
        <v>3.05207733600749E-18</v>
      </c>
      <c r="H352" s="27" t="str">
        <f>VLOOKUP(A352,TableS10!A:J,8,FALSE)</f>
        <v>K13912</v>
      </c>
      <c r="I352" s="24" t="s">
        <v>2509</v>
      </c>
      <c r="J352" s="34" t="str">
        <f>VLOOKUP(A352,TableS10!A:J,10,FALSE)</f>
        <v>-</v>
      </c>
    </row>
    <row r="353" spans="1:10" ht="15.75" customHeight="1" x14ac:dyDescent="0.2">
      <c r="A353" s="24" t="s">
        <v>2510</v>
      </c>
      <c r="B353" s="24">
        <v>382.64872813951001</v>
      </c>
      <c r="C353" s="24">
        <v>12.0084439457308</v>
      </c>
      <c r="D353" s="24">
        <v>1.2287258265915899</v>
      </c>
      <c r="E353" s="24">
        <v>9.7730866283175803</v>
      </c>
      <c r="F353" s="26">
        <v>1.4690682030879899E-22</v>
      </c>
      <c r="G353" s="26">
        <v>3.05207733600749E-18</v>
      </c>
      <c r="H353" s="27" t="str">
        <f>VLOOKUP(A353,TableS10!A:J,8,FALSE)</f>
        <v>K01156</v>
      </c>
      <c r="I353" s="24" t="s">
        <v>5143</v>
      </c>
      <c r="J353" s="34" t="str">
        <f>VLOOKUP(A353,TableS10!A:J,10,FALSE)</f>
        <v>-</v>
      </c>
    </row>
    <row r="354" spans="1:10" ht="15.75" customHeight="1" x14ac:dyDescent="0.2">
      <c r="A354" s="24" t="s">
        <v>2511</v>
      </c>
      <c r="B354" s="24">
        <v>152.46350530490699</v>
      </c>
      <c r="C354" s="24">
        <v>6.2684912916301103</v>
      </c>
      <c r="D354" s="24">
        <v>0.64995316113096302</v>
      </c>
      <c r="E354" s="24">
        <v>9.6445277390797095</v>
      </c>
      <c r="F354" s="26">
        <v>5.1849298886800398E-22</v>
      </c>
      <c r="G354" s="26">
        <v>8.9766691162717595E-18</v>
      </c>
      <c r="H354" s="27" t="str">
        <f>VLOOKUP(A354,TableS10!A:J,8,FALSE)</f>
        <v>-</v>
      </c>
      <c r="I354" s="24" t="s">
        <v>10</v>
      </c>
      <c r="J354" s="34" t="str">
        <f>VLOOKUP(A354,TableS10!A:J,10,FALSE)</f>
        <v>-</v>
      </c>
    </row>
    <row r="355" spans="1:10" ht="15.75" customHeight="1" x14ac:dyDescent="0.2">
      <c r="A355" s="24" t="s">
        <v>2512</v>
      </c>
      <c r="B355" s="24">
        <v>357.76705290655502</v>
      </c>
      <c r="C355" s="24">
        <v>10.070191382180999</v>
      </c>
      <c r="D355" s="24">
        <v>1.10828347603299</v>
      </c>
      <c r="E355" s="24">
        <v>9.0862956995681703</v>
      </c>
      <c r="F355" s="26">
        <v>1.0247079113909199E-19</v>
      </c>
      <c r="G355" s="26">
        <v>1.3305576052433199E-15</v>
      </c>
      <c r="H355" s="27" t="str">
        <f>VLOOKUP(A355,TableS10!A:J,8,FALSE)</f>
        <v>-</v>
      </c>
      <c r="I355" s="24" t="s">
        <v>2513</v>
      </c>
      <c r="J355" s="34" t="str">
        <f>VLOOKUP(A355,TableS10!A:J,10,FALSE)</f>
        <v>-</v>
      </c>
    </row>
    <row r="356" spans="1:10" ht="15.75" customHeight="1" x14ac:dyDescent="0.2">
      <c r="A356" s="24" t="s">
        <v>2514</v>
      </c>
      <c r="B356" s="24">
        <v>216.94413021294099</v>
      </c>
      <c r="C356" s="24">
        <v>11.1897903506921</v>
      </c>
      <c r="D356" s="24">
        <v>1.2335038654096</v>
      </c>
      <c r="E356" s="24">
        <v>9.0715486708072905</v>
      </c>
      <c r="F356" s="26">
        <v>1.1733722112288301E-19</v>
      </c>
      <c r="G356" s="26">
        <v>1.4339712771532799E-15</v>
      </c>
      <c r="H356" s="27" t="str">
        <f>VLOOKUP(A356,TableS10!A:J,8,FALSE)</f>
        <v>-</v>
      </c>
      <c r="I356" s="24" t="s">
        <v>2515</v>
      </c>
      <c r="J356" s="34" t="str">
        <f>VLOOKUP(A356,TableS10!A:J,10,FALSE)</f>
        <v>-</v>
      </c>
    </row>
    <row r="357" spans="1:10" ht="15.75" customHeight="1" x14ac:dyDescent="0.2">
      <c r="A357" s="24" t="s">
        <v>2516</v>
      </c>
      <c r="B357" s="24">
        <v>232.615043639107</v>
      </c>
      <c r="C357" s="24">
        <v>11.291009566722</v>
      </c>
      <c r="D357" s="24">
        <v>1.2616660472388599</v>
      </c>
      <c r="E357" s="24">
        <v>8.9492854241677495</v>
      </c>
      <c r="F357" s="26">
        <v>3.57790915812508E-19</v>
      </c>
      <c r="G357" s="26">
        <v>3.91227418450228E-15</v>
      </c>
      <c r="H357" s="27" t="str">
        <f>VLOOKUP(A357,TableS10!A:J,8,FALSE)</f>
        <v>K06773,K06774</v>
      </c>
      <c r="I357" s="24" t="s">
        <v>2517</v>
      </c>
      <c r="J357" s="34" t="str">
        <f>VLOOKUP(A357,TableS10!A:J,10,FALSE)</f>
        <v>-</v>
      </c>
    </row>
    <row r="358" spans="1:10" ht="15.75" customHeight="1" x14ac:dyDescent="0.2">
      <c r="A358" s="24" t="s">
        <v>2518</v>
      </c>
      <c r="B358" s="24">
        <v>154.74630363843499</v>
      </c>
      <c r="C358" s="24">
        <v>10.7037237881178</v>
      </c>
      <c r="D358" s="24">
        <v>1.2228797568158101</v>
      </c>
      <c r="E358" s="24">
        <v>8.7528832891866699</v>
      </c>
      <c r="F358" s="26">
        <v>2.0796973748007199E-18</v>
      </c>
      <c r="G358" s="26">
        <v>2.16034803899549E-14</v>
      </c>
      <c r="H358" s="27" t="str">
        <f>VLOOKUP(A358,TableS10!A:J,8,FALSE)</f>
        <v>-</v>
      </c>
      <c r="I358" s="24" t="s">
        <v>2519</v>
      </c>
      <c r="J358" s="34" t="str">
        <f>VLOOKUP(A358,TableS10!A:J,10,FALSE)</f>
        <v>-</v>
      </c>
    </row>
    <row r="359" spans="1:10" ht="15.75" customHeight="1" x14ac:dyDescent="0.2">
      <c r="A359" s="24" t="s">
        <v>2520</v>
      </c>
      <c r="B359" s="24">
        <v>156.725628946016</v>
      </c>
      <c r="C359" s="24">
        <v>10.7189709152047</v>
      </c>
      <c r="D359" s="24">
        <v>1.23555408704574</v>
      </c>
      <c r="E359" s="24">
        <v>8.6754364115569604</v>
      </c>
      <c r="F359" s="26">
        <v>4.1196754500564297E-18</v>
      </c>
      <c r="G359" s="26">
        <v>3.8903967854632899E-14</v>
      </c>
      <c r="H359" s="27" t="str">
        <f>VLOOKUP(A359,TableS10!A:J,8,FALSE)</f>
        <v>-</v>
      </c>
      <c r="I359" s="24" t="s">
        <v>2521</v>
      </c>
      <c r="J359" s="34" t="str">
        <f>VLOOKUP(A359,TableS10!A:J,10,FALSE)</f>
        <v>-</v>
      </c>
    </row>
    <row r="360" spans="1:10" ht="15.75" customHeight="1" x14ac:dyDescent="0.2">
      <c r="A360" s="24" t="s">
        <v>2522</v>
      </c>
      <c r="B360" s="24">
        <v>143.86496674204</v>
      </c>
      <c r="C360" s="24">
        <v>10.5983390468979</v>
      </c>
      <c r="D360" s="24">
        <v>1.29546996208034</v>
      </c>
      <c r="E360" s="24">
        <v>8.1810766417759808</v>
      </c>
      <c r="F360" s="26">
        <v>2.8131889790328498E-16</v>
      </c>
      <c r="G360" s="26">
        <v>2.0153685845791301E-12</v>
      </c>
      <c r="H360" s="27" t="str">
        <f>VLOOKUP(A360,TableS10!A:J,8,FALSE)</f>
        <v>-</v>
      </c>
      <c r="I360" s="24" t="s">
        <v>10</v>
      </c>
      <c r="J360" s="34" t="str">
        <f>VLOOKUP(A360,TableS10!A:J,10,FALSE)</f>
        <v>-</v>
      </c>
    </row>
    <row r="361" spans="1:10" ht="15.75" customHeight="1" x14ac:dyDescent="0.2">
      <c r="A361" s="24" t="s">
        <v>2523</v>
      </c>
      <c r="B361" s="24">
        <v>172.94922743966899</v>
      </c>
      <c r="C361" s="24">
        <v>5.3492656241366703</v>
      </c>
      <c r="D361" s="24">
        <v>0.66059532926450404</v>
      </c>
      <c r="E361" s="24">
        <v>8.0976437270491406</v>
      </c>
      <c r="F361" s="26">
        <v>5.60338842611403E-16</v>
      </c>
      <c r="G361" s="26">
        <v>3.7552824705024097E-12</v>
      </c>
      <c r="H361" s="27" t="str">
        <f>VLOOKUP(A361,TableS10!A:J,8,FALSE)</f>
        <v>-</v>
      </c>
      <c r="I361" s="24" t="s">
        <v>10</v>
      </c>
      <c r="J361" s="34" t="str">
        <f>VLOOKUP(A361,TableS10!A:J,10,FALSE)</f>
        <v>-</v>
      </c>
    </row>
    <row r="362" spans="1:10" ht="15.75" customHeight="1" x14ac:dyDescent="0.2">
      <c r="A362" s="24" t="s">
        <v>2524</v>
      </c>
      <c r="B362" s="24">
        <v>136.14798971493099</v>
      </c>
      <c r="C362" s="24">
        <v>8.6517053902439507</v>
      </c>
      <c r="D362" s="24">
        <v>1.0861110722879399</v>
      </c>
      <c r="E362" s="24">
        <v>7.9657648384144801</v>
      </c>
      <c r="F362" s="26">
        <v>1.64204950341834E-15</v>
      </c>
      <c r="G362" s="26">
        <v>8.7473240162097498E-12</v>
      </c>
      <c r="H362" s="27" t="str">
        <f>VLOOKUP(A362,TableS10!A:J,8,FALSE)</f>
        <v>-</v>
      </c>
      <c r="I362" s="24" t="s">
        <v>10</v>
      </c>
      <c r="J362" s="34" t="str">
        <f>VLOOKUP(A362,TableS10!A:J,10,FALSE)</f>
        <v>-</v>
      </c>
    </row>
    <row r="363" spans="1:10" ht="15.75" customHeight="1" x14ac:dyDescent="0.2">
      <c r="A363" s="24" t="s">
        <v>2525</v>
      </c>
      <c r="B363" s="24">
        <v>87.713143397649404</v>
      </c>
      <c r="C363" s="24">
        <v>9.8809591936615799</v>
      </c>
      <c r="D363" s="24">
        <v>1.26121728465148</v>
      </c>
      <c r="E363" s="24">
        <v>7.8344622404949398</v>
      </c>
      <c r="F363" s="26">
        <v>4.7085354576953498E-15</v>
      </c>
      <c r="G363" s="26">
        <v>2.1837444506686202E-11</v>
      </c>
      <c r="H363" s="27" t="str">
        <f>VLOOKUP(A363,TableS10!A:J,8,FALSE)</f>
        <v>-</v>
      </c>
      <c r="I363" s="24" t="s">
        <v>10</v>
      </c>
      <c r="J363" s="34" t="str">
        <f>VLOOKUP(A363,TableS10!A:J,10,FALSE)</f>
        <v>-</v>
      </c>
    </row>
    <row r="364" spans="1:10" ht="15.75" customHeight="1" x14ac:dyDescent="0.2">
      <c r="A364" s="24" t="s">
        <v>2526</v>
      </c>
      <c r="B364" s="24">
        <v>83.102831118691995</v>
      </c>
      <c r="C364" s="24">
        <v>9.8086850626093707</v>
      </c>
      <c r="D364" s="24">
        <v>1.2520834532413201</v>
      </c>
      <c r="E364" s="24">
        <v>7.8338908139207799</v>
      </c>
      <c r="F364" s="26">
        <v>4.7299957777435004E-15</v>
      </c>
      <c r="G364" s="26">
        <v>2.1837444506686202E-11</v>
      </c>
      <c r="H364" s="27" t="str">
        <f>VLOOKUP(A364,TableS10!A:J,8,FALSE)</f>
        <v>-</v>
      </c>
      <c r="I364" s="24" t="s">
        <v>2527</v>
      </c>
      <c r="J364" s="34" t="str">
        <f>VLOOKUP(A364,TableS10!A:J,10,FALSE)</f>
        <v>-</v>
      </c>
    </row>
    <row r="365" spans="1:10" ht="15.75" customHeight="1" x14ac:dyDescent="0.2">
      <c r="A365" s="24" t="s">
        <v>2528</v>
      </c>
      <c r="B365" s="24">
        <v>188.98273908649401</v>
      </c>
      <c r="C365" s="24">
        <v>10.028858972433101</v>
      </c>
      <c r="D365" s="24">
        <v>1.28125946921483</v>
      </c>
      <c r="E365" s="24">
        <v>7.82734427600285</v>
      </c>
      <c r="F365" s="26">
        <v>4.9828324033411203E-15</v>
      </c>
      <c r="G365" s="26">
        <v>2.2504637582359499E-11</v>
      </c>
      <c r="H365" s="27" t="str">
        <f>VLOOKUP(A365,TableS10!A:J,8,FALSE)</f>
        <v>-</v>
      </c>
      <c r="I365" s="24" t="s">
        <v>10</v>
      </c>
      <c r="J365" s="34" t="str">
        <f>VLOOKUP(A365,TableS10!A:J,10,FALSE)</f>
        <v>-</v>
      </c>
    </row>
    <row r="366" spans="1:10" ht="15.75" customHeight="1" x14ac:dyDescent="0.2">
      <c r="A366" s="24" t="s">
        <v>2529</v>
      </c>
      <c r="B366" s="24">
        <v>62.491104666595703</v>
      </c>
      <c r="C366" s="24">
        <v>4.2403489829726704</v>
      </c>
      <c r="D366" s="24">
        <v>0.54886711463878901</v>
      </c>
      <c r="E366" s="24">
        <v>7.7256386288751404</v>
      </c>
      <c r="F366" s="26">
        <v>1.11293945993767E-14</v>
      </c>
      <c r="G366" s="26">
        <v>4.6243970087762297E-11</v>
      </c>
      <c r="H366" s="27" t="str">
        <f>VLOOKUP(A366,TableS10!A:J,8,FALSE)</f>
        <v>-</v>
      </c>
      <c r="I366" s="24" t="s">
        <v>10</v>
      </c>
      <c r="J366" s="34" t="str">
        <f>VLOOKUP(A366,TableS10!A:J,10,FALSE)</f>
        <v>-</v>
      </c>
    </row>
    <row r="367" spans="1:10" ht="15.75" customHeight="1" x14ac:dyDescent="0.2">
      <c r="A367" s="24" t="s">
        <v>2530</v>
      </c>
      <c r="B367" s="24">
        <v>108.76699743761699</v>
      </c>
      <c r="C367" s="24">
        <v>3.2127262292180601</v>
      </c>
      <c r="D367" s="24">
        <v>0.42660381599938502</v>
      </c>
      <c r="E367" s="24">
        <v>7.5309364537486596</v>
      </c>
      <c r="F367" s="26">
        <v>5.0377702635151098E-14</v>
      </c>
      <c r="G367" s="26">
        <v>1.9029581797579001E-10</v>
      </c>
      <c r="H367" s="27" t="str">
        <f>VLOOKUP(A367,TableS10!A:J,8,FALSE)</f>
        <v>-</v>
      </c>
      <c r="I367" s="24" t="s">
        <v>2531</v>
      </c>
      <c r="J367" s="34" t="str">
        <f>VLOOKUP(A367,TableS10!A:J,10,FALSE)</f>
        <v>-</v>
      </c>
    </row>
    <row r="368" spans="1:10" ht="15.75" customHeight="1" x14ac:dyDescent="0.2">
      <c r="A368" s="24" t="s">
        <v>2532</v>
      </c>
      <c r="B368" s="24">
        <v>71.257322238179896</v>
      </c>
      <c r="C368" s="24">
        <v>9.5837635529313907</v>
      </c>
      <c r="D368" s="24">
        <v>1.27406609373466</v>
      </c>
      <c r="E368" s="24">
        <v>7.5221871142011203</v>
      </c>
      <c r="F368" s="26">
        <v>5.3867415046769203E-14</v>
      </c>
      <c r="G368" s="26">
        <v>1.99697346054668E-10</v>
      </c>
      <c r="H368" s="27" t="str">
        <f>VLOOKUP(A368,TableS10!A:J,8,FALSE)</f>
        <v>-</v>
      </c>
      <c r="I368" s="24" t="s">
        <v>2533</v>
      </c>
      <c r="J368" s="34" t="str">
        <f>VLOOKUP(A368,TableS10!A:J,10,FALSE)</f>
        <v>-</v>
      </c>
    </row>
    <row r="369" spans="1:10" ht="15.75" customHeight="1" x14ac:dyDescent="0.2">
      <c r="A369" s="24" t="s">
        <v>2534</v>
      </c>
      <c r="B369" s="24">
        <v>116.869199632966</v>
      </c>
      <c r="C369" s="24">
        <v>8.4307568597649798</v>
      </c>
      <c r="D369" s="24">
        <v>1.1211158327450299</v>
      </c>
      <c r="E369" s="24">
        <v>7.5199694924675402</v>
      </c>
      <c r="F369" s="26">
        <v>5.47890252272669E-14</v>
      </c>
      <c r="G369" s="26">
        <v>1.99697346054668E-10</v>
      </c>
      <c r="H369" s="27" t="str">
        <f>VLOOKUP(A369,TableS10!A:J,8,FALSE)</f>
        <v>K13912</v>
      </c>
      <c r="I369" s="24" t="s">
        <v>2509</v>
      </c>
      <c r="J369" s="34" t="str">
        <f>VLOOKUP(A369,TableS10!A:J,10,FALSE)</f>
        <v>-</v>
      </c>
    </row>
    <row r="370" spans="1:10" ht="15.75" customHeight="1" x14ac:dyDescent="0.2">
      <c r="A370" s="24" t="s">
        <v>2535</v>
      </c>
      <c r="B370" s="24">
        <v>186.27460410871001</v>
      </c>
      <c r="C370" s="24">
        <v>3.3379710101337001</v>
      </c>
      <c r="D370" s="24">
        <v>0.44418091637324902</v>
      </c>
      <c r="E370" s="24">
        <v>7.5148906382298897</v>
      </c>
      <c r="F370" s="26">
        <v>5.6958527392284597E-14</v>
      </c>
      <c r="G370" s="26">
        <v>2.0402544511916399E-10</v>
      </c>
      <c r="H370" s="27" t="str">
        <f>VLOOKUP(A370,TableS10!A:J,8,FALSE)</f>
        <v>-</v>
      </c>
      <c r="I370" s="24" t="s">
        <v>10</v>
      </c>
      <c r="J370" s="34" t="str">
        <f>VLOOKUP(A370,TableS10!A:J,10,FALSE)</f>
        <v>-</v>
      </c>
    </row>
    <row r="371" spans="1:10" ht="15.75" customHeight="1" x14ac:dyDescent="0.2">
      <c r="A371" s="24" t="s">
        <v>2536</v>
      </c>
      <c r="B371" s="24">
        <v>117.721621010989</v>
      </c>
      <c r="C371" s="24">
        <v>3.13436816629667</v>
      </c>
      <c r="D371" s="24">
        <v>0.419995790842073</v>
      </c>
      <c r="E371" s="24">
        <v>7.4628561396113096</v>
      </c>
      <c r="F371" s="26">
        <v>8.4666774788478498E-14</v>
      </c>
      <c r="G371" s="26">
        <v>2.9316717438258599E-10</v>
      </c>
      <c r="H371" s="27" t="str">
        <f>VLOOKUP(A371,TableS10!A:J,8,FALSE)</f>
        <v>-</v>
      </c>
      <c r="I371" s="24" t="s">
        <v>2537</v>
      </c>
      <c r="J371" s="34" t="str">
        <f>VLOOKUP(A371,TableS10!A:J,10,FALSE)</f>
        <v>-</v>
      </c>
    </row>
    <row r="372" spans="1:10" ht="15.75" customHeight="1" x14ac:dyDescent="0.2">
      <c r="A372" s="24" t="s">
        <v>2538</v>
      </c>
      <c r="B372" s="24">
        <v>51.466696699551299</v>
      </c>
      <c r="C372" s="24">
        <v>4.46984246873635</v>
      </c>
      <c r="D372" s="24">
        <v>0.60456398408645995</v>
      </c>
      <c r="E372" s="24">
        <v>7.3934977709441396</v>
      </c>
      <c r="F372" s="26">
        <v>1.4301584837559301E-13</v>
      </c>
      <c r="G372" s="26">
        <v>4.6425625929874398E-10</v>
      </c>
      <c r="H372" s="27" t="str">
        <f>VLOOKUP(A372,TableS10!A:J,8,FALSE)</f>
        <v>-</v>
      </c>
      <c r="I372" s="24" t="s">
        <v>2539</v>
      </c>
      <c r="J372" s="34" t="str">
        <f>VLOOKUP(A372,TableS10!A:J,10,FALSE)</f>
        <v>-</v>
      </c>
    </row>
    <row r="373" spans="1:10" ht="15.75" customHeight="1" x14ac:dyDescent="0.2">
      <c r="A373" s="24" t="s">
        <v>2540</v>
      </c>
      <c r="B373" s="24">
        <v>54.318254431697603</v>
      </c>
      <c r="C373" s="24">
        <v>9.1930803941261701</v>
      </c>
      <c r="D373" s="24">
        <v>1.2690593171907201</v>
      </c>
      <c r="E373" s="24">
        <v>7.2440115836954302</v>
      </c>
      <c r="F373" s="26">
        <v>4.35604191160903E-13</v>
      </c>
      <c r="G373" s="26">
        <v>1.2569358935947899E-9</v>
      </c>
      <c r="H373" s="27" t="str">
        <f>VLOOKUP(A373,TableS10!A:J,8,FALSE)</f>
        <v>K01195</v>
      </c>
      <c r="I373" s="24" t="s">
        <v>2542</v>
      </c>
      <c r="J373" s="34" t="str">
        <f>VLOOKUP(A373,TableS10!A:J,10,FALSE)</f>
        <v>GO:0000323,GO:0001775,GO:0002252,GO:0002263,GO:0002274,GO:0002275,GO:0002283,GO:0002366,GO:0002376,GO:0002443,GO:0002444,GO:0002446,GO:0003674,GO:0003824,GO:0004553,GO:0004566,GO:0005102,GO:0005488,GO:0005515,GO:0005575,GO:0005576,GO:0005615,GO:0005622,GO:0005623,GO:0005737,GO:0005764,GO:0005766,GO:0005773,GO:0005775,GO:0005975,GO:0006022,GO:0006026,GO:0006027,GO:0006082,GO:0006807,GO:0006810,GO:0006887,GO:0006955,GO:0008150,GO:0008152,GO:0009056,GO:0009057,GO:0009987,GO:0012505,GO:0016020,GO:0016054,GO:0016192,GO:0016787,GO:0016798,GO:0019752,GO:0019904,GO:0030141,GO:0030203,GO:0030212,GO:0030214,GO:0030246,GO:0031224,GO:0031410,GO:0031974,GO:0031982,GO:0031983,GO:0032940,GO:0034774,GO:0035578,GO:0036230,GO:0042119,GO:0042582,GO:0043170,GO:0043202,GO:0043226,GO:0043227,GO:0043229,GO:0043231,GO:0043233,GO:0043299,GO:0043312,GO:0043436,GO:0044237,GO:0044238,GO:0044248,GO:0044281,GO:0044282,GO:0044421,GO:0044422,GO:0044424,GO:0044425,GO:0044433,GO:0044437,GO:0044444,GO:0044446,GO:0044464,GO:0045055,GO:0045321,GO:0046395,GO:0046903,GO:0050896,GO:0051179,GO:0051234,GO:0060205,GO:0070013,GO:0071704,GO:0097708,GO:0099503,GO:0101002,GO:1901135,GO:1901136,GO:1901564,GO:1901565,GO:1901575,GO:1903510,GO:1904813</v>
      </c>
    </row>
    <row r="374" spans="1:10" ht="15.75" customHeight="1" x14ac:dyDescent="0.2">
      <c r="A374" s="24" t="s">
        <v>2543</v>
      </c>
      <c r="B374" s="24">
        <v>62.973735565735097</v>
      </c>
      <c r="C374" s="24">
        <v>3.3561724696974902</v>
      </c>
      <c r="D374" s="24">
        <v>0.46351185271046003</v>
      </c>
      <c r="E374" s="24">
        <v>7.2407478904190397</v>
      </c>
      <c r="F374" s="26">
        <v>4.4621719399451299E-13</v>
      </c>
      <c r="G374" s="26">
        <v>1.26992190897978E-9</v>
      </c>
      <c r="H374" s="27" t="str">
        <f>VLOOKUP(A374,TableS10!A:J,8,FALSE)</f>
        <v>K02599,K20995</v>
      </c>
      <c r="I374" s="24" t="s">
        <v>2544</v>
      </c>
      <c r="J374" s="34" t="str">
        <f>VLOOKUP(A374,TableS10!A:J,10,FALSE)</f>
        <v>-</v>
      </c>
    </row>
    <row r="375" spans="1:10" ht="15.75" customHeight="1" x14ac:dyDescent="0.2">
      <c r="A375" s="24" t="s">
        <v>2545</v>
      </c>
      <c r="B375" s="24">
        <v>74.642872479947101</v>
      </c>
      <c r="C375" s="24">
        <v>7.7829385214886404</v>
      </c>
      <c r="D375" s="24">
        <v>1.08084760133486</v>
      </c>
      <c r="E375" s="24">
        <v>7.2007732744899799</v>
      </c>
      <c r="F375" s="26">
        <v>5.9872032030126504E-13</v>
      </c>
      <c r="G375" s="26">
        <v>1.6154251800585701E-9</v>
      </c>
      <c r="H375" s="27" t="str">
        <f>VLOOKUP(A375,TableS10!A:J,8,FALSE)</f>
        <v>-</v>
      </c>
      <c r="I375" s="24" t="s">
        <v>2546</v>
      </c>
      <c r="J375" s="34" t="str">
        <f>VLOOKUP(A375,TableS10!A:J,10,FALSE)</f>
        <v>-</v>
      </c>
    </row>
    <row r="376" spans="1:10" ht="15.75" customHeight="1" x14ac:dyDescent="0.2">
      <c r="A376" s="24" t="s">
        <v>2547</v>
      </c>
      <c r="B376" s="24">
        <v>64.950724442341794</v>
      </c>
      <c r="C376" s="24">
        <v>9.4519694583211802</v>
      </c>
      <c r="D376" s="24">
        <v>1.3234496884131099</v>
      </c>
      <c r="E376" s="24">
        <v>7.1419182316288898</v>
      </c>
      <c r="F376" s="26">
        <v>9.2037346970158691E-13</v>
      </c>
      <c r="G376" s="26">
        <v>2.3901638821415399E-9</v>
      </c>
      <c r="H376" s="27" t="str">
        <f>VLOOKUP(A376,TableS10!A:J,8,FALSE)</f>
        <v>K01367,K03853,K08573,K08578,K08585</v>
      </c>
      <c r="I376" s="24" t="s">
        <v>2548</v>
      </c>
      <c r="J376" s="34" t="str">
        <f>VLOOKUP(A376,TableS10!A:J,10,FALSE)</f>
        <v>GO:0000003,GO:0000323,GO:0000768,GO:0001667,GO:0001775,GO:0002064,GO:0002065,GO:0002066,GO:0002252,GO:0002263,GO:0002274,GO:0002275,GO:0002283,GO:0002366,GO:0002376,GO:0002443,GO:0002444,GO:0002446,GO:0003002,GO:0003006,GO:0003674,GO:0003824,GO:0004175,GO:0004197,GO:0004198,GO:0005488,GO:0005509,GO:0005515,GO:0005575,GO:0005576,GO:0005622,GO:0005623,GO:0005737,GO:0005739,GO:0005764,GO:0005773,GO:0005829,GO:0005856,GO:0005886,GO:0006355,GO:0006357,GO:0006508,GO:0006807,GO:0006810,GO:0006887,GO:0006928,GO:0006949,GO:0006950,GO:0006952,GO:0006955,GO:0007154,GO:0007165,GO:0007166,GO:0007167,GO:0007178,GO:0007275,GO:0007276,GO:0007281,GO:0007292,GO:0007297,GO:0007298,GO:0007389,GO:0007399,GO:0007417,GO:0007520,GO:0007568,GO:0007610,GO:0007626,GO:0008092,GO:0008150,GO:0008152,GO:0008219,GO:0008233,GO:0008234,GO:0008284,GO:0008340,GO:0008345,GO:0008544,GO:0008589,GO:0009056,GO:0009057,GO:0009605,GO:0009607,GO:0009620,GO:0009653,GO:0009719,GO:0009887,GO:0009888,GO:0009889,GO:0009894,GO:0009913,GO:0009953,GO:0009966,GO:0009968,GO:0009987,GO:0010033,GO:0010259,GO:0010467,GO:0010468,GO:0010469,GO:0010506,GO:0010556,GO:0010631,GO:0010646,GO:0010648,GO:0012501,GO:0012505,GO:0014902,GO:0015629,GO:0016020,GO:0016192,GO:0016241,GO:0016322,GO:0016477,GO:0016485,GO:0016540,GO:0016787,GO:0019219,GO:0019222,GO:0019538,GO:0019953,GO:0021510,GO:0021511,GO:0021513,GO:0021700,GO:0021914,GO:0021919,GO:0022008,GO:0022412,GO:0022414,GO:0022612,GO:0022898,GO:0023051,GO:0023052,GO:0023057,GO:0030141,GO:0030154,GO:0030182,GO:0030216,GO:0030509,GO:0030537,GO:0030707,GO:0030855,GO:0030879,GO:0031323,GO:0031326,GO:0031329,GO:0031410,GO:0031424,GO:0031974,GO:0031982,GO:0032409,GO:0032412,GO:0032501,GO:0032502,GO:0032504,GO:0032801,GO:0032879,GO:0032940,GO:0034762,GO:0034765,GO:0036230,GO:0036477,GO:0040011,GO:0042119,GO:0042127,GO:0042221,GO:0042335,GO:0042551,GO:0042692,GO:0043025,GO:0043112,GO:0043167,GO:0043169,GO:0043170,GO:0043207,GO:0043226,GO:0043227,GO:0043228,GO:0043229,GO:0043231,GO:0043232,GO:0043233,GO:0043269,GO:0043299,GO:0043312,GO:0043588,GO:0044237,GO:0044238,GO:0044248,GO:0044260,GO:0044297,GO:0044422,GO:0044424,GO:0044433,GO:0044444,GO:0044446,GO:0044464,GO:0044703,GO:0045055,GO:0045321,GO:0045879,GO:0046872,GO:0046903,GO:0048468,GO:0048469,GO:0048477,GO:0048513,GO:0048518,GO:0048519,GO:0048522,GO:0048523,GO:0048583,GO:0048585,GO:0048609,GO:0048646,GO:0048666,GO:0048699,GO:0048731,GO:0048732,GO:0048771,GO:0048856,GO:0048869,GO:0048870,GO:0050789,GO:0050790,GO:0050793,GO:0050794,GO:0050832,GO:0050896,GO:0051049,GO:0051093,GO:0051146,GO:0051171,GO:0051179,GO:0051234,GO:0051239,GO:0051241,GO:0051252,GO:0051604,GO:0051674,GO:0051704,GO:0051707,GO:0051716,GO:0051960,GO:0051961,GO:0060056,GO:0060255,GO:0060429,GO:0060443,GO:0061061,GO:0065007,GO:0065009,GO:0070011,GO:0070013,GO:0070268,GO:0070848,GO:0070887,GO:0071310,GO:0071363,GO:0071495,GO:0071695,GO:0071704,GO:0071772,GO:0071773,GO:0071944,GO:0080090,GO:0090130,GO:0090132,GO:0097264,GO:0097458,GO:0097708,GO:0098542,GO:0099503,GO:0099601,GO:0101002,GO:0140096,GO:1900449,GO:1901564,GO:1901575,GO:1903506,GO:1904062,GO:1904813,GO:2000026,GO:2000112,GO:2000310,GO:2001141,GO:2001257</v>
      </c>
    </row>
    <row r="377" spans="1:10" ht="15.75" customHeight="1" x14ac:dyDescent="0.2">
      <c r="A377" s="24" t="s">
        <v>2549</v>
      </c>
      <c r="B377" s="24">
        <v>43.2322537570954</v>
      </c>
      <c r="C377" s="24">
        <v>3.6488634317390201</v>
      </c>
      <c r="D377" s="24">
        <v>0.517637173326987</v>
      </c>
      <c r="E377" s="24">
        <v>7.0490753364694498</v>
      </c>
      <c r="F377" s="26">
        <v>1.8011062325534101E-12</v>
      </c>
      <c r="G377" s="26">
        <v>4.50832080060681E-9</v>
      </c>
      <c r="H377" s="27" t="str">
        <f>VLOOKUP(A377,TableS10!A:J,8,FALSE)</f>
        <v>-</v>
      </c>
      <c r="I377" s="24" t="s">
        <v>2550</v>
      </c>
      <c r="J377" s="34" t="str">
        <f>VLOOKUP(A377,TableS10!A:J,10,FALSE)</f>
        <v>-</v>
      </c>
    </row>
    <row r="378" spans="1:10" ht="15.75" customHeight="1" x14ac:dyDescent="0.2">
      <c r="A378" s="24" t="s">
        <v>2551</v>
      </c>
      <c r="B378" s="24">
        <v>98.700649945117107</v>
      </c>
      <c r="C378" s="24">
        <v>9.0898422384581608</v>
      </c>
      <c r="D378" s="24">
        <v>1.2961333994447199</v>
      </c>
      <c r="E378" s="24">
        <v>7.01304529483797</v>
      </c>
      <c r="F378" s="26">
        <v>2.33185916208063E-12</v>
      </c>
      <c r="G378" s="26">
        <v>5.6995027303202698E-9</v>
      </c>
      <c r="H378" s="27" t="str">
        <f>VLOOKUP(A378,TableS10!A:J,8,FALSE)</f>
        <v>-</v>
      </c>
      <c r="I378" s="24" t="s">
        <v>10</v>
      </c>
      <c r="J378" s="34" t="str">
        <f>VLOOKUP(A378,TableS10!A:J,10,FALSE)</f>
        <v>-</v>
      </c>
    </row>
    <row r="379" spans="1:10" ht="15.75" customHeight="1" x14ac:dyDescent="0.2">
      <c r="A379" s="24" t="s">
        <v>2552</v>
      </c>
      <c r="B379" s="24">
        <v>44.079375397377703</v>
      </c>
      <c r="C379" s="24">
        <v>8.88288288132612</v>
      </c>
      <c r="D379" s="24">
        <v>1.27224973847246</v>
      </c>
      <c r="E379" s="24">
        <v>6.9820276732707001</v>
      </c>
      <c r="F379" s="26">
        <v>2.9094979807756199E-12</v>
      </c>
      <c r="G379" s="26">
        <v>6.94788117809217E-9</v>
      </c>
      <c r="H379" s="27" t="str">
        <f>VLOOKUP(A379,TableS10!A:J,8,FALSE)</f>
        <v>-</v>
      </c>
      <c r="I379" s="24" t="s">
        <v>10</v>
      </c>
      <c r="J379" s="34" t="str">
        <f>VLOOKUP(A379,TableS10!A:J,10,FALSE)</f>
        <v>-</v>
      </c>
    </row>
    <row r="380" spans="1:10" ht="15.75" customHeight="1" x14ac:dyDescent="0.2">
      <c r="A380" s="24" t="s">
        <v>2553</v>
      </c>
      <c r="B380" s="24">
        <v>41.969878572168703</v>
      </c>
      <c r="C380" s="24">
        <v>8.8216475439555104</v>
      </c>
      <c r="D380" s="24">
        <v>1.2791293291127199</v>
      </c>
      <c r="E380" s="24">
        <v>6.8966032934877397</v>
      </c>
      <c r="F380" s="26">
        <v>5.3260642849424602E-12</v>
      </c>
      <c r="G380" s="26">
        <v>1.2027410995462001E-8</v>
      </c>
      <c r="H380" s="27" t="str">
        <f>VLOOKUP(A380,TableS10!A:J,8,FALSE)</f>
        <v>-</v>
      </c>
      <c r="I380" s="24" t="s">
        <v>5112</v>
      </c>
      <c r="J380" s="34" t="str">
        <f>VLOOKUP(A380,TableS10!A:J,10,FALSE)</f>
        <v>-</v>
      </c>
    </row>
    <row r="381" spans="1:10" ht="15.75" customHeight="1" x14ac:dyDescent="0.2">
      <c r="A381" s="24" t="s">
        <v>2554</v>
      </c>
      <c r="B381" s="24">
        <v>48.071015035044802</v>
      </c>
      <c r="C381" s="24">
        <v>9.0173459115154593</v>
      </c>
      <c r="D381" s="24">
        <v>1.30828618260123</v>
      </c>
      <c r="E381" s="24">
        <v>6.8924873100673398</v>
      </c>
      <c r="F381" s="26">
        <v>5.4825184265432701E-12</v>
      </c>
      <c r="G381" s="26">
        <v>1.22475924540314E-8</v>
      </c>
      <c r="H381" s="27" t="str">
        <f>VLOOKUP(A381,TableS10!A:J,8,FALSE)</f>
        <v>-</v>
      </c>
      <c r="I381" s="24" t="s">
        <v>10</v>
      </c>
      <c r="J381" s="34" t="str">
        <f>VLOOKUP(A381,TableS10!A:J,10,FALSE)</f>
        <v>-</v>
      </c>
    </row>
    <row r="382" spans="1:10" ht="15.75" customHeight="1" x14ac:dyDescent="0.2">
      <c r="A382" s="24" t="s">
        <v>2555</v>
      </c>
      <c r="B382" s="24">
        <v>69.832151836547396</v>
      </c>
      <c r="C382" s="24">
        <v>4.3464673745380997</v>
      </c>
      <c r="D382" s="24">
        <v>0.63131883284659795</v>
      </c>
      <c r="E382" s="24">
        <v>6.8847421435853704</v>
      </c>
      <c r="F382" s="26">
        <v>5.7892301854567497E-12</v>
      </c>
      <c r="G382" s="26">
        <v>1.2795184110742E-8</v>
      </c>
      <c r="H382" s="27" t="str">
        <f>VLOOKUP(A382,TableS10!A:J,8,FALSE)</f>
        <v>K06819</v>
      </c>
      <c r="I382" s="24" t="s">
        <v>2281</v>
      </c>
      <c r="J382" s="34" t="str">
        <f>VLOOKUP(A382,TableS10!A:J,10,FALSE)</f>
        <v>GO:0000902,GO:0000904,GO:0001525,GO:0001568,GO:0001667,GO:0001755,GO:0001764,GO:0001936,GO:0001938,GO:0001944,GO:0002116,GO:0003002,GO:0003007,GO:0003148,GO:0003151,GO:0003205,GO:0003206,GO:0003279,GO:0003674,GO:0003824,GO:0004672,GO:0004713,GO:0004714,GO:0004888,GO:0005021,GO:0005488,GO:0005515,GO:0005575,GO:0005623,GO:0005886,GO:0006464,GO:0006468,GO:0006793,GO:0006796,GO:0006807,GO:0006928,GO:0006929,GO:0006935,GO:0007154,GO:0007155,GO:0007165,GO:0007166,GO:0007167,GO:0007169,GO:0007275,GO:0007350,GO:0007389,GO:0007399,GO:0007409,GO:0007411,GO:0007417,GO:0007420,GO:0007507,GO:0008150,GO:0008152,GO:0008284,GO:0009605,GO:0009653,GO:0009790,GO:0009880,GO:0009887,GO:0009888,GO:0009987,GO:0010033,GO:0010594,GO:0010595,GO:0010632,GO:0010634,GO:0014031,GO:0014032,GO:0014033,GO:0016020,GO:0016021,GO:0016043,GO:0016049,GO:0016301,GO:0016310,GO:0016477,GO:0016740,GO:0016772,GO:0016773,GO:0017154,GO:0018108,GO:0018193,GO:0018212,GO:0019199,GO:0019538,GO:0019838,GO:0019955,GO:0021536,GO:0021537,GO:0021543,GO:0021545,GO:0021561,GO:0021562,GO:0021602,GO:0021604,GO:0021610,GO:0021612,GO:0021648,GO:0021649,GO:0021675,GO:0021761,GO:0021783,GO:0021795,GO:0021800,GO:0021824,GO:0021825,GO:0021828,GO:0021854,GO:0021855,GO:0021856,GO:0021872,GO:0021879,GO:0021884,GO:0021885,GO:0021886,GO:0021888,GO:0021953,GO:0021954,GO:0021979,GO:0021987,GO:0022008,GO:0022029,GO:0022610,GO:0023052,GO:0030030,GO:0030154,GO:0030182,GO:0030334,GO:0030335,GO:0030424,GO:0030900,GO:0031175,GO:0031224,GO:0032501,GO:0032502,GO:0032879,GO:0032989,GO:0032990,GO:0032991,GO:0034097,GO:0035239,GO:0035282,GO:0035290,GO:0035295,GO:0035924,GO:0036211,GO:0036484,GO:0036486,GO:0038023,GO:0038084,GO:0040007,GO:0040011,GO:0040012,GO:0040017,GO:0042127,GO:0042221,GO:0042330,GO:0042802,GO:0042995,GO:0043005,GO:0043170,GO:0043235,GO:0043412,GO:0044237,GO:0044238,GO:0044260,GO:0044267,GO:0044425,GO:0044464,GO:0048010,GO:0048468,GO:0048483,GO:0048485,GO:0048486,GO:0048513,GO:0048514,GO:0048518,GO:0048522,GO:0048532,GO:0048588,GO:0048589,GO:0048646,GO:0048666,GO:0048667,GO:0048675,GO:0048699,GO:0048729,GO:0048731,GO:0048762,GO:0048812,GO:0048846,GO:0048856,GO:0048858,GO:0048863,GO:0048864,GO:0048869,GO:0048870,GO:0050678,GO:0050679,GO:0050789,GO:0050794,GO:0050896,GO:0050919,GO:0051179,GO:0051239,GO:0051240,GO:0051270,GO:0051272,GO:0051674,GO:0051716,GO:0060089,GO:0060322,GO:0060411,GO:0060485,GO:0060560,GO:0061548,GO:0061549,GO:0061550,GO:0061551,GO:0061552,GO:0061564,GO:0065007,GO:0070848,GO:0070887,GO:0071310,GO:0071345,GO:0071363,GO:0071526,GO:0071704,GO:0071840,GO:0071944,GO:0072358,GO:0072359,GO:0097374,GO:0097458,GO:0097485,GO:0097490,GO:0097491,GO:0120025,GO:0120036,GO:0120039,GO:0140096,GO:1901166,GO:1901564,GO:1902284,GO:1902285,GO:1903375,GO:1904835,GO:1990138,GO:1990791,GO:1990823,GO:1990830,GO:2000145,GO:2000147</v>
      </c>
    </row>
    <row r="383" spans="1:10" ht="15.75" customHeight="1" x14ac:dyDescent="0.2">
      <c r="A383" s="24" t="s">
        <v>2556</v>
      </c>
      <c r="B383" s="24">
        <v>117.02800230645801</v>
      </c>
      <c r="C383" s="24">
        <v>3.8604218384042999</v>
      </c>
      <c r="D383" s="24">
        <v>0.56497250150935296</v>
      </c>
      <c r="E383" s="24">
        <v>6.8329375820787499</v>
      </c>
      <c r="F383" s="26">
        <v>8.3193160414404799E-12</v>
      </c>
      <c r="G383" s="26">
        <v>1.7818431170159899E-8</v>
      </c>
      <c r="H383" s="27" t="str">
        <f>VLOOKUP(A383,TableS10!A:J,8,FALSE)</f>
        <v>-</v>
      </c>
      <c r="I383" s="24" t="s">
        <v>10</v>
      </c>
      <c r="J383" s="34" t="str">
        <f>VLOOKUP(A383,TableS10!A:J,10,FALSE)</f>
        <v>-</v>
      </c>
    </row>
    <row r="384" spans="1:10" ht="15.75" customHeight="1" x14ac:dyDescent="0.2">
      <c r="A384" s="24" t="s">
        <v>2557</v>
      </c>
      <c r="B384" s="24">
        <v>49.090185568808401</v>
      </c>
      <c r="C384" s="24">
        <v>9.0364557927823608</v>
      </c>
      <c r="D384" s="24">
        <v>1.3266636648344301</v>
      </c>
      <c r="E384" s="24">
        <v>6.81141425088334</v>
      </c>
      <c r="F384" s="26">
        <v>9.66438969753494E-12</v>
      </c>
      <c r="G384" s="26">
        <v>2.0488111693888501E-8</v>
      </c>
      <c r="H384" s="27" t="str">
        <f>VLOOKUP(A384,TableS10!A:J,8,FALSE)</f>
        <v>-</v>
      </c>
      <c r="I384" s="24" t="s">
        <v>2558</v>
      </c>
      <c r="J384" s="34" t="str">
        <f>VLOOKUP(A384,TableS10!A:J,10,FALSE)</f>
        <v>-</v>
      </c>
    </row>
    <row r="385" spans="1:10" ht="15.75" customHeight="1" x14ac:dyDescent="0.2">
      <c r="A385" s="24" t="s">
        <v>2559</v>
      </c>
      <c r="B385" s="24">
        <v>42.650306450551803</v>
      </c>
      <c r="C385" s="24">
        <v>8.8357910567267002</v>
      </c>
      <c r="D385" s="24">
        <v>1.3010643169838101</v>
      </c>
      <c r="E385" s="24">
        <v>6.79120235747473</v>
      </c>
      <c r="F385" s="26">
        <v>1.11202814534336E-11</v>
      </c>
      <c r="G385" s="26">
        <v>2.3336416097369099E-8</v>
      </c>
      <c r="H385" s="27" t="str">
        <f>VLOOKUP(A385,TableS10!A:J,8,FALSE)</f>
        <v>-</v>
      </c>
      <c r="I385" s="24" t="s">
        <v>2560</v>
      </c>
      <c r="J385" s="34" t="str">
        <f>VLOOKUP(A385,TableS10!A:J,10,FALSE)</f>
        <v>-</v>
      </c>
    </row>
    <row r="386" spans="1:10" ht="15.75" customHeight="1" x14ac:dyDescent="0.2">
      <c r="A386" s="24" t="s">
        <v>2561</v>
      </c>
      <c r="B386" s="24">
        <v>37.369083139020702</v>
      </c>
      <c r="C386" s="24">
        <v>8.6553949529742802</v>
      </c>
      <c r="D386" s="24">
        <v>1.27797769886447</v>
      </c>
      <c r="E386" s="24">
        <v>6.7727276936560896</v>
      </c>
      <c r="F386" s="26">
        <v>1.2637668412106999E-11</v>
      </c>
      <c r="G386" s="26">
        <v>2.5740700378683399E-8</v>
      </c>
      <c r="H386" s="27" t="str">
        <f>VLOOKUP(A386,TableS10!A:J,8,FALSE)</f>
        <v>-</v>
      </c>
      <c r="I386" s="24" t="s">
        <v>10</v>
      </c>
      <c r="J386" s="34" t="str">
        <f>VLOOKUP(A386,TableS10!A:J,10,FALSE)</f>
        <v>-</v>
      </c>
    </row>
    <row r="387" spans="1:10" ht="15.75" customHeight="1" x14ac:dyDescent="0.2">
      <c r="A387" s="24" t="s">
        <v>2562</v>
      </c>
      <c r="B387" s="24">
        <v>49.548878893474999</v>
      </c>
      <c r="C387" s="24">
        <v>5.3758588184016798</v>
      </c>
      <c r="D387" s="24">
        <v>0.80072570181436997</v>
      </c>
      <c r="E387" s="24">
        <v>6.7137333124445497</v>
      </c>
      <c r="F387" s="26">
        <v>1.8970689552963299E-11</v>
      </c>
      <c r="G387" s="26">
        <v>3.7617857769218999E-8</v>
      </c>
      <c r="H387" s="27" t="str">
        <f>VLOOKUP(A387,TableS10!A:J,8,FALSE)</f>
        <v>-</v>
      </c>
      <c r="I387" s="24" t="s">
        <v>10</v>
      </c>
      <c r="J387" s="34" t="str">
        <f>VLOOKUP(A387,TableS10!A:J,10,FALSE)</f>
        <v>-</v>
      </c>
    </row>
    <row r="388" spans="1:10" ht="15.75" customHeight="1" x14ac:dyDescent="0.2">
      <c r="A388" s="24" t="s">
        <v>2563</v>
      </c>
      <c r="B388" s="24">
        <v>61.833715493499</v>
      </c>
      <c r="C388" s="24">
        <v>9.3710808611956899</v>
      </c>
      <c r="D388" s="24">
        <v>1.3976593873208401</v>
      </c>
      <c r="E388" s="24">
        <v>6.70483877989688</v>
      </c>
      <c r="F388" s="26">
        <v>2.0162885225696201E-11</v>
      </c>
      <c r="G388" s="26">
        <v>3.9518494178771097E-8</v>
      </c>
      <c r="H388" s="27" t="str">
        <f>VLOOKUP(A388,TableS10!A:J,8,FALSE)</f>
        <v>-</v>
      </c>
      <c r="I388" s="24" t="s">
        <v>2564</v>
      </c>
      <c r="J388" s="34" t="str">
        <f>VLOOKUP(A388,TableS10!A:J,10,FALSE)</f>
        <v>-</v>
      </c>
    </row>
    <row r="389" spans="1:10" ht="15.75" customHeight="1" x14ac:dyDescent="0.2">
      <c r="A389" s="24" t="s">
        <v>2565</v>
      </c>
      <c r="B389" s="24">
        <v>36.080945593191998</v>
      </c>
      <c r="C389" s="24">
        <v>8.59263725894305</v>
      </c>
      <c r="D389" s="24">
        <v>1.28707948663377</v>
      </c>
      <c r="E389" s="24">
        <v>6.6760735045325497</v>
      </c>
      <c r="F389" s="26">
        <v>2.4542890772421199E-11</v>
      </c>
      <c r="G389" s="26">
        <v>4.7653577713225603E-8</v>
      </c>
      <c r="H389" s="27" t="str">
        <f>VLOOKUP(A389,TableS10!A:J,8,FALSE)</f>
        <v>-</v>
      </c>
      <c r="I389" s="24" t="s">
        <v>2266</v>
      </c>
      <c r="J389" s="34" t="str">
        <f>VLOOKUP(A389,TableS10!A:J,10,FALSE)</f>
        <v>-</v>
      </c>
    </row>
    <row r="390" spans="1:10" ht="15.75" customHeight="1" x14ac:dyDescent="0.2">
      <c r="A390" s="24" t="s">
        <v>2566</v>
      </c>
      <c r="B390" s="24">
        <v>94.155268397313193</v>
      </c>
      <c r="C390" s="24">
        <v>6.1411171896146701</v>
      </c>
      <c r="D390" s="24">
        <v>0.92234899149509797</v>
      </c>
      <c r="E390" s="24">
        <v>6.6581275051432698</v>
      </c>
      <c r="F390" s="26">
        <v>2.7733813447253799E-11</v>
      </c>
      <c r="G390" s="26">
        <v>5.33506124680338E-8</v>
      </c>
      <c r="H390" s="27" t="str">
        <f>VLOOKUP(A390,TableS10!A:J,8,FALSE)</f>
        <v>-</v>
      </c>
      <c r="I390" s="24" t="s">
        <v>2567</v>
      </c>
      <c r="J390" s="34" t="str">
        <f>VLOOKUP(A390,TableS10!A:J,10,FALSE)</f>
        <v>-</v>
      </c>
    </row>
    <row r="391" spans="1:10" ht="15.75" customHeight="1" x14ac:dyDescent="0.2">
      <c r="A391" s="24" t="s">
        <v>2568</v>
      </c>
      <c r="B391" s="24">
        <v>80.018396848510207</v>
      </c>
      <c r="C391" s="24">
        <v>7.9135842617508496</v>
      </c>
      <c r="D391" s="24">
        <v>1.1889120120604699</v>
      </c>
      <c r="E391" s="24">
        <v>6.65615636941547</v>
      </c>
      <c r="F391" s="26">
        <v>2.81081208070867E-11</v>
      </c>
      <c r="G391" s="26">
        <v>5.3574594003643199E-8</v>
      </c>
      <c r="H391" s="27" t="str">
        <f>VLOOKUP(A391,TableS10!A:J,8,FALSE)</f>
        <v>K10104</v>
      </c>
      <c r="I391" s="24" t="s">
        <v>2569</v>
      </c>
      <c r="J391" s="34" t="str">
        <f>VLOOKUP(A391,TableS10!A:J,10,FALSE)</f>
        <v>GO:0003674,GO:0005488,GO:0005575,GO:0008061,GO:0008144,GO:0016020,GO:0097367</v>
      </c>
    </row>
    <row r="392" spans="1:10" ht="15.75" customHeight="1" x14ac:dyDescent="0.2">
      <c r="A392" s="24" t="s">
        <v>2570</v>
      </c>
      <c r="B392" s="24">
        <v>40.816023334997098</v>
      </c>
      <c r="C392" s="24">
        <v>8.7840948932261398</v>
      </c>
      <c r="D392" s="24">
        <v>1.3199696447476199</v>
      </c>
      <c r="E392" s="24">
        <v>6.6547703791367798</v>
      </c>
      <c r="F392" s="26">
        <v>2.8374268596099401E-11</v>
      </c>
      <c r="G392" s="26">
        <v>5.3590223149556598E-8</v>
      </c>
      <c r="H392" s="27" t="str">
        <f>VLOOKUP(A392,TableS10!A:J,8,FALSE)</f>
        <v>-</v>
      </c>
      <c r="I392" s="24" t="s">
        <v>10</v>
      </c>
      <c r="J392" s="34" t="str">
        <f>VLOOKUP(A392,TableS10!A:J,10,FALSE)</f>
        <v>-</v>
      </c>
    </row>
    <row r="393" spans="1:10" ht="15.75" customHeight="1" x14ac:dyDescent="0.2">
      <c r="A393" s="24" t="s">
        <v>2571</v>
      </c>
      <c r="B393" s="24">
        <v>37.819425056826702</v>
      </c>
      <c r="C393" s="24">
        <v>8.6604663673959994</v>
      </c>
      <c r="D393" s="24">
        <v>1.30562261366135</v>
      </c>
      <c r="E393" s="24">
        <v>6.6332080011309804</v>
      </c>
      <c r="F393" s="26">
        <v>3.2846842032041197E-11</v>
      </c>
      <c r="G393" s="26">
        <v>6.1478635254132903E-8</v>
      </c>
      <c r="H393" s="27" t="str">
        <f>VLOOKUP(A393,TableS10!A:J,8,FALSE)</f>
        <v>-</v>
      </c>
      <c r="I393" s="24" t="s">
        <v>2572</v>
      </c>
      <c r="J393" s="34" t="str">
        <f>VLOOKUP(A393,TableS10!A:J,10,FALSE)</f>
        <v>-</v>
      </c>
    </row>
    <row r="394" spans="1:10" ht="15.75" customHeight="1" x14ac:dyDescent="0.2">
      <c r="A394" s="24" t="s">
        <v>2573</v>
      </c>
      <c r="B394" s="24">
        <v>34.432820344069299</v>
      </c>
      <c r="C394" s="24">
        <v>8.5370125735465994</v>
      </c>
      <c r="D394" s="24">
        <v>1.2893947082080599</v>
      </c>
      <c r="E394" s="24">
        <v>6.62094587421638</v>
      </c>
      <c r="F394" s="26">
        <v>3.5690764870319099E-11</v>
      </c>
      <c r="G394" s="26">
        <v>6.6205094164267998E-8</v>
      </c>
      <c r="H394" s="27" t="str">
        <f>VLOOKUP(A394,TableS10!A:J,8,FALSE)</f>
        <v>-</v>
      </c>
      <c r="I394" s="24" t="s">
        <v>10</v>
      </c>
      <c r="J394" s="34" t="str">
        <f>VLOOKUP(A394,TableS10!A:J,10,FALSE)</f>
        <v>-</v>
      </c>
    </row>
    <row r="395" spans="1:10" ht="15.75" customHeight="1" x14ac:dyDescent="0.2">
      <c r="A395" s="24" t="s">
        <v>2574</v>
      </c>
      <c r="B395" s="24">
        <v>35.017685385875303</v>
      </c>
      <c r="C395" s="24">
        <v>8.5607249555687801</v>
      </c>
      <c r="D395" s="24">
        <v>1.29520226079861</v>
      </c>
      <c r="E395" s="24">
        <v>6.6095660999620902</v>
      </c>
      <c r="F395" s="26">
        <v>3.8544808794827698E-11</v>
      </c>
      <c r="G395" s="26">
        <v>7.0866507044055104E-8</v>
      </c>
      <c r="H395" s="27" t="str">
        <f>VLOOKUP(A395,TableS10!A:J,8,FALSE)</f>
        <v>K08585</v>
      </c>
      <c r="I395" s="24" t="s">
        <v>2548</v>
      </c>
      <c r="J395" s="34" t="str">
        <f>VLOOKUP(A395,TableS10!A:J,10,FALSE)</f>
        <v>GO:0000003,GO:0000768,GO:0001667,GO:0002064,GO:0002065,GO:0002066,GO:0003002,GO:0003006,GO:0003674,GO:0003824,GO:0004175,GO:0004197,GO:0004198,GO:0005488,GO:0005509,GO:0005575,GO:0005622,GO:0005623,GO:0005737,GO:0005856,GO:0006355,GO:0006357,GO:0006508,GO:0006807,GO:0006928,GO:0006949,GO:0006950,GO:0006952,GO:0007154,GO:0007165,GO:0007166,GO:0007167,GO:0007178,GO:0007275,GO:0007276,GO:0007281,GO:0007292,GO:0007297,GO:0007298,GO:0007389,GO:0007399,GO:0007417,GO:0007520,GO:0007568,GO:0007610,GO:0007626,GO:0008150,GO:0008152,GO:0008233,GO:0008234,GO:0008340,GO:0008345,GO:0008589,GO:0009605,GO:0009607,GO:0009620,GO:0009653,GO:0009719,GO:0009888,GO:0009889,GO:0009953,GO:0009966,GO:0009968,GO:0009987,GO:0010033,GO:0010259,GO:0010467,GO:0010468,GO:0010556,GO:0010631,GO:0010646,GO:0010648,GO:0014902,GO:0015629,GO:0016322,GO:0016477,GO:0016485,GO:0016540,GO:0016787,GO:0019219,GO:0019222,GO:0019538,GO:0019953,GO:0021510,GO:0021511,GO:0021513,GO:0021700,GO:0021914,GO:0021919,GO:0022008,GO:0022412,GO:0022414,GO:0023051,GO:0023052,GO:0023057,GO:0030154,GO:0030182,GO:0030509,GO:0030537,GO:0030707,GO:0030855,GO:0031323,GO:0031326,GO:0032501,GO:0032502,GO:0032504,GO:0036477,GO:0040011,GO:0042221,GO:0042335,GO:0042551,GO:0042692,GO:0043025,GO:0043167,GO:0043169,GO:0043170,GO:0043207,GO:0043226,GO:0043228,GO:0043229,GO:0043232,GO:0044238,GO:0044297,GO:0044424,GO:0044464,GO:0044703,GO:0045879,GO:0046872,GO:0048468,GO:0048469,GO:0048477,GO:0048513,GO:0048519,GO:0048523,GO:0048583,GO:0048585,GO:0048609,GO:0048646,GO:0048666,GO:0048699,GO:0048731,GO:0048856,GO:0048869,GO:0048870,GO:0050789,GO:0050793,GO:0050794,GO:0050832,GO:0050896,GO:0051093,GO:0051146,GO:0051171,GO:0051179,GO:0051239,GO:0051241,GO:0051252,GO:0051604,GO:0051674,GO:0051704,GO:0051707,GO:0051716,GO:0051960,GO:0051961,GO:0060255,GO:0060429,GO:0061061,GO:0065007,GO:0070011,GO:0070848,GO:0070887,GO:0071310,GO:0071363,GO:0071495,GO:0071695,GO:0071704,GO:0071772,GO:0071773,GO:0080090,GO:0090130,GO:0090132,GO:0097458,GO:0098542,GO:0140096,GO:1901564,GO:1903506,GO:2000026,GO:2000112,GO:2001141</v>
      </c>
    </row>
    <row r="396" spans="1:10" ht="15.75" customHeight="1" x14ac:dyDescent="0.2">
      <c r="A396" s="24" t="s">
        <v>2575</v>
      </c>
      <c r="B396" s="24">
        <v>30.855707394486402</v>
      </c>
      <c r="C396" s="24">
        <v>8.3809504005369906</v>
      </c>
      <c r="D396" s="24">
        <v>1.2889963598682801</v>
      </c>
      <c r="E396" s="24">
        <v>6.5019193703490297</v>
      </c>
      <c r="F396" s="26">
        <v>7.9301604726883899E-11</v>
      </c>
      <c r="G396" s="26">
        <v>1.3180307353310801E-7</v>
      </c>
      <c r="H396" s="27" t="str">
        <f>VLOOKUP(A396,TableS10!A:J,8,FALSE)</f>
        <v>-</v>
      </c>
      <c r="I396" s="24" t="s">
        <v>2576</v>
      </c>
      <c r="J396" s="34" t="str">
        <f>VLOOKUP(A396,TableS10!A:J,10,FALSE)</f>
        <v>-</v>
      </c>
    </row>
    <row r="397" spans="1:10" ht="15.75" customHeight="1" x14ac:dyDescent="0.2">
      <c r="A397" s="24" t="s">
        <v>2577</v>
      </c>
      <c r="B397" s="24">
        <v>1048.7496498093201</v>
      </c>
      <c r="C397" s="24">
        <v>10.405002582938399</v>
      </c>
      <c r="D397" s="24">
        <v>1.61290983755189</v>
      </c>
      <c r="E397" s="24">
        <v>6.4510751566444098</v>
      </c>
      <c r="F397" s="26">
        <v>1.11059402547559E-10</v>
      </c>
      <c r="G397" s="26">
        <v>1.8167919083205301E-7</v>
      </c>
      <c r="H397" s="27" t="str">
        <f>VLOOKUP(A397,TableS10!A:J,8,FALSE)</f>
        <v>-</v>
      </c>
      <c r="I397" s="24" t="s">
        <v>2578</v>
      </c>
      <c r="J397" s="34" t="str">
        <f>VLOOKUP(A397,TableS10!A:J,10,FALSE)</f>
        <v>-</v>
      </c>
    </row>
    <row r="398" spans="1:10" ht="15.75" customHeight="1" x14ac:dyDescent="0.2">
      <c r="A398" s="24" t="s">
        <v>2579</v>
      </c>
      <c r="B398" s="24">
        <v>30.189411449853701</v>
      </c>
      <c r="C398" s="24">
        <v>8.3512153977207308</v>
      </c>
      <c r="D398" s="24">
        <v>1.3045696285903501</v>
      </c>
      <c r="E398" s="24">
        <v>6.4015099038788899</v>
      </c>
      <c r="F398" s="26">
        <v>1.5384783180299099E-10</v>
      </c>
      <c r="G398" s="26">
        <v>2.4032188078242298E-7</v>
      </c>
      <c r="H398" s="27" t="str">
        <f>VLOOKUP(A398,TableS10!A:J,8,FALSE)</f>
        <v>-</v>
      </c>
      <c r="I398" s="24" t="s">
        <v>2581</v>
      </c>
      <c r="J398" s="34" t="str">
        <f>VLOOKUP(A398,TableS10!A:J,10,FALSE)</f>
        <v>-</v>
      </c>
    </row>
    <row r="399" spans="1:10" ht="15.75" customHeight="1" x14ac:dyDescent="0.2">
      <c r="A399" s="24" t="s">
        <v>2582</v>
      </c>
      <c r="B399" s="24">
        <v>52.392993371960003</v>
      </c>
      <c r="C399" s="24">
        <v>9.1431511185659193</v>
      </c>
      <c r="D399" s="24">
        <v>1.43376296689231</v>
      </c>
      <c r="E399" s="24">
        <v>6.3770311618410496</v>
      </c>
      <c r="F399" s="26">
        <v>1.8055373437564501E-10</v>
      </c>
      <c r="G399" s="26">
        <v>2.6986418445285298E-7</v>
      </c>
      <c r="H399" s="27" t="str">
        <f>VLOOKUP(A399,TableS10!A:J,8,FALSE)</f>
        <v>-</v>
      </c>
      <c r="I399" s="24" t="s">
        <v>10</v>
      </c>
      <c r="J399" s="34" t="str">
        <f>VLOOKUP(A399,TableS10!A:J,10,FALSE)</f>
        <v>-</v>
      </c>
    </row>
    <row r="400" spans="1:10" ht="15.75" customHeight="1" x14ac:dyDescent="0.2">
      <c r="A400" s="24" t="s">
        <v>2583</v>
      </c>
      <c r="B400" s="24">
        <v>32.703560341192699</v>
      </c>
      <c r="C400" s="24">
        <v>8.4670056646059297</v>
      </c>
      <c r="D400" s="24">
        <v>1.3369478993128501</v>
      </c>
      <c r="E400" s="24">
        <v>6.3330857312821998</v>
      </c>
      <c r="F400" s="26">
        <v>2.4030594642354899E-10</v>
      </c>
      <c r="G400" s="26">
        <v>3.5158452257162502E-7</v>
      </c>
      <c r="H400" s="27" t="str">
        <f>VLOOKUP(A400,TableS10!A:J,8,FALSE)</f>
        <v>-</v>
      </c>
      <c r="I400" s="24" t="s">
        <v>2581</v>
      </c>
      <c r="J400" s="34" t="str">
        <f>VLOOKUP(A400,TableS10!A:J,10,FALSE)</f>
        <v>-</v>
      </c>
    </row>
    <row r="401" spans="1:10" ht="15.75" customHeight="1" x14ac:dyDescent="0.2">
      <c r="A401" s="24" t="s">
        <v>2584</v>
      </c>
      <c r="B401" s="24">
        <v>32.186349401469997</v>
      </c>
      <c r="C401" s="24">
        <v>4.71094921649473</v>
      </c>
      <c r="D401" s="24">
        <v>0.75567012329333905</v>
      </c>
      <c r="E401" s="24">
        <v>6.2341345400339598</v>
      </c>
      <c r="F401" s="26">
        <v>4.54282536459342E-10</v>
      </c>
      <c r="G401" s="26">
        <v>6.3770218003139995E-7</v>
      </c>
      <c r="H401" s="27" t="str">
        <f>VLOOKUP(A401,TableS10!A:J,8,FALSE)</f>
        <v>-</v>
      </c>
      <c r="I401" s="24" t="s">
        <v>10</v>
      </c>
      <c r="J401" s="34" t="str">
        <f>VLOOKUP(A401,TableS10!A:J,10,FALSE)</f>
        <v>-</v>
      </c>
    </row>
    <row r="402" spans="1:10" ht="15.75" customHeight="1" x14ac:dyDescent="0.2">
      <c r="A402" s="24" t="s">
        <v>2585</v>
      </c>
      <c r="B402" s="24">
        <v>26.210087890654499</v>
      </c>
      <c r="C402" s="24">
        <v>8.1465824563301705</v>
      </c>
      <c r="D402" s="24">
        <v>1.3093071276972099</v>
      </c>
      <c r="E402" s="24">
        <v>6.2220561425173297</v>
      </c>
      <c r="F402" s="26">
        <v>4.9068137686420095E-10</v>
      </c>
      <c r="G402" s="26">
        <v>6.7067105349867796E-7</v>
      </c>
      <c r="H402" s="27" t="str">
        <f>VLOOKUP(A402,TableS10!A:J,8,FALSE)</f>
        <v>-</v>
      </c>
      <c r="I402" s="24" t="s">
        <v>2181</v>
      </c>
      <c r="J402" s="34" t="str">
        <f>VLOOKUP(A402,TableS10!A:J,10,FALSE)</f>
        <v>-</v>
      </c>
    </row>
    <row r="403" spans="1:10" ht="15.75" customHeight="1" x14ac:dyDescent="0.2">
      <c r="A403" s="24" t="s">
        <v>2586</v>
      </c>
      <c r="B403" s="24">
        <v>40.467419555900101</v>
      </c>
      <c r="C403" s="24">
        <v>7.8020038016872899</v>
      </c>
      <c r="D403" s="24">
        <v>1.25617967313631</v>
      </c>
      <c r="E403" s="24">
        <v>6.2108979858016697</v>
      </c>
      <c r="F403" s="26">
        <v>5.2682667929563102E-10</v>
      </c>
      <c r="G403" s="26">
        <v>7.1195712231583997E-7</v>
      </c>
      <c r="H403" s="27" t="str">
        <f>VLOOKUP(A403,TableS10!A:J,8,FALSE)</f>
        <v>-</v>
      </c>
      <c r="I403" s="24" t="s">
        <v>2587</v>
      </c>
      <c r="J403" s="34" t="str">
        <f>VLOOKUP(A403,TableS10!A:J,10,FALSE)</f>
        <v>-</v>
      </c>
    </row>
    <row r="404" spans="1:10" ht="15.75" customHeight="1" x14ac:dyDescent="0.2">
      <c r="A404" s="24" t="s">
        <v>2588</v>
      </c>
      <c r="B404" s="24">
        <v>25.645824686668298</v>
      </c>
      <c r="C404" s="24">
        <v>8.1003053258842304</v>
      </c>
      <c r="D404" s="24">
        <v>1.3042656268819</v>
      </c>
      <c r="E404" s="24">
        <v>6.21062547301013</v>
      </c>
      <c r="F404" s="26">
        <v>5.2774118117714704E-10</v>
      </c>
      <c r="G404" s="26">
        <v>7.1195712231583997E-7</v>
      </c>
      <c r="H404" s="27" t="str">
        <f>VLOOKUP(A404,TableS10!A:J,8,FALSE)</f>
        <v>-</v>
      </c>
      <c r="I404" s="24" t="s">
        <v>10</v>
      </c>
      <c r="J404" s="34" t="str">
        <f>VLOOKUP(A404,TableS10!A:J,10,FALSE)</f>
        <v>-</v>
      </c>
    </row>
    <row r="405" spans="1:10" ht="15.75" customHeight="1" x14ac:dyDescent="0.2">
      <c r="A405" s="24" t="s">
        <v>2589</v>
      </c>
      <c r="B405" s="24">
        <v>26.9834774412532</v>
      </c>
      <c r="C405" s="24">
        <v>8.1871099295383303</v>
      </c>
      <c r="D405" s="24">
        <v>1.3280929140095701</v>
      </c>
      <c r="E405" s="24">
        <v>6.1645611110303102</v>
      </c>
      <c r="F405" s="26">
        <v>7.0678897835245402E-10</v>
      </c>
      <c r="G405" s="26">
        <v>9.1774781866620205E-7</v>
      </c>
      <c r="H405" s="27" t="str">
        <f>VLOOKUP(A405,TableS10!A:J,8,FALSE)</f>
        <v>-</v>
      </c>
      <c r="I405" s="24" t="s">
        <v>10</v>
      </c>
      <c r="J405" s="34" t="str">
        <f>VLOOKUP(A405,TableS10!A:J,10,FALSE)</f>
        <v>-</v>
      </c>
    </row>
    <row r="406" spans="1:10" ht="15.75" customHeight="1" x14ac:dyDescent="0.2">
      <c r="A406" s="24" t="s">
        <v>2590</v>
      </c>
      <c r="B406" s="24">
        <v>24.757876933137599</v>
      </c>
      <c r="C406" s="24">
        <v>8.0614158364578508</v>
      </c>
      <c r="D406" s="24">
        <v>1.3081939526075399</v>
      </c>
      <c r="E406" s="24">
        <v>6.1622482051606697</v>
      </c>
      <c r="F406" s="26">
        <v>7.1719317163566802E-10</v>
      </c>
      <c r="G406" s="26">
        <v>9.2547319606422197E-7</v>
      </c>
      <c r="H406" s="27" t="str">
        <f>VLOOKUP(A406,TableS10!A:J,8,FALSE)</f>
        <v>-</v>
      </c>
      <c r="I406" s="24" t="s">
        <v>2591</v>
      </c>
      <c r="J406" s="34" t="str">
        <f>VLOOKUP(A406,TableS10!A:J,10,FALSE)</f>
        <v>GO:0005575,GO:0005622,GO:0005623,GO:0005737,GO:0005783,GO:0005789,GO:0006464,GO:0006486,GO:0006487,GO:0006807,GO:0008150,GO:0008152,GO:0008250,GO:0009058,GO:0009059,GO:0009100,GO:0009101,GO:0009987,GO:0012505,GO:0016020,GO:0018193,GO:0018196,GO:0018279,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v>
      </c>
    </row>
    <row r="407" spans="1:10" ht="15.75" customHeight="1" x14ac:dyDescent="0.2">
      <c r="A407" s="24" t="s">
        <v>2592</v>
      </c>
      <c r="B407" s="24">
        <v>24.8100549333275</v>
      </c>
      <c r="C407" s="24">
        <v>8.0606492044151903</v>
      </c>
      <c r="D407" s="24">
        <v>1.3159586550317901</v>
      </c>
      <c r="E407" s="24">
        <v>6.1253058168612897</v>
      </c>
      <c r="F407" s="26">
        <v>9.0509594077001604E-10</v>
      </c>
      <c r="G407" s="26">
        <v>1.11928043018223E-6</v>
      </c>
      <c r="H407" s="27" t="str">
        <f>VLOOKUP(A407,TableS10!A:J,8,FALSE)</f>
        <v>-</v>
      </c>
      <c r="I407" s="24" t="s">
        <v>2593</v>
      </c>
      <c r="J407" s="34" t="str">
        <f>VLOOKUP(A407,TableS10!A:J,10,FALSE)</f>
        <v>-</v>
      </c>
    </row>
    <row r="408" spans="1:10" ht="15.75" customHeight="1" x14ac:dyDescent="0.2">
      <c r="A408" s="24" t="s">
        <v>2594</v>
      </c>
      <c r="B408" s="24">
        <v>42.512187469293899</v>
      </c>
      <c r="C408" s="24">
        <v>8.8407804378969193</v>
      </c>
      <c r="D408" s="24">
        <v>1.4466276159599201</v>
      </c>
      <c r="E408" s="24">
        <v>6.1113035174781896</v>
      </c>
      <c r="F408" s="26">
        <v>9.8820615926018196E-10</v>
      </c>
      <c r="G408" s="26">
        <v>1.20061847265063E-6</v>
      </c>
      <c r="H408" s="27" t="str">
        <f>VLOOKUP(A408,TableS10!A:J,8,FALSE)</f>
        <v>-</v>
      </c>
      <c r="I408" s="24" t="s">
        <v>10</v>
      </c>
      <c r="J408" s="34" t="str">
        <f>VLOOKUP(A408,TableS10!A:J,10,FALSE)</f>
        <v>-</v>
      </c>
    </row>
    <row r="409" spans="1:10" ht="15.75" customHeight="1" x14ac:dyDescent="0.2">
      <c r="A409" s="24" t="s">
        <v>2595</v>
      </c>
      <c r="B409" s="24">
        <v>26.852772145012999</v>
      </c>
      <c r="C409" s="24">
        <v>8.1804834010458407</v>
      </c>
      <c r="D409" s="24">
        <v>1.34600427030883</v>
      </c>
      <c r="E409" s="24">
        <v>6.0776058304546696</v>
      </c>
      <c r="F409" s="26">
        <v>1.21990169255634E-9</v>
      </c>
      <c r="G409" s="26">
        <v>1.4318751188629099E-6</v>
      </c>
      <c r="H409" s="27" t="str">
        <f>VLOOKUP(A409,TableS10!A:J,8,FALSE)</f>
        <v>-</v>
      </c>
      <c r="I409" s="24" t="s">
        <v>10</v>
      </c>
      <c r="J409" s="34" t="str">
        <f>VLOOKUP(A409,TableS10!A:J,10,FALSE)</f>
        <v>-</v>
      </c>
    </row>
    <row r="410" spans="1:10" ht="15.75" customHeight="1" x14ac:dyDescent="0.2">
      <c r="A410" s="24" t="s">
        <v>2596</v>
      </c>
      <c r="B410" s="24">
        <v>82.107304975849701</v>
      </c>
      <c r="C410" s="24">
        <v>4.0685544566955896</v>
      </c>
      <c r="D410" s="24">
        <v>0.67188439151207902</v>
      </c>
      <c r="E410" s="24">
        <v>6.0554382689844699</v>
      </c>
      <c r="F410" s="26">
        <v>1.4003586985084301E-9</v>
      </c>
      <c r="G410" s="26">
        <v>1.61629400981843E-6</v>
      </c>
      <c r="H410" s="27" t="str">
        <f>VLOOKUP(A410,TableS10!A:J,8,FALSE)</f>
        <v>-</v>
      </c>
      <c r="I410" s="24" t="s">
        <v>2597</v>
      </c>
      <c r="J410" s="34" t="str">
        <f>VLOOKUP(A410,TableS10!A:J,10,FALSE)</f>
        <v>-</v>
      </c>
    </row>
    <row r="411" spans="1:10" ht="15.75" customHeight="1" x14ac:dyDescent="0.2">
      <c r="A411" s="24" t="s">
        <v>2598</v>
      </c>
      <c r="B411" s="24">
        <v>27.173280840913002</v>
      </c>
      <c r="C411" s="24">
        <v>8.1819004015025794</v>
      </c>
      <c r="D411" s="24">
        <v>1.35148915068715</v>
      </c>
      <c r="E411" s="24">
        <v>6.0539889627249801</v>
      </c>
      <c r="F411" s="26">
        <v>1.41302296189533E-9</v>
      </c>
      <c r="G411" s="26">
        <v>1.6219005440415799E-6</v>
      </c>
      <c r="H411" s="27" t="str">
        <f>VLOOKUP(A411,TableS10!A:J,8,FALSE)</f>
        <v>-</v>
      </c>
      <c r="I411" s="24" t="s">
        <v>10</v>
      </c>
      <c r="J411" s="34" t="str">
        <f>VLOOKUP(A411,TableS10!A:J,10,FALSE)</f>
        <v>-</v>
      </c>
    </row>
    <row r="412" spans="1:10" ht="15.75" customHeight="1" x14ac:dyDescent="0.2">
      <c r="A412" s="24" t="s">
        <v>2599</v>
      </c>
      <c r="B412" s="24">
        <v>24.9345745234688</v>
      </c>
      <c r="C412" s="24">
        <v>8.0598269968281695</v>
      </c>
      <c r="D412" s="24">
        <v>1.3368333721050301</v>
      </c>
      <c r="E412" s="24">
        <v>6.0290438322442998</v>
      </c>
      <c r="F412" s="26">
        <v>1.6493255533410501E-9</v>
      </c>
      <c r="G412" s="26">
        <v>1.8622678242387101E-6</v>
      </c>
      <c r="H412" s="27" t="str">
        <f>VLOOKUP(A412,TableS10!A:J,8,FALSE)</f>
        <v>-</v>
      </c>
      <c r="I412" s="24" t="s">
        <v>10</v>
      </c>
      <c r="J412" s="34" t="str">
        <f>VLOOKUP(A412,TableS10!A:J,10,FALSE)</f>
        <v>-</v>
      </c>
    </row>
    <row r="413" spans="1:10" ht="15.75" customHeight="1" x14ac:dyDescent="0.2">
      <c r="A413" s="24" t="s">
        <v>2600</v>
      </c>
      <c r="B413" s="24">
        <v>20.6715031506</v>
      </c>
      <c r="C413" s="24">
        <v>7.7958889438415504</v>
      </c>
      <c r="D413" s="24">
        <v>1.30160437483098</v>
      </c>
      <c r="E413" s="24">
        <v>5.9894458674156796</v>
      </c>
      <c r="F413" s="26">
        <v>2.1055719742379202E-9</v>
      </c>
      <c r="G413" s="26">
        <v>2.2902890632448901E-6</v>
      </c>
      <c r="H413" s="27" t="str">
        <f>VLOOKUP(A413,TableS10!A:J,8,FALSE)</f>
        <v>-</v>
      </c>
      <c r="I413" s="24" t="s">
        <v>10</v>
      </c>
      <c r="J413" s="34" t="str">
        <f>VLOOKUP(A413,TableS10!A:J,10,FALSE)</f>
        <v>-</v>
      </c>
    </row>
    <row r="414" spans="1:10" ht="15.75" customHeight="1" x14ac:dyDescent="0.2">
      <c r="A414" s="24" t="s">
        <v>2601</v>
      </c>
      <c r="B414" s="24">
        <v>22.6408105012631</v>
      </c>
      <c r="C414" s="24">
        <v>7.92001630650471</v>
      </c>
      <c r="D414" s="24">
        <v>1.32567454243455</v>
      </c>
      <c r="E414" s="24">
        <v>5.9743293342269999</v>
      </c>
      <c r="F414" s="26">
        <v>2.3103865495043299E-9</v>
      </c>
      <c r="G414" s="26">
        <v>2.4742096287568101E-6</v>
      </c>
      <c r="H414" s="27" t="str">
        <f>VLOOKUP(A414,TableS10!A:J,8,FALSE)</f>
        <v>-</v>
      </c>
      <c r="I414" s="24" t="s">
        <v>10</v>
      </c>
      <c r="J414" s="34" t="str">
        <f>VLOOKUP(A414,TableS10!A:J,10,FALSE)</f>
        <v>-</v>
      </c>
    </row>
    <row r="415" spans="1:10" ht="15.75" customHeight="1" x14ac:dyDescent="0.2">
      <c r="A415" s="24" t="s">
        <v>2602</v>
      </c>
      <c r="B415" s="24">
        <v>38.640220997629697</v>
      </c>
      <c r="C415" s="24">
        <v>8.7053920671028493</v>
      </c>
      <c r="D415" s="24">
        <v>1.4648940117185201</v>
      </c>
      <c r="E415" s="24">
        <v>5.9426770793405197</v>
      </c>
      <c r="F415" s="26">
        <v>2.8040448076209701E-9</v>
      </c>
      <c r="G415" s="26">
        <v>2.8982941942890701E-6</v>
      </c>
      <c r="H415" s="27" t="str">
        <f>VLOOKUP(A415,TableS10!A:J,8,FALSE)</f>
        <v>K10746</v>
      </c>
      <c r="I415" s="24" t="s">
        <v>2604</v>
      </c>
      <c r="J415" s="34" t="str">
        <f>VLOOKUP(A415,TableS10!A:J,10,FALSE)</f>
        <v>GO:0000723,GO:0001325,GO:0001775,GO:0002200,GO:0002204,GO:0002208,GO:0002250,GO:0002252,GO:0002263,GO:0002285,GO:0002312,GO:0002366,GO:0002376,GO:0002377,GO:0002381,GO:0002440,GO:0002443,GO:0002449,GO:0002455,GO:0002460,GO:0002520,GO:0002562,GO:0002566,GO:0003674,GO:0003676,GO:0003677,GO:0003682,GO:0003824,GO:0004518,GO:0004519,GO:0004520,GO:0004521,GO:0004523,GO:0004527,GO:0004529,GO:0004536,GO:0004540,GO:0005488,GO:0005575,GO:0005622,GO:0005623,GO:0005634,GO:0005654,GO:0005886,GO:0006139,GO:0006259,GO:0006260,GO:0006281,GO:0006298,GO:0006310,GO:0006725,GO:0006807,GO:0006950,GO:0006955,GO:0006959,GO:0006974,GO:0006996,GO:0007275,GO:0008150,GO:0008152,GO:0008297,GO:0008309,GO:0008409,GO:0009058,GO:0009059,GO:0009987,GO:0016020,GO:0016043,GO:0016064,GO:0016070,GO:0016444,GO:0016445,GO:0016446,GO:0016447,GO:0016604,GO:0016787,GO:0016788,GO:0016796,GO:0016891,GO:0016893,GO:0016895,GO:0019724,GO:0022607,GO:0031974,GO:0031981,GO:0032200,GO:0032501,GO:0032502,GO:0033554,GO:0034641,GO:0034645,GO:0035312,GO:0042113,GO:0042592,GO:0043170,GO:0043226,GO:0043227,GO:0043229,GO:0043231,GO:0043233,GO:0044085,GO:0044237,GO:0044238,GO:0044249,GO:0044260,GO:0044422,GO:0044424,GO:0044428,GO:0044446,GO:0044451,GO:0044464,GO:0045145,GO:0045190,GO:0045321,GO:0046483,GO:0046649,GO:0048256,GO:0048731,GO:0048856,GO:0050896,GO:0051276,GO:0051716,GO:0051908,GO:0060249,GO:0065007,GO:0065008,GO:0070013,GO:0071704,GO:0071840,GO:0071944,GO:0090304,GO:0090305,GO:0090501,GO:0090502,GO:0090656,GO:0090737,GO:0097159,GO:0140097,GO:0140098,GO:1901360,GO:1901363,GO:1901576</v>
      </c>
    </row>
    <row r="416" spans="1:10" ht="15.75" customHeight="1" x14ac:dyDescent="0.2">
      <c r="A416" s="24" t="s">
        <v>2605</v>
      </c>
      <c r="B416" s="24">
        <v>20.720233050277301</v>
      </c>
      <c r="C416" s="24">
        <v>7.7974016745447496</v>
      </c>
      <c r="D416" s="24">
        <v>1.3145273838773699</v>
      </c>
      <c r="E416" s="24">
        <v>5.9317149039111499</v>
      </c>
      <c r="F416" s="26">
        <v>2.9978684331662199E-9</v>
      </c>
      <c r="G416" s="26">
        <v>3.0530644813768702E-6</v>
      </c>
      <c r="H416" s="27" t="str">
        <f>VLOOKUP(A416,TableS10!A:J,8,FALSE)</f>
        <v>-</v>
      </c>
      <c r="I416" s="24" t="s">
        <v>10</v>
      </c>
      <c r="J416" s="34" t="str">
        <f>VLOOKUP(A416,TableS10!A:J,10,FALSE)</f>
        <v>-</v>
      </c>
    </row>
    <row r="417" spans="1:10" ht="15.75" customHeight="1" x14ac:dyDescent="0.2">
      <c r="A417" s="24" t="s">
        <v>2606</v>
      </c>
      <c r="B417" s="24">
        <v>19.3753879455945</v>
      </c>
      <c r="C417" s="24">
        <v>7.7009362187884998</v>
      </c>
      <c r="D417" s="24">
        <v>1.3094625613902899</v>
      </c>
      <c r="E417" s="24">
        <v>5.8809899922699698</v>
      </c>
      <c r="F417" s="26">
        <v>4.0781982682842398E-9</v>
      </c>
      <c r="G417" s="26">
        <v>3.9772113822701796E-6</v>
      </c>
      <c r="H417" s="27" t="str">
        <f>VLOOKUP(A417,TableS10!A:J,8,FALSE)</f>
        <v>K12800</v>
      </c>
      <c r="I417" s="24" t="s">
        <v>2339</v>
      </c>
      <c r="J417" s="34" t="str">
        <f>VLOOKUP(A417,TableS10!A:J,10,FALSE)</f>
        <v>-</v>
      </c>
    </row>
    <row r="418" spans="1:10" ht="15.75" customHeight="1" x14ac:dyDescent="0.2">
      <c r="A418" s="24" t="s">
        <v>2607</v>
      </c>
      <c r="B418" s="24">
        <v>278.81439590400799</v>
      </c>
      <c r="C418" s="24">
        <v>3.7180057170745502</v>
      </c>
      <c r="D418" s="24">
        <v>0.63271887231898205</v>
      </c>
      <c r="E418" s="24">
        <v>5.8762364767904902</v>
      </c>
      <c r="F418" s="26">
        <v>4.19698666643974E-9</v>
      </c>
      <c r="G418" s="26">
        <v>4.0368016753372897E-6</v>
      </c>
      <c r="H418" s="27" t="str">
        <f>VLOOKUP(A418,TableS10!A:J,8,FALSE)</f>
        <v>-</v>
      </c>
      <c r="I418" s="24" t="s">
        <v>10</v>
      </c>
      <c r="J418" s="34" t="str">
        <f>VLOOKUP(A418,TableS10!A:J,10,FALSE)</f>
        <v>-</v>
      </c>
    </row>
    <row r="419" spans="1:10" ht="15.75" customHeight="1" x14ac:dyDescent="0.2">
      <c r="A419" s="24" t="s">
        <v>2608</v>
      </c>
      <c r="B419" s="24">
        <v>21.5132297457993</v>
      </c>
      <c r="C419" s="24">
        <v>7.85363429248061</v>
      </c>
      <c r="D419" s="24">
        <v>1.3504809079778901</v>
      </c>
      <c r="E419" s="24">
        <v>5.8154352616802596</v>
      </c>
      <c r="F419" s="26">
        <v>6.0476315429582601E-9</v>
      </c>
      <c r="G419" s="26">
        <v>5.6243677891529003E-6</v>
      </c>
      <c r="H419" s="27" t="str">
        <f>VLOOKUP(A419,TableS10!A:J,8,FALSE)</f>
        <v>-</v>
      </c>
      <c r="I419" s="24" t="s">
        <v>2609</v>
      </c>
      <c r="J419" s="34" t="str">
        <f>VLOOKUP(A419,TableS10!A:J,10,FALSE)</f>
        <v>-</v>
      </c>
    </row>
    <row r="420" spans="1:10" ht="15.75" customHeight="1" x14ac:dyDescent="0.2">
      <c r="A420" s="24" t="s">
        <v>2610</v>
      </c>
      <c r="B420" s="24">
        <v>57.409955808389398</v>
      </c>
      <c r="C420" s="24">
        <v>5.79136219503948</v>
      </c>
      <c r="D420" s="24">
        <v>0.99750397298292104</v>
      </c>
      <c r="E420" s="24">
        <v>5.8058537628888596</v>
      </c>
      <c r="F420" s="26">
        <v>6.4038837810805199E-9</v>
      </c>
      <c r="G420" s="26">
        <v>5.9130901280985099E-6</v>
      </c>
      <c r="H420" s="27" t="str">
        <f>VLOOKUP(A420,TableS10!A:J,8,FALSE)</f>
        <v>-</v>
      </c>
      <c r="I420" s="24" t="s">
        <v>10</v>
      </c>
      <c r="J420" s="34" t="str">
        <f>VLOOKUP(A420,TableS10!A:J,10,FALSE)</f>
        <v>-</v>
      </c>
    </row>
    <row r="421" spans="1:10" ht="15.75" customHeight="1" x14ac:dyDescent="0.2">
      <c r="A421" s="24" t="s">
        <v>2611</v>
      </c>
      <c r="B421" s="24">
        <v>64.711391768450895</v>
      </c>
      <c r="C421" s="24">
        <v>2.9530282579182701</v>
      </c>
      <c r="D421" s="24">
        <v>0.50983267761274897</v>
      </c>
      <c r="E421" s="24">
        <v>5.7921517933012696</v>
      </c>
      <c r="F421" s="26">
        <v>6.9490292573609298E-9</v>
      </c>
      <c r="G421" s="26">
        <v>6.3320286069836699E-6</v>
      </c>
      <c r="H421" s="27" t="str">
        <f>VLOOKUP(A421,TableS10!A:J,8,FALSE)</f>
        <v>-</v>
      </c>
      <c r="I421" s="24" t="s">
        <v>2612</v>
      </c>
      <c r="J421" s="34" t="str">
        <f>VLOOKUP(A421,TableS10!A:J,10,FALSE)</f>
        <v>-</v>
      </c>
    </row>
    <row r="422" spans="1:10" ht="15.75" customHeight="1" x14ac:dyDescent="0.2">
      <c r="A422" s="24" t="s">
        <v>2613</v>
      </c>
      <c r="B422" s="24">
        <v>108.513528693523</v>
      </c>
      <c r="C422" s="24">
        <v>5.3013537945587297</v>
      </c>
      <c r="D422" s="24">
        <v>0.91625406886584704</v>
      </c>
      <c r="E422" s="24">
        <v>5.7858993206118301</v>
      </c>
      <c r="F422" s="26">
        <v>7.2125404937149003E-9</v>
      </c>
      <c r="G422" s="26">
        <v>6.5009731124017502E-6</v>
      </c>
      <c r="H422" s="27" t="str">
        <f>VLOOKUP(A422,TableS10!A:J,8,FALSE)</f>
        <v>-</v>
      </c>
      <c r="I422" s="24" t="s">
        <v>2614</v>
      </c>
      <c r="J422" s="34" t="str">
        <f>VLOOKUP(A422,TableS10!A:J,10,FALSE)</f>
        <v>-</v>
      </c>
    </row>
    <row r="423" spans="1:10" ht="15.75" customHeight="1" x14ac:dyDescent="0.2">
      <c r="A423" s="24" t="s">
        <v>2615</v>
      </c>
      <c r="B423" s="24">
        <v>30.120585592888801</v>
      </c>
      <c r="C423" s="24">
        <v>5.88885874192776</v>
      </c>
      <c r="D423" s="24">
        <v>1.0180710735673699</v>
      </c>
      <c r="E423" s="24">
        <v>5.7843296944808804</v>
      </c>
      <c r="F423" s="26">
        <v>7.2802035505980996E-9</v>
      </c>
      <c r="G423" s="26">
        <v>6.5009731124017502E-6</v>
      </c>
      <c r="H423" s="27" t="str">
        <f>VLOOKUP(A423,TableS10!A:J,8,FALSE)</f>
        <v>K06058</v>
      </c>
      <c r="I423" s="24" t="s">
        <v>5137</v>
      </c>
      <c r="J423" s="34" t="str">
        <f>VLOOKUP(A423,TableS10!A:J,10,FALSE)</f>
        <v>GO:0000209,GO:0000323,GO:0002230,GO:0002682,GO:0002697,GO:0002831,GO:0003674,GO:0003824,GO:0004842,GO:0004857,GO:0005488,GO:0005515,GO:0005575,GO:0005622,GO:0005623,GO:0005634,GO:0005654,GO:0005737,GO:0005764,GO:0005773,GO:0005829,GO:0006139,GO:0006259,GO:0006281,GO:0006282,GO:0006302,GO:0006325,GO:0006355,GO:0006464,GO:0006508,GO:0006511,GO:0006513,GO:0006725,GO:0006807,GO:0006810,GO:0006950,GO:0006974,GO:0006996,GO:0007034,GO:0007041,GO:0008047,GO:0008150,GO:0008152,GO:0008333,GO:0009056,GO:0009057,GO:0009889,GO:0009891,GO:0009892,GO:0009893,GO:0009894,GO:0009896,GO:0009987,GO:0010390,GO:0010468,GO:0010556,GO:0010557,GO:0010604,GO:0010605,GO:0010628,GO:0016043,GO:0016192,GO:0016567,GO:0016569,GO:0016570,GO:0016574,GO:0016740,GO:0019219,GO:0019222,GO:0019538,GO:0019787,GO:0019899,GO:0019941,GO:0030163,GO:0030234,GO:0031323,GO:0031324,GO:0031325,GO:0031326,GO:0031328,GO:0031329,GO:0031331,GO:0031347,GO:0031396,GO:0031397,GO:0031399,GO:0031400,GO:0031974,GO:0031981,GO:0032092,GO:0032101,GO:0032268,GO:0032269,GO:0032446,GO:0032879,GO:0032880,GO:0032991,GO:0033522,GO:0033523,GO:0033554,GO:0034641,GO:0035561,GO:0035563,GO:0036211,GO:0042393,GO:0043085,GO:0043086,GO:0043170,GO:0043226,GO:0043227,GO:0043229,GO:0043231,GO:0043233,GO:0043393,GO:0043412,GO:0043632,GO:0043900,GO:0044092,GO:0044093,GO:0044237,GO:0044238,GO:0044248,GO:0044257,GO:0044260,GO:0044265,GO:0044267,GO:0044389,GO:0044422,GO:0044424,GO:0044428,GO:0044444,GO:0044446,GO:0044464,GO:0045739,GO:0045893,GO:0045935,GO:0046483,GO:0046907,GO:0048518,GO:0048519,GO:0048522,GO:0048523,GO:0048583,GO:0048584,GO:0050688,GO:0050691,GO:0050789,GO:0050790,GO:0050794,GO:0050896,GO:0051052,GO:0051054,GO:0051098,GO:0051099,GO:0051171,GO:0051172,GO:0051173,GO:0051179,GO:0051234,GO:0051246,GO:0051248,GO:0051252,GO:0051254,GO:0051276,GO:0051338,GO:0051340,GO:0051347,GO:0051348,GO:0051352,GO:0051438,GO:0051444,GO:0051603,GO:0051641,GO:0051649,GO:0051716,GO:0051865,GO:0060255,GO:0060341,GO:0065007,GO:0065009,GO:0070013,GO:0070647,GO:0070936,GO:0071704,GO:0071840,GO:0080090,GO:0080134,GO:0080135,GO:0090304,GO:0097677,GO:0098772,GO:0140096,GO:1900180,GO:1900182,GO:1901360,GO:1901564,GO:1901565,GO:1901575,GO:1901664,GO:1901666,GO:1902680,GO:1902965,GO:1902966,GO:1903320,GO:1903321,GO:1903506,GO:1903508,GO:1903827,GO:1903829,GO:1905666,GO:1905668,GO:2000112,GO:2000644,GO:2000646,GO:2000779,GO:2000781,GO:2001020,GO:2001022,GO:2001032,GO:2001034,GO:2001141</v>
      </c>
    </row>
    <row r="424" spans="1:10" ht="15.75" customHeight="1" x14ac:dyDescent="0.2">
      <c r="A424" s="24" t="s">
        <v>2616</v>
      </c>
      <c r="B424" s="24">
        <v>18.910611651623299</v>
      </c>
      <c r="C424" s="24">
        <v>7.6727954825784899</v>
      </c>
      <c r="D424" s="24">
        <v>1.32653619393216</v>
      </c>
      <c r="E424" s="24">
        <v>5.7840830259101796</v>
      </c>
      <c r="F424" s="26">
        <v>7.2908928511793101E-9</v>
      </c>
      <c r="G424" s="26">
        <v>6.5009731124017502E-6</v>
      </c>
      <c r="H424" s="27" t="str">
        <f>VLOOKUP(A424,TableS10!A:J,8,FALSE)</f>
        <v>K05104,K05105,K05106,K05108,K05111,K05112,K05113</v>
      </c>
      <c r="I424" s="24" t="s">
        <v>2617</v>
      </c>
      <c r="J424" s="34" t="str">
        <f>VLOOKUP(A424,TableS10!A:J,10,FALSE)</f>
        <v>GO:0000902,GO:0000904,GO:0001558,GO:0001655,GO:0001763,GO:0001822,GO:0001932,GO:0001934,GO:0002009,GO:0003674,GO:0003824,GO:0004672,GO:0004713,GO:0004714,GO:0004888,GO:0005003,GO:0005004,GO:0005102,GO:0005488,GO:0005515,GO:0005575,GO:0005623,GO:0005886,GO:0005887,GO:0006464,GO:0006468,GO:0006793,GO:0006796,GO:0006807,GO:0006928,GO:0006935,GO:0007154,GO:0007165,GO:0007166,GO:0007167,GO:0007169,GO:0007275,GO:0007399,GO:0007409,GO:0007411,GO:0007417,GO:0007420,GO:0008046,GO:0008150,GO:0008152,GO:0008361,GO:0009605,GO:0009653,GO:0009888,GO:0009893,GO:0009966,GO:0009987,GO:0010469,GO:0010562,GO:0010604,GO:0010646,GO:0010721,GO:0010769,GO:0010771,GO:0010941,GO:0010942,GO:0010975,GO:0010977,GO:0016020,GO:0016021,GO:0016043,GO:0016301,GO:0016310,GO:0016740,GO:0016772,GO:0016773,GO:0018108,GO:0018193,GO:0018212,GO:0019199,GO:0019220,GO:0019222,GO:0019538,GO:0022008,GO:0022407,GO:0022603,GO:0022604,GO:0023051,GO:0023052,GO:0030030,GO:0030154,GO:0030155,GO:0030162,GO:0030182,GO:0030308,GO:0030425,GO:0030545,GO:0031175,GO:0031224,GO:0031226,GO:0031290,GO:0031323,GO:0031325,GO:0031344,GO:0031345,GO:0031399,GO:0031401,GO:0031594,GO:0031952,GO:0032268,GO:0032270,GO:0032501,GO:0032502,GO:0032535,GO:0032989,GO:0032990,GO:0035239,GO:0035295,GO:0036211,GO:0036477,GO:0038023,GO:0040008,GO:0040011,GO:0042221,GO:0042325,GO:0042327,GO:0042330,GO:0042981,GO:0042995,GO:0043005,GO:0043025,GO:0043065,GO:0043067,GO:0043068,GO:0043170,GO:0043281,GO:0043408,GO:0043412,GO:0043523,GO:0043525,GO:0044087,GO:0044237,GO:0044238,GO:0044260,GO:0044267,GO:0044297,GO:0044425,GO:0044456,GO:0044459,GO:0044463,GO:0044464,GO:0045202,GO:0045211,GO:0045499,GO:0045595,GO:0045596,GO:0045664,GO:0045665,GO:0045926,GO:0045937,GO:0046875,GO:0048013,GO:0048018,GO:0048468,GO:0048513,GO:0048518,GO:0048519,GO:0048522,GO:0048523,GO:0048583,GO:0048638,GO:0048640,GO:0048666,GO:0048667,GO:0048670,GO:0048671,GO:0048699,GO:0048729,GO:0048731,GO:0048755,GO:0048812,GO:0048856,GO:0048858,GO:0048869,GO:0050730,GO:0050767,GO:0050768,GO:0050770,GO:0050771,GO:0050789,GO:0050790,GO:0050793,GO:0050794,GO:0050803,GO:0050807,GO:0050896,GO:0050919,GO:0051093,GO:0051128,GO:0051129,GO:0051171,GO:0051173,GO:0051174,GO:0051239,GO:0051241,GO:0051246,GO:0051247,GO:0051336,GO:0051716,GO:0051960,GO:0051961,GO:0051963,GO:0051964,GO:0052547,GO:0052548,GO:0060089,GO:0060255,GO:0060284,GO:0060322,GO:0060429,GO:0060562,GO:0061387,GO:0061564,GO:0065007,GO:0065008,GO:0065009,GO:0070372,GO:0071704,GO:0071840,GO:0071944,GO:0072001,GO:0072073,GO:0072176,GO:0072178,GO:0080090,GO:0090066,GO:0097060,GO:0097447,GO:0097458,GO:0097485,GO:0098590,GO:0098772,GO:0098794,GO:0120025,GO:0120035,GO:0120036,GO:0120038,GO:0120039,GO:0140096,GO:1901214,GO:1901216,GO:1901564,GO:1902531,GO:1905809,GO:2000026,GO:2000116</v>
      </c>
    </row>
    <row r="425" spans="1:10" ht="15.75" customHeight="1" x14ac:dyDescent="0.2">
      <c r="A425" s="24" t="s">
        <v>2618</v>
      </c>
      <c r="B425" s="24">
        <v>20.983564507739999</v>
      </c>
      <c r="C425" s="24">
        <v>7.8198181544999903</v>
      </c>
      <c r="D425" s="24">
        <v>1.355760354089</v>
      </c>
      <c r="E425" s="24">
        <v>5.7678468992807304</v>
      </c>
      <c r="F425" s="26">
        <v>8.0290694457440202E-9</v>
      </c>
      <c r="G425" s="26">
        <v>7.0774185958301897E-6</v>
      </c>
      <c r="H425" s="27" t="str">
        <f>VLOOKUP(A425,TableS10!A:J,8,FALSE)</f>
        <v>K02599</v>
      </c>
      <c r="I425" s="24" t="s">
        <v>2620</v>
      </c>
      <c r="J425" s="34" t="str">
        <f>VLOOKUP(A425,TableS10!A:J,10,FALSE)</f>
        <v>-</v>
      </c>
    </row>
    <row r="426" spans="1:10" ht="15.75" customHeight="1" x14ac:dyDescent="0.2">
      <c r="A426" s="24" t="s">
        <v>2621</v>
      </c>
      <c r="B426" s="24">
        <v>19.699517036539</v>
      </c>
      <c r="C426" s="24">
        <v>7.7368188041306496</v>
      </c>
      <c r="D426" s="24">
        <v>1.34264942655465</v>
      </c>
      <c r="E426" s="24">
        <v>5.7623521457749298</v>
      </c>
      <c r="F426" s="26">
        <v>8.2949700349948101E-9</v>
      </c>
      <c r="G426" s="26">
        <v>7.2714337324488702E-6</v>
      </c>
      <c r="H426" s="27" t="str">
        <f>VLOOKUP(A426,TableS10!A:J,8,FALSE)</f>
        <v>K11875</v>
      </c>
      <c r="I426" s="24" t="s">
        <v>2623</v>
      </c>
      <c r="J426" s="34" t="str">
        <f>VLOOKUP(A426,TableS10!A:J,10,FALSE)</f>
        <v>GO:0003674,GO:0005488,GO:0005575,GO:0005622,GO:0005623,GO:0005634,GO:0005654,GO:0005737,GO:0005783,GO:0005794,GO:0005829,GO:0007275,GO:0007399,GO:0007417,GO:0007420,GO:0008150,GO:0008283,GO:0009987,GO:0012505,GO:0016043,GO:0021534,GO:0021924,GO:0021930,GO:0022607,GO:0030902,GO:0031974,GO:0031981,GO:0032501,GO:0032502,GO:0034622,GO:0043226,GO:0043227,GO:0043229,GO:0043231,GO:0043233,GO:0043248,GO:0043933,GO:0044085,GO:0044422,GO:0044424,GO:0044428,GO:0044444,GO:0044446,GO:0044464,GO:0044877,GO:0048513,GO:0048731,GO:0048856,GO:0060322,GO:0061351,GO:0065003,GO:0070013,GO:0070628,GO:0071840,GO:0080129</v>
      </c>
    </row>
    <row r="427" spans="1:10" ht="15.75" customHeight="1" x14ac:dyDescent="0.2">
      <c r="A427" s="24" t="s">
        <v>2624</v>
      </c>
      <c r="B427" s="24">
        <v>56.130165855340003</v>
      </c>
      <c r="C427" s="24">
        <v>2.6439601526286598</v>
      </c>
      <c r="D427" s="24">
        <v>0.45925028149067099</v>
      </c>
      <c r="E427" s="24">
        <v>5.7571225521009701</v>
      </c>
      <c r="F427" s="26">
        <v>8.5559797338668199E-9</v>
      </c>
      <c r="G427" s="26">
        <v>7.45529321882927E-6</v>
      </c>
      <c r="H427" s="27" t="str">
        <f>VLOOKUP(A427,TableS10!A:J,8,FALSE)</f>
        <v>-</v>
      </c>
      <c r="I427" s="24" t="s">
        <v>10</v>
      </c>
      <c r="J427" s="34" t="str">
        <f>VLOOKUP(A427,TableS10!A:J,10,FALSE)</f>
        <v>-</v>
      </c>
    </row>
    <row r="428" spans="1:10" ht="15.75" customHeight="1" x14ac:dyDescent="0.2">
      <c r="A428" s="24" t="s">
        <v>2625</v>
      </c>
      <c r="B428" s="24">
        <v>18.527222877851202</v>
      </c>
      <c r="C428" s="24">
        <v>7.6439832796778999</v>
      </c>
      <c r="D428" s="24">
        <v>1.32783692595417</v>
      </c>
      <c r="E428" s="24">
        <v>5.7567184119277401</v>
      </c>
      <c r="F428" s="26">
        <v>8.5764795206886697E-9</v>
      </c>
      <c r="G428" s="26">
        <v>7.45529321882927E-6</v>
      </c>
      <c r="H428" s="27" t="str">
        <f>VLOOKUP(A428,TableS10!A:J,8,FALSE)</f>
        <v>K02599</v>
      </c>
      <c r="I428" s="24" t="s">
        <v>3908</v>
      </c>
      <c r="J428" s="34" t="str">
        <f>VLOOKUP(A428,TableS10!A:J,10,FALSE)</f>
        <v>-</v>
      </c>
    </row>
    <row r="429" spans="1:10" ht="15.75" customHeight="1" x14ac:dyDescent="0.2">
      <c r="A429" s="24" t="s">
        <v>2626</v>
      </c>
      <c r="B429" s="24">
        <v>34.547848065435701</v>
      </c>
      <c r="C429" s="24">
        <v>5.14746901474519</v>
      </c>
      <c r="D429" s="24">
        <v>0.89528050654467695</v>
      </c>
      <c r="E429" s="24">
        <v>5.7495600285231001</v>
      </c>
      <c r="F429" s="26">
        <v>8.9475981426904599E-9</v>
      </c>
      <c r="G429" s="26">
        <v>7.7133493764846408E-6</v>
      </c>
      <c r="H429" s="27" t="str">
        <f>VLOOKUP(A429,TableS10!A:J,8,FALSE)</f>
        <v>-</v>
      </c>
      <c r="I429" s="24" t="s">
        <v>2627</v>
      </c>
      <c r="J429" s="34" t="str">
        <f>VLOOKUP(A429,TableS10!A:J,10,FALSE)</f>
        <v>-</v>
      </c>
    </row>
    <row r="430" spans="1:10" ht="15.75" customHeight="1" x14ac:dyDescent="0.2">
      <c r="A430" s="24" t="s">
        <v>2628</v>
      </c>
      <c r="B430" s="24">
        <v>58.724547070687102</v>
      </c>
      <c r="C430" s="24">
        <v>3.1100835291146498</v>
      </c>
      <c r="D430" s="24">
        <v>0.54144057982230298</v>
      </c>
      <c r="E430" s="24">
        <v>5.7440902012467596</v>
      </c>
      <c r="F430" s="26">
        <v>9.2416517231542403E-9</v>
      </c>
      <c r="G430" s="26">
        <v>7.8688876860476708E-6</v>
      </c>
      <c r="H430" s="27" t="str">
        <f>VLOOKUP(A430,TableS10!A:J,8,FALSE)</f>
        <v>-</v>
      </c>
      <c r="I430" s="24" t="s">
        <v>10</v>
      </c>
      <c r="J430" s="34" t="str">
        <f>VLOOKUP(A430,TableS10!A:J,10,FALSE)</f>
        <v>-</v>
      </c>
    </row>
    <row r="431" spans="1:10" ht="15.75" customHeight="1" x14ac:dyDescent="0.2">
      <c r="A431" s="24" t="s">
        <v>2629</v>
      </c>
      <c r="B431" s="24">
        <v>21.4766543451817</v>
      </c>
      <c r="C431" s="24">
        <v>7.8611754992834397</v>
      </c>
      <c r="D431" s="24">
        <v>1.3740498224373501</v>
      </c>
      <c r="E431" s="24">
        <v>5.7211720935555004</v>
      </c>
      <c r="F431" s="26">
        <v>1.0579167242557799E-8</v>
      </c>
      <c r="G431" s="26">
        <v>8.7894342474707999E-6</v>
      </c>
      <c r="H431" s="27" t="str">
        <f>VLOOKUP(A431,TableS10!A:J,8,FALSE)</f>
        <v>-</v>
      </c>
      <c r="I431" s="24" t="s">
        <v>10</v>
      </c>
      <c r="J431" s="34" t="str">
        <f>VLOOKUP(A431,TableS10!A:J,10,FALSE)</f>
        <v>-</v>
      </c>
    </row>
    <row r="432" spans="1:10" ht="15.75" customHeight="1" x14ac:dyDescent="0.2">
      <c r="A432" s="24" t="s">
        <v>2630</v>
      </c>
      <c r="B432" s="24">
        <v>19.222783676223202</v>
      </c>
      <c r="C432" s="24">
        <v>7.6848571672692003</v>
      </c>
      <c r="D432" s="24">
        <v>1.3433809342051299</v>
      </c>
      <c r="E432" s="24">
        <v>5.7205346388337004</v>
      </c>
      <c r="F432" s="26">
        <v>1.06189375811778E-8</v>
      </c>
      <c r="G432" s="26">
        <v>8.7894342474707999E-6</v>
      </c>
      <c r="H432" s="27" t="str">
        <f>VLOOKUP(A432,TableS10!A:J,8,FALSE)</f>
        <v>-</v>
      </c>
      <c r="I432" s="24" t="s">
        <v>10</v>
      </c>
      <c r="J432" s="34" t="str">
        <f>VLOOKUP(A432,TableS10!A:J,10,FALSE)</f>
        <v>-</v>
      </c>
    </row>
    <row r="433" spans="1:10" ht="15.75" customHeight="1" x14ac:dyDescent="0.2">
      <c r="A433" s="24" t="s">
        <v>2631</v>
      </c>
      <c r="B433" s="24">
        <v>18.784467345572601</v>
      </c>
      <c r="C433" s="24">
        <v>7.6514496086259696</v>
      </c>
      <c r="D433" s="24">
        <v>1.3440680155775899</v>
      </c>
      <c r="E433" s="24">
        <v>5.6927547712962001</v>
      </c>
      <c r="F433" s="26">
        <v>1.25005867940574E-8</v>
      </c>
      <c r="G433" s="26">
        <v>1.00661701937449E-5</v>
      </c>
      <c r="H433" s="27" t="str">
        <f>VLOOKUP(A433,TableS10!A:J,8,FALSE)</f>
        <v>-</v>
      </c>
      <c r="I433" s="24" t="s">
        <v>10</v>
      </c>
      <c r="J433" s="34" t="str">
        <f>VLOOKUP(A433,TableS10!A:J,10,FALSE)</f>
        <v>-</v>
      </c>
    </row>
    <row r="434" spans="1:10" ht="15.75" customHeight="1" x14ac:dyDescent="0.2">
      <c r="A434" s="24" t="s">
        <v>2632</v>
      </c>
      <c r="B434" s="24">
        <v>33.796791475393</v>
      </c>
      <c r="C434" s="24">
        <v>8.5076618985021604</v>
      </c>
      <c r="D434" s="24">
        <v>1.4970783283289999</v>
      </c>
      <c r="E434" s="24">
        <v>5.6828435343113899</v>
      </c>
      <c r="F434" s="26">
        <v>1.32473456842274E-8</v>
      </c>
      <c r="G434" s="26">
        <v>1.0585444422970601E-5</v>
      </c>
      <c r="H434" s="27" t="str">
        <f>VLOOKUP(A434,TableS10!A:J,8,FALSE)</f>
        <v>-</v>
      </c>
      <c r="I434" s="24" t="s">
        <v>2633</v>
      </c>
      <c r="J434" s="34" t="str">
        <f>VLOOKUP(A434,TableS10!A:J,10,FALSE)</f>
        <v>-</v>
      </c>
    </row>
    <row r="435" spans="1:10" ht="15.75" customHeight="1" x14ac:dyDescent="0.2">
      <c r="A435" s="24" t="s">
        <v>2634</v>
      </c>
      <c r="B435" s="24">
        <v>19.3063957397979</v>
      </c>
      <c r="C435" s="24">
        <v>7.70519303358597</v>
      </c>
      <c r="D435" s="24">
        <v>1.3617349670954499</v>
      </c>
      <c r="E435" s="24">
        <v>5.6583646743102696</v>
      </c>
      <c r="F435" s="26">
        <v>1.5282214532750699E-8</v>
      </c>
      <c r="G435" s="26">
        <v>1.2118212833840201E-5</v>
      </c>
      <c r="H435" s="27" t="str">
        <f>VLOOKUP(A435,TableS10!A:J,8,FALSE)</f>
        <v>-</v>
      </c>
      <c r="I435" s="24" t="s">
        <v>10</v>
      </c>
      <c r="J435" s="34" t="str">
        <f>VLOOKUP(A435,TableS10!A:J,10,FALSE)</f>
        <v>-</v>
      </c>
    </row>
    <row r="436" spans="1:10" ht="15.75" customHeight="1" x14ac:dyDescent="0.2">
      <c r="A436" s="24" t="s">
        <v>2635</v>
      </c>
      <c r="B436" s="24">
        <v>36.918567690704201</v>
      </c>
      <c r="C436" s="24">
        <v>8.6378317061808598</v>
      </c>
      <c r="D436" s="24">
        <v>1.5311882928854701</v>
      </c>
      <c r="E436" s="24">
        <v>5.64126028543697</v>
      </c>
      <c r="F436" s="26">
        <v>1.6880994234543501E-8</v>
      </c>
      <c r="G436" s="26">
        <v>1.3234444672422E-5</v>
      </c>
      <c r="H436" s="27" t="str">
        <f>VLOOKUP(A436,TableS10!A:J,8,FALSE)</f>
        <v>-</v>
      </c>
      <c r="I436" s="24" t="s">
        <v>2636</v>
      </c>
      <c r="J436" s="34" t="str">
        <f>VLOOKUP(A436,TableS10!A:J,10,FALSE)</f>
        <v>-</v>
      </c>
    </row>
    <row r="437" spans="1:10" ht="15.75" customHeight="1" x14ac:dyDescent="0.2">
      <c r="A437" s="24" t="s">
        <v>2637</v>
      </c>
      <c r="B437" s="24">
        <v>32.6021850971118</v>
      </c>
      <c r="C437" s="24">
        <v>3.5322158473277998</v>
      </c>
      <c r="D437" s="24">
        <v>0.62697931797647399</v>
      </c>
      <c r="E437" s="24">
        <v>5.6337039293859696</v>
      </c>
      <c r="F437" s="26">
        <v>1.7637972490601801E-8</v>
      </c>
      <c r="G437" s="26">
        <v>1.37243243923501E-5</v>
      </c>
      <c r="H437" s="27" t="str">
        <f>VLOOKUP(A437,TableS10!A:J,8,FALSE)</f>
        <v>-</v>
      </c>
      <c r="I437" s="24" t="s">
        <v>10</v>
      </c>
      <c r="J437" s="34" t="str">
        <f>VLOOKUP(A437,TableS10!A:J,10,FALSE)</f>
        <v>-</v>
      </c>
    </row>
    <row r="438" spans="1:10" ht="15.75" customHeight="1" x14ac:dyDescent="0.2">
      <c r="A438" s="24" t="s">
        <v>2638</v>
      </c>
      <c r="B438" s="24">
        <v>161.17721484954501</v>
      </c>
      <c r="C438" s="24">
        <v>2.8657857578924002</v>
      </c>
      <c r="D438" s="24">
        <v>0.51331507709675295</v>
      </c>
      <c r="E438" s="24">
        <v>5.58289807909195</v>
      </c>
      <c r="F438" s="26">
        <v>2.3654337969824501E-8</v>
      </c>
      <c r="G438" s="26">
        <v>1.7805545794416101E-5</v>
      </c>
      <c r="H438" s="27" t="str">
        <f>VLOOKUP(A438,TableS10!A:J,8,FALSE)</f>
        <v>-</v>
      </c>
      <c r="I438" s="24" t="s">
        <v>10</v>
      </c>
      <c r="J438" s="34" t="str">
        <f>VLOOKUP(A438,TableS10!A:J,10,FALSE)</f>
        <v>-</v>
      </c>
    </row>
    <row r="439" spans="1:10" ht="15.75" customHeight="1" x14ac:dyDescent="0.2">
      <c r="A439" s="24" t="s">
        <v>2639</v>
      </c>
      <c r="B439" s="24">
        <v>27.4916536076711</v>
      </c>
      <c r="C439" s="24">
        <v>6.3150725080676597</v>
      </c>
      <c r="D439" s="24">
        <v>1.1316766156665601</v>
      </c>
      <c r="E439" s="24">
        <v>5.5802801088613601</v>
      </c>
      <c r="F439" s="26">
        <v>2.4013155499319601E-8</v>
      </c>
      <c r="G439" s="26">
        <v>1.8010386765041999E-5</v>
      </c>
      <c r="H439" s="27" t="str">
        <f>VLOOKUP(A439,TableS10!A:J,8,FALSE)</f>
        <v>-</v>
      </c>
      <c r="I439" s="24" t="s">
        <v>10</v>
      </c>
      <c r="J439" s="34" t="str">
        <f>VLOOKUP(A439,TableS10!A:J,10,FALSE)</f>
        <v>-</v>
      </c>
    </row>
    <row r="440" spans="1:10" ht="15.75" customHeight="1" x14ac:dyDescent="0.2">
      <c r="A440" s="24" t="s">
        <v>2640</v>
      </c>
      <c r="B440" s="24">
        <v>50.039314137516499</v>
      </c>
      <c r="C440" s="24">
        <v>8.1063697573476308</v>
      </c>
      <c r="D440" s="24">
        <v>1.45294440304234</v>
      </c>
      <c r="E440" s="24">
        <v>5.5792704389607497</v>
      </c>
      <c r="F440" s="26">
        <v>2.4152947157304601E-8</v>
      </c>
      <c r="G440" s="26">
        <v>1.8050070825946001E-5</v>
      </c>
      <c r="H440" s="27" t="str">
        <f>VLOOKUP(A440,TableS10!A:J,8,FALSE)</f>
        <v>-</v>
      </c>
      <c r="I440" s="24" t="s">
        <v>10</v>
      </c>
      <c r="J440" s="34" t="str">
        <f>VLOOKUP(A440,TableS10!A:J,10,FALSE)</f>
        <v>-</v>
      </c>
    </row>
    <row r="441" spans="1:10" ht="15.75" customHeight="1" x14ac:dyDescent="0.2">
      <c r="A441" s="24" t="s">
        <v>2641</v>
      </c>
      <c r="B441" s="24">
        <v>60.8658218908731</v>
      </c>
      <c r="C441" s="24">
        <v>6.2014365915462504</v>
      </c>
      <c r="D441" s="24">
        <v>1.11234352400104</v>
      </c>
      <c r="E441" s="24">
        <v>5.5751091796174501</v>
      </c>
      <c r="F441" s="26">
        <v>2.47374670861499E-8</v>
      </c>
      <c r="G441" s="26">
        <v>1.83145669558855E-5</v>
      </c>
      <c r="H441" s="27" t="str">
        <f>VLOOKUP(A441,TableS10!A:J,8,FALSE)</f>
        <v>K02599</v>
      </c>
      <c r="I441" s="24" t="s">
        <v>2642</v>
      </c>
      <c r="J441" s="34" t="str">
        <f>VLOOKUP(A441,TableS10!A:J,10,FALSE)</f>
        <v>-</v>
      </c>
    </row>
    <row r="442" spans="1:10" ht="15.75" customHeight="1" x14ac:dyDescent="0.2">
      <c r="A442" s="24" t="s">
        <v>2643</v>
      </c>
      <c r="B442" s="24">
        <v>24.608012822928199</v>
      </c>
      <c r="C442" s="24">
        <v>4.1392937464556399</v>
      </c>
      <c r="D442" s="24">
        <v>0.74249139380644802</v>
      </c>
      <c r="E442" s="24">
        <v>5.5748710099320897</v>
      </c>
      <c r="F442" s="26">
        <v>2.4771334231520701E-8</v>
      </c>
      <c r="G442" s="26">
        <v>1.83145669558855E-5</v>
      </c>
      <c r="H442" s="27" t="str">
        <f>VLOOKUP(A442,TableS10!A:J,8,FALSE)</f>
        <v>K13649</v>
      </c>
      <c r="I442" s="24" t="s">
        <v>2644</v>
      </c>
      <c r="J442" s="34" t="str">
        <f>VLOOKUP(A442,TableS10!A:J,10,FALSE)</f>
        <v>GO:0000139,GO:0001101,GO:0001568,GO:0001667,GO:0001755,GO:0001775,GO:0001838,GO:0001841,GO:0001843,GO:0001944,GO:0001947,GO:0002009,GO:0002252,GO:0002263,GO:0002274,GO:0002275,GO:0002283,GO:0002366,GO:0002376,GO:0002443,GO:0002444,GO:0002446,GO:0003007,GO:0003143,GO:0003147,GO:0003151,GO:0003253,GO:0003674,GO:0005488,GO:0005542,GO:0005575,GO:0005576,GO:0005622,GO:0005623,GO:0005634,GO:0005737,GO:0005783,GO:0005789,GO:0005793,GO:0005794,GO:0005798,GO:0005886,GO:0005903,GO:0006082,GO:0006575,GO:0006605,GO:0006612,GO:0006620,GO:0006725,GO:0006732,GO:0006760,GO:0006766,GO:0006767,GO:0006807,GO:0006810,GO:0006811,GO:0006820,GO:0006835,GO:0006886,GO:0006887,GO:0006888,GO:0006897,GO:0006898,GO:0006900,GO:0006901,GO:0006903,GO:0006928,GO:0006950,GO:0006952,GO:0006954,GO:0006955,GO:0006996,GO:0007154,GO:0007165,GO:0007275,GO:0007368,GO:0007389,GO:0007399,GO:0007507,GO:0007584,GO:0008104,GO:0008144,GO:0008150,GO:0008152,GO:0008284,GO:0009605,GO:0009611,GO:0009653,GO:0009719,GO:0009790,GO:0009792,GO:0009799,GO:0009855,GO:0009887,GO:0009888,GO:0009889,GO:0009897,GO:0009966,GO:0009986,GO:0009987,GO:0009991,GO:0010033,GO:0010243,GO:0010556,GO:0010646,GO:0012505,GO:0012506,GO:0012507,GO:0014020,GO:0014031,GO:0014032,GO:0014033,GO:0014070,GO:0015031,GO:0015711,GO:0015833,GO:0015849,GO:0015884,GO:0015893,GO:0016020,GO:0016043,GO:0016050,GO:0016192,GO:0016323,GO:0016324,GO:0016331,GO:0016477,GO:0017015,GO:0017144,GO:0019222,GO:0019752,GO:0019842,GO:0019898,GO:0021915,GO:0022008,GO:0022607,GO:0023051,GO:0023052,GO:0030030,GO:0030111,GO:0030133,GO:0030134,GO:0030135,GO:0030141,GO:0030154,GO:0030182,GO:0030658,GO:0030659,GO:0030660,GO:0030662,GO:0031090,GO:0031099,GO:0031102,GO:0031103,GO:0031175,GO:0031224,GO:0031225,GO:0031226,GO:0031233,GO:0031253,GO:0031362,GO:0031406,GO:0031410,GO:0031526,GO:0031667,GO:0031668,GO:0031669,GO:0031670,GO:0031974,GO:0031982,GO:0031983,GO:0031984,GO:0032501,GO:0032502,GO:0032940,GO:0033036,GO:0033116,GO:0033218,GO:0033273,GO:0033365,GO:0033554,GO:0034613,GO:0034641,GO:0034774,GO:0035050,GO:0035051,GO:0035148,GO:0035239,GO:0035295,GO:0035580,GO:0035690,GO:0036094,GO:0036230,GO:0038023,GO:0038024,GO:0040011,GO:0042119,GO:0042127,GO:0042175,GO:0042221,GO:0042493,GO:0042558,GO:0042581,GO:0042886,GO:0042995,GO:0043009,GO:0043167,GO:0043168,GO:0043177,GO:0043226,GO:0043227,GO:0043229,GO:0043231,GO:0043233,GO:0043299,GO:0043312,GO:0043436,GO:0043603,GO:0043648,GO:0043933,GO:0044085,GO:0044237,GO:0044281,GO:0044422,GO:0044424,GO:0044425,GO:0044431,GO:0044432,GO:0044433,GO:0044444,GO:0044446,GO:0044459,GO:0044463,GO:0044464,GO:0045047,GO:0045055,GO:0045177,GO:0045184,GO:0045321,GO:0046483,GO:0046655,GO:0046658,GO:0046903,GO:0046907,GO:0046942,GO:0048193,GO:0048194,GO:0048199,GO:0048207,GO:0048208,GO:0048468,GO:0048513,GO:0048514,GO:0048518,GO:0048522,GO:0048562,GO:0048568,GO:0048583,GO:0048598,GO:0048645,GO:0048646,GO:0048666,GO:0048678,GO:0048699,GO:0048729,GO:0048731,GO:0048762,GO:0048844,GO:0048856,GO:0048863,GO:0048864,GO:0048869,GO:0048870,GO:0050758,GO:0050789,GO:0050794,GO:0050896,GO:0051171,GO:0051179,GO:0051180,GO:0051181,GO:0051186,GO:0051234,GO:0051246,GO:0051593,GO:0051640,GO:0051641,GO:0051648,GO:0051649,GO:0051650,GO:0051656,GO:0051674,GO:0051716,GO:0051870,GO:0060037,GO:0060089,GO:0060205,GO:0060255,GO:0060429,GO:0060485,GO:0060562,GO:0060606,GO:0060828,GO:0060840,GO:0060914,GO:0060973,GO:0060974,GO:0061024,GO:0061307,GO:0061308,GO:0061309,GO:0061371,GO:0061564,GO:0061626,GO:0061713,GO:0061714,GO:0065003,GO:0065007,GO:0070013,GO:0070727,GO:0070820,GO:0070887,GO:0070972,GO:0071229,GO:0071231,GO:0071295,GO:0071310,GO:0071407,GO:0071417,GO:0071495,GO:0071496,GO:0071702,GO:0071704,GO:0071705,GO:0071840,GO:0071944,GO:0072175,GO:0072337,GO:0072341,GO:0072358,GO:0072359,GO:0072594,GO:0072599,GO:0072657,GO:0080090,GO:0090092,GO:0090114,GO:0090150,GO:0090287,GO:0097159,GO:0097708,GO:0098552,GO:0098588,GO:0098590,GO:0098657,GO:0098791,GO:0098805,GO:0098827,GO:0098862,GO:0099503,GO:0120025,GO:0120036,GO:0120038,GO:1901360,GO:1901363,GO:1901564,GO:1901698,GO:1901699,GO:1901700,GO:1901701,GO:1903844,GO:1904724</v>
      </c>
    </row>
    <row r="443" spans="1:10" ht="15.75" customHeight="1" x14ac:dyDescent="0.2">
      <c r="A443" s="24" t="s">
        <v>2645</v>
      </c>
      <c r="B443" s="24">
        <v>19.1380782033944</v>
      </c>
      <c r="C443" s="24">
        <v>7.6907958275038597</v>
      </c>
      <c r="D443" s="24">
        <v>1.3824917344125001</v>
      </c>
      <c r="E443" s="24">
        <v>5.5629958834959199</v>
      </c>
      <c r="F443" s="26">
        <v>2.65182148222562E-8</v>
      </c>
      <c r="G443" s="26">
        <v>1.93309411881146E-5</v>
      </c>
      <c r="H443" s="27" t="str">
        <f>VLOOKUP(A443,TableS10!A:J,8,FALSE)</f>
        <v>K02599</v>
      </c>
      <c r="I443" s="24" t="s">
        <v>1970</v>
      </c>
      <c r="J443" s="34" t="str">
        <f>VLOOKUP(A443,TableS10!A:J,10,FALSE)</f>
        <v>-</v>
      </c>
    </row>
    <row r="444" spans="1:10" ht="15.75" customHeight="1" x14ac:dyDescent="0.2">
      <c r="A444" s="24" t="s">
        <v>2646</v>
      </c>
      <c r="B444" s="24">
        <v>56.1392763854385</v>
      </c>
      <c r="C444" s="24">
        <v>4.4607029201302604</v>
      </c>
      <c r="D444" s="24">
        <v>0.80669060966371897</v>
      </c>
      <c r="E444" s="24">
        <v>5.5296328811733302</v>
      </c>
      <c r="F444" s="26">
        <v>3.2090164416185202E-8</v>
      </c>
      <c r="G444" s="26">
        <v>2.2989393787755099E-5</v>
      </c>
      <c r="H444" s="27" t="str">
        <f>VLOOKUP(A444,TableS10!A:J,8,FALSE)</f>
        <v>K10746</v>
      </c>
      <c r="I444" s="24" t="s">
        <v>2647</v>
      </c>
      <c r="J444" s="34" t="str">
        <f>VLOOKUP(A444,TableS10!A:J,10,FALSE)</f>
        <v>-</v>
      </c>
    </row>
    <row r="445" spans="1:10" ht="15.75" customHeight="1" x14ac:dyDescent="0.2">
      <c r="A445" s="24" t="s">
        <v>2648</v>
      </c>
      <c r="B445" s="24">
        <v>18.182219702218902</v>
      </c>
      <c r="C445" s="24">
        <v>7.62254730162147</v>
      </c>
      <c r="D445" s="24">
        <v>1.37871342111151</v>
      </c>
      <c r="E445" s="24">
        <v>5.5287394645627002</v>
      </c>
      <c r="F445" s="26">
        <v>3.22539934361925E-8</v>
      </c>
      <c r="G445" s="26">
        <v>2.3027356221063899E-5</v>
      </c>
      <c r="H445" s="27" t="str">
        <f>VLOOKUP(A445,TableS10!A:J,8,FALSE)</f>
        <v>-</v>
      </c>
      <c r="I445" s="24" t="s">
        <v>10</v>
      </c>
      <c r="J445" s="34" t="str">
        <f>VLOOKUP(A445,TableS10!A:J,10,FALSE)</f>
        <v>-</v>
      </c>
    </row>
    <row r="446" spans="1:10" ht="15.75" customHeight="1" x14ac:dyDescent="0.2">
      <c r="A446" s="24" t="s">
        <v>2649</v>
      </c>
      <c r="B446" s="24">
        <v>35.1805837381008</v>
      </c>
      <c r="C446" s="24">
        <v>5.3352166845500797</v>
      </c>
      <c r="D446" s="24">
        <v>0.96637177062832502</v>
      </c>
      <c r="E446" s="24">
        <v>5.5208738983353998</v>
      </c>
      <c r="F446" s="26">
        <v>3.3731779999566799E-8</v>
      </c>
      <c r="G446" s="26">
        <v>2.3836665597244899E-5</v>
      </c>
      <c r="H446" s="27" t="str">
        <f>VLOOKUP(A446,TableS10!A:J,8,FALSE)</f>
        <v>-</v>
      </c>
      <c r="I446" s="24" t="s">
        <v>10</v>
      </c>
      <c r="J446" s="34" t="str">
        <f>VLOOKUP(A446,TableS10!A:J,10,FALSE)</f>
        <v>-</v>
      </c>
    </row>
    <row r="447" spans="1:10" ht="15.75" customHeight="1" x14ac:dyDescent="0.2">
      <c r="A447" s="24" t="s">
        <v>2650</v>
      </c>
      <c r="B447" s="24">
        <v>28.461722065135</v>
      </c>
      <c r="C447" s="24">
        <v>8.2627382296069207</v>
      </c>
      <c r="D447" s="24">
        <v>1.5009380929246099</v>
      </c>
      <c r="E447" s="24">
        <v>5.5050493211927201</v>
      </c>
      <c r="F447" s="26">
        <v>3.6906493078752102E-8</v>
      </c>
      <c r="G447" s="26">
        <v>2.5730018040500699E-5</v>
      </c>
      <c r="H447" s="27" t="str">
        <f>VLOOKUP(A447,TableS10!A:J,8,FALSE)</f>
        <v>K19511</v>
      </c>
      <c r="I447" s="24" t="s">
        <v>2134</v>
      </c>
      <c r="J447" s="34" t="str">
        <f>VLOOKUP(A447,TableS10!A:J,10,FALSE)</f>
        <v>-</v>
      </c>
    </row>
    <row r="448" spans="1:10" ht="15.75" customHeight="1" x14ac:dyDescent="0.2">
      <c r="A448" s="24" t="s">
        <v>2651</v>
      </c>
      <c r="B448" s="24">
        <v>28.856094180837399</v>
      </c>
      <c r="C448" s="24">
        <v>6.4028839612715203</v>
      </c>
      <c r="D448" s="24">
        <v>1.1635341657254701</v>
      </c>
      <c r="E448" s="24">
        <v>5.5029617091469802</v>
      </c>
      <c r="F448" s="26">
        <v>3.7346355632013898E-8</v>
      </c>
      <c r="G448" s="26">
        <v>2.5912869260552101E-5</v>
      </c>
      <c r="H448" s="27" t="str">
        <f>VLOOKUP(A448,TableS10!A:J,8,FALSE)</f>
        <v>-</v>
      </c>
      <c r="I448" s="24" t="s">
        <v>10</v>
      </c>
      <c r="J448" s="34" t="str">
        <f>VLOOKUP(A448,TableS10!A:J,10,FALSE)</f>
        <v>-</v>
      </c>
    </row>
    <row r="449" spans="1:10" ht="15.75" customHeight="1" x14ac:dyDescent="0.2">
      <c r="A449" s="24" t="s">
        <v>2652</v>
      </c>
      <c r="B449" s="24">
        <v>79.249667477538097</v>
      </c>
      <c r="C449" s="24">
        <v>2.6597508613982201</v>
      </c>
      <c r="D449" s="24">
        <v>0.48418959583633497</v>
      </c>
      <c r="E449" s="24">
        <v>5.4932011845567699</v>
      </c>
      <c r="F449" s="26">
        <v>3.9471270152380099E-8</v>
      </c>
      <c r="G449" s="26">
        <v>2.7064003966263699E-5</v>
      </c>
      <c r="H449" s="27" t="str">
        <f>VLOOKUP(A449,TableS10!A:J,8,FALSE)</f>
        <v>-</v>
      </c>
      <c r="I449" s="24" t="s">
        <v>10</v>
      </c>
      <c r="J449" s="34" t="str">
        <f>VLOOKUP(A449,TableS10!A:J,10,FALSE)</f>
        <v>-</v>
      </c>
    </row>
    <row r="450" spans="1:10" ht="15.75" customHeight="1" x14ac:dyDescent="0.2">
      <c r="A450" s="24" t="s">
        <v>2653</v>
      </c>
      <c r="B450" s="24">
        <v>14.9765265089613</v>
      </c>
      <c r="C450" s="24">
        <v>7.3302908245305103</v>
      </c>
      <c r="D450" s="24">
        <v>1.3363073655134801</v>
      </c>
      <c r="E450" s="24">
        <v>5.4854826170278903</v>
      </c>
      <c r="F450" s="26">
        <v>4.1234210493747401E-8</v>
      </c>
      <c r="G450" s="26">
        <v>2.8058450205561299E-5</v>
      </c>
      <c r="H450" s="27" t="str">
        <f>VLOOKUP(A450,TableS10!A:J,8,FALSE)</f>
        <v>-</v>
      </c>
      <c r="I450" s="24" t="s">
        <v>10</v>
      </c>
      <c r="J450" s="34" t="str">
        <f>VLOOKUP(A450,TableS10!A:J,10,FALSE)</f>
        <v>-</v>
      </c>
    </row>
    <row r="451" spans="1:10" ht="15.75" customHeight="1" x14ac:dyDescent="0.2">
      <c r="A451" s="24" t="s">
        <v>2654</v>
      </c>
      <c r="B451" s="24">
        <v>30.5829933623416</v>
      </c>
      <c r="C451" s="24">
        <v>3.1297580860713698</v>
      </c>
      <c r="D451" s="24">
        <v>0.57085379446183204</v>
      </c>
      <c r="E451" s="24">
        <v>5.4825913682888299</v>
      </c>
      <c r="F451" s="26">
        <v>4.1914040136312298E-8</v>
      </c>
      <c r="G451" s="26">
        <v>2.83644733633866E-5</v>
      </c>
      <c r="H451" s="27" t="str">
        <f>VLOOKUP(A451,TableS10!A:J,8,FALSE)</f>
        <v>-</v>
      </c>
      <c r="I451" s="24" t="s">
        <v>2655</v>
      </c>
      <c r="J451" s="34" t="str">
        <f>VLOOKUP(A451,TableS10!A:J,10,FALSE)</f>
        <v>-</v>
      </c>
    </row>
    <row r="452" spans="1:10" ht="15.75" customHeight="1" x14ac:dyDescent="0.2">
      <c r="A452" s="24" t="s">
        <v>2656</v>
      </c>
      <c r="B452" s="24">
        <v>21.741122594526001</v>
      </c>
      <c r="C452" s="24">
        <v>7.8654440655949101</v>
      </c>
      <c r="D452" s="24">
        <v>1.4382514737849801</v>
      </c>
      <c r="E452" s="24">
        <v>5.4687543930657396</v>
      </c>
      <c r="F452" s="26">
        <v>4.5320923934959902E-8</v>
      </c>
      <c r="G452" s="26">
        <v>3.04715012072218E-5</v>
      </c>
      <c r="H452" s="27" t="str">
        <f>VLOOKUP(A452,TableS10!A:J,8,FALSE)</f>
        <v>K10089</v>
      </c>
      <c r="I452" s="24" t="s">
        <v>2658</v>
      </c>
      <c r="J452" s="34" t="str">
        <f>VLOOKUP(A452,TableS10!A:J,10,FALSE)</f>
        <v>GO:0000139,GO:0000323,GO:0002790,GO:0003674,GO:0004888,GO:0005488,GO:0005575,GO:0005622,GO:0005623,GO:0005737,GO:0005764,GO:0005765,GO:0005768,GO:0005770,GO:0005773,GO:0005774,GO:0005794,GO:0005802,GO:0005886,GO:0005887,GO:0006810,GO:0006886,GO:0006897,GO:0006898,GO:0007034,GO:0007041,GO:0007154,GO:0007165,GO:0008104,GO:0008150,GO:0008333,GO:0009306,GO:0009987,GO:0012505,GO:0012506,GO:0015031,GO:0015833,GO:0016020,GO:0016021,GO:0016043,GO:0016192,GO:0023052,GO:0030133,GO:0030135,GO:0030136,GO:0030659,GO:0030662,GO:0030665,GO:0031090,GO:0031224,GO:0031226,GO:0031410,GO:0031982,GO:0031984,GO:0032588,GO:0032940,GO:0033036,GO:0033299,GO:0034613,GO:0038023,GO:0042886,GO:0043226,GO:0043227,GO:0043229,GO:0043231,GO:0044422,GO:0044424,GO:0044425,GO:0044431,GO:0044433,GO:0044437,GO:0044444,GO:0044446,GO:0044459,GO:0044464,GO:0044877,GO:0045184,GO:0046903,GO:0046907,GO:0048471,GO:0050789,GO:0050794,GO:0050896,GO:0051179,GO:0051234,GO:0051641,GO:0051649,GO:0051716,GO:0060089,GO:0061024,GO:0065007,GO:0070727,GO:0071702,GO:0071705,GO:0071840,GO:0071944,GO:0097708,GO:0098588,GO:0098657,GO:0098791,GO:0098805,GO:0098852,GO:1905394</v>
      </c>
    </row>
    <row r="453" spans="1:10" ht="15.75" customHeight="1" x14ac:dyDescent="0.2">
      <c r="A453" s="24" t="s">
        <v>2659</v>
      </c>
      <c r="B453" s="24">
        <v>17.078590168729701</v>
      </c>
      <c r="C453" s="24">
        <v>7.5229360369079297</v>
      </c>
      <c r="D453" s="24">
        <v>1.3786225540166199</v>
      </c>
      <c r="E453" s="24">
        <v>5.4568496757795097</v>
      </c>
      <c r="F453" s="26">
        <v>4.84656324782029E-8</v>
      </c>
      <c r="G453" s="26">
        <v>3.2272519042120202E-5</v>
      </c>
      <c r="H453" s="27" t="str">
        <f>VLOOKUP(A453,TableS10!A:J,8,FALSE)</f>
        <v>K00030</v>
      </c>
      <c r="I453" s="24" t="s">
        <v>2661</v>
      </c>
      <c r="J453" s="34" t="str">
        <f>VLOOKUP(A453,TableS10!A:J,10,FALSE)</f>
        <v>-</v>
      </c>
    </row>
    <row r="454" spans="1:10" ht="15.75" customHeight="1" x14ac:dyDescent="0.2">
      <c r="A454" s="24" t="s">
        <v>2662</v>
      </c>
      <c r="B454" s="24">
        <v>21.3135636752877</v>
      </c>
      <c r="C454" s="24">
        <v>7.8514700457649198</v>
      </c>
      <c r="D454" s="24">
        <v>1.43966536910257</v>
      </c>
      <c r="E454" s="24">
        <v>5.4536770934895902</v>
      </c>
      <c r="F454" s="26">
        <v>4.9338761299602101E-8</v>
      </c>
      <c r="G454" s="26">
        <v>3.2748957484217697E-5</v>
      </c>
      <c r="H454" s="27" t="str">
        <f>VLOOKUP(A454,TableS10!A:J,8,FALSE)</f>
        <v>-</v>
      </c>
      <c r="I454" s="24" t="s">
        <v>10</v>
      </c>
      <c r="J454" s="34" t="str">
        <f>VLOOKUP(A454,TableS10!A:J,10,FALSE)</f>
        <v>-</v>
      </c>
    </row>
    <row r="455" spans="1:10" ht="15.75" customHeight="1" x14ac:dyDescent="0.2">
      <c r="A455" s="24" t="s">
        <v>2663</v>
      </c>
      <c r="B455" s="24">
        <v>18.3134500117724</v>
      </c>
      <c r="C455" s="24">
        <v>7.61798323439751</v>
      </c>
      <c r="D455" s="24">
        <v>1.39865121855585</v>
      </c>
      <c r="E455" s="24">
        <v>5.4466639955194003</v>
      </c>
      <c r="F455" s="26">
        <v>5.1323283313097103E-8</v>
      </c>
      <c r="G455" s="26">
        <v>3.3636340845412598E-5</v>
      </c>
      <c r="H455" s="27" t="str">
        <f>VLOOKUP(A455,TableS10!A:J,8,FALSE)</f>
        <v>-</v>
      </c>
      <c r="I455" s="24" t="s">
        <v>5190</v>
      </c>
      <c r="J455" s="34" t="str">
        <f>VLOOKUP(A455,TableS10!A:J,10,FALSE)</f>
        <v>-</v>
      </c>
    </row>
    <row r="456" spans="1:10" ht="15.75" customHeight="1" x14ac:dyDescent="0.2">
      <c r="A456" s="24" t="s">
        <v>2664</v>
      </c>
      <c r="B456" s="24">
        <v>15.7625836208306</v>
      </c>
      <c r="C456" s="24">
        <v>7.4122196261873796</v>
      </c>
      <c r="D456" s="24">
        <v>1.36241769705765</v>
      </c>
      <c r="E456" s="24">
        <v>5.4404898308317504</v>
      </c>
      <c r="F456" s="26">
        <v>5.3134272989641398E-8</v>
      </c>
      <c r="G456" s="26">
        <v>3.4713723330930598E-5</v>
      </c>
      <c r="H456" s="27" t="str">
        <f>VLOOKUP(A456,TableS10!A:J,8,FALSE)</f>
        <v>-</v>
      </c>
      <c r="I456" s="24" t="s">
        <v>2665</v>
      </c>
      <c r="J456" s="34" t="str">
        <f>VLOOKUP(A456,TableS10!A:J,10,FALSE)</f>
        <v>-</v>
      </c>
    </row>
    <row r="457" spans="1:10" ht="15.75" customHeight="1" x14ac:dyDescent="0.2">
      <c r="A457" s="24" t="s">
        <v>2666</v>
      </c>
      <c r="B457" s="24">
        <v>24.7371106412633</v>
      </c>
      <c r="C457" s="24">
        <v>7.09301836528876</v>
      </c>
      <c r="D457" s="24">
        <v>1.3063580593095501</v>
      </c>
      <c r="E457" s="24">
        <v>5.4296127426485299</v>
      </c>
      <c r="F457" s="26">
        <v>5.64764661342969E-8</v>
      </c>
      <c r="G457" s="26">
        <v>3.6552413390021797E-5</v>
      </c>
      <c r="H457" s="27" t="str">
        <f>VLOOKUP(A457,TableS10!A:J,8,FALSE)</f>
        <v>-</v>
      </c>
      <c r="I457" s="24" t="s">
        <v>10</v>
      </c>
      <c r="J457" s="34" t="str">
        <f>VLOOKUP(A457,TableS10!A:J,10,FALSE)</f>
        <v>-</v>
      </c>
    </row>
    <row r="458" spans="1:10" ht="15.75" customHeight="1" x14ac:dyDescent="0.2">
      <c r="A458" s="24" t="s">
        <v>2667</v>
      </c>
      <c r="B458" s="24">
        <v>16.939407338182701</v>
      </c>
      <c r="C458" s="24">
        <v>7.4966443287017297</v>
      </c>
      <c r="D458" s="24">
        <v>1.3813970221951499</v>
      </c>
      <c r="E458" s="24">
        <v>5.4268571657907296</v>
      </c>
      <c r="F458" s="26">
        <v>5.7354989880557399E-8</v>
      </c>
      <c r="G458" s="26">
        <v>3.6825702330818097E-5</v>
      </c>
      <c r="H458" s="27" t="str">
        <f>VLOOKUP(A458,TableS10!A:J,8,FALSE)</f>
        <v>-</v>
      </c>
      <c r="I458" s="24" t="s">
        <v>10</v>
      </c>
      <c r="J458" s="34" t="str">
        <f>VLOOKUP(A458,TableS10!A:J,10,FALSE)</f>
        <v>-</v>
      </c>
    </row>
    <row r="459" spans="1:10" ht="15.75" customHeight="1" x14ac:dyDescent="0.2">
      <c r="A459" s="24" t="s">
        <v>2668</v>
      </c>
      <c r="B459" s="24">
        <v>84.0772360230403</v>
      </c>
      <c r="C459" s="24">
        <v>9.8213120223583896</v>
      </c>
      <c r="D459" s="24">
        <v>1.81153688900986</v>
      </c>
      <c r="E459" s="24">
        <v>5.4215357589137803</v>
      </c>
      <c r="F459" s="26">
        <v>5.9089173606333301E-8</v>
      </c>
      <c r="G459" s="26">
        <v>3.76568415698079E-5</v>
      </c>
      <c r="H459" s="27" t="str">
        <f>VLOOKUP(A459,TableS10!A:J,8,FALSE)</f>
        <v>-</v>
      </c>
      <c r="I459" s="24" t="s">
        <v>2669</v>
      </c>
      <c r="J459" s="34" t="str">
        <f>VLOOKUP(A459,TableS10!A:J,10,FALSE)</f>
        <v>-</v>
      </c>
    </row>
    <row r="460" spans="1:10" ht="15.75" customHeight="1" x14ac:dyDescent="0.2">
      <c r="A460" s="24" t="s">
        <v>2670</v>
      </c>
      <c r="B460" s="24">
        <v>62.860228684435803</v>
      </c>
      <c r="C460" s="24">
        <v>2.8898509177951999</v>
      </c>
      <c r="D460" s="24">
        <v>0.53353120261669496</v>
      </c>
      <c r="E460" s="24">
        <v>5.4164609372834702</v>
      </c>
      <c r="F460" s="26">
        <v>6.0790264032671194E-8</v>
      </c>
      <c r="G460" s="26">
        <v>3.8622452887986699E-5</v>
      </c>
      <c r="H460" s="27" t="str">
        <f>VLOOKUP(A460,TableS10!A:J,8,FALSE)</f>
        <v>-</v>
      </c>
      <c r="I460" s="24" t="s">
        <v>10</v>
      </c>
      <c r="J460" s="34" t="str">
        <f>VLOOKUP(A460,TableS10!A:J,10,FALSE)</f>
        <v>-</v>
      </c>
    </row>
    <row r="461" spans="1:10" ht="15.75" customHeight="1" x14ac:dyDescent="0.2">
      <c r="A461" s="24" t="s">
        <v>2671</v>
      </c>
      <c r="B461" s="24">
        <v>24.473858108578501</v>
      </c>
      <c r="C461" s="24">
        <v>8.0337329348598594</v>
      </c>
      <c r="D461" s="24">
        <v>1.4865201818637299</v>
      </c>
      <c r="E461" s="24">
        <v>5.4043887414885399</v>
      </c>
      <c r="F461" s="26">
        <v>6.5029772566043294E-8</v>
      </c>
      <c r="G461" s="26">
        <v>4.1064818933832502E-5</v>
      </c>
      <c r="H461" s="27" t="str">
        <f>VLOOKUP(A461,TableS10!A:J,8,FALSE)</f>
        <v>-</v>
      </c>
      <c r="I461" s="24" t="s">
        <v>10</v>
      </c>
      <c r="J461" s="34" t="str">
        <f>VLOOKUP(A461,TableS10!A:J,10,FALSE)</f>
        <v>-</v>
      </c>
    </row>
    <row r="462" spans="1:10" ht="15.75" customHeight="1" x14ac:dyDescent="0.2">
      <c r="A462" s="24" t="s">
        <v>2672</v>
      </c>
      <c r="B462" s="24">
        <v>45.403283959021202</v>
      </c>
      <c r="C462" s="24">
        <v>7.9699255940417899</v>
      </c>
      <c r="D462" s="24">
        <v>1.47631911573467</v>
      </c>
      <c r="E462" s="24">
        <v>5.3985114119962301</v>
      </c>
      <c r="F462" s="26">
        <v>6.7196094531952201E-8</v>
      </c>
      <c r="G462" s="26">
        <v>4.2176410318973599E-5</v>
      </c>
      <c r="H462" s="27" t="str">
        <f>VLOOKUP(A462,TableS10!A:J,8,FALSE)</f>
        <v>-</v>
      </c>
      <c r="I462" s="24" t="s">
        <v>2673</v>
      </c>
      <c r="J462" s="34" t="str">
        <f>VLOOKUP(A462,TableS10!A:J,10,FALSE)</f>
        <v>-</v>
      </c>
    </row>
    <row r="463" spans="1:10" ht="15.75" customHeight="1" x14ac:dyDescent="0.2">
      <c r="A463" s="24" t="s">
        <v>2674</v>
      </c>
      <c r="B463" s="24">
        <v>28.399597988457799</v>
      </c>
      <c r="C463" s="24">
        <v>6.3973826139141901</v>
      </c>
      <c r="D463" s="24">
        <v>1.1860884034508801</v>
      </c>
      <c r="E463" s="24">
        <v>5.39368110783417</v>
      </c>
      <c r="F463" s="26">
        <v>6.9028681397201605E-8</v>
      </c>
      <c r="G463" s="26">
        <v>4.31467819865092E-5</v>
      </c>
      <c r="H463" s="27" t="str">
        <f>VLOOKUP(A463,TableS10!A:J,8,FALSE)</f>
        <v>K10277</v>
      </c>
      <c r="I463" s="24" t="s">
        <v>2675</v>
      </c>
      <c r="J463" s="34" t="str">
        <f>VLOOKUP(A463,TableS10!A:J,10,FALSE)</f>
        <v>-</v>
      </c>
    </row>
    <row r="464" spans="1:10" ht="15.75" customHeight="1" x14ac:dyDescent="0.2">
      <c r="A464" s="24" t="s">
        <v>2676</v>
      </c>
      <c r="B464" s="24">
        <v>41.622644181751198</v>
      </c>
      <c r="C464" s="24">
        <v>2.7601579045316802</v>
      </c>
      <c r="D464" s="24">
        <v>0.51178653456037804</v>
      </c>
      <c r="E464" s="24">
        <v>5.39318195798693</v>
      </c>
      <c r="F464" s="26">
        <v>6.9220792524493397E-8</v>
      </c>
      <c r="G464" s="26">
        <v>4.31467819865092E-5</v>
      </c>
      <c r="H464" s="27" t="str">
        <f>VLOOKUP(A464,TableS10!A:J,8,FALSE)</f>
        <v>-</v>
      </c>
      <c r="I464" s="24" t="s">
        <v>10</v>
      </c>
      <c r="J464" s="34" t="str">
        <f>VLOOKUP(A464,TableS10!A:J,10,FALSE)</f>
        <v>-</v>
      </c>
    </row>
    <row r="465" spans="1:10" ht="15.75" customHeight="1" x14ac:dyDescent="0.2">
      <c r="A465" s="24" t="s">
        <v>2677</v>
      </c>
      <c r="B465" s="24">
        <v>50.792227725564203</v>
      </c>
      <c r="C465" s="24">
        <v>4.1103981574003097</v>
      </c>
      <c r="D465" s="24">
        <v>0.76246066827126402</v>
      </c>
      <c r="E465" s="24">
        <v>5.3909641879886898</v>
      </c>
      <c r="F465" s="26">
        <v>7.0080641196788596E-8</v>
      </c>
      <c r="G465" s="26">
        <v>4.33323621800001E-5</v>
      </c>
      <c r="H465" s="27" t="str">
        <f>VLOOKUP(A465,TableS10!A:J,8,FALSE)</f>
        <v>-</v>
      </c>
      <c r="I465" s="24" t="s">
        <v>2678</v>
      </c>
      <c r="J465" s="34" t="str">
        <f>VLOOKUP(A465,TableS10!A:J,10,FALSE)</f>
        <v>-</v>
      </c>
    </row>
    <row r="466" spans="1:10" ht="15.75" customHeight="1" x14ac:dyDescent="0.2">
      <c r="A466" s="24" t="s">
        <v>2679</v>
      </c>
      <c r="B466" s="24">
        <v>19.086654080758301</v>
      </c>
      <c r="C466" s="24">
        <v>7.6792842810726301</v>
      </c>
      <c r="D466" s="24">
        <v>1.4251320958437299</v>
      </c>
      <c r="E466" s="24">
        <v>5.3884719202301099</v>
      </c>
      <c r="F466" s="26">
        <v>7.1059262193643907E-8</v>
      </c>
      <c r="G466" s="26">
        <v>4.3548637393223302E-5</v>
      </c>
      <c r="H466" s="27" t="str">
        <f>VLOOKUP(A466,TableS10!A:J,8,FALSE)</f>
        <v>-</v>
      </c>
      <c r="I466" s="24" t="s">
        <v>10</v>
      </c>
      <c r="J466" s="34" t="str">
        <f>VLOOKUP(A466,TableS10!A:J,10,FALSE)</f>
        <v>-</v>
      </c>
    </row>
    <row r="467" spans="1:10" ht="15.75" customHeight="1" x14ac:dyDescent="0.2">
      <c r="A467" s="24" t="s">
        <v>2680</v>
      </c>
      <c r="B467" s="24">
        <v>108.06150271417999</v>
      </c>
      <c r="C467" s="24">
        <v>3.9485459535367098</v>
      </c>
      <c r="D467" s="24">
        <v>0.733423371542266</v>
      </c>
      <c r="E467" s="24">
        <v>5.3837198359708403</v>
      </c>
      <c r="F467" s="26">
        <v>7.2962039330150796E-8</v>
      </c>
      <c r="G467" s="26">
        <v>4.4583239538455298E-5</v>
      </c>
      <c r="H467" s="27" t="str">
        <f>VLOOKUP(A467,TableS10!A:J,8,FALSE)</f>
        <v>-</v>
      </c>
      <c r="I467" s="24" t="s">
        <v>10</v>
      </c>
      <c r="J467" s="34" t="str">
        <f>VLOOKUP(A467,TableS10!A:J,10,FALSE)</f>
        <v>-</v>
      </c>
    </row>
    <row r="468" spans="1:10" ht="15.75" customHeight="1" x14ac:dyDescent="0.2">
      <c r="A468" s="24" t="s">
        <v>2681</v>
      </c>
      <c r="B468" s="24">
        <v>14.9570495119209</v>
      </c>
      <c r="C468" s="24">
        <v>7.3331789476395999</v>
      </c>
      <c r="D468" s="24">
        <v>1.3625687752087901</v>
      </c>
      <c r="E468" s="24">
        <v>5.3818780241136404</v>
      </c>
      <c r="F468" s="26">
        <v>7.3712709276669994E-8</v>
      </c>
      <c r="G468" s="26">
        <v>4.4909846417841198E-5</v>
      </c>
      <c r="H468" s="27" t="str">
        <f>VLOOKUP(A468,TableS10!A:J,8,FALSE)</f>
        <v>-</v>
      </c>
      <c r="I468" s="24" t="s">
        <v>2036</v>
      </c>
      <c r="J468" s="34" t="str">
        <f>VLOOKUP(A468,TableS10!A:J,10,FALSE)</f>
        <v>-</v>
      </c>
    </row>
    <row r="469" spans="1:10" ht="15.75" customHeight="1" x14ac:dyDescent="0.2">
      <c r="A469" s="24" t="s">
        <v>2682</v>
      </c>
      <c r="B469" s="24">
        <v>16.357465383575999</v>
      </c>
      <c r="C469" s="24">
        <v>7.4595196538945201</v>
      </c>
      <c r="D469" s="24">
        <v>1.40582887554712</v>
      </c>
      <c r="E469" s="24">
        <v>5.3061363183277903</v>
      </c>
      <c r="F469" s="26">
        <v>1.11973232485626E-7</v>
      </c>
      <c r="G469" s="26">
        <v>6.6276669197389302E-5</v>
      </c>
      <c r="H469" s="27" t="str">
        <f>VLOOKUP(A469,TableS10!A:J,8,FALSE)</f>
        <v>-</v>
      </c>
      <c r="I469" s="24" t="s">
        <v>10</v>
      </c>
      <c r="J469" s="34" t="str">
        <f>VLOOKUP(A469,TableS10!A:J,10,FALSE)</f>
        <v>-</v>
      </c>
    </row>
    <row r="470" spans="1:10" ht="15.75" customHeight="1" x14ac:dyDescent="0.2">
      <c r="A470" s="24" t="s">
        <v>2683</v>
      </c>
      <c r="B470" s="24">
        <v>24.477794133118699</v>
      </c>
      <c r="C470" s="24">
        <v>8.0483412758409401</v>
      </c>
      <c r="D470" s="24">
        <v>1.5176303155873401</v>
      </c>
      <c r="E470" s="24">
        <v>5.3032291152711704</v>
      </c>
      <c r="F470" s="26">
        <v>1.13771980490218E-7</v>
      </c>
      <c r="G470" s="26">
        <v>6.7150032894107203E-5</v>
      </c>
      <c r="H470" s="27" t="str">
        <f>VLOOKUP(A470,TableS10!A:J,8,FALSE)</f>
        <v>-</v>
      </c>
      <c r="I470" s="24" t="s">
        <v>2684</v>
      </c>
      <c r="J470" s="34" t="str">
        <f>VLOOKUP(A470,TableS10!A:J,10,FALSE)</f>
        <v>-</v>
      </c>
    </row>
    <row r="471" spans="1:10" ht="15.75" customHeight="1" x14ac:dyDescent="0.2">
      <c r="A471" s="24" t="s">
        <v>2685</v>
      </c>
      <c r="B471" s="24">
        <v>15.9388234826808</v>
      </c>
      <c r="C471" s="24">
        <v>7.4079080743243804</v>
      </c>
      <c r="D471" s="24">
        <v>1.3983552035108899</v>
      </c>
      <c r="E471" s="24">
        <v>5.2975868046438501</v>
      </c>
      <c r="F471" s="26">
        <v>1.17343126450524E-7</v>
      </c>
      <c r="G471" s="26">
        <v>6.90615823763599E-5</v>
      </c>
      <c r="H471" s="27" t="str">
        <f>VLOOKUP(A471,TableS10!A:J,8,FALSE)</f>
        <v>K06766</v>
      </c>
      <c r="I471" s="24" t="s">
        <v>2686</v>
      </c>
      <c r="J471" s="34" t="str">
        <f>VLOOKUP(A471,TableS10!A:J,10,FALSE)</f>
        <v>GO:0000902,GO:0000904,GO:0001654,GO:0003002,GO:0003674,GO:0004888,GO:0005042,GO:0005488,GO:0005515,GO:0005575,GO:0005623,GO:0005886,GO:0006928,GO:0006935,GO:0007154,GO:0007165,GO:0007166,GO:0007275,GO:0007389,GO:0007399,GO:0007409,GO:0007411,GO:0007422,GO:0007423,GO:0007431,GO:0007432,GO:0008037,GO:0008038,GO:0008045,GO:0008150,GO:0008347,GO:0009605,GO:0009653,GO:0009887,GO:0009987,GO:0010160,GO:0010769,GO:0010975,GO:0016020,GO:0016043,GO:0016198,GO:0016199,GO:0016358,GO:0016477,GO:0019904,GO:0022008,GO:0022603,GO:0022604,GO:0023052,GO:0030030,GO:0030154,GO:0030182,GO:0030424,GO:0030425,GO:0030426,GO:0030427,GO:0031175,GO:0031344,GO:0032501,GO:0032502,GO:0032989,GO:0032990,GO:0033267,GO:0035272,GO:0036477,GO:0038007,GO:0038023,GO:0040011,GO:0042063,GO:0042221,GO:0042330,GO:0042995,GO:0043005,GO:0043025,GO:0044295,GO:0044297,GO:0044463,GO:0044464,GO:0045595,GO:0045664,GO:0048468,GO:0048513,GO:0048645,GO:0048646,GO:0048666,GO:0048667,GO:0048699,GO:0048731,GO:0048732,GO:0048749,GO:0048812,GO:0048813,GO:0048856,GO:0048858,GO:0048859,GO:0048869,GO:0048870,GO:0048934,GO:0048935,GO:0048936,GO:0050767,GO:0050770,GO:0050773,GO:0050789,GO:0050793,GO:0050794,GO:0050896,GO:0051128,GO:0051179,GO:0051239,GO:0051674,GO:0051716,GO:0051960,GO:0060089,GO:0060284,GO:0061564,GO:0065007,GO:0070983,GO:0071840,GO:0071944,GO:0097447,GO:0097458,GO:0097485,GO:0120025,GO:0120035,GO:0120036,GO:0120038,GO:0120039,GO:0150034,GO:2000026</v>
      </c>
    </row>
    <row r="472" spans="1:10" ht="15.75" customHeight="1" x14ac:dyDescent="0.2">
      <c r="A472" s="24" t="s">
        <v>2687</v>
      </c>
      <c r="B472" s="24">
        <v>99.386015167308003</v>
      </c>
      <c r="C472" s="24">
        <v>10.061021445122901</v>
      </c>
      <c r="D472" s="24">
        <v>1.89968346101888</v>
      </c>
      <c r="E472" s="24">
        <v>5.2961567816813</v>
      </c>
      <c r="F472" s="26">
        <v>1.18265307799424E-7</v>
      </c>
      <c r="G472" s="26">
        <v>6.90834573768076E-5</v>
      </c>
      <c r="H472" s="27" t="str">
        <f>VLOOKUP(A472,TableS10!A:J,8,FALSE)</f>
        <v>-</v>
      </c>
      <c r="I472" s="24" t="s">
        <v>2688</v>
      </c>
      <c r="J472" s="34" t="str">
        <f>VLOOKUP(A472,TableS10!A:J,10,FALSE)</f>
        <v>-</v>
      </c>
    </row>
    <row r="473" spans="1:10" ht="15.75" customHeight="1" x14ac:dyDescent="0.2">
      <c r="A473" s="24" t="s">
        <v>2689</v>
      </c>
      <c r="B473" s="24">
        <v>27.793884000147202</v>
      </c>
      <c r="C473" s="24">
        <v>6.3462474370465403</v>
      </c>
      <c r="D473" s="24">
        <v>1.1983832924126601</v>
      </c>
      <c r="E473" s="24">
        <v>5.2956741613694103</v>
      </c>
      <c r="F473" s="26">
        <v>1.1857811573186199E-7</v>
      </c>
      <c r="G473" s="26">
        <v>6.90834573768076E-5</v>
      </c>
      <c r="H473" s="27" t="str">
        <f>VLOOKUP(A473,TableS10!A:J,8,FALSE)</f>
        <v>-</v>
      </c>
      <c r="I473" s="24" t="s">
        <v>2690</v>
      </c>
      <c r="J473" s="34" t="str">
        <f>VLOOKUP(A473,TableS10!A:J,10,FALSE)</f>
        <v>-</v>
      </c>
    </row>
    <row r="474" spans="1:10" ht="15.75" customHeight="1" x14ac:dyDescent="0.2">
      <c r="A474" s="24" t="s">
        <v>2691</v>
      </c>
      <c r="B474" s="24">
        <v>83.770163554679499</v>
      </c>
      <c r="C474" s="24">
        <v>4.0681796439920204</v>
      </c>
      <c r="D474" s="24">
        <v>0.76823762372375204</v>
      </c>
      <c r="E474" s="24">
        <v>5.29547046169517</v>
      </c>
      <c r="F474" s="26">
        <v>1.1871038277364E-7</v>
      </c>
      <c r="G474" s="26">
        <v>6.90834573768076E-5</v>
      </c>
      <c r="H474" s="27" t="str">
        <f>VLOOKUP(A474,TableS10!A:J,8,FALSE)</f>
        <v>K11253,K11254</v>
      </c>
      <c r="I474" s="24" t="s">
        <v>2693</v>
      </c>
      <c r="J474" s="34" t="str">
        <f>VLOOKUP(A474,TableS10!A:J,10,FALSE)</f>
        <v>-</v>
      </c>
    </row>
    <row r="475" spans="1:10" ht="15.75" customHeight="1" x14ac:dyDescent="0.2">
      <c r="A475" s="24" t="s">
        <v>2694</v>
      </c>
      <c r="B475" s="24">
        <v>112.016743755825</v>
      </c>
      <c r="C475" s="24">
        <v>4.7753288842682799</v>
      </c>
      <c r="D475" s="24">
        <v>0.902784114791785</v>
      </c>
      <c r="E475" s="24">
        <v>5.28955794195564</v>
      </c>
      <c r="F475" s="26">
        <v>1.2261233637960601E-7</v>
      </c>
      <c r="G475" s="26">
        <v>7.1154884237098706E-5</v>
      </c>
      <c r="H475" s="27" t="str">
        <f>VLOOKUP(A475,TableS10!A:J,8,FALSE)</f>
        <v>-</v>
      </c>
      <c r="I475" s="24" t="s">
        <v>2695</v>
      </c>
      <c r="J475" s="34" t="str">
        <f>VLOOKUP(A475,TableS10!A:J,10,FALSE)</f>
        <v>-</v>
      </c>
    </row>
    <row r="476" spans="1:10" ht="15.75" customHeight="1" x14ac:dyDescent="0.2">
      <c r="A476" s="24" t="s">
        <v>2696</v>
      </c>
      <c r="B476" s="24">
        <v>13.7875049099219</v>
      </c>
      <c r="C476" s="24">
        <v>7.2155615922953</v>
      </c>
      <c r="D476" s="24">
        <v>1.3649880477309999</v>
      </c>
      <c r="E476" s="24">
        <v>5.2861719956373303</v>
      </c>
      <c r="F476" s="26">
        <v>1.2490246401059099E-7</v>
      </c>
      <c r="G476" s="26">
        <v>7.2281995300791906E-5</v>
      </c>
      <c r="H476" s="27" t="str">
        <f>VLOOKUP(A476,TableS10!A:J,8,FALSE)</f>
        <v>-</v>
      </c>
      <c r="I476" s="24" t="s">
        <v>2697</v>
      </c>
      <c r="J476" s="34" t="str">
        <f>VLOOKUP(A476,TableS10!A:J,10,FALSE)</f>
        <v>-</v>
      </c>
    </row>
    <row r="477" spans="1:10" ht="15.75" customHeight="1" x14ac:dyDescent="0.2">
      <c r="A477" s="24" t="s">
        <v>2698</v>
      </c>
      <c r="B477" s="24">
        <v>14.06696398027</v>
      </c>
      <c r="C477" s="24">
        <v>7.2431123671199904</v>
      </c>
      <c r="D477" s="24">
        <v>1.37242970861986</v>
      </c>
      <c r="E477" s="24">
        <v>5.2775834868831302</v>
      </c>
      <c r="F477" s="26">
        <v>1.3089857298885199E-7</v>
      </c>
      <c r="G477" s="26">
        <v>7.5124209751027603E-5</v>
      </c>
      <c r="H477" s="27" t="str">
        <f>VLOOKUP(A477,TableS10!A:J,8,FALSE)</f>
        <v>K15111</v>
      </c>
      <c r="I477" s="24" t="s">
        <v>2700</v>
      </c>
      <c r="J477" s="34" t="str">
        <f>VLOOKUP(A477,TableS10!A:J,10,FALSE)</f>
        <v>GO:0000095,GO:0003674,GO:0005215,GO:0005575,GO:0005622,GO:0005623,GO:0005737,GO:0005739,GO:0005740,GO:0005743,GO:0006810,GO:0006839,GO:0006855,GO:0008150,GO:0015238,GO:0015805,GO:0015893,GO:0016020,GO:0016021,GO:0019866,GO:0022857,GO:0031090,GO:0031224,GO:0031966,GO:0031967,GO:0031975,GO:0042221,GO:0042493,GO:0043226,GO:0043227,GO:0043229,GO:0043231,GO:0044422,GO:0044424,GO:0044425,GO:0044429,GO:0044444,GO:0044446,GO:0044464,GO:0050896,GO:0051179,GO:0051181,GO:0051182,GO:0051184,GO:0051185,GO:0051234,GO:0055085,GO:0071702,GO:0072348,GO:1901682,GO:1901962</v>
      </c>
    </row>
    <row r="478" spans="1:10" ht="15.75" customHeight="1" x14ac:dyDescent="0.2">
      <c r="A478" s="24" t="s">
        <v>2701</v>
      </c>
      <c r="B478" s="24">
        <v>832.596956922907</v>
      </c>
      <c r="C478" s="24">
        <v>2.2675186767892499</v>
      </c>
      <c r="D478" s="24">
        <v>0.42999328771109702</v>
      </c>
      <c r="E478" s="24">
        <v>5.2733815656972496</v>
      </c>
      <c r="F478" s="26">
        <v>1.3393269728295501E-7</v>
      </c>
      <c r="G478" s="26">
        <v>7.6443190815158094E-5</v>
      </c>
      <c r="H478" s="27" t="str">
        <f>VLOOKUP(A478,TableS10!A:J,8,FALSE)</f>
        <v>K00522</v>
      </c>
      <c r="I478" s="24" t="s">
        <v>2702</v>
      </c>
      <c r="J478" s="34" t="str">
        <f>VLOOKUP(A478,TableS10!A:J,10,FALSE)</f>
        <v>GO:0003674,GO:0005488,GO:0005506,GO:0005515,GO:0005575,GO:0005622,GO:0005623,GO:0005737,GO:0006873,GO:0006875,GO:0006879,GO:0006880,GO:0006950,GO:0006952,GO:0007154,GO:0008150,GO:0009267,GO:0009605,GO:0009607,GO:0009617,GO:0009987,GO:0009991,GO:0010106,GO:0019725,GO:0030003,GO:0031667,GO:0031668,GO:0031669,GO:0033554,GO:0042592,GO:0042594,GO:0042742,GO:0042802,GO:0043167,GO:0043169,GO:0043207,GO:0044424,GO:0044464,GO:0046872,GO:0046914,GO:0046916,GO:0048878,GO:0050801,GO:0050830,GO:0050896,GO:0051179,GO:0051235,GO:0051238,GO:0051641,GO:0051651,GO:0051704,GO:0051707,GO:0051716,GO:0055065,GO:0055072,GO:0055076,GO:0055080,GO:0055082,GO:0065007,GO:0065008,GO:0071496,GO:0097577,GO:0098542,GO:0098771</v>
      </c>
    </row>
    <row r="479" spans="1:10" ht="15.75" customHeight="1" x14ac:dyDescent="0.2">
      <c r="A479" s="24" t="s">
        <v>2703</v>
      </c>
      <c r="B479" s="24">
        <v>51.166923333051798</v>
      </c>
      <c r="C479" s="24">
        <v>4.8646632125290399</v>
      </c>
      <c r="D479" s="24">
        <v>0.92387504031975798</v>
      </c>
      <c r="E479" s="24">
        <v>5.2654991207959796</v>
      </c>
      <c r="F479" s="26">
        <v>1.3980898873430701E-7</v>
      </c>
      <c r="G479" s="26">
        <v>7.9578510310916899E-5</v>
      </c>
      <c r="H479" s="27" t="str">
        <f>VLOOKUP(A479,TableS10!A:J,8,FALSE)</f>
        <v>K06819</v>
      </c>
      <c r="I479" s="24" t="s">
        <v>2704</v>
      </c>
      <c r="J479" s="34" t="str">
        <f>VLOOKUP(A479,TableS10!A:J,10,FALSE)</f>
        <v>GO:0000902,GO:0000904,GO:0001525,GO:0001568,GO:0001667,GO:0001755,GO:0001764,GO:0001936,GO:0001938,GO:0001944,GO:0002116,GO:0003002,GO:0003007,GO:0003148,GO:0003151,GO:0003205,GO:0003206,GO:0003279,GO:0003674,GO:0003824,GO:0004672,GO:0004713,GO:0004714,GO:0004888,GO:0005021,GO:0005488,GO:0005515,GO:0005575,GO:0005623,GO:0005886,GO:0006464,GO:0006468,GO:0006793,GO:0006796,GO:0006807,GO:0006928,GO:0006929,GO:0006935,GO:0007154,GO:0007155,GO:0007165,GO:0007166,GO:0007167,GO:0007169,GO:0007275,GO:0007350,GO:0007389,GO:0007399,GO:0007409,GO:0007411,GO:0007417,GO:0007420,GO:0007507,GO:0008150,GO:0008152,GO:0008284,GO:0009605,GO:0009653,GO:0009790,GO:0009880,GO:0009887,GO:0009888,GO:0009987,GO:0010033,GO:0010594,GO:0010595,GO:0010632,GO:0010634,GO:0014031,GO:0014032,GO:0014033,GO:0016020,GO:0016021,GO:0016043,GO:0016049,GO:0016301,GO:0016310,GO:0016477,GO:0016740,GO:0016772,GO:0016773,GO:0017154,GO:0018108,GO:0018193,GO:0018212,GO:0019199,GO:0019538,GO:0019838,GO:0019955,GO:0021536,GO:0021537,GO:0021543,GO:0021545,GO:0021561,GO:0021562,GO:0021602,GO:0021604,GO:0021610,GO:0021612,GO:0021648,GO:0021649,GO:0021675,GO:0021761,GO:0021783,GO:0021795,GO:0021800,GO:0021824,GO:0021825,GO:0021828,GO:0021854,GO:0021855,GO:0021856,GO:0021872,GO:0021879,GO:0021884,GO:0021885,GO:0021886,GO:0021888,GO:0021953,GO:0021954,GO:0021979,GO:0021987,GO:0022008,GO:0022029,GO:0022610,GO:0023052,GO:0030030,GO:0030154,GO:0030182,GO:0030334,GO:0030335,GO:0030424,GO:0030900,GO:0031175,GO:0031224,GO:0032501,GO:0032502,GO:0032879,GO:0032989,GO:0032990,GO:0032991,GO:0034097,GO:0035239,GO:0035282,GO:0035290,GO:0035295,GO:0035924,GO:0036211,GO:0036484,GO:0036486,GO:0038023,GO:0038084,GO:0040007,GO:0040011,GO:0040012,GO:0040017,GO:0042127,GO:0042221,GO:0042330,GO:0042802,GO:0042995,GO:0043005,GO:0043170,GO:0043235,GO:0043412,GO:0044237,GO:0044238,GO:0044260,GO:0044267,GO:0044425,GO:0044464,GO:0048010,GO:0048468,GO:0048483,GO:0048485,GO:0048486,GO:0048513,GO:0048514,GO:0048518,GO:0048522,GO:0048532,GO:0048588,GO:0048589,GO:0048646,GO:0048666,GO:0048667,GO:0048675,GO:0048699,GO:0048729,GO:0048731,GO:0048762,GO:0048812,GO:0048846,GO:0048856,GO:0048858,GO:0048863,GO:0048864,GO:0048869,GO:0048870,GO:0050678,GO:0050679,GO:0050789,GO:0050794,GO:0050896,GO:0050919,GO:0051179,GO:0051239,GO:0051240,GO:0051270,GO:0051272,GO:0051674,GO:0051716,GO:0060089,GO:0060322,GO:0060411,GO:0060485,GO:0060560,GO:0061548,GO:0061549,GO:0061550,GO:0061551,GO:0061552,GO:0061564,GO:0065007,GO:0070848,GO:0070887,GO:0071310,GO:0071345,GO:0071363,GO:0071526,GO:0071704,GO:0071840,GO:0071944,GO:0072358,GO:0072359,GO:0097374,GO:0097458,GO:0097485,GO:0097490,GO:0097491,GO:0120025,GO:0120036,GO:0120039,GO:0140096,GO:1901166,GO:1901564,GO:1902284,GO:1902285,GO:1903375,GO:1904835,GO:1990138,GO:1990791,GO:1990823,GO:1990830,GO:2000145,GO:2000147</v>
      </c>
    </row>
    <row r="480" spans="1:10" ht="15.75" customHeight="1" x14ac:dyDescent="0.2">
      <c r="A480" s="24" t="s">
        <v>2705</v>
      </c>
      <c r="B480" s="24">
        <v>38.271195643813499</v>
      </c>
      <c r="C480" s="24">
        <v>5.0855766566228198</v>
      </c>
      <c r="D480" s="24">
        <v>0.96664465765483698</v>
      </c>
      <c r="E480" s="24">
        <v>5.2610611524620197</v>
      </c>
      <c r="F480" s="26">
        <v>1.4322638491086599E-7</v>
      </c>
      <c r="G480" s="26">
        <v>8.1300931211863002E-5</v>
      </c>
      <c r="H480" s="27" t="str">
        <f>VLOOKUP(A480,TableS10!A:J,8,FALSE)</f>
        <v>-</v>
      </c>
      <c r="I480" s="24" t="s">
        <v>2706</v>
      </c>
      <c r="J480" s="34" t="str">
        <f>VLOOKUP(A480,TableS10!A:J,10,FALSE)</f>
        <v>-</v>
      </c>
    </row>
    <row r="481" spans="1:10" ht="15.75" customHeight="1" x14ac:dyDescent="0.2">
      <c r="A481" s="24" t="s">
        <v>2707</v>
      </c>
      <c r="B481" s="24">
        <v>179.56875470423299</v>
      </c>
      <c r="C481" s="24">
        <v>4.1107738409310599</v>
      </c>
      <c r="D481" s="24">
        <v>0.78295889821846998</v>
      </c>
      <c r="E481" s="24">
        <v>5.2503060509110302</v>
      </c>
      <c r="F481" s="26">
        <v>1.5184670878221099E-7</v>
      </c>
      <c r="G481" s="26">
        <v>8.5725719646079094E-5</v>
      </c>
      <c r="H481" s="27" t="str">
        <f>VLOOKUP(A481,TableS10!A:J,8,FALSE)</f>
        <v>K10746</v>
      </c>
      <c r="I481" s="24" t="s">
        <v>2708</v>
      </c>
      <c r="J481" s="34" t="str">
        <f>VLOOKUP(A481,TableS10!A:J,10,FALSE)</f>
        <v>GO:0003674,GO:0003824,GO:0004518,GO:0004519,GO:0004520,GO:0004527,GO:0004529,GO:0004536,GO:0005575,GO:0005622,GO:0005623,GO:0005634,GO:0006139,GO:0006259,GO:0006281,GO:0006298,GO:0006310,GO:0006725,GO:0006807,GO:0006950,GO:0006974,GO:0008150,GO:0008152,GO:0008297,GO:0008309,GO:0008409,GO:0009987,GO:0016787,GO:0016788,GO:0016796,GO:0016895,GO:0033554,GO:0034641,GO:0035312,GO:0043170,GO:0043226,GO:0043227,GO:0043229,GO:0043231,GO:0044237,GO:0044238,GO:0044260,GO:0044424,GO:0044464,GO:0045145,GO:0046483,GO:0048256,GO:0050896,GO:0051716,GO:0051908,GO:0071704,GO:0090304,GO:0090305,GO:0140097,GO:1901360</v>
      </c>
    </row>
    <row r="482" spans="1:10" ht="15.75" customHeight="1" x14ac:dyDescent="0.2">
      <c r="A482" s="24" t="s">
        <v>2709</v>
      </c>
      <c r="B482" s="24">
        <v>43.281939518859701</v>
      </c>
      <c r="C482" s="24">
        <v>3.56034879913727</v>
      </c>
      <c r="D482" s="24">
        <v>0.67903317283368902</v>
      </c>
      <c r="E482" s="24">
        <v>5.2432619518123103</v>
      </c>
      <c r="F482" s="26">
        <v>1.57762309984834E-7</v>
      </c>
      <c r="G482" s="26">
        <v>8.8404239138156898E-5</v>
      </c>
      <c r="H482" s="27" t="str">
        <f>VLOOKUP(A482,TableS10!A:J,8,FALSE)</f>
        <v>K05127</v>
      </c>
      <c r="I482" s="24" t="s">
        <v>2711</v>
      </c>
      <c r="J482" s="34" t="str">
        <f>VLOOKUP(A482,TableS10!A:J,10,FALSE)</f>
        <v>-</v>
      </c>
    </row>
    <row r="483" spans="1:10" ht="15.75" customHeight="1" x14ac:dyDescent="0.2">
      <c r="A483" s="24" t="s">
        <v>2712</v>
      </c>
      <c r="B483" s="24">
        <v>13.728900388290301</v>
      </c>
      <c r="C483" s="24">
        <v>7.21334724265785</v>
      </c>
      <c r="D483" s="24">
        <v>1.3757689085887499</v>
      </c>
      <c r="E483" s="24">
        <v>5.2431387260068396</v>
      </c>
      <c r="F483" s="26">
        <v>1.5786775217204901E-7</v>
      </c>
      <c r="G483" s="26">
        <v>8.8404239138156898E-5</v>
      </c>
      <c r="H483" s="27" t="str">
        <f>VLOOKUP(A483,TableS10!A:J,8,FALSE)</f>
        <v>-</v>
      </c>
      <c r="I483" s="24" t="s">
        <v>10</v>
      </c>
      <c r="J483" s="34" t="str">
        <f>VLOOKUP(A483,TableS10!A:J,10,FALSE)</f>
        <v>-</v>
      </c>
    </row>
    <row r="484" spans="1:10" ht="15.75" customHeight="1" x14ac:dyDescent="0.2">
      <c r="A484" s="24" t="s">
        <v>2713</v>
      </c>
      <c r="B484" s="24">
        <v>30.029394424284501</v>
      </c>
      <c r="C484" s="24">
        <v>3.7880675440551901</v>
      </c>
      <c r="D484" s="24">
        <v>0.72255555586332598</v>
      </c>
      <c r="E484" s="24">
        <v>5.2425969371021104</v>
      </c>
      <c r="F484" s="26">
        <v>1.58332160615282E-7</v>
      </c>
      <c r="G484" s="26">
        <v>8.8425957959108897E-5</v>
      </c>
      <c r="H484" s="27" t="str">
        <f>VLOOKUP(A484,TableS10!A:J,8,FALSE)</f>
        <v>-</v>
      </c>
      <c r="I484" s="24" t="s">
        <v>2714</v>
      </c>
      <c r="J484" s="34" t="str">
        <f>VLOOKUP(A484,TableS10!A:J,10,FALSE)</f>
        <v>-</v>
      </c>
    </row>
    <row r="485" spans="1:10" ht="15.75" customHeight="1" x14ac:dyDescent="0.2">
      <c r="A485" s="24" t="s">
        <v>2715</v>
      </c>
      <c r="B485" s="24">
        <v>29.545750111461398</v>
      </c>
      <c r="C485" s="24">
        <v>8.3044312049248692</v>
      </c>
      <c r="D485" s="24">
        <v>1.58916812387134</v>
      </c>
      <c r="E485" s="24">
        <v>5.2256467268514202</v>
      </c>
      <c r="F485" s="26">
        <v>1.7354743376336501E-7</v>
      </c>
      <c r="G485" s="26">
        <v>9.5562335645264706E-5</v>
      </c>
      <c r="H485" s="27" t="str">
        <f>VLOOKUP(A485,TableS10!A:J,8,FALSE)</f>
        <v>-</v>
      </c>
      <c r="I485" s="24" t="s">
        <v>2716</v>
      </c>
      <c r="J485" s="34" t="str">
        <f>VLOOKUP(A485,TableS10!A:J,10,FALSE)</f>
        <v>-</v>
      </c>
    </row>
    <row r="486" spans="1:10" ht="15.75" customHeight="1" x14ac:dyDescent="0.2">
      <c r="A486" s="24" t="s">
        <v>2717</v>
      </c>
      <c r="B486" s="24">
        <v>22.925737138665699</v>
      </c>
      <c r="C486" s="24">
        <v>3.6555348353107702</v>
      </c>
      <c r="D486" s="24">
        <v>0.69988750028093105</v>
      </c>
      <c r="E486" s="24">
        <v>5.2230320356392399</v>
      </c>
      <c r="F486" s="26">
        <v>1.7601692392573E-7</v>
      </c>
      <c r="G486" s="26">
        <v>9.6486997485788599E-5</v>
      </c>
      <c r="H486" s="27" t="str">
        <f>VLOOKUP(A486,TableS10!A:J,8,FALSE)</f>
        <v>-</v>
      </c>
      <c r="I486" s="24" t="s">
        <v>2718</v>
      </c>
      <c r="J486" s="34" t="str">
        <f>VLOOKUP(A486,TableS10!A:J,10,FALSE)</f>
        <v>-</v>
      </c>
    </row>
    <row r="487" spans="1:10" ht="15.75" customHeight="1" x14ac:dyDescent="0.2">
      <c r="A487" s="24" t="s">
        <v>2719</v>
      </c>
      <c r="B487" s="24">
        <v>47.946819939160498</v>
      </c>
      <c r="C487" s="24">
        <v>2.6852707071288302</v>
      </c>
      <c r="D487" s="24">
        <v>0.51418715448907804</v>
      </c>
      <c r="E487" s="24">
        <v>5.2223605426258697</v>
      </c>
      <c r="F487" s="26">
        <v>1.7665658920994999E-7</v>
      </c>
      <c r="G487" s="26">
        <v>9.6582806178690405E-5</v>
      </c>
      <c r="H487" s="27" t="str">
        <f>VLOOKUP(A487,TableS10!A:J,8,FALSE)</f>
        <v>-</v>
      </c>
      <c r="I487" s="24" t="s">
        <v>10</v>
      </c>
      <c r="J487" s="34" t="str">
        <f>VLOOKUP(A487,TableS10!A:J,10,FALSE)</f>
        <v>-</v>
      </c>
    </row>
    <row r="488" spans="1:10" ht="15.75" customHeight="1" x14ac:dyDescent="0.2">
      <c r="A488" s="24" t="s">
        <v>2720</v>
      </c>
      <c r="B488" s="24">
        <v>24.5151906961223</v>
      </c>
      <c r="C488" s="24">
        <v>8.0378438614394501</v>
      </c>
      <c r="D488" s="24">
        <v>1.54041648835866</v>
      </c>
      <c r="E488" s="24">
        <v>5.2179679470997504</v>
      </c>
      <c r="F488" s="26">
        <v>1.8089675862919201E-7</v>
      </c>
      <c r="G488" s="26">
        <v>9.8079181673755406E-5</v>
      </c>
      <c r="H488" s="27" t="str">
        <f>VLOOKUP(A488,TableS10!A:J,8,FALSE)</f>
        <v>-</v>
      </c>
      <c r="I488" s="24" t="s">
        <v>10</v>
      </c>
      <c r="J488" s="34" t="str">
        <f>VLOOKUP(A488,TableS10!A:J,10,FALSE)</f>
        <v>-</v>
      </c>
    </row>
    <row r="489" spans="1:10" ht="15.75" customHeight="1" x14ac:dyDescent="0.2">
      <c r="A489" s="24" t="s">
        <v>2721</v>
      </c>
      <c r="B489" s="24">
        <v>36.934144284945504</v>
      </c>
      <c r="C489" s="24">
        <v>4.9287345679321</v>
      </c>
      <c r="D489" s="24">
        <v>0.94472832277407504</v>
      </c>
      <c r="E489" s="24">
        <v>5.2170919926053401</v>
      </c>
      <c r="F489" s="26">
        <v>1.81754004430177E-7</v>
      </c>
      <c r="G489" s="26">
        <v>9.8079181673755406E-5</v>
      </c>
      <c r="H489" s="27" t="str">
        <f>VLOOKUP(A489,TableS10!A:J,8,FALSE)</f>
        <v>-</v>
      </c>
      <c r="I489" s="24" t="s">
        <v>260</v>
      </c>
      <c r="J489" s="34" t="str">
        <f>VLOOKUP(A489,TableS10!A:J,10,FALSE)</f>
        <v>-</v>
      </c>
    </row>
    <row r="490" spans="1:10" ht="15.75" customHeight="1" x14ac:dyDescent="0.2">
      <c r="A490" s="24" t="s">
        <v>2722</v>
      </c>
      <c r="B490" s="24">
        <v>22.890906001514299</v>
      </c>
      <c r="C490" s="24">
        <v>7.9445575148150702</v>
      </c>
      <c r="D490" s="24">
        <v>1.52578279990528</v>
      </c>
      <c r="E490" s="24">
        <v>5.2068731639315002</v>
      </c>
      <c r="F490" s="26">
        <v>1.9204926668808E-7</v>
      </c>
      <c r="G490" s="24">
        <v>1.0336628873069599E-4</v>
      </c>
      <c r="H490" s="27" t="str">
        <f>VLOOKUP(A490,TableS10!A:J,8,FALSE)</f>
        <v>-</v>
      </c>
      <c r="I490" s="24" t="s">
        <v>2723</v>
      </c>
      <c r="J490" s="34" t="str">
        <f>VLOOKUP(A490,TableS10!A:J,10,FALSE)</f>
        <v>-</v>
      </c>
    </row>
    <row r="491" spans="1:10" ht="15.75" customHeight="1" x14ac:dyDescent="0.2">
      <c r="A491" s="24" t="s">
        <v>2724</v>
      </c>
      <c r="B491" s="24">
        <v>99.979886499854501</v>
      </c>
      <c r="C491" s="24">
        <v>10.0711228629547</v>
      </c>
      <c r="D491" s="24">
        <v>1.9379497586133501</v>
      </c>
      <c r="E491" s="24">
        <v>5.1967925474811301</v>
      </c>
      <c r="F491" s="26">
        <v>2.02756413305398E-7</v>
      </c>
      <c r="G491" s="24">
        <v>1.0800990103250301E-4</v>
      </c>
      <c r="H491" s="27" t="str">
        <f>VLOOKUP(A491,TableS10!A:J,8,FALSE)</f>
        <v>-</v>
      </c>
      <c r="I491" s="24" t="s">
        <v>2725</v>
      </c>
      <c r="J491" s="34" t="str">
        <f>VLOOKUP(A491,TableS10!A:J,10,FALSE)</f>
        <v>-</v>
      </c>
    </row>
    <row r="492" spans="1:10" ht="15.75" customHeight="1" x14ac:dyDescent="0.2">
      <c r="A492" s="24" t="s">
        <v>2726</v>
      </c>
      <c r="B492" s="24">
        <v>75.045513862872596</v>
      </c>
      <c r="C492" s="24">
        <v>2.4485756398063101</v>
      </c>
      <c r="D492" s="24">
        <v>0.471245752317766</v>
      </c>
      <c r="E492" s="24">
        <v>5.1959633116336503</v>
      </c>
      <c r="F492" s="26">
        <v>2.03662425501968E-7</v>
      </c>
      <c r="G492" s="24">
        <v>1.08215066170299E-4</v>
      </c>
      <c r="H492" s="27" t="str">
        <f>VLOOKUP(A492,TableS10!A:J,8,FALSE)</f>
        <v>-</v>
      </c>
      <c r="I492" s="24" t="s">
        <v>2727</v>
      </c>
      <c r="J492" s="34" t="str">
        <f>VLOOKUP(A492,TableS10!A:J,10,FALSE)</f>
        <v>-</v>
      </c>
    </row>
    <row r="493" spans="1:10" ht="15.75" customHeight="1" x14ac:dyDescent="0.2">
      <c r="A493" s="24" t="s">
        <v>2728</v>
      </c>
      <c r="B493" s="24">
        <v>46.4374708931648</v>
      </c>
      <c r="C493" s="24">
        <v>6.4823348057269596</v>
      </c>
      <c r="D493" s="24">
        <v>1.2492475264712899</v>
      </c>
      <c r="E493" s="24">
        <v>5.1889915075816804</v>
      </c>
      <c r="F493" s="26">
        <v>2.1143603797046401E-7</v>
      </c>
      <c r="G493" s="24">
        <v>1.11207862036941E-4</v>
      </c>
      <c r="H493" s="27" t="str">
        <f>VLOOKUP(A493,TableS10!A:J,8,FALSE)</f>
        <v>-</v>
      </c>
      <c r="I493" s="24" t="s">
        <v>2729</v>
      </c>
      <c r="J493" s="34" t="str">
        <f>VLOOKUP(A493,TableS10!A:J,10,FALSE)</f>
        <v>-</v>
      </c>
    </row>
    <row r="494" spans="1:10" ht="15.75" customHeight="1" x14ac:dyDescent="0.2">
      <c r="A494" s="24" t="s">
        <v>2730</v>
      </c>
      <c r="B494" s="24">
        <v>22.086268665273401</v>
      </c>
      <c r="C494" s="24">
        <v>5.0150786583234996</v>
      </c>
      <c r="D494" s="24">
        <v>0.96761213666828205</v>
      </c>
      <c r="E494" s="24">
        <v>5.1829431114739899</v>
      </c>
      <c r="F494" s="26">
        <v>2.18411672799078E-7</v>
      </c>
      <c r="G494" s="24">
        <v>1.14010893201119E-4</v>
      </c>
      <c r="H494" s="27" t="str">
        <f>VLOOKUP(A494,TableS10!A:J,8,FALSE)</f>
        <v>-</v>
      </c>
      <c r="I494" s="24" t="s">
        <v>2731</v>
      </c>
      <c r="J494" s="34" t="str">
        <f>VLOOKUP(A494,TableS10!A:J,10,FALSE)</f>
        <v>-</v>
      </c>
    </row>
    <row r="495" spans="1:10" ht="15.75" customHeight="1" x14ac:dyDescent="0.2">
      <c r="A495" s="24" t="s">
        <v>2732</v>
      </c>
      <c r="B495" s="24">
        <v>27.425545550809701</v>
      </c>
      <c r="C495" s="24">
        <v>8.2084023874299596</v>
      </c>
      <c r="D495" s="24">
        <v>1.58406410323721</v>
      </c>
      <c r="E495" s="24">
        <v>5.1818625083765202</v>
      </c>
      <c r="F495" s="26">
        <v>2.1968113117022701E-7</v>
      </c>
      <c r="G495" s="24">
        <v>1.14386148088726E-4</v>
      </c>
      <c r="H495" s="27" t="str">
        <f>VLOOKUP(A495,TableS10!A:J,8,FALSE)</f>
        <v>-</v>
      </c>
      <c r="I495" s="24" t="s">
        <v>2733</v>
      </c>
      <c r="J495" s="34" t="str">
        <f>VLOOKUP(A495,TableS10!A:J,10,FALSE)</f>
        <v>-</v>
      </c>
    </row>
    <row r="496" spans="1:10" ht="15.75" customHeight="1" x14ac:dyDescent="0.2">
      <c r="A496" s="24" t="s">
        <v>2734</v>
      </c>
      <c r="B496" s="24">
        <v>74.628863187340798</v>
      </c>
      <c r="C496" s="24">
        <v>9.6496365026795505</v>
      </c>
      <c r="D496" s="24">
        <v>1.86497990123519</v>
      </c>
      <c r="E496" s="24">
        <v>5.1741235904411198</v>
      </c>
      <c r="F496" s="26">
        <v>2.28983224669477E-7</v>
      </c>
      <c r="G496" s="24">
        <v>1.18339897573214E-4</v>
      </c>
      <c r="H496" s="27" t="str">
        <f>VLOOKUP(A496,TableS10!A:J,8,FALSE)</f>
        <v>K16866</v>
      </c>
      <c r="I496" s="24" t="s">
        <v>2735</v>
      </c>
      <c r="J496" s="34" t="str">
        <f>VLOOKUP(A496,TableS10!A:J,10,FALSE)</f>
        <v>GO:0002009,GO:0002020,GO:0002165,GO:0003674,GO:0004857,GO:0004866,GO:0005488,GO:0005515,GO:0005575,GO:0005576,GO:0005615,GO:0005623,GO:0007155,GO:0007162,GO:0007275,GO:0007399,GO:0007417,GO:0007419,GO:0007424,GO:0007426,GO:0007444,GO:0007472,GO:0007476,GO:0007552,GO:0007560,GO:0008150,GO:0008191,GO:0008270,GO:0009314,GO:0009416,GO:0009453,GO:0009605,GO:0009628,GO:0009653,GO:0009791,GO:0009886,GO:0009887,GO:0009888,GO:0009892,GO:0009894,GO:0009895,GO:0009987,GO:0010033,GO:0010466,GO:0010605,GO:0010951,GO:0016043,GO:0019222,GO:0019899,GO:0022407,GO:0022408,GO:0022610,GO:0030155,GO:0030162,GO:0030198,GO:0030234,GO:0030414,GO:0030425,GO:0031323,GO:0031324,GO:0031329,GO:0031330,GO:0032268,GO:0032269,GO:0032501,GO:0032502,GO:0035107,GO:0035114,GO:0035120,GO:0035202,GO:0035220,GO:0035239,GO:0035295,GO:0036477,GO:0040007,GO:0040011,GO:0042176,GO:0042177,GO:0042221,GO:0042330,GO:0042331,GO:0042995,GO:0043005,GO:0043062,GO:0043086,GO:0043167,GO:0043169,GO:0044092,GO:0044421,GO:0044463,GO:0044464,GO:0045861,GO:0046872,GO:0046914,GO:0048513,GO:0048519,GO:0048523,GO:0048526,GO:0048563,GO:0048569,GO:0048589,GO:0048646,GO:0048707,GO:0048729,GO:0048731,GO:0048736,GO:0048737,GO:0048856,GO:0050789,GO:0050790,GO:0050794,GO:0050896,GO:0051043,GO:0051045,GO:0051171,GO:0051172,GO:0051246,GO:0051248,GO:0051336,GO:0051346,GO:0052547,GO:0052548,GO:0060232,GO:0060255,GO:0060429,GO:0060541,GO:0060560,GO:0060562,GO:0061134,GO:0061135,GO:0065007,GO:0065009,GO:0071711,GO:0071840,GO:0080090,GO:0097447,GO:0097458,GO:0098772,GO:0120025,GO:0120038</v>
      </c>
    </row>
    <row r="497" spans="1:10" ht="15.75" customHeight="1" x14ac:dyDescent="0.2">
      <c r="A497" s="24" t="s">
        <v>2736</v>
      </c>
      <c r="B497" s="24">
        <v>34.765278453565102</v>
      </c>
      <c r="C497" s="24">
        <v>5.5627692744336503</v>
      </c>
      <c r="D497" s="24">
        <v>1.0754327753933199</v>
      </c>
      <c r="E497" s="24">
        <v>5.1725867034312598</v>
      </c>
      <c r="F497" s="26">
        <v>2.30875308828529E-7</v>
      </c>
      <c r="G497" s="24">
        <v>1.1902166417116601E-4</v>
      </c>
      <c r="H497" s="27" t="str">
        <f>VLOOKUP(A497,TableS10!A:J,8,FALSE)</f>
        <v>-</v>
      </c>
      <c r="I497" s="24" t="s">
        <v>10</v>
      </c>
      <c r="J497" s="34" t="str">
        <f>VLOOKUP(A497,TableS10!A:J,10,FALSE)</f>
        <v>-</v>
      </c>
    </row>
    <row r="498" spans="1:10" ht="15.75" customHeight="1" x14ac:dyDescent="0.2">
      <c r="A498" s="24" t="s">
        <v>2737</v>
      </c>
      <c r="B498" s="24">
        <v>16.3896967071422</v>
      </c>
      <c r="C498" s="24">
        <v>7.4676900075992103</v>
      </c>
      <c r="D498" s="24">
        <v>1.4474067953123599</v>
      </c>
      <c r="E498" s="24">
        <v>5.1593581236349202</v>
      </c>
      <c r="F498" s="26">
        <v>2.4779791939545999E-7</v>
      </c>
      <c r="G498" s="24">
        <v>1.2680173532493401E-4</v>
      </c>
      <c r="H498" s="27" t="str">
        <f>VLOOKUP(A498,TableS10!A:J,8,FALSE)</f>
        <v>-</v>
      </c>
      <c r="I498" s="24" t="s">
        <v>10</v>
      </c>
      <c r="J498" s="34" t="str">
        <f>VLOOKUP(A498,TableS10!A:J,10,FALSE)</f>
        <v>-</v>
      </c>
    </row>
    <row r="499" spans="1:10" ht="15.75" customHeight="1" x14ac:dyDescent="0.2">
      <c r="A499" s="24" t="s">
        <v>2738</v>
      </c>
      <c r="B499" s="24">
        <v>94.060368497390101</v>
      </c>
      <c r="C499" s="24">
        <v>2.23840015150006</v>
      </c>
      <c r="D499" s="24">
        <v>0.43403784493396602</v>
      </c>
      <c r="E499" s="24">
        <v>5.1571543302649303</v>
      </c>
      <c r="F499" s="26">
        <v>2.5073113961492302E-7</v>
      </c>
      <c r="G499" s="24">
        <v>1.27872455904732E-4</v>
      </c>
      <c r="H499" s="27" t="str">
        <f>VLOOKUP(A499,TableS10!A:J,8,FALSE)</f>
        <v>-</v>
      </c>
      <c r="I499" s="24" t="s">
        <v>2739</v>
      </c>
      <c r="J499" s="34" t="str">
        <f>VLOOKUP(A499,TableS10!A:J,10,FALSE)</f>
        <v>-</v>
      </c>
    </row>
    <row r="500" spans="1:10" ht="15.75" customHeight="1" x14ac:dyDescent="0.2">
      <c r="A500" s="24" t="s">
        <v>2740</v>
      </c>
      <c r="B500" s="24">
        <v>14.0704120807825</v>
      </c>
      <c r="C500" s="24">
        <v>7.2392542901299803</v>
      </c>
      <c r="D500" s="24">
        <v>1.4038096831957501</v>
      </c>
      <c r="E500" s="24">
        <v>5.1568630540073901</v>
      </c>
      <c r="F500" s="26">
        <v>2.5112132505983301E-7</v>
      </c>
      <c r="G500" s="24">
        <v>1.27872455904732E-4</v>
      </c>
      <c r="H500" s="27" t="str">
        <f>VLOOKUP(A500,TableS10!A:J,8,FALSE)</f>
        <v>-</v>
      </c>
      <c r="I500" s="24" t="s">
        <v>2741</v>
      </c>
      <c r="J500" s="34" t="str">
        <f>VLOOKUP(A500,TableS10!A:J,10,FALSE)</f>
        <v>-</v>
      </c>
    </row>
    <row r="501" spans="1:10" ht="15.75" customHeight="1" x14ac:dyDescent="0.2">
      <c r="A501" s="24" t="s">
        <v>2742</v>
      </c>
      <c r="B501" s="24">
        <v>27.425193409160201</v>
      </c>
      <c r="C501" s="24">
        <v>4.2422866832273698</v>
      </c>
      <c r="D501" s="24">
        <v>0.82446117604191305</v>
      </c>
      <c r="E501" s="24">
        <v>5.1455263225295997</v>
      </c>
      <c r="F501" s="26">
        <v>2.6677178976566599E-7</v>
      </c>
      <c r="G501" s="24">
        <v>1.3419719117325801E-4</v>
      </c>
      <c r="H501" s="27" t="str">
        <f>VLOOKUP(A501,TableS10!A:J,8,FALSE)</f>
        <v>K06499</v>
      </c>
      <c r="I501" s="24" t="s">
        <v>2743</v>
      </c>
      <c r="J501" s="34" t="str">
        <f>VLOOKUP(A501,TableS10!A:J,10,FALSE)</f>
        <v>-</v>
      </c>
    </row>
    <row r="502" spans="1:10" ht="15.75" customHeight="1" x14ac:dyDescent="0.2">
      <c r="A502" s="24" t="s">
        <v>2744</v>
      </c>
      <c r="B502" s="24">
        <v>44.353165463396103</v>
      </c>
      <c r="C502" s="24">
        <v>2.7164622664874098</v>
      </c>
      <c r="D502" s="24">
        <v>0.52945026106327697</v>
      </c>
      <c r="E502" s="24">
        <v>5.1307223100278199</v>
      </c>
      <c r="F502" s="26">
        <v>2.8863244927974798E-7</v>
      </c>
      <c r="G502" s="24">
        <v>1.4449427260858599E-4</v>
      </c>
      <c r="H502" s="27" t="str">
        <f>VLOOKUP(A502,TableS10!A:J,8,FALSE)</f>
        <v>K10449</v>
      </c>
      <c r="I502" s="24" t="s">
        <v>2745</v>
      </c>
      <c r="J502" s="34" t="str">
        <f>VLOOKUP(A502,TableS10!A:J,10,FALSE)</f>
        <v>-</v>
      </c>
    </row>
    <row r="503" spans="1:10" ht="15.75" customHeight="1" x14ac:dyDescent="0.2">
      <c r="A503" s="24" t="s">
        <v>2746</v>
      </c>
      <c r="B503" s="24">
        <v>93.421676358132302</v>
      </c>
      <c r="C503" s="24">
        <v>2.2459593617696201</v>
      </c>
      <c r="D503" s="24">
        <v>0.438349624007556</v>
      </c>
      <c r="E503" s="24">
        <v>5.1236712404044598</v>
      </c>
      <c r="F503" s="26">
        <v>2.9964325941451502E-7</v>
      </c>
      <c r="G503" s="24">
        <v>1.4928701439549601E-4</v>
      </c>
      <c r="H503" s="27" t="str">
        <f>VLOOKUP(A503,TableS10!A:J,8,FALSE)</f>
        <v>-</v>
      </c>
      <c r="I503" s="24" t="s">
        <v>2747</v>
      </c>
      <c r="J503" s="34" t="str">
        <f>VLOOKUP(A503,TableS10!A:J,10,FALSE)</f>
        <v>-</v>
      </c>
    </row>
    <row r="504" spans="1:10" ht="15.75" customHeight="1" x14ac:dyDescent="0.2">
      <c r="A504" s="24" t="s">
        <v>2748</v>
      </c>
      <c r="B504" s="24">
        <v>15.181067963179601</v>
      </c>
      <c r="C504" s="24">
        <v>7.3590440946995797</v>
      </c>
      <c r="D504" s="24">
        <v>1.43870210515139</v>
      </c>
      <c r="E504" s="24">
        <v>5.1150575705352299</v>
      </c>
      <c r="F504" s="26">
        <v>3.13645279853505E-7</v>
      </c>
      <c r="G504" s="24">
        <v>1.54778358102719E-4</v>
      </c>
      <c r="H504" s="27" t="str">
        <f>VLOOKUP(A504,TableS10!A:J,8,FALSE)</f>
        <v>-</v>
      </c>
      <c r="I504" s="24" t="s">
        <v>5112</v>
      </c>
      <c r="J504" s="34" t="str">
        <f>VLOOKUP(A504,TableS10!A:J,10,FALSE)</f>
        <v>-</v>
      </c>
    </row>
    <row r="505" spans="1:10" ht="15.75" customHeight="1" x14ac:dyDescent="0.2">
      <c r="A505" s="24" t="s">
        <v>2749</v>
      </c>
      <c r="B505" s="24">
        <v>11.890081420729301</v>
      </c>
      <c r="C505" s="24">
        <v>7.0052251460143804</v>
      </c>
      <c r="D505" s="24">
        <v>1.3723491748368</v>
      </c>
      <c r="E505" s="24">
        <v>5.1045501206698596</v>
      </c>
      <c r="F505" s="26">
        <v>3.3158238645298298E-7</v>
      </c>
      <c r="G505" s="24">
        <v>1.62856336359163E-4</v>
      </c>
      <c r="H505" s="27" t="str">
        <f>VLOOKUP(A505,TableS10!A:J,8,FALSE)</f>
        <v>-</v>
      </c>
      <c r="I505" s="24" t="s">
        <v>2750</v>
      </c>
      <c r="J505" s="34" t="str">
        <f>VLOOKUP(A505,TableS10!A:J,10,FALSE)</f>
        <v>GO:0000981,GO:0003674,GO:0003700,GO:0006355,GO:0006357,GO:0008150,GO:0009889,GO:0010468,GO:0010556,GO:0019219,GO:0019222,GO:0031323,GO:0031326,GO:0050789,GO:0050794,GO:0051171,GO:0051252,GO:0060255,GO:0065007,GO:0080090,GO:0140110,GO:1903506,GO:2000112,GO:2001141</v>
      </c>
    </row>
    <row r="506" spans="1:10" ht="15.75" customHeight="1" x14ac:dyDescent="0.2">
      <c r="A506" s="24" t="s">
        <v>2751</v>
      </c>
      <c r="B506" s="24">
        <v>31.078616343494001</v>
      </c>
      <c r="C506" s="24">
        <v>4.0429049057087996</v>
      </c>
      <c r="D506" s="24">
        <v>0.79294756729285298</v>
      </c>
      <c r="E506" s="24">
        <v>5.0985778536548096</v>
      </c>
      <c r="F506" s="26">
        <v>3.42214780998494E-7</v>
      </c>
      <c r="G506" s="24">
        <v>1.67287468332054E-4</v>
      </c>
      <c r="H506" s="27" t="str">
        <f>VLOOKUP(A506,TableS10!A:J,8,FALSE)</f>
        <v>-</v>
      </c>
      <c r="I506" s="24" t="s">
        <v>2752</v>
      </c>
      <c r="J506" s="34" t="str">
        <f>VLOOKUP(A506,TableS10!A:J,10,FALSE)</f>
        <v>-</v>
      </c>
    </row>
    <row r="507" spans="1:10" ht="15.75" customHeight="1" x14ac:dyDescent="0.2">
      <c r="A507" s="24" t="s">
        <v>2753</v>
      </c>
      <c r="B507" s="24">
        <v>19.4443487198659</v>
      </c>
      <c r="C507" s="24">
        <v>7.6981103289028798</v>
      </c>
      <c r="D507" s="24">
        <v>1.5108855429479</v>
      </c>
      <c r="E507" s="24">
        <v>5.0950982785122596</v>
      </c>
      <c r="F507" s="26">
        <v>3.4856038868656501E-7</v>
      </c>
      <c r="G507" s="24">
        <v>1.6998946505156299E-4</v>
      </c>
      <c r="H507" s="27" t="str">
        <f>VLOOKUP(A507,TableS10!A:J,8,FALSE)</f>
        <v>-</v>
      </c>
      <c r="I507" s="24" t="s">
        <v>2754</v>
      </c>
      <c r="J507" s="34" t="str">
        <f>VLOOKUP(A507,TableS10!A:J,10,FALSE)</f>
        <v>-</v>
      </c>
    </row>
    <row r="508" spans="1:10" ht="15.75" customHeight="1" x14ac:dyDescent="0.2">
      <c r="A508" s="24" t="s">
        <v>2755</v>
      </c>
      <c r="B508" s="24">
        <v>22.568403519237702</v>
      </c>
      <c r="C508" s="24">
        <v>5.4440714830172396</v>
      </c>
      <c r="D508" s="24">
        <v>1.0687338365293599</v>
      </c>
      <c r="E508" s="24">
        <v>5.0939450936600803</v>
      </c>
      <c r="F508" s="26">
        <v>3.5068836732743899E-7</v>
      </c>
      <c r="G508" s="24">
        <v>1.7062672703156801E-4</v>
      </c>
      <c r="H508" s="27" t="str">
        <f>VLOOKUP(A508,TableS10!A:J,8,FALSE)</f>
        <v>-</v>
      </c>
      <c r="I508" s="24" t="s">
        <v>2756</v>
      </c>
      <c r="J508" s="34" t="str">
        <f>VLOOKUP(A508,TableS10!A:J,10,FALSE)</f>
        <v>-</v>
      </c>
    </row>
    <row r="509" spans="1:10" ht="15.75" customHeight="1" x14ac:dyDescent="0.2">
      <c r="A509" s="24" t="s">
        <v>2757</v>
      </c>
      <c r="B509" s="24">
        <v>43.734145245625101</v>
      </c>
      <c r="C509" s="24">
        <v>2.2352191925958298</v>
      </c>
      <c r="D509" s="24">
        <v>0.43919018277578198</v>
      </c>
      <c r="E509" s="24">
        <v>5.0894106477260896</v>
      </c>
      <c r="F509" s="26">
        <v>3.5917805056999E-7</v>
      </c>
      <c r="G509" s="24">
        <v>1.7434905391172599E-4</v>
      </c>
      <c r="H509" s="27" t="str">
        <f>VLOOKUP(A509,TableS10!A:J,8,FALSE)</f>
        <v>K10443</v>
      </c>
      <c r="I509" s="24" t="s">
        <v>2758</v>
      </c>
      <c r="J509" s="34" t="str">
        <f>VLOOKUP(A509,TableS10!A:J,10,FALSE)</f>
        <v>-</v>
      </c>
    </row>
    <row r="510" spans="1:10" ht="15.75" customHeight="1" x14ac:dyDescent="0.2">
      <c r="A510" s="24" t="s">
        <v>2759</v>
      </c>
      <c r="B510" s="24">
        <v>11.8836982819152</v>
      </c>
      <c r="C510" s="24">
        <v>7.0029785168247098</v>
      </c>
      <c r="D510" s="24">
        <v>1.37880277160658</v>
      </c>
      <c r="E510" s="24">
        <v>5.0790284593530801</v>
      </c>
      <c r="F510" s="26">
        <v>3.7936988433374902E-7</v>
      </c>
      <c r="G510" s="24">
        <v>1.82868607168544E-4</v>
      </c>
      <c r="H510" s="27" t="str">
        <f>VLOOKUP(A510,TableS10!A:J,8,FALSE)</f>
        <v>-</v>
      </c>
      <c r="I510" s="24" t="s">
        <v>2760</v>
      </c>
      <c r="J510" s="34" t="str">
        <f>VLOOKUP(A510,TableS10!A:J,10,FALSE)</f>
        <v>-</v>
      </c>
    </row>
    <row r="511" spans="1:10" ht="15.75" customHeight="1" x14ac:dyDescent="0.2">
      <c r="A511" s="24" t="s">
        <v>2761</v>
      </c>
      <c r="B511" s="24">
        <v>14.3534179680007</v>
      </c>
      <c r="C511" s="24">
        <v>7.2582097006783197</v>
      </c>
      <c r="D511" s="24">
        <v>1.43163279252452</v>
      </c>
      <c r="E511" s="24">
        <v>5.0698822621122597</v>
      </c>
      <c r="F511" s="26">
        <v>3.9806187373187302E-7</v>
      </c>
      <c r="G511" s="24">
        <v>1.90552402394099E-4</v>
      </c>
      <c r="H511" s="27" t="str">
        <f>VLOOKUP(A511,TableS10!A:J,8,FALSE)</f>
        <v>-</v>
      </c>
      <c r="I511" s="24" t="s">
        <v>2762</v>
      </c>
      <c r="J511" s="34" t="str">
        <f>VLOOKUP(A511,TableS10!A:J,10,FALSE)</f>
        <v>-</v>
      </c>
    </row>
    <row r="512" spans="1:10" ht="15.75" customHeight="1" x14ac:dyDescent="0.2">
      <c r="A512" s="24" t="s">
        <v>2763</v>
      </c>
      <c r="B512" s="24">
        <v>2255.19924869243</v>
      </c>
      <c r="C512" s="24">
        <v>10.6751756492692</v>
      </c>
      <c r="D512" s="24">
        <v>2.1075252105257798</v>
      </c>
      <c r="E512" s="24">
        <v>5.0652659317920996</v>
      </c>
      <c r="F512" s="26">
        <v>4.07830614715422E-7</v>
      </c>
      <c r="G512" s="24">
        <v>1.9433315869453501E-4</v>
      </c>
      <c r="H512" s="27" t="str">
        <f>VLOOKUP(A512,TableS10!A:J,8,FALSE)</f>
        <v>K00522</v>
      </c>
      <c r="I512" s="24" t="s">
        <v>2765</v>
      </c>
      <c r="J512" s="34" t="str">
        <f>VLOOKUP(A512,TableS10!A:J,10,FALSE)</f>
        <v>-</v>
      </c>
    </row>
    <row r="513" spans="1:10" ht="15.75" customHeight="1" x14ac:dyDescent="0.2">
      <c r="A513" s="24" t="s">
        <v>2766</v>
      </c>
      <c r="B513" s="24">
        <v>164.380709809449</v>
      </c>
      <c r="C513" s="24">
        <v>3.1270658669404301</v>
      </c>
      <c r="D513" s="24">
        <v>0.61877308757236704</v>
      </c>
      <c r="E513" s="24">
        <v>5.0536552570649897</v>
      </c>
      <c r="F513" s="26">
        <v>4.33433665735033E-7</v>
      </c>
      <c r="G513" s="24">
        <v>2.04655556041926E-4</v>
      </c>
      <c r="H513" s="27" t="str">
        <f>VLOOKUP(A513,TableS10!A:J,8,FALSE)</f>
        <v>-</v>
      </c>
      <c r="I513" s="24" t="s">
        <v>2767</v>
      </c>
      <c r="J513" s="34" t="str">
        <f>VLOOKUP(A513,TableS10!A:J,10,FALSE)</f>
        <v>-</v>
      </c>
    </row>
    <row r="514" spans="1:10" ht="15.75" customHeight="1" x14ac:dyDescent="0.2">
      <c r="A514" s="24" t="s">
        <v>2768</v>
      </c>
      <c r="B514" s="24">
        <v>11.9746762260982</v>
      </c>
      <c r="C514" s="24">
        <v>7.0147675410102002</v>
      </c>
      <c r="D514" s="24">
        <v>1.3960174808452099</v>
      </c>
      <c r="E514" s="24">
        <v>5.0248421937833898</v>
      </c>
      <c r="F514" s="26">
        <v>5.0384666268748203E-7</v>
      </c>
      <c r="G514" s="24">
        <v>2.34177107949218E-4</v>
      </c>
      <c r="H514" s="27" t="str">
        <f>VLOOKUP(A514,TableS10!A:J,8,FALSE)</f>
        <v>-</v>
      </c>
      <c r="I514" s="24" t="s">
        <v>2769</v>
      </c>
      <c r="J514" s="34" t="str">
        <f>VLOOKUP(A514,TableS10!A:J,10,FALSE)</f>
        <v>-</v>
      </c>
    </row>
    <row r="515" spans="1:10" ht="15.75" customHeight="1" x14ac:dyDescent="0.2">
      <c r="A515" s="24" t="s">
        <v>2770</v>
      </c>
      <c r="B515" s="24">
        <v>19.403734467725499</v>
      </c>
      <c r="C515" s="24">
        <v>6.7206870966430303</v>
      </c>
      <c r="D515" s="24">
        <v>1.33935453375402</v>
      </c>
      <c r="E515" s="24">
        <v>5.0178551886526099</v>
      </c>
      <c r="F515" s="26">
        <v>5.2251537777045901E-7</v>
      </c>
      <c r="G515" s="24">
        <v>2.417721711004E-4</v>
      </c>
      <c r="H515" s="27" t="str">
        <f>VLOOKUP(A515,TableS10!A:J,8,FALSE)</f>
        <v>-</v>
      </c>
      <c r="I515" s="24" t="s">
        <v>10</v>
      </c>
      <c r="J515" s="34" t="str">
        <f>VLOOKUP(A515,TableS10!A:J,10,FALSE)</f>
        <v>-</v>
      </c>
    </row>
    <row r="516" spans="1:10" ht="15.75" customHeight="1" x14ac:dyDescent="0.2">
      <c r="A516" s="24" t="s">
        <v>2771</v>
      </c>
      <c r="B516" s="24">
        <v>11.838231001137601</v>
      </c>
      <c r="C516" s="24">
        <v>6.9981320491672996</v>
      </c>
      <c r="D516" s="24">
        <v>1.3952152130802</v>
      </c>
      <c r="E516" s="24">
        <v>5.0158083022314397</v>
      </c>
      <c r="F516" s="26">
        <v>5.2810964778989996E-7</v>
      </c>
      <c r="G516" s="24">
        <v>2.42412602319019E-4</v>
      </c>
      <c r="H516" s="27" t="str">
        <f>VLOOKUP(A516,TableS10!A:J,8,FALSE)</f>
        <v>K03848</v>
      </c>
      <c r="I516" s="24" t="s">
        <v>2773</v>
      </c>
      <c r="J516" s="34" t="str">
        <f>VLOOKUP(A516,TableS10!A:J,10,FALSE)</f>
        <v>GO:0003674,GO:0003824,GO:0005575,GO:0005622,GO:0005623,GO:0005737,GO:0005783,GO:0005789,GO:0006464,GO:0006486,GO:0006487,GO:0006490,GO:0006629,GO:0006807,GO:0008150,GO:0008152,GO:0009058,GO:0009059,GO:0009100,GO:0009101,GO:0009987,GO:0012505,GO:0016020,GO:0016740,GO:0016757,GO:0016758,GO:0019538,GO:0031984,GO:0034645,GO:0036211,GO:0042175,GO:0042281,GO:0043170,GO:0043226,GO:0043227,GO:0043229,GO:0043231,GO:0043412,GO:0043413,GO:0044237,GO:0044238,GO:0044249,GO:0044255,GO:0044260,GO:0044267,GO:0044422,GO:0044424,GO:0044425,GO:0044432,GO:0044444,GO:0044446,GO:0044464,GO:0046527,GO:0070085,GO:0071704,GO:0098827,GO:1901135,GO:1901137,GO:1901564,GO:1901566,GO:1901576</v>
      </c>
    </row>
    <row r="517" spans="1:10" ht="15.75" customHeight="1" x14ac:dyDescent="0.2">
      <c r="A517" s="24" t="s">
        <v>2774</v>
      </c>
      <c r="B517" s="24">
        <v>27.3699297970172</v>
      </c>
      <c r="C517" s="24">
        <v>7.2293211278317902</v>
      </c>
      <c r="D517" s="24">
        <v>1.4423149705348799</v>
      </c>
      <c r="E517" s="24">
        <v>5.0123040220200998</v>
      </c>
      <c r="F517" s="26">
        <v>5.3782140366588202E-7</v>
      </c>
      <c r="G517" s="24">
        <v>2.4605953361090402E-4</v>
      </c>
      <c r="H517" s="27" t="str">
        <f>VLOOKUP(A517,TableS10!A:J,8,FALSE)</f>
        <v>-</v>
      </c>
      <c r="I517" s="24" t="s">
        <v>10</v>
      </c>
      <c r="J517" s="34" t="str">
        <f>VLOOKUP(A517,TableS10!A:J,10,FALSE)</f>
        <v>-</v>
      </c>
    </row>
    <row r="518" spans="1:10" ht="15.75" customHeight="1" x14ac:dyDescent="0.2">
      <c r="A518" s="24" t="s">
        <v>2775</v>
      </c>
      <c r="B518" s="24">
        <v>58.082664046367</v>
      </c>
      <c r="C518" s="24">
        <v>3.7225393193646399</v>
      </c>
      <c r="D518" s="24">
        <v>0.742767941307383</v>
      </c>
      <c r="E518" s="24">
        <v>5.0117124236843198</v>
      </c>
      <c r="F518" s="26">
        <v>5.3947785735097903E-7</v>
      </c>
      <c r="G518" s="24">
        <v>2.4605953361090402E-4</v>
      </c>
      <c r="H518" s="27" t="str">
        <f>VLOOKUP(A518,TableS10!A:J,8,FALSE)</f>
        <v>-</v>
      </c>
      <c r="I518" s="24" t="s">
        <v>10</v>
      </c>
      <c r="J518" s="34" t="str">
        <f>VLOOKUP(A518,TableS10!A:J,10,FALSE)</f>
        <v>-</v>
      </c>
    </row>
    <row r="519" spans="1:10" ht="15.75" customHeight="1" x14ac:dyDescent="0.2">
      <c r="A519" s="24" t="s">
        <v>2776</v>
      </c>
      <c r="B519" s="24">
        <v>12.052288065186801</v>
      </c>
      <c r="C519" s="24">
        <v>7.0284266527861199</v>
      </c>
      <c r="D519" s="24">
        <v>1.4051002020808001</v>
      </c>
      <c r="E519" s="24">
        <v>5.0020821592494</v>
      </c>
      <c r="F519" s="26">
        <v>5.6714409059512196E-7</v>
      </c>
      <c r="G519" s="24">
        <v>2.56146929751479E-4</v>
      </c>
      <c r="H519" s="27" t="str">
        <f>VLOOKUP(A519,TableS10!A:J,8,FALSE)</f>
        <v>-</v>
      </c>
      <c r="I519" s="24" t="s">
        <v>2777</v>
      </c>
      <c r="J519" s="34" t="str">
        <f>VLOOKUP(A519,TableS10!A:J,10,FALSE)</f>
        <v>-</v>
      </c>
    </row>
    <row r="520" spans="1:10" ht="15.75" customHeight="1" x14ac:dyDescent="0.2">
      <c r="A520" s="24" t="s">
        <v>2778</v>
      </c>
      <c r="B520" s="24">
        <v>11.4289940426134</v>
      </c>
      <c r="C520" s="24">
        <v>6.93630386552534</v>
      </c>
      <c r="D520" s="24">
        <v>1.3876226486490399</v>
      </c>
      <c r="E520" s="24">
        <v>4.9986960592480898</v>
      </c>
      <c r="F520" s="26">
        <v>5.7719299755026105E-7</v>
      </c>
      <c r="G520" s="24">
        <v>2.5908584565193801E-4</v>
      </c>
      <c r="H520" s="27" t="str">
        <f>VLOOKUP(A520,TableS10!A:J,8,FALSE)</f>
        <v>-</v>
      </c>
      <c r="I520" s="24" t="s">
        <v>10</v>
      </c>
      <c r="J520" s="34" t="str">
        <f>VLOOKUP(A520,TableS10!A:J,10,FALSE)</f>
        <v>-</v>
      </c>
    </row>
    <row r="521" spans="1:10" ht="15.75" customHeight="1" x14ac:dyDescent="0.2">
      <c r="A521" s="24" t="s">
        <v>2779</v>
      </c>
      <c r="B521" s="24">
        <v>27.4641107180537</v>
      </c>
      <c r="C521" s="24">
        <v>2.9696944546835198</v>
      </c>
      <c r="D521" s="24">
        <v>0.59410174289323803</v>
      </c>
      <c r="E521" s="24">
        <v>4.99862942704274</v>
      </c>
      <c r="F521" s="26">
        <v>5.7739245334357299E-7</v>
      </c>
      <c r="G521" s="24">
        <v>2.5908584565193801E-4</v>
      </c>
      <c r="H521" s="27" t="str">
        <f>VLOOKUP(A521,TableS10!A:J,8,FALSE)</f>
        <v>K04967</v>
      </c>
      <c r="I521" s="24" t="s">
        <v>2780</v>
      </c>
      <c r="J521" s="34" t="str">
        <f>VLOOKUP(A521,TableS10!A:J,10,FALSE)</f>
        <v>GO:0000041,GO:0001894,GO:0001895,GO:0003008,GO:0003674,GO:0005215,GO:0005216,GO:0005261,GO:0005262,GO:0005488,GO:0005515,GO:0005575,GO:0005623,GO:0005886,GO:0005887,GO:0005902,GO:0006810,GO:0006811,GO:0006812,GO:0006816,GO:0006828,GO:0006873,GO:0006874,GO:0006875,GO:0006950,GO:0006996,GO:0007005,GO:0007154,GO:0007165,GO:0007186,GO:0007600,GO:0007601,GO:0007602,GO:0007603,GO:0007605,GO:0007610,GO:0007611,GO:0007612,GO:0007635,GO:0008104,GO:0008150,GO:0008306,GO:0008324,GO:0008355,GO:0008377,GO:0009314,GO:0009416,GO:0009581,GO:0009582,GO:0009583,GO:0009584,GO:0009605,GO:0009628,GO:0009987,GO:0010461,GO:0015075,GO:0015085,GO:0015267,GO:0015318,GO:0016020,GO:0016021,GO:0016027,GO:0016028,GO:0016043,GO:0016056,GO:0019725,GO:0019897,GO:0019898,GO:0022803,GO:0022838,GO:0022857,GO:0022890,GO:0023052,GO:0030001,GO:0030003,GO:0031224,GO:0031226,GO:0031253,GO:0031528,GO:0032501,GO:0032879,GO:0032991,GO:0033036,GO:0033554,GO:0033583,GO:0034059,GO:0034220,GO:0034702,GO:0034703,GO:0035996,GO:0035997,GO:0036293,GO:0036294,GO:0042048,GO:0042221,GO:0042592,GO:0042802,GO:0042803,GO:0042995,GO:0044425,GO:0044459,GO:0044463,GO:0044464,GO:0046873,GO:0046982,GO:0046983,GO:0048519,GO:0048523,GO:0048871,GO:0048878,GO:0050789,GO:0050794,GO:0050801,GO:0050877,GO:0050890,GO:0050896,GO:0050906,GO:0050908,GO:0050953,GO:0050954,GO:0050962,GO:0051179,GO:0051234,GO:0051282,GO:0051283,GO:0051480,GO:0051606,GO:0051716,GO:0055065,GO:0055074,GO:0055080,GO:0055082,GO:0055085,GO:0060249,GO:0065007,GO:0065008,GO:0070482,GO:0070588,GO:0070838,GO:0070887,GO:0071214,GO:0071453,GO:0071454,GO:0071478,GO:0071482,GO:0071840,GO:0071944,GO:0072503,GO:0072507,GO:0072511,GO:0098590,GO:0098655,GO:0098660,GO:0098662,GO:0098771,GO:0098796,GO:0098797,GO:0098858,GO:0104004,GO:0120025,GO:0120038,GO:1902495,GO:1990351</v>
      </c>
    </row>
    <row r="522" spans="1:10" ht="15.75" customHeight="1" x14ac:dyDescent="0.2">
      <c r="A522" s="24" t="s">
        <v>2781</v>
      </c>
      <c r="B522" s="24">
        <v>11.2211346357654</v>
      </c>
      <c r="C522" s="24">
        <v>6.9083630970831003</v>
      </c>
      <c r="D522" s="24">
        <v>1.3839601141698901</v>
      </c>
      <c r="E522" s="24">
        <v>4.9917356911884703</v>
      </c>
      <c r="F522" s="26">
        <v>5.9839104529636696E-7</v>
      </c>
      <c r="G522" s="24">
        <v>2.6564636866106698E-4</v>
      </c>
      <c r="H522" s="27" t="str">
        <f>VLOOKUP(A522,TableS10!A:J,8,FALSE)</f>
        <v>-</v>
      </c>
      <c r="I522" s="24" t="s">
        <v>2783</v>
      </c>
      <c r="J522" s="34" t="str">
        <f>VLOOKUP(A522,TableS10!A:J,10,FALSE)</f>
        <v>-</v>
      </c>
    </row>
    <row r="523" spans="1:10" ht="15.75" customHeight="1" x14ac:dyDescent="0.2">
      <c r="A523" s="24" t="s">
        <v>2784</v>
      </c>
      <c r="B523" s="24">
        <v>11.750843256452301</v>
      </c>
      <c r="C523" s="24">
        <v>6.97387134186362</v>
      </c>
      <c r="D523" s="24">
        <v>1.39897040976938</v>
      </c>
      <c r="E523" s="24">
        <v>4.9850027514258004</v>
      </c>
      <c r="F523" s="26">
        <v>6.1960931176889497E-7</v>
      </c>
      <c r="G523" s="24">
        <v>2.7388840888480602E-4</v>
      </c>
      <c r="H523" s="27" t="str">
        <f>VLOOKUP(A523,TableS10!A:J,8,FALSE)</f>
        <v>-</v>
      </c>
      <c r="I523" s="24" t="s">
        <v>10</v>
      </c>
      <c r="J523" s="34" t="str">
        <f>VLOOKUP(A523,TableS10!A:J,10,FALSE)</f>
        <v>-</v>
      </c>
    </row>
    <row r="524" spans="1:10" ht="15.75" customHeight="1" x14ac:dyDescent="0.2">
      <c r="A524" s="24" t="s">
        <v>2785</v>
      </c>
      <c r="B524" s="24">
        <v>52.835568279670099</v>
      </c>
      <c r="C524" s="24">
        <v>2.7765921129353202</v>
      </c>
      <c r="D524" s="24">
        <v>0.557633035504005</v>
      </c>
      <c r="E524" s="24">
        <v>4.97924609223654</v>
      </c>
      <c r="F524" s="26">
        <v>6.3832435263697695E-7</v>
      </c>
      <c r="G524" s="24">
        <v>2.8037148880855799E-4</v>
      </c>
      <c r="H524" s="27" t="str">
        <f>VLOOKUP(A524,TableS10!A:J,8,FALSE)</f>
        <v>-</v>
      </c>
      <c r="I524" s="24" t="s">
        <v>2531</v>
      </c>
      <c r="J524" s="34" t="str">
        <f>VLOOKUP(A524,TableS10!A:J,10,FALSE)</f>
        <v>-</v>
      </c>
    </row>
    <row r="525" spans="1:10" ht="15.75" customHeight="1" x14ac:dyDescent="0.2">
      <c r="A525" s="24" t="s">
        <v>2786</v>
      </c>
      <c r="B525" s="24">
        <v>24.972052804338901</v>
      </c>
      <c r="C525" s="24">
        <v>3.5573615742064302</v>
      </c>
      <c r="D525" s="24">
        <v>0.71517283622610395</v>
      </c>
      <c r="E525" s="24">
        <v>4.9741284819740601</v>
      </c>
      <c r="F525" s="26">
        <v>6.55418301768731E-7</v>
      </c>
      <c r="G525" s="24">
        <v>2.8727233059549497E-4</v>
      </c>
      <c r="H525" s="27" t="str">
        <f>VLOOKUP(A525,TableS10!A:J,8,FALSE)</f>
        <v>-</v>
      </c>
      <c r="I525" s="24" t="s">
        <v>10</v>
      </c>
      <c r="J525" s="34" t="str">
        <f>VLOOKUP(A525,TableS10!A:J,10,FALSE)</f>
        <v>-</v>
      </c>
    </row>
    <row r="526" spans="1:10" ht="15.75" customHeight="1" x14ac:dyDescent="0.2">
      <c r="A526" s="24" t="s">
        <v>2787</v>
      </c>
      <c r="B526" s="24">
        <v>143.04875497369301</v>
      </c>
      <c r="C526" s="24">
        <v>3.3114076295494002</v>
      </c>
      <c r="D526" s="24">
        <v>0.66593280790613496</v>
      </c>
      <c r="E526" s="24">
        <v>4.9725852071492298</v>
      </c>
      <c r="F526" s="26">
        <v>6.6065917995559496E-7</v>
      </c>
      <c r="G526" s="24">
        <v>2.8895980755969401E-4</v>
      </c>
      <c r="H526" s="27" t="str">
        <f>VLOOKUP(A526,TableS10!A:J,8,FALSE)</f>
        <v>-</v>
      </c>
      <c r="I526" s="24" t="s">
        <v>10</v>
      </c>
      <c r="J526" s="34" t="str">
        <f>VLOOKUP(A526,TableS10!A:J,10,FALSE)</f>
        <v>-</v>
      </c>
    </row>
    <row r="527" spans="1:10" ht="15.75" customHeight="1" x14ac:dyDescent="0.2">
      <c r="A527" s="24" t="s">
        <v>2788</v>
      </c>
      <c r="B527" s="24">
        <v>12.108285129114799</v>
      </c>
      <c r="C527" s="24">
        <v>7.0154984620433796</v>
      </c>
      <c r="D527" s="24">
        <v>1.41112576342264</v>
      </c>
      <c r="E527" s="24">
        <v>4.9715614609909302</v>
      </c>
      <c r="F527" s="26">
        <v>6.64158022545233E-7</v>
      </c>
      <c r="G527" s="24">
        <v>2.8987986162165401E-4</v>
      </c>
      <c r="H527" s="27" t="str">
        <f>VLOOKUP(A527,TableS10!A:J,8,FALSE)</f>
        <v>-</v>
      </c>
      <c r="I527" s="24" t="s">
        <v>10</v>
      </c>
      <c r="J527" s="34" t="str">
        <f>VLOOKUP(A527,TableS10!A:J,10,FALSE)</f>
        <v>-</v>
      </c>
    </row>
    <row r="528" spans="1:10" ht="15.75" customHeight="1" x14ac:dyDescent="0.2">
      <c r="A528" s="24" t="s">
        <v>2789</v>
      </c>
      <c r="B528" s="24">
        <v>12.407221196503199</v>
      </c>
      <c r="C528" s="24">
        <v>7.0450681555897603</v>
      </c>
      <c r="D528" s="24">
        <v>1.4185795454751899</v>
      </c>
      <c r="E528" s="24">
        <v>4.9662834756508802</v>
      </c>
      <c r="F528" s="26">
        <v>6.8248173374406502E-7</v>
      </c>
      <c r="G528" s="24">
        <v>2.9547447396239201E-4</v>
      </c>
      <c r="H528" s="27" t="str">
        <f>VLOOKUP(A528,TableS10!A:J,8,FALSE)</f>
        <v>-</v>
      </c>
      <c r="I528" s="24" t="s">
        <v>2790</v>
      </c>
      <c r="J528" s="34" t="str">
        <f>VLOOKUP(A528,TableS10!A:J,10,FALSE)</f>
        <v>-</v>
      </c>
    </row>
    <row r="529" spans="1:10" ht="15.75" customHeight="1" x14ac:dyDescent="0.2">
      <c r="A529" s="24" t="s">
        <v>2791</v>
      </c>
      <c r="B529" s="24">
        <v>13.2711743454316</v>
      </c>
      <c r="C529" s="24">
        <v>7.1476611117644699</v>
      </c>
      <c r="D529" s="24">
        <v>1.43925253580151</v>
      </c>
      <c r="E529" s="24">
        <v>4.96623138328117</v>
      </c>
      <c r="F529" s="26">
        <v>6.8266498922749801E-7</v>
      </c>
      <c r="G529" s="24">
        <v>2.9547447396239201E-4</v>
      </c>
      <c r="H529" s="27" t="str">
        <f>VLOOKUP(A529,TableS10!A:J,8,FALSE)</f>
        <v>K03902</v>
      </c>
      <c r="I529" s="24" t="s">
        <v>2792</v>
      </c>
      <c r="J529" s="34" t="str">
        <f>VLOOKUP(A529,TableS10!A:J,10,FALSE)</f>
        <v>GO:0002576,GO:0003008,GO:0003013,GO:0005575,GO:0005576,GO:0005615,GO:0005622,GO:0005623,GO:0005737,GO:0005783,GO:0005788,GO:0005793,GO:0005794,GO:0005798,GO:0005886,GO:0006464,GO:0006807,GO:0006810,GO:0006887,GO:0006888,GO:0006900,GO:0006901,GO:0006903,GO:0006950,GO:0006996,GO:0007596,GO:0007599,GO:0008015,GO:0008150,GO:0008152,GO:0009611,GO:0009987,GO:0012505,GO:0016020,GO:0016043,GO:0016050,GO:0016192,GO:0019538,GO:0022607,GO:0030134,GO:0030135,GO:0030141,GO:0031090,GO:0031091,GO:0031093,GO:0031410,GO:0031974,GO:0031982,GO:0031983,GO:0032501,GO:0032940,GO:0033116,GO:0034774,GO:0036211,GO:0042060,GO:0043170,GO:0043226,GO:0043227,GO:0043229,GO:0043231,GO:0043233,GO:0043412,GO:0043687,GO:0043933,GO:0044085,GO:0044237,GO:0044238,GO:0044260,GO:0044267,GO:0044421,GO:0044422,GO:0044424,GO:0044432,GO:0044433,GO:0044444,GO:0044446,GO:0044464,GO:0045055,GO:0046903,GO:0046907,GO:0048193,GO:0048194,GO:0048199,GO:0048207,GO:0048208,GO:0050817,GO:0050878,GO:0050896,GO:0051179,GO:0051234,GO:0051640,GO:0051641,GO:0051648,GO:0051649,GO:0051650,GO:0051656,GO:0060205,GO:0061024,GO:0065003,GO:0065007,GO:0065008,GO:0070013,GO:0071704,GO:0071840,GO:0071944,GO:0090114,GO:0097708,GO:0098588,GO:0099503,GO:1901564</v>
      </c>
    </row>
    <row r="530" spans="1:10" ht="15.75" customHeight="1" x14ac:dyDescent="0.2">
      <c r="A530" s="24" t="s">
        <v>2793</v>
      </c>
      <c r="B530" s="24">
        <v>120.329097177405</v>
      </c>
      <c r="C530" s="24">
        <v>4.0129260405374803</v>
      </c>
      <c r="D530" s="24">
        <v>0.80906926614487196</v>
      </c>
      <c r="E530" s="24">
        <v>4.9599289065306396</v>
      </c>
      <c r="F530" s="26">
        <v>7.0518983026084898E-7</v>
      </c>
      <c r="G530" s="24">
        <v>3.0395729953459102E-4</v>
      </c>
      <c r="H530" s="27" t="str">
        <f>VLOOKUP(A530,TableS10!A:J,8,FALSE)</f>
        <v>-</v>
      </c>
      <c r="I530" s="24" t="s">
        <v>2794</v>
      </c>
      <c r="J530" s="34" t="str">
        <f>VLOOKUP(A530,TableS10!A:J,10,FALSE)</f>
        <v>-</v>
      </c>
    </row>
    <row r="531" spans="1:10" ht="15.75" customHeight="1" x14ac:dyDescent="0.2">
      <c r="A531" s="24" t="s">
        <v>2795</v>
      </c>
      <c r="B531" s="24">
        <v>99.786907324815004</v>
      </c>
      <c r="C531" s="24">
        <v>10.0681393276663</v>
      </c>
      <c r="D531" s="24">
        <v>2.0341984232848702</v>
      </c>
      <c r="E531" s="24">
        <v>4.9494381730018198</v>
      </c>
      <c r="F531" s="26">
        <v>7.4428015729941199E-7</v>
      </c>
      <c r="G531" s="24">
        <v>3.1948071975185298E-4</v>
      </c>
      <c r="H531" s="27" t="str">
        <f>VLOOKUP(A531,TableS10!A:J,8,FALSE)</f>
        <v>-</v>
      </c>
      <c r="I531" s="24" t="s">
        <v>10</v>
      </c>
      <c r="J531" s="34" t="str">
        <f>VLOOKUP(A531,TableS10!A:J,10,FALSE)</f>
        <v>-</v>
      </c>
    </row>
    <row r="532" spans="1:10" ht="15.75" customHeight="1" x14ac:dyDescent="0.2">
      <c r="A532" s="24" t="s">
        <v>2796</v>
      </c>
      <c r="B532" s="24">
        <v>13.5145157436431</v>
      </c>
      <c r="C532" s="24">
        <v>7.1913741146071501</v>
      </c>
      <c r="D532" s="24">
        <v>1.4548123887573601</v>
      </c>
      <c r="E532" s="24">
        <v>4.9431625480930297</v>
      </c>
      <c r="F532" s="26">
        <v>7.6865342999712304E-7</v>
      </c>
      <c r="G532" s="24">
        <v>3.28585107000992E-4</v>
      </c>
      <c r="H532" s="27" t="str">
        <f>VLOOKUP(A532,TableS10!A:J,8,FALSE)</f>
        <v>-</v>
      </c>
      <c r="I532" s="24" t="s">
        <v>2797</v>
      </c>
      <c r="J532" s="34" t="str">
        <f>VLOOKUP(A532,TableS10!A:J,10,FALSE)</f>
        <v>-</v>
      </c>
    </row>
    <row r="533" spans="1:10" ht="15.75" customHeight="1" x14ac:dyDescent="0.2">
      <c r="A533" s="24" t="s">
        <v>2798</v>
      </c>
      <c r="B533" s="24">
        <v>44.7402135983832</v>
      </c>
      <c r="C533" s="24">
        <v>3.5926067569174802</v>
      </c>
      <c r="D533" s="24">
        <v>0.72772044365967803</v>
      </c>
      <c r="E533" s="24">
        <v>4.93679515014089</v>
      </c>
      <c r="F533" s="26">
        <v>7.9416811394015396E-7</v>
      </c>
      <c r="G533" s="24">
        <v>3.3672079730561399E-4</v>
      </c>
      <c r="H533" s="27" t="str">
        <f>VLOOKUP(A533,TableS10!A:J,8,FALSE)</f>
        <v>-</v>
      </c>
      <c r="I533" s="24" t="s">
        <v>10</v>
      </c>
      <c r="J533" s="34" t="str">
        <f>VLOOKUP(A533,TableS10!A:J,10,FALSE)</f>
        <v>-</v>
      </c>
    </row>
    <row r="534" spans="1:10" ht="15.75" customHeight="1" x14ac:dyDescent="0.2">
      <c r="A534" s="24" t="s">
        <v>2799</v>
      </c>
      <c r="B534" s="24">
        <v>33.443409730586303</v>
      </c>
      <c r="C534" s="24">
        <v>3.3995864356284802</v>
      </c>
      <c r="D534" s="24">
        <v>0.68963700855992005</v>
      </c>
      <c r="E534" s="24">
        <v>4.9295301635963504</v>
      </c>
      <c r="F534" s="26">
        <v>8.2427608843376797E-7</v>
      </c>
      <c r="G534" s="24">
        <v>3.4806565656228902E-4</v>
      </c>
      <c r="H534" s="27" t="str">
        <f>VLOOKUP(A534,TableS10!A:J,8,FALSE)</f>
        <v>-</v>
      </c>
      <c r="I534" s="24" t="s">
        <v>2800</v>
      </c>
      <c r="J534" s="34" t="str">
        <f>VLOOKUP(A534,TableS10!A:J,10,FALSE)</f>
        <v>-</v>
      </c>
    </row>
    <row r="535" spans="1:10" ht="15.75" customHeight="1" x14ac:dyDescent="0.2">
      <c r="A535" s="24" t="s">
        <v>2801</v>
      </c>
      <c r="B535" s="24">
        <v>11.357765342338899</v>
      </c>
      <c r="C535" s="24">
        <v>6.9236107955031398</v>
      </c>
      <c r="D535" s="24">
        <v>1.4063714943277099</v>
      </c>
      <c r="E535" s="24">
        <v>4.9230312356500399</v>
      </c>
      <c r="F535" s="26">
        <v>8.5213844691198299E-7</v>
      </c>
      <c r="G535" s="24">
        <v>3.5765025288211297E-4</v>
      </c>
      <c r="H535" s="27" t="str">
        <f>VLOOKUP(A535,TableS10!A:J,8,FALSE)</f>
        <v>-</v>
      </c>
      <c r="I535" s="24" t="s">
        <v>10</v>
      </c>
      <c r="J535" s="34" t="str">
        <f>VLOOKUP(A535,TableS10!A:J,10,FALSE)</f>
        <v>-</v>
      </c>
    </row>
    <row r="536" spans="1:10" ht="15.75" customHeight="1" x14ac:dyDescent="0.2">
      <c r="A536" s="24" t="s">
        <v>2802</v>
      </c>
      <c r="B536" s="24">
        <v>31.783352555925301</v>
      </c>
      <c r="C536" s="24">
        <v>4.5031310428607698</v>
      </c>
      <c r="D536" s="24">
        <v>0.91715685068408703</v>
      </c>
      <c r="E536" s="24">
        <v>4.9098810519727198</v>
      </c>
      <c r="F536" s="26">
        <v>9.1131653712738499E-7</v>
      </c>
      <c r="G536" s="24">
        <v>3.7750420821481997E-4</v>
      </c>
      <c r="H536" s="27" t="str">
        <f>VLOOKUP(A536,TableS10!A:J,8,FALSE)</f>
        <v>-</v>
      </c>
      <c r="I536" s="24" t="s">
        <v>2803</v>
      </c>
      <c r="J536" s="34" t="str">
        <f>VLOOKUP(A536,TableS10!A:J,10,FALSE)</f>
        <v>-</v>
      </c>
    </row>
    <row r="537" spans="1:10" ht="15.75" customHeight="1" x14ac:dyDescent="0.2">
      <c r="A537" s="24" t="s">
        <v>2804</v>
      </c>
      <c r="B537" s="24">
        <v>14.872869052405401</v>
      </c>
      <c r="C537" s="24">
        <v>7.3224256030228503</v>
      </c>
      <c r="D537" s="24">
        <v>1.49189704374673</v>
      </c>
      <c r="E537" s="24">
        <v>4.9081306472954802</v>
      </c>
      <c r="F537" s="26">
        <v>9.1948597370051402E-7</v>
      </c>
      <c r="G537" s="24">
        <v>3.7977878320501798E-4</v>
      </c>
      <c r="H537" s="27" t="str">
        <f>VLOOKUP(A537,TableS10!A:J,8,FALSE)</f>
        <v>-</v>
      </c>
      <c r="I537" s="24" t="s">
        <v>2805</v>
      </c>
      <c r="J537" s="34" t="str">
        <f>VLOOKUP(A537,TableS10!A:J,10,FALSE)</f>
        <v>-</v>
      </c>
    </row>
    <row r="538" spans="1:10" ht="15.75" customHeight="1" x14ac:dyDescent="0.2">
      <c r="A538" s="24" t="s">
        <v>2806</v>
      </c>
      <c r="B538" s="24">
        <v>10.5745879350411</v>
      </c>
      <c r="C538" s="24">
        <v>6.8293690467142198</v>
      </c>
      <c r="D538" s="24">
        <v>1.39159850936645</v>
      </c>
      <c r="E538" s="24">
        <v>4.9075714013400402</v>
      </c>
      <c r="F538" s="26">
        <v>9.2211089983646904E-7</v>
      </c>
      <c r="G538" s="24">
        <v>3.8010728592544703E-4</v>
      </c>
      <c r="H538" s="27" t="str">
        <f>VLOOKUP(A538,TableS10!A:J,8,FALSE)</f>
        <v>-</v>
      </c>
      <c r="I538" s="24" t="s">
        <v>10</v>
      </c>
      <c r="J538" s="34" t="str">
        <f>VLOOKUP(A538,TableS10!A:J,10,FALSE)</f>
        <v>-</v>
      </c>
    </row>
    <row r="539" spans="1:10" ht="15.75" customHeight="1" x14ac:dyDescent="0.2">
      <c r="A539" s="24" t="s">
        <v>2807</v>
      </c>
      <c r="B539" s="24">
        <v>25.928395412755702</v>
      </c>
      <c r="C539" s="24">
        <v>3.1836178366941499</v>
      </c>
      <c r="D539" s="24">
        <v>0.64965360818929196</v>
      </c>
      <c r="E539" s="24">
        <v>4.90048511477909</v>
      </c>
      <c r="F539" s="26">
        <v>9.5600301172220999E-7</v>
      </c>
      <c r="G539" s="24">
        <v>3.9329774594724698E-4</v>
      </c>
      <c r="H539" s="27" t="str">
        <f>VLOOKUP(A539,TableS10!A:J,8,FALSE)</f>
        <v>-</v>
      </c>
      <c r="I539" s="24" t="s">
        <v>2808</v>
      </c>
      <c r="J539" s="34" t="str">
        <f>VLOOKUP(A539,TableS10!A:J,10,FALSE)</f>
        <v>-</v>
      </c>
    </row>
    <row r="540" spans="1:10" ht="15.75" customHeight="1" x14ac:dyDescent="0.2">
      <c r="A540" s="24" t="s">
        <v>2809</v>
      </c>
      <c r="B540" s="24">
        <v>31.6759717280781</v>
      </c>
      <c r="C540" s="24">
        <v>3.2680658356396499</v>
      </c>
      <c r="D540" s="24">
        <v>0.66795112782503996</v>
      </c>
      <c r="E540" s="24">
        <v>4.8926720825833598</v>
      </c>
      <c r="F540" s="26">
        <v>9.9476072513849299E-7</v>
      </c>
      <c r="G540" s="24">
        <v>4.0674339402990798E-4</v>
      </c>
      <c r="H540" s="27" t="str">
        <f>VLOOKUP(A540,TableS10!A:J,8,FALSE)</f>
        <v>-</v>
      </c>
      <c r="I540" s="24" t="s">
        <v>10</v>
      </c>
      <c r="J540" s="34" t="str">
        <f>VLOOKUP(A540,TableS10!A:J,10,FALSE)</f>
        <v>-</v>
      </c>
    </row>
    <row r="541" spans="1:10" ht="15.75" customHeight="1" x14ac:dyDescent="0.2">
      <c r="A541" s="24" t="s">
        <v>2810</v>
      </c>
      <c r="B541" s="24">
        <v>140.36742494785</v>
      </c>
      <c r="C541" s="24">
        <v>2.8439439509717501</v>
      </c>
      <c r="D541" s="24">
        <v>0.58265301402780201</v>
      </c>
      <c r="E541" s="24">
        <v>4.8810250397778701</v>
      </c>
      <c r="F541" s="26">
        <v>1.05535839328245E-6</v>
      </c>
      <c r="G541" s="24">
        <v>4.2740163421985903E-4</v>
      </c>
      <c r="H541" s="27" t="str">
        <f>VLOOKUP(A541,TableS10!A:J,8,FALSE)</f>
        <v>-</v>
      </c>
      <c r="I541" s="24" t="s">
        <v>5124</v>
      </c>
      <c r="J541" s="34" t="str">
        <f>VLOOKUP(A541,TableS10!A:J,10,FALSE)</f>
        <v>GO:0003674,GO:0003824,GO:0004672,GO:0004674,GO:0004712,GO:0005575,GO:0005622,GO:0005623,GO:0005737,GO:0005829,GO:0006464,GO:0006468,GO:0006793,GO:0006796,GO:0006807,GO:0006996,GO:0007154,GO:0007165,GO:0008150,GO:0008152,GO:0009657,GO:0009658,GO:0009987,GO:0016043,GO:0016301,GO:0016310,GO:0016740,GO:0016772,GO:0016773,GO:0019538,GO:0023052,GO:0035556,GO:0036211,GO:0043170,GO:0043412,GO:0044237,GO:0044238,GO:0044260,GO:0044267,GO:0044424,GO:0044444,GO:0044464,GO:0050789,GO:0050794,GO:0050896,GO:0051716,GO:0065007,GO:0071704,GO:0071840,GO:0140096,GO:1901564</v>
      </c>
    </row>
    <row r="542" spans="1:10" ht="15.75" customHeight="1" x14ac:dyDescent="0.2">
      <c r="A542" s="24" t="s">
        <v>2811</v>
      </c>
      <c r="B542" s="24">
        <v>21.3996781868662</v>
      </c>
      <c r="C542" s="24">
        <v>7.8416881716183697</v>
      </c>
      <c r="D542" s="24">
        <v>1.61101973835946</v>
      </c>
      <c r="E542" s="24">
        <v>4.8675307849448002</v>
      </c>
      <c r="F542" s="26">
        <v>1.13001233439765E-6</v>
      </c>
      <c r="G542" s="24">
        <v>4.5497450105642999E-4</v>
      </c>
      <c r="H542" s="27" t="str">
        <f>VLOOKUP(A542,TableS10!A:J,8,FALSE)</f>
        <v>K13963</v>
      </c>
      <c r="I542" s="24" t="s">
        <v>2813</v>
      </c>
      <c r="J542" s="34" t="str">
        <f>VLOOKUP(A542,TableS10!A:J,10,FALSE)</f>
        <v>-</v>
      </c>
    </row>
    <row r="543" spans="1:10" ht="15.75" customHeight="1" x14ac:dyDescent="0.2">
      <c r="A543" s="24" t="s">
        <v>2814</v>
      </c>
      <c r="B543" s="24">
        <v>23.0773782614636</v>
      </c>
      <c r="C543" s="24">
        <v>7.9621882614560802</v>
      </c>
      <c r="D543" s="24">
        <v>1.64072298398692</v>
      </c>
      <c r="E543" s="24">
        <v>4.85285349151882</v>
      </c>
      <c r="F543" s="26">
        <v>1.2169759716381601E-6</v>
      </c>
      <c r="G543" s="24">
        <v>4.8715618490107501E-4</v>
      </c>
      <c r="H543" s="27" t="str">
        <f>VLOOKUP(A543,TableS10!A:J,8,FALSE)</f>
        <v>-</v>
      </c>
      <c r="I543" s="24" t="s">
        <v>10</v>
      </c>
      <c r="J543" s="34" t="str">
        <f>VLOOKUP(A543,TableS10!A:J,10,FALSE)</f>
        <v>-</v>
      </c>
    </row>
    <row r="544" spans="1:10" ht="15.75" customHeight="1" x14ac:dyDescent="0.2">
      <c r="A544" s="24" t="s">
        <v>2815</v>
      </c>
      <c r="B544" s="24">
        <v>9.9897228932352107</v>
      </c>
      <c r="C544" s="24">
        <v>6.7489625475315602</v>
      </c>
      <c r="D544" s="24">
        <v>1.3918381140573199</v>
      </c>
      <c r="E544" s="24">
        <v>4.8489565556283001</v>
      </c>
      <c r="F544" s="26">
        <v>1.2411259688201299E-6</v>
      </c>
      <c r="G544" s="24">
        <v>4.9586801303498802E-4</v>
      </c>
      <c r="H544" s="27" t="str">
        <f>VLOOKUP(A544,TableS10!A:J,8,FALSE)</f>
        <v>-</v>
      </c>
      <c r="I544" s="24" t="s">
        <v>10</v>
      </c>
      <c r="J544" s="34" t="str">
        <f>VLOOKUP(A544,TableS10!A:J,10,FALSE)</f>
        <v>-</v>
      </c>
    </row>
    <row r="545" spans="1:10" ht="15.75" customHeight="1" x14ac:dyDescent="0.2">
      <c r="A545" s="24" t="s">
        <v>2816</v>
      </c>
      <c r="B545" s="24">
        <v>27.577754144669399</v>
      </c>
      <c r="C545" s="24">
        <v>5.33196628438197</v>
      </c>
      <c r="D545" s="24">
        <v>1.1005775076636899</v>
      </c>
      <c r="E545" s="24">
        <v>4.8446985762054</v>
      </c>
      <c r="F545" s="26">
        <v>1.2680403888417999E-6</v>
      </c>
      <c r="G545" s="24">
        <v>5.0322939062888102E-4</v>
      </c>
      <c r="H545" s="27" t="str">
        <f>VLOOKUP(A545,TableS10!A:J,8,FALSE)</f>
        <v>-</v>
      </c>
      <c r="I545" s="24" t="s">
        <v>2817</v>
      </c>
      <c r="J545" s="34" t="str">
        <f>VLOOKUP(A545,TableS10!A:J,10,FALSE)</f>
        <v>-</v>
      </c>
    </row>
    <row r="546" spans="1:10" ht="15.75" customHeight="1" x14ac:dyDescent="0.2">
      <c r="A546" s="24" t="s">
        <v>2818</v>
      </c>
      <c r="B546" s="24">
        <v>18.2707790299308</v>
      </c>
      <c r="C546" s="24">
        <v>5.7499667531960297</v>
      </c>
      <c r="D546" s="24">
        <v>1.1893967805147501</v>
      </c>
      <c r="E546" s="24">
        <v>4.8343554038439098</v>
      </c>
      <c r="F546" s="26">
        <v>1.33577755611225E-6</v>
      </c>
      <c r="G546" s="24">
        <v>5.2559810974935105E-4</v>
      </c>
      <c r="H546" s="27" t="str">
        <f>VLOOKUP(A546,TableS10!A:J,8,FALSE)</f>
        <v>-</v>
      </c>
      <c r="I546" s="24" t="s">
        <v>10</v>
      </c>
      <c r="J546" s="34" t="str">
        <f>VLOOKUP(A546,TableS10!A:J,10,FALSE)</f>
        <v>-</v>
      </c>
    </row>
    <row r="547" spans="1:10" ht="15.75" customHeight="1" x14ac:dyDescent="0.2">
      <c r="A547" s="24" t="s">
        <v>2819</v>
      </c>
      <c r="B547" s="24">
        <v>12.3352820013026</v>
      </c>
      <c r="C547" s="24">
        <v>7.0591238844254596</v>
      </c>
      <c r="D547" s="24">
        <v>1.46090300122051</v>
      </c>
      <c r="E547" s="24">
        <v>4.8320277790708204</v>
      </c>
      <c r="F547" s="26">
        <v>1.35149391457064E-6</v>
      </c>
      <c r="G547" s="24">
        <v>5.2778377766078601E-4</v>
      </c>
      <c r="H547" s="27" t="str">
        <f>VLOOKUP(A547,TableS10!A:J,8,FALSE)</f>
        <v>-</v>
      </c>
      <c r="I547" s="24" t="s">
        <v>2820</v>
      </c>
      <c r="J547" s="34" t="str">
        <f>VLOOKUP(A547,TableS10!A:J,10,FALSE)</f>
        <v>-</v>
      </c>
    </row>
    <row r="548" spans="1:10" ht="15.75" customHeight="1" x14ac:dyDescent="0.2">
      <c r="A548" s="24" t="s">
        <v>2821</v>
      </c>
      <c r="B548" s="24">
        <v>37.296775397525003</v>
      </c>
      <c r="C548" s="24">
        <v>2.3597140939755001</v>
      </c>
      <c r="D548" s="24">
        <v>0.48844086732543002</v>
      </c>
      <c r="E548" s="24">
        <v>4.83111519086569</v>
      </c>
      <c r="F548" s="26">
        <v>1.35770420671154E-6</v>
      </c>
      <c r="G548" s="24">
        <v>5.2921424984908496E-4</v>
      </c>
      <c r="H548" s="27" t="str">
        <f>VLOOKUP(A548,TableS10!A:J,8,FALSE)</f>
        <v>-</v>
      </c>
      <c r="I548" s="24" t="s">
        <v>10</v>
      </c>
      <c r="J548" s="34" t="str">
        <f>VLOOKUP(A548,TableS10!A:J,10,FALSE)</f>
        <v>-</v>
      </c>
    </row>
    <row r="549" spans="1:10" ht="15.75" customHeight="1" x14ac:dyDescent="0.2">
      <c r="A549" s="24" t="s">
        <v>2822</v>
      </c>
      <c r="B549" s="24">
        <v>39.509407434500801</v>
      </c>
      <c r="C549" s="24">
        <v>5.6342325795400603</v>
      </c>
      <c r="D549" s="24">
        <v>1.1679649307264699</v>
      </c>
      <c r="E549" s="24">
        <v>4.8239741034310004</v>
      </c>
      <c r="F549" s="26">
        <v>1.4072569689232799E-6</v>
      </c>
      <c r="G549" s="24">
        <v>5.4647865202920698E-4</v>
      </c>
      <c r="H549" s="27" t="str">
        <f>VLOOKUP(A549,TableS10!A:J,8,FALSE)</f>
        <v>-</v>
      </c>
      <c r="I549" s="24" t="s">
        <v>10</v>
      </c>
      <c r="J549" s="34" t="str">
        <f>VLOOKUP(A549,TableS10!A:J,10,FALSE)</f>
        <v>-</v>
      </c>
    </row>
    <row r="550" spans="1:10" ht="15.75" customHeight="1" x14ac:dyDescent="0.2">
      <c r="A550" s="24" t="s">
        <v>2823</v>
      </c>
      <c r="B550" s="24">
        <v>12.972664574998801</v>
      </c>
      <c r="C550" s="24">
        <v>7.1082750231226797</v>
      </c>
      <c r="D550" s="24">
        <v>1.4741960637515501</v>
      </c>
      <c r="E550" s="24">
        <v>4.8217975871089003</v>
      </c>
      <c r="F550" s="26">
        <v>1.4227027398909999E-6</v>
      </c>
      <c r="G550" s="24">
        <v>5.50419051077831E-4</v>
      </c>
      <c r="H550" s="27" t="str">
        <f>VLOOKUP(A550,TableS10!A:J,8,FALSE)</f>
        <v>-</v>
      </c>
      <c r="I550" s="24" t="s">
        <v>2824</v>
      </c>
      <c r="J550" s="34" t="str">
        <f>VLOOKUP(A550,TableS10!A:J,10,FALSE)</f>
        <v>-</v>
      </c>
    </row>
    <row r="551" spans="1:10" ht="15.75" customHeight="1" x14ac:dyDescent="0.2">
      <c r="A551" s="24" t="s">
        <v>2825</v>
      </c>
      <c r="B551" s="24">
        <v>10.314791343346201</v>
      </c>
      <c r="C551" s="24">
        <v>6.7839189717143897</v>
      </c>
      <c r="D551" s="24">
        <v>1.4093943103464099</v>
      </c>
      <c r="E551" s="24">
        <v>4.81335771111989</v>
      </c>
      <c r="F551" s="26">
        <v>1.48415284416238E-6</v>
      </c>
      <c r="G551" s="24">
        <v>5.73125758906692E-4</v>
      </c>
      <c r="H551" s="27" t="str">
        <f>VLOOKUP(A551,TableS10!A:J,8,FALSE)</f>
        <v>-</v>
      </c>
      <c r="I551" s="24" t="s">
        <v>2826</v>
      </c>
      <c r="J551" s="34" t="str">
        <f>VLOOKUP(A551,TableS10!A:J,10,FALSE)</f>
        <v>-</v>
      </c>
    </row>
    <row r="552" spans="1:10" ht="15.75" customHeight="1" x14ac:dyDescent="0.2">
      <c r="A552" s="24" t="s">
        <v>2827</v>
      </c>
      <c r="B552" s="24">
        <v>10.3081240065617</v>
      </c>
      <c r="C552" s="24">
        <v>6.7973945993490199</v>
      </c>
      <c r="D552" s="24">
        <v>1.4123670831099</v>
      </c>
      <c r="E552" s="24">
        <v>4.8127676442173897</v>
      </c>
      <c r="F552" s="26">
        <v>1.4885432163438E-6</v>
      </c>
      <c r="G552" s="24">
        <v>5.7375470214234296E-4</v>
      </c>
      <c r="H552" s="27" t="str">
        <f>VLOOKUP(A552,TableS10!A:J,8,FALSE)</f>
        <v>-</v>
      </c>
      <c r="I552" s="24" t="s">
        <v>10</v>
      </c>
      <c r="J552" s="34" t="str">
        <f>VLOOKUP(A552,TableS10!A:J,10,FALSE)</f>
        <v>-</v>
      </c>
    </row>
    <row r="553" spans="1:10" ht="15.75" customHeight="1" x14ac:dyDescent="0.2">
      <c r="A553" s="24" t="s">
        <v>2828</v>
      </c>
      <c r="B553" s="24">
        <v>18.207925787985801</v>
      </c>
      <c r="C553" s="24">
        <v>7.6227903494661398</v>
      </c>
      <c r="D553" s="24">
        <v>1.5844246858875199</v>
      </c>
      <c r="E553" s="24">
        <v>4.8110777478806002</v>
      </c>
      <c r="F553" s="26">
        <v>1.50118603062773E-6</v>
      </c>
      <c r="G553" s="24">
        <v>5.7739283348938995E-4</v>
      </c>
      <c r="H553" s="27" t="str">
        <f>VLOOKUP(A553,TableS10!A:J,8,FALSE)</f>
        <v>-</v>
      </c>
      <c r="I553" s="24" t="s">
        <v>1936</v>
      </c>
      <c r="J553" s="34" t="str">
        <f>VLOOKUP(A553,TableS10!A:J,10,FALSE)</f>
        <v>-</v>
      </c>
    </row>
    <row r="554" spans="1:10" ht="15.75" customHeight="1" x14ac:dyDescent="0.2">
      <c r="A554" s="24" t="s">
        <v>2829</v>
      </c>
      <c r="B554" s="24">
        <v>24.9873605372252</v>
      </c>
      <c r="C554" s="24">
        <v>5.61114537025811</v>
      </c>
      <c r="D554" s="24">
        <v>1.1715249637512899</v>
      </c>
      <c r="E554" s="24">
        <v>4.7896080270376196</v>
      </c>
      <c r="F554" s="26">
        <v>1.67107417029305E-6</v>
      </c>
      <c r="G554" s="24">
        <v>6.3585290352271705E-4</v>
      </c>
      <c r="H554" s="27" t="str">
        <f>VLOOKUP(A554,TableS10!A:J,8,FALSE)</f>
        <v>-</v>
      </c>
      <c r="I554" s="24" t="s">
        <v>2830</v>
      </c>
      <c r="J554" s="34" t="str">
        <f>VLOOKUP(A554,TableS10!A:J,10,FALSE)</f>
        <v>-</v>
      </c>
    </row>
    <row r="555" spans="1:10" ht="15.75" customHeight="1" x14ac:dyDescent="0.2">
      <c r="A555" s="24" t="s">
        <v>2831</v>
      </c>
      <c r="B555" s="24">
        <v>10.7399584820407</v>
      </c>
      <c r="C555" s="24">
        <v>6.8642412452336101</v>
      </c>
      <c r="D555" s="24">
        <v>1.4346754923957199</v>
      </c>
      <c r="E555" s="24">
        <v>4.7845253380408801</v>
      </c>
      <c r="F555" s="26">
        <v>1.7139187668507901E-6</v>
      </c>
      <c r="G555" s="24">
        <v>6.4735128289711004E-4</v>
      </c>
      <c r="H555" s="27" t="str">
        <f>VLOOKUP(A555,TableS10!A:J,8,FALSE)</f>
        <v>-</v>
      </c>
      <c r="I555" s="24" t="s">
        <v>2832</v>
      </c>
      <c r="J555" s="34" t="str">
        <f>VLOOKUP(A555,TableS10!A:J,10,FALSE)</f>
        <v>-</v>
      </c>
    </row>
    <row r="556" spans="1:10" ht="15.75" customHeight="1" x14ac:dyDescent="0.2">
      <c r="A556" s="24" t="s">
        <v>2833</v>
      </c>
      <c r="B556" s="24">
        <v>10.3307215235165</v>
      </c>
      <c r="C556" s="24">
        <v>6.7978194488336001</v>
      </c>
      <c r="D556" s="24">
        <v>1.4209820315153201</v>
      </c>
      <c r="E556" s="24">
        <v>4.7838883941301402</v>
      </c>
      <c r="F556" s="26">
        <v>1.7193617551354099E-6</v>
      </c>
      <c r="G556" s="24">
        <v>6.4735128289711004E-4</v>
      </c>
      <c r="H556" s="27" t="str">
        <f>VLOOKUP(A556,TableS10!A:J,8,FALSE)</f>
        <v>-</v>
      </c>
      <c r="I556" s="24" t="s">
        <v>10</v>
      </c>
      <c r="J556" s="34" t="str">
        <f>VLOOKUP(A556,TableS10!A:J,10,FALSE)</f>
        <v>-</v>
      </c>
    </row>
    <row r="557" spans="1:10" ht="15.75" customHeight="1" x14ac:dyDescent="0.2">
      <c r="A557" s="24" t="s">
        <v>2834</v>
      </c>
      <c r="B557" s="24">
        <v>9.6485387813411094</v>
      </c>
      <c r="C557" s="24">
        <v>6.7025966201608798</v>
      </c>
      <c r="D557" s="24">
        <v>1.4018948227729999</v>
      </c>
      <c r="E557" s="24">
        <v>4.7810980619094501</v>
      </c>
      <c r="F557" s="26">
        <v>1.7434028878680299E-6</v>
      </c>
      <c r="G557" s="24">
        <v>6.5311995718622196E-4</v>
      </c>
      <c r="H557" s="27" t="str">
        <f>VLOOKUP(A557,TableS10!A:J,8,FALSE)</f>
        <v>-</v>
      </c>
      <c r="I557" s="24" t="s">
        <v>10</v>
      </c>
      <c r="J557" s="34" t="str">
        <f>VLOOKUP(A557,TableS10!A:J,10,FALSE)</f>
        <v>-</v>
      </c>
    </row>
    <row r="558" spans="1:10" ht="15.75" customHeight="1" x14ac:dyDescent="0.2">
      <c r="A558" s="24" t="s">
        <v>2835</v>
      </c>
      <c r="B558" s="24">
        <v>20.064939927997798</v>
      </c>
      <c r="C558" s="24">
        <v>5.8675148595068602</v>
      </c>
      <c r="D558" s="24">
        <v>1.22842388236365</v>
      </c>
      <c r="E558" s="24">
        <v>4.7764578202574297</v>
      </c>
      <c r="F558" s="26">
        <v>1.78409954424689E-6</v>
      </c>
      <c r="G558" s="24">
        <v>6.6664997286790696E-4</v>
      </c>
      <c r="H558" s="27" t="str">
        <f>VLOOKUP(A558,TableS10!A:J,8,FALSE)</f>
        <v>-</v>
      </c>
      <c r="I558" s="24" t="s">
        <v>10</v>
      </c>
      <c r="J558" s="34" t="str">
        <f>VLOOKUP(A558,TableS10!A:J,10,FALSE)</f>
        <v>-</v>
      </c>
    </row>
    <row r="559" spans="1:10" ht="15.75" customHeight="1" x14ac:dyDescent="0.2">
      <c r="A559" s="24" t="s">
        <v>2836</v>
      </c>
      <c r="B559" s="24">
        <v>10.200746202625201</v>
      </c>
      <c r="C559" s="24">
        <v>6.7883139342451297</v>
      </c>
      <c r="D559" s="24">
        <v>1.4245994344886399</v>
      </c>
      <c r="E559" s="24">
        <v>4.7650685307774303</v>
      </c>
      <c r="F559" s="26">
        <v>1.8878947277435501E-6</v>
      </c>
      <c r="G559" s="24">
        <v>7.0290583701987299E-4</v>
      </c>
      <c r="H559" s="27" t="str">
        <f>VLOOKUP(A559,TableS10!A:J,8,FALSE)</f>
        <v>-</v>
      </c>
      <c r="I559" s="24" t="s">
        <v>2837</v>
      </c>
      <c r="J559" s="34" t="str">
        <f>VLOOKUP(A559,TableS10!A:J,10,FALSE)</f>
        <v>-</v>
      </c>
    </row>
    <row r="560" spans="1:10" ht="15.75" customHeight="1" x14ac:dyDescent="0.2">
      <c r="A560" s="24" t="s">
        <v>2838</v>
      </c>
      <c r="B560" s="24">
        <v>21.267250777974599</v>
      </c>
      <c r="C560" s="24">
        <v>3.74072531736714</v>
      </c>
      <c r="D560" s="24">
        <v>0.78612193459512703</v>
      </c>
      <c r="E560" s="24">
        <v>4.75845432209407</v>
      </c>
      <c r="F560" s="26">
        <v>1.9508102517711799E-6</v>
      </c>
      <c r="G560" s="24">
        <v>7.2373666904816604E-4</v>
      </c>
      <c r="H560" s="27" t="str">
        <f>VLOOKUP(A560,TableS10!A:J,8,FALSE)</f>
        <v>-</v>
      </c>
      <c r="I560" s="24" t="s">
        <v>2839</v>
      </c>
      <c r="J560" s="34" t="str">
        <f>VLOOKUP(A560,TableS10!A:J,10,FALSE)</f>
        <v>-</v>
      </c>
    </row>
    <row r="561" spans="1:10" ht="15.75" customHeight="1" x14ac:dyDescent="0.2">
      <c r="A561" s="24" t="s">
        <v>2840</v>
      </c>
      <c r="B561" s="24">
        <v>39.7535589415155</v>
      </c>
      <c r="C561" s="24">
        <v>4.5015221433313801</v>
      </c>
      <c r="D561" s="24">
        <v>0.94852452814327004</v>
      </c>
      <c r="E561" s="24">
        <v>4.7458152211868203</v>
      </c>
      <c r="F561" s="26">
        <v>2.0766822708465999E-6</v>
      </c>
      <c r="G561" s="24">
        <v>7.6361628648142696E-4</v>
      </c>
      <c r="H561" s="27" t="str">
        <f>VLOOKUP(A561,TableS10!A:J,8,FALSE)</f>
        <v>-</v>
      </c>
      <c r="I561" s="24" t="s">
        <v>2841</v>
      </c>
      <c r="J561" s="34" t="str">
        <f>VLOOKUP(A561,TableS10!A:J,10,FALSE)</f>
        <v>-</v>
      </c>
    </row>
    <row r="562" spans="1:10" ht="15.75" customHeight="1" x14ac:dyDescent="0.2">
      <c r="A562" s="24" t="s">
        <v>2842</v>
      </c>
      <c r="B562" s="24">
        <v>14.9261886709577</v>
      </c>
      <c r="C562" s="24">
        <v>6.3561348824632899</v>
      </c>
      <c r="D562" s="24">
        <v>1.3406170186775299</v>
      </c>
      <c r="E562" s="24">
        <v>4.7412010991277604</v>
      </c>
      <c r="F562" s="26">
        <v>2.12454920993198E-6</v>
      </c>
      <c r="G562" s="24">
        <v>7.7709127756800899E-4</v>
      </c>
      <c r="H562" s="27" t="str">
        <f>VLOOKUP(A562,TableS10!A:J,8,FALSE)</f>
        <v>K00451</v>
      </c>
      <c r="I562" s="24" t="s">
        <v>2844</v>
      </c>
      <c r="J562" s="34" t="str">
        <f>VLOOKUP(A562,TableS10!A:J,10,FALSE)</f>
        <v>GO:0003674,GO:0003824,GO:0004411,GO:0005488,GO:0005515,GO:0005575,GO:0005622,GO:0005623,GO:0005737,GO:0005829,GO:0006082,GO:0006520,GO:0006558,GO:0006559,GO:0006570,GO:0006572,GO:0006725,GO:0006807,GO:0008150,GO:0008152,GO:0009056,GO:0009063,GO:0009072,GO:0009074,GO:0009987,GO:0016054,GO:0016491,GO:0016701,GO:0016702,GO:0017144,GO:0019439,GO:0019752,GO:0042737,GO:0042802,GO:0043436,GO:0044237,GO:0044238,GO:0044248,GO:0044281,GO:0044282,GO:0044424,GO:0044444,GO:0044464,GO:0046395,GO:0051213,GO:0055114,GO:0071704,GO:1901360,GO:1901361,GO:1901564,GO:1901565,GO:1901575,GO:1901605,GO:1901606,GO:1902221,GO:1902222</v>
      </c>
    </row>
    <row r="563" spans="1:10" ht="15.75" customHeight="1" x14ac:dyDescent="0.2">
      <c r="A563" s="24" t="s">
        <v>2845</v>
      </c>
      <c r="B563" s="24">
        <v>9.8045477685972902</v>
      </c>
      <c r="C563" s="24">
        <v>6.7262403082374904</v>
      </c>
      <c r="D563" s="24">
        <v>1.41936642102431</v>
      </c>
      <c r="E563" s="24">
        <v>4.7389033646317902</v>
      </c>
      <c r="F563" s="26">
        <v>2.1487794146368601E-6</v>
      </c>
      <c r="G563" s="24">
        <v>7.8457261171756601E-4</v>
      </c>
      <c r="H563" s="27" t="str">
        <f>VLOOKUP(A563,TableS10!A:J,8,FALSE)</f>
        <v>-</v>
      </c>
      <c r="I563" s="24" t="s">
        <v>10</v>
      </c>
      <c r="J563" s="34" t="str">
        <f>VLOOKUP(A563,TableS10!A:J,10,FALSE)</f>
        <v>-</v>
      </c>
    </row>
    <row r="564" spans="1:10" ht="15.75" customHeight="1" x14ac:dyDescent="0.2">
      <c r="A564" s="24" t="s">
        <v>2846</v>
      </c>
      <c r="B564" s="24">
        <v>10.068033276147499</v>
      </c>
      <c r="C564" s="24">
        <v>6.7469337279627304</v>
      </c>
      <c r="D564" s="24">
        <v>1.4275382133277801</v>
      </c>
      <c r="E564" s="24">
        <v>4.7262718888867603</v>
      </c>
      <c r="F564" s="26">
        <v>2.28679414253384E-6</v>
      </c>
      <c r="G564" s="24">
        <v>8.1631478329254395E-4</v>
      </c>
      <c r="H564" s="27" t="str">
        <f>VLOOKUP(A564,TableS10!A:J,8,FALSE)</f>
        <v>K06058</v>
      </c>
      <c r="I564" s="24" t="s">
        <v>2847</v>
      </c>
      <c r="J564" s="34" t="str">
        <f>VLOOKUP(A564,TableS10!A:J,10,FALSE)</f>
        <v>GO:0000209,GO:0000323,GO:0002230,GO:0002682,GO:0002697,GO:0002831,GO:0003674,GO:0003824,GO:0004842,GO:0004857,GO:0005488,GO:0005515,GO:0005575,GO:0005622,GO:0005623,GO:0005634,GO:0005654,GO:0005737,GO:0005764,GO:0005773,GO:0005829,GO:0006139,GO:0006259,GO:0006281,GO:0006282,GO:0006302,GO:0006325,GO:0006355,GO:0006464,GO:0006508,GO:0006511,GO:0006513,GO:0006725,GO:0006807,GO:0006810,GO:0006950,GO:0006974,GO:0006996,GO:0007034,GO:0007041,GO:0008047,GO:0008150,GO:0008152,GO:0008333,GO:0009056,GO:0009057,GO:0009889,GO:0009891,GO:0009892,GO:0009893,GO:0009894,GO:0009896,GO:0009987,GO:0010390,GO:0010468,GO:0010556,GO:0010557,GO:0010604,GO:0010605,GO:0010628,GO:0016043,GO:0016192,GO:0016567,GO:0016569,GO:0016570,GO:0016574,GO:0016740,GO:0019219,GO:0019222,GO:0019538,GO:0019787,GO:0019899,GO:0019941,GO:0030163,GO:0030234,GO:0031323,GO:0031324,GO:0031325,GO:0031326,GO:0031328,GO:0031329,GO:0031331,GO:0031347,GO:0031396,GO:0031397,GO:0031399,GO:0031400,GO:0031974,GO:0031981,GO:0032092,GO:0032101,GO:0032268,GO:0032269,GO:0032446,GO:0032879,GO:0032880,GO:0032991,GO:0033522,GO:0033523,GO:0033554,GO:0034641,GO:0035561,GO:0035563,GO:0036211,GO:0042393,GO:0043085,GO:0043086,GO:0043170,GO:0043226,GO:0043227,GO:0043229,GO:0043231,GO:0043233,GO:0043393,GO:0043412,GO:0043632,GO:0043900,GO:0044092,GO:0044093,GO:0044237,GO:0044238,GO:0044248,GO:0044257,GO:0044260,GO:0044265,GO:0044267,GO:0044389,GO:0044422,GO:0044424,GO:0044428,GO:0044444,GO:0044446,GO:0044464,GO:0045739,GO:0045893,GO:0045935,GO:0046483,GO:0046907,GO:0048518,GO:0048519,GO:0048522,GO:0048523,GO:0048583,GO:0048584,GO:0050688,GO:0050691,GO:0050789,GO:0050790,GO:0050794,GO:0050896,GO:0051052,GO:0051054,GO:0051098,GO:0051099,GO:0051171,GO:0051172,GO:0051173,GO:0051179,GO:0051234,GO:0051246,GO:0051248,GO:0051252,GO:0051254,GO:0051276,GO:0051338,GO:0051340,GO:0051347,GO:0051348,GO:0051352,GO:0051438,GO:0051444,GO:0051603,GO:0051641,GO:0051649,GO:0051716,GO:0051865,GO:0060255,GO:0060341,GO:0065007,GO:0065009,GO:0070013,GO:0070647,GO:0070936,GO:0071704,GO:0071840,GO:0080090,GO:0080134,GO:0080135,GO:0090304,GO:0097677,GO:0098772,GO:0140096,GO:1900180,GO:1900182,GO:1901360,GO:1901564,GO:1901565,GO:1901575,GO:1901664,GO:1901666,GO:1902680,GO:1902965,GO:1902966,GO:1903320,GO:1903321,GO:1903506,GO:1903508,GO:1903827,GO:1903829,GO:1905666,GO:1905668,GO:2000112,GO:2000644,GO:2000646,GO:2000779,GO:2000781,GO:2001020,GO:2001022,GO:2001032,GO:2001034,GO:2001141</v>
      </c>
    </row>
    <row r="565" spans="1:10" ht="15.75" customHeight="1" x14ac:dyDescent="0.2">
      <c r="A565" s="24" t="s">
        <v>2848</v>
      </c>
      <c r="B565" s="24">
        <v>10.1002645997137</v>
      </c>
      <c r="C565" s="24">
        <v>6.7666980015434799</v>
      </c>
      <c r="D565" s="24">
        <v>1.4330883311720499</v>
      </c>
      <c r="E565" s="24">
        <v>4.7217591926167799</v>
      </c>
      <c r="F565" s="26">
        <v>2.3381341692247698E-6</v>
      </c>
      <c r="G565" s="24">
        <v>8.2894437280112902E-4</v>
      </c>
      <c r="H565" s="27" t="str">
        <f>VLOOKUP(A565,TableS10!A:J,8,FALSE)</f>
        <v>K00451</v>
      </c>
      <c r="I565" s="24" t="s">
        <v>2849</v>
      </c>
      <c r="J565" s="34" t="str">
        <f>VLOOKUP(A565,TableS10!A:J,10,FALSE)</f>
        <v>-</v>
      </c>
    </row>
    <row r="566" spans="1:10" ht="15.75" customHeight="1" x14ac:dyDescent="0.2">
      <c r="A566" s="24" t="s">
        <v>2850</v>
      </c>
      <c r="B566" s="24">
        <v>181.542473945296</v>
      </c>
      <c r="C566" s="24">
        <v>3.3482764903312301</v>
      </c>
      <c r="D566" s="24">
        <v>0.70945019282986899</v>
      </c>
      <c r="E566" s="24">
        <v>4.71953707838962</v>
      </c>
      <c r="F566" s="26">
        <v>2.3638195829657402E-6</v>
      </c>
      <c r="G566" s="24">
        <v>8.3662300047466695E-4</v>
      </c>
      <c r="H566" s="27" t="str">
        <f>VLOOKUP(A566,TableS10!A:J,8,FALSE)</f>
        <v>-</v>
      </c>
      <c r="I566" s="24" t="s">
        <v>10</v>
      </c>
      <c r="J566" s="34" t="str">
        <f>VLOOKUP(A566,TableS10!A:J,10,FALSE)</f>
        <v>-</v>
      </c>
    </row>
    <row r="567" spans="1:10" ht="15.75" customHeight="1" x14ac:dyDescent="0.2">
      <c r="A567" s="24" t="s">
        <v>2851</v>
      </c>
      <c r="B567" s="24">
        <v>10.763112443834</v>
      </c>
      <c r="C567" s="24">
        <v>6.8555266710229903</v>
      </c>
      <c r="D567" s="24">
        <v>1.4541128881016201</v>
      </c>
      <c r="E567" s="24">
        <v>4.7145766515920604</v>
      </c>
      <c r="F567" s="26">
        <v>2.4221381224007301E-6</v>
      </c>
      <c r="G567" s="24">
        <v>8.5290462331777297E-4</v>
      </c>
      <c r="H567" s="27" t="str">
        <f>VLOOKUP(A567,TableS10!A:J,8,FALSE)</f>
        <v>-</v>
      </c>
      <c r="I567" s="24" t="s">
        <v>10</v>
      </c>
      <c r="J567" s="34" t="str">
        <f>VLOOKUP(A567,TableS10!A:J,10,FALSE)</f>
        <v>-</v>
      </c>
    </row>
    <row r="568" spans="1:10" ht="15.75" customHeight="1" x14ac:dyDescent="0.2">
      <c r="A568" s="24" t="s">
        <v>2852</v>
      </c>
      <c r="B568" s="24">
        <v>11.159168778876699</v>
      </c>
      <c r="C568" s="24">
        <v>6.9168772748824097</v>
      </c>
      <c r="D568" s="24">
        <v>1.4676380852075399</v>
      </c>
      <c r="E568" s="24">
        <v>4.7129311678391801</v>
      </c>
      <c r="F568" s="26">
        <v>2.4417869575034201E-6</v>
      </c>
      <c r="G568" s="24">
        <v>8.5836868213719198E-4</v>
      </c>
      <c r="H568" s="27" t="str">
        <f>VLOOKUP(A568,TableS10!A:J,8,FALSE)</f>
        <v>-</v>
      </c>
      <c r="I568" s="24" t="s">
        <v>2853</v>
      </c>
      <c r="J568" s="34" t="str">
        <f>VLOOKUP(A568,TableS10!A:J,10,FALSE)</f>
        <v>-</v>
      </c>
    </row>
    <row r="569" spans="1:10" ht="15.75" customHeight="1" x14ac:dyDescent="0.2">
      <c r="A569" s="24" t="s">
        <v>2854</v>
      </c>
      <c r="B569" s="24">
        <v>10.597130118266</v>
      </c>
      <c r="C569" s="24">
        <v>6.8428386114586397</v>
      </c>
      <c r="D569" s="24">
        <v>1.45821820116441</v>
      </c>
      <c r="E569" s="24">
        <v>4.6926026612440497</v>
      </c>
      <c r="F569" s="26">
        <v>2.69751092262926E-6</v>
      </c>
      <c r="G569" s="24">
        <v>9.3559946451045805E-4</v>
      </c>
      <c r="H569" s="27" t="str">
        <f>VLOOKUP(A569,TableS10!A:J,8,FALSE)</f>
        <v>-</v>
      </c>
      <c r="I569" s="24" t="s">
        <v>2855</v>
      </c>
      <c r="J569" s="34" t="str">
        <f>VLOOKUP(A569,TableS10!A:J,10,FALSE)</f>
        <v>-</v>
      </c>
    </row>
    <row r="570" spans="1:10" ht="15.75" customHeight="1" x14ac:dyDescent="0.2">
      <c r="A570" s="24" t="s">
        <v>2856</v>
      </c>
      <c r="B570" s="24">
        <v>65.615427923363598</v>
      </c>
      <c r="C570" s="24">
        <v>2.6922517915465898</v>
      </c>
      <c r="D570" s="24">
        <v>0.57449007899211801</v>
      </c>
      <c r="E570" s="24">
        <v>4.6863329585601603</v>
      </c>
      <c r="F570" s="26">
        <v>2.7814363261197298E-6</v>
      </c>
      <c r="G570" s="24">
        <v>9.6149764620520899E-4</v>
      </c>
      <c r="H570" s="27" t="str">
        <f>VLOOKUP(A570,TableS10!A:J,8,FALSE)</f>
        <v>-</v>
      </c>
      <c r="I570" s="24" t="s">
        <v>10</v>
      </c>
      <c r="J570" s="34" t="str">
        <f>VLOOKUP(A570,TableS10!A:J,10,FALSE)</f>
        <v>-</v>
      </c>
    </row>
    <row r="571" spans="1:10" ht="15.75" customHeight="1" x14ac:dyDescent="0.2">
      <c r="A571" s="2"/>
      <c r="B571" s="2"/>
      <c r="C571" s="2"/>
      <c r="D571" s="2"/>
      <c r="E571" s="2"/>
      <c r="F571" s="2"/>
      <c r="G571" s="2"/>
      <c r="H571" s="2"/>
      <c r="I571" s="2"/>
    </row>
    <row r="572" spans="1:10" ht="15.75" customHeight="1" x14ac:dyDescent="0.2">
      <c r="A572" s="2"/>
      <c r="B572" s="2"/>
      <c r="C572" s="2"/>
      <c r="D572" s="2"/>
      <c r="E572" s="2"/>
      <c r="F572" s="2"/>
      <c r="G572" s="2"/>
      <c r="H572" s="2"/>
      <c r="I572" s="2"/>
    </row>
    <row r="573" spans="1:10" ht="15.75" customHeight="1" x14ac:dyDescent="0.2">
      <c r="A573" s="2"/>
      <c r="B573" s="2"/>
      <c r="C573" s="2"/>
      <c r="D573" s="2"/>
      <c r="E573" s="2"/>
      <c r="F573" s="2"/>
      <c r="G573" s="2"/>
      <c r="H573" s="2"/>
      <c r="I573" s="2"/>
    </row>
    <row r="574" spans="1:10" ht="15.75" customHeight="1" x14ac:dyDescent="0.2">
      <c r="A574" s="2"/>
      <c r="B574" s="2"/>
      <c r="C574" s="2"/>
      <c r="D574" s="2"/>
      <c r="E574" s="2"/>
      <c r="F574" s="2"/>
      <c r="G574" s="2"/>
      <c r="H574" s="2"/>
      <c r="I574" s="2"/>
    </row>
    <row r="575" spans="1:10" ht="15.75" customHeight="1" x14ac:dyDescent="0.2">
      <c r="A575" s="2"/>
      <c r="B575" s="2"/>
      <c r="C575" s="2"/>
      <c r="D575" s="2"/>
      <c r="E575" s="2"/>
      <c r="F575" s="2"/>
      <c r="G575" s="2"/>
      <c r="H575" s="2"/>
      <c r="I575" s="2"/>
    </row>
    <row r="576" spans="1:10" ht="15.75" customHeight="1" x14ac:dyDescent="0.2">
      <c r="A576" s="2"/>
      <c r="B576" s="2"/>
      <c r="C576" s="2"/>
      <c r="D576" s="2"/>
      <c r="E576" s="2"/>
      <c r="F576" s="2"/>
      <c r="G576" s="2"/>
      <c r="H576" s="2"/>
      <c r="I576" s="2"/>
    </row>
    <row r="577" spans="1:9" ht="15.75" customHeight="1" x14ac:dyDescent="0.2">
      <c r="A577" s="2"/>
      <c r="B577" s="2"/>
      <c r="C577" s="2"/>
      <c r="D577" s="2"/>
      <c r="E577" s="2"/>
      <c r="F577" s="2"/>
      <c r="G577" s="2"/>
      <c r="H577" s="2"/>
      <c r="I577" s="2"/>
    </row>
    <row r="578" spans="1:9" ht="15.75" customHeight="1" x14ac:dyDescent="0.2">
      <c r="A578" s="2"/>
      <c r="B578" s="2"/>
      <c r="C578" s="2"/>
      <c r="D578" s="2"/>
      <c r="E578" s="2"/>
      <c r="F578" s="2"/>
      <c r="G578" s="2"/>
      <c r="H578" s="2"/>
      <c r="I578" s="2"/>
    </row>
    <row r="579" spans="1:9" ht="15.75" customHeight="1" x14ac:dyDescent="0.2">
      <c r="A579" s="2"/>
      <c r="B579" s="2"/>
      <c r="C579" s="2"/>
      <c r="D579" s="2"/>
      <c r="E579" s="2"/>
      <c r="F579" s="2"/>
      <c r="G579" s="2"/>
      <c r="H579" s="2"/>
      <c r="I579" s="2"/>
    </row>
    <row r="580" spans="1:9" ht="15.75" customHeight="1" x14ac:dyDescent="0.2">
      <c r="A580" s="2"/>
      <c r="B580" s="2"/>
      <c r="C580" s="2"/>
      <c r="D580" s="2"/>
      <c r="E580" s="2"/>
      <c r="F580" s="2"/>
      <c r="G580" s="2"/>
      <c r="H580" s="2"/>
      <c r="I580" s="2"/>
    </row>
    <row r="581" spans="1:9" ht="15.75" customHeight="1" x14ac:dyDescent="0.2">
      <c r="A581" s="2"/>
      <c r="B581" s="2"/>
      <c r="C581" s="2"/>
      <c r="D581" s="2"/>
      <c r="E581" s="2"/>
      <c r="F581" s="2"/>
      <c r="G581" s="2"/>
      <c r="H581" s="2"/>
      <c r="I581" s="2"/>
    </row>
    <row r="582" spans="1:9" ht="15.75" customHeight="1" x14ac:dyDescent="0.2">
      <c r="A582" s="2"/>
      <c r="B582" s="2"/>
      <c r="C582" s="2"/>
      <c r="D582" s="2"/>
      <c r="E582" s="2"/>
      <c r="F582" s="2"/>
      <c r="G582" s="2"/>
      <c r="H582" s="2"/>
      <c r="I582" s="2"/>
    </row>
    <row r="583" spans="1:9" ht="15.75" customHeight="1" x14ac:dyDescent="0.2">
      <c r="A583" s="2"/>
      <c r="B583" s="2"/>
      <c r="C583" s="2"/>
      <c r="D583" s="2"/>
      <c r="E583" s="2"/>
      <c r="F583" s="2"/>
      <c r="G583" s="2"/>
      <c r="H583" s="2"/>
      <c r="I583" s="2"/>
    </row>
    <row r="584" spans="1:9" ht="15.75" customHeight="1" x14ac:dyDescent="0.2">
      <c r="A584" s="2"/>
      <c r="B584" s="2"/>
      <c r="C584" s="2"/>
      <c r="D584" s="2"/>
      <c r="E584" s="2"/>
      <c r="F584" s="2"/>
      <c r="G584" s="2"/>
      <c r="H584" s="2"/>
      <c r="I584" s="2"/>
    </row>
    <row r="585" spans="1:9" ht="15.75" customHeight="1" x14ac:dyDescent="0.2">
      <c r="A585" s="2"/>
      <c r="B585" s="2"/>
      <c r="C585" s="2"/>
      <c r="D585" s="2"/>
      <c r="E585" s="2"/>
      <c r="F585" s="2"/>
      <c r="G585" s="2"/>
      <c r="H585" s="2"/>
      <c r="I585" s="2"/>
    </row>
    <row r="586" spans="1:9" ht="15.75" customHeight="1" x14ac:dyDescent="0.2">
      <c r="A586" s="2"/>
      <c r="B586" s="2"/>
      <c r="C586" s="2"/>
      <c r="D586" s="2"/>
      <c r="E586" s="2"/>
      <c r="F586" s="2"/>
      <c r="G586" s="2"/>
      <c r="H586" s="2"/>
      <c r="I586" s="2"/>
    </row>
    <row r="587" spans="1:9" ht="15.75" customHeight="1" x14ac:dyDescent="0.2">
      <c r="A587" s="2"/>
      <c r="B587" s="2"/>
      <c r="C587" s="2"/>
      <c r="D587" s="2"/>
      <c r="E587" s="2"/>
      <c r="F587" s="2"/>
      <c r="G587" s="2"/>
      <c r="H587" s="2"/>
      <c r="I587" s="2"/>
    </row>
    <row r="588" spans="1:9" ht="15.75" customHeight="1" x14ac:dyDescent="0.2">
      <c r="A588" s="2"/>
      <c r="B588" s="2"/>
      <c r="C588" s="2"/>
      <c r="D588" s="2"/>
      <c r="E588" s="2"/>
      <c r="F588" s="2"/>
      <c r="G588" s="2"/>
      <c r="H588" s="2"/>
      <c r="I588" s="2"/>
    </row>
    <row r="589" spans="1:9" ht="15.75" customHeight="1" x14ac:dyDescent="0.2">
      <c r="A589" s="2"/>
      <c r="B589" s="2"/>
      <c r="C589" s="2"/>
      <c r="D589" s="2"/>
      <c r="E589" s="2"/>
      <c r="F589" s="2"/>
      <c r="G589" s="2"/>
      <c r="H589" s="2"/>
      <c r="I589" s="2"/>
    </row>
    <row r="590" spans="1:9" ht="15.75" customHeight="1" x14ac:dyDescent="0.2">
      <c r="A590" s="2"/>
      <c r="B590" s="2"/>
      <c r="C590" s="2"/>
      <c r="D590" s="2"/>
      <c r="E590" s="2"/>
      <c r="F590" s="2"/>
      <c r="G590" s="2"/>
      <c r="H590" s="2"/>
      <c r="I590" s="2"/>
    </row>
    <row r="591" spans="1:9" ht="15.75" customHeight="1" x14ac:dyDescent="0.2">
      <c r="A591" s="2"/>
      <c r="B591" s="2"/>
      <c r="C591" s="2"/>
      <c r="D591" s="2"/>
      <c r="E591" s="2"/>
      <c r="F591" s="2"/>
      <c r="G591" s="2"/>
      <c r="H591" s="2"/>
      <c r="I591" s="2"/>
    </row>
    <row r="592" spans="1:9" ht="15.75" customHeight="1" x14ac:dyDescent="0.2">
      <c r="A592" s="2"/>
      <c r="B592" s="2"/>
      <c r="C592" s="2"/>
      <c r="D592" s="2"/>
      <c r="E592" s="2"/>
      <c r="F592" s="2"/>
      <c r="G592" s="2"/>
      <c r="H592" s="2"/>
      <c r="I592" s="2"/>
    </row>
    <row r="593" spans="1:9" ht="15.75" customHeight="1" x14ac:dyDescent="0.2">
      <c r="A593" s="2"/>
      <c r="B593" s="2"/>
      <c r="C593" s="2"/>
      <c r="D593" s="2"/>
      <c r="E593" s="2"/>
      <c r="F593" s="2"/>
      <c r="G593" s="2"/>
      <c r="H593" s="2"/>
      <c r="I593" s="2"/>
    </row>
    <row r="594" spans="1:9" ht="15.75" customHeight="1" x14ac:dyDescent="0.2">
      <c r="A594" s="2"/>
      <c r="B594" s="2"/>
      <c r="C594" s="2"/>
      <c r="D594" s="2"/>
      <c r="E594" s="2"/>
      <c r="F594" s="2"/>
      <c r="G594" s="2"/>
      <c r="H594" s="2"/>
      <c r="I594" s="2"/>
    </row>
    <row r="595" spans="1:9" ht="15.75" customHeight="1" x14ac:dyDescent="0.2">
      <c r="A595" s="2"/>
      <c r="B595" s="2"/>
      <c r="C595" s="2"/>
      <c r="D595" s="2"/>
      <c r="E595" s="2"/>
      <c r="F595" s="2"/>
      <c r="G595" s="2"/>
      <c r="H595" s="2"/>
      <c r="I595" s="2"/>
    </row>
    <row r="596" spans="1:9" ht="15.75" customHeight="1" x14ac:dyDescent="0.2">
      <c r="A596" s="2"/>
      <c r="B596" s="2"/>
      <c r="C596" s="2"/>
      <c r="D596" s="2"/>
      <c r="E596" s="2"/>
      <c r="F596" s="2"/>
      <c r="G596" s="2"/>
      <c r="H596" s="2"/>
      <c r="I596" s="2"/>
    </row>
    <row r="597" spans="1:9" ht="15.75" customHeight="1" x14ac:dyDescent="0.2">
      <c r="A597" s="2"/>
      <c r="B597" s="2"/>
      <c r="C597" s="2"/>
      <c r="D597" s="2"/>
      <c r="E597" s="2"/>
      <c r="F597" s="2"/>
      <c r="G597" s="2"/>
      <c r="H597" s="2"/>
      <c r="I597" s="2"/>
    </row>
    <row r="598" spans="1:9" ht="15.75" customHeight="1" x14ac:dyDescent="0.2">
      <c r="A598" s="2"/>
      <c r="B598" s="2"/>
      <c r="C598" s="2"/>
      <c r="D598" s="2"/>
      <c r="E598" s="2"/>
      <c r="F598" s="2"/>
      <c r="G598" s="2"/>
      <c r="H598" s="2"/>
      <c r="I598" s="2"/>
    </row>
    <row r="599" spans="1:9" ht="15.75" customHeight="1" x14ac:dyDescent="0.2">
      <c r="A599" s="2"/>
      <c r="B599" s="2"/>
      <c r="C599" s="2"/>
      <c r="D599" s="2"/>
      <c r="E599" s="2"/>
      <c r="F599" s="2"/>
      <c r="G599" s="2"/>
      <c r="H599" s="2"/>
      <c r="I599" s="2"/>
    </row>
    <row r="600" spans="1:9" ht="15.75" customHeight="1" x14ac:dyDescent="0.2">
      <c r="A600" s="2"/>
      <c r="B600" s="2"/>
      <c r="C600" s="2"/>
      <c r="D600" s="2"/>
      <c r="E600" s="2"/>
      <c r="F600" s="2"/>
      <c r="G600" s="2"/>
      <c r="H600" s="2"/>
      <c r="I600" s="2"/>
    </row>
    <row r="601" spans="1:9" ht="15.75" customHeight="1" x14ac:dyDescent="0.2">
      <c r="A601" s="2"/>
      <c r="B601" s="2"/>
      <c r="C601" s="2"/>
      <c r="D601" s="2"/>
      <c r="E601" s="2"/>
      <c r="F601" s="2"/>
      <c r="G601" s="2"/>
      <c r="H601" s="2"/>
      <c r="I601" s="2"/>
    </row>
    <row r="602" spans="1:9" ht="15.75" customHeight="1" x14ac:dyDescent="0.2">
      <c r="A602" s="2"/>
      <c r="B602" s="2"/>
      <c r="C602" s="2"/>
      <c r="D602" s="2"/>
      <c r="E602" s="2"/>
      <c r="F602" s="2"/>
      <c r="G602" s="2"/>
      <c r="H602" s="2"/>
      <c r="I602" s="2"/>
    </row>
    <row r="603" spans="1:9" ht="15.75" customHeight="1" x14ac:dyDescent="0.2">
      <c r="A603" s="2"/>
      <c r="B603" s="2"/>
      <c r="C603" s="2"/>
      <c r="D603" s="2"/>
      <c r="E603" s="2"/>
      <c r="F603" s="2"/>
      <c r="G603" s="2"/>
      <c r="H603" s="2"/>
      <c r="I603" s="2"/>
    </row>
    <row r="604" spans="1:9" ht="15.75" customHeight="1" x14ac:dyDescent="0.2">
      <c r="A604" s="2"/>
      <c r="B604" s="2"/>
      <c r="C604" s="2"/>
      <c r="D604" s="2"/>
      <c r="E604" s="2"/>
      <c r="F604" s="2"/>
      <c r="G604" s="2"/>
      <c r="H604" s="2"/>
      <c r="I604" s="2"/>
    </row>
    <row r="605" spans="1:9" ht="15.75" customHeight="1" x14ac:dyDescent="0.2">
      <c r="A605" s="2"/>
      <c r="B605" s="2"/>
      <c r="C605" s="2"/>
      <c r="D605" s="2"/>
      <c r="E605" s="2"/>
      <c r="F605" s="2"/>
      <c r="G605" s="2"/>
      <c r="H605" s="2"/>
      <c r="I605" s="2"/>
    </row>
    <row r="606" spans="1:9" ht="15.75" customHeight="1" x14ac:dyDescent="0.2">
      <c r="A606" s="2"/>
      <c r="B606" s="2"/>
      <c r="C606" s="2"/>
      <c r="D606" s="2"/>
      <c r="E606" s="2"/>
      <c r="F606" s="2"/>
      <c r="G606" s="2"/>
      <c r="H606" s="2"/>
      <c r="I606" s="2"/>
    </row>
    <row r="607" spans="1:9" ht="15.75" customHeight="1" x14ac:dyDescent="0.2">
      <c r="A607" s="2"/>
      <c r="B607" s="2"/>
      <c r="C607" s="2"/>
      <c r="D607" s="2"/>
      <c r="E607" s="2"/>
      <c r="F607" s="2"/>
      <c r="G607" s="2"/>
      <c r="H607" s="2"/>
      <c r="I607" s="2"/>
    </row>
    <row r="608" spans="1:9" ht="15.75" customHeight="1" x14ac:dyDescent="0.2">
      <c r="A608" s="2"/>
      <c r="B608" s="2"/>
      <c r="C608" s="2"/>
      <c r="D608" s="2"/>
      <c r="E608" s="2"/>
      <c r="F608" s="2"/>
      <c r="G608" s="2"/>
      <c r="H608" s="2"/>
      <c r="I608" s="2"/>
    </row>
    <row r="609" spans="1:9" ht="15.75" customHeight="1" x14ac:dyDescent="0.2">
      <c r="A609" s="2"/>
      <c r="B609" s="2"/>
      <c r="C609" s="2"/>
      <c r="D609" s="2"/>
      <c r="E609" s="2"/>
      <c r="F609" s="2"/>
      <c r="G609" s="2"/>
      <c r="H609" s="2"/>
      <c r="I609" s="2"/>
    </row>
    <row r="610" spans="1:9" ht="15.75" customHeight="1" x14ac:dyDescent="0.2">
      <c r="A610" s="2"/>
      <c r="B610" s="2"/>
      <c r="C610" s="2"/>
      <c r="D610" s="2"/>
      <c r="E610" s="2"/>
      <c r="F610" s="2"/>
      <c r="G610" s="2"/>
      <c r="H610" s="2"/>
      <c r="I610" s="2"/>
    </row>
    <row r="611" spans="1:9" ht="15.75" customHeight="1" x14ac:dyDescent="0.2">
      <c r="A611" s="2"/>
      <c r="B611" s="2"/>
      <c r="C611" s="2"/>
      <c r="D611" s="2"/>
      <c r="E611" s="2"/>
      <c r="F611" s="2"/>
      <c r="G611" s="2"/>
      <c r="H611" s="2"/>
      <c r="I611" s="2"/>
    </row>
    <row r="612" spans="1:9" ht="15.75" customHeight="1" x14ac:dyDescent="0.2">
      <c r="A612" s="2"/>
      <c r="B612" s="2"/>
      <c r="C612" s="2"/>
      <c r="D612" s="2"/>
      <c r="E612" s="2"/>
      <c r="F612" s="2"/>
      <c r="G612" s="2"/>
      <c r="H612" s="2"/>
      <c r="I612" s="2"/>
    </row>
    <row r="613" spans="1:9" ht="15.75" customHeight="1" x14ac:dyDescent="0.2">
      <c r="A613" s="2"/>
      <c r="B613" s="2"/>
      <c r="C613" s="2"/>
      <c r="D613" s="2"/>
      <c r="E613" s="2"/>
      <c r="F613" s="2"/>
      <c r="G613" s="2"/>
      <c r="H613" s="2"/>
      <c r="I613" s="2"/>
    </row>
    <row r="614" spans="1:9" ht="15.75" customHeight="1" x14ac:dyDescent="0.2">
      <c r="A614" s="2"/>
      <c r="B614" s="2"/>
      <c r="C614" s="2"/>
      <c r="D614" s="2"/>
      <c r="E614" s="2"/>
      <c r="F614" s="2"/>
      <c r="G614" s="2"/>
      <c r="H614" s="2"/>
      <c r="I614" s="2"/>
    </row>
    <row r="615" spans="1:9" ht="15.75" customHeight="1" x14ac:dyDescent="0.2">
      <c r="A615" s="2"/>
      <c r="B615" s="2"/>
      <c r="C615" s="2"/>
      <c r="D615" s="2"/>
      <c r="E615" s="2"/>
      <c r="F615" s="2"/>
      <c r="G615" s="2"/>
      <c r="H615" s="2"/>
      <c r="I615" s="2"/>
    </row>
    <row r="616" spans="1:9" ht="15.75" customHeight="1" x14ac:dyDescent="0.2">
      <c r="A616" s="2"/>
      <c r="B616" s="2"/>
      <c r="C616" s="2"/>
      <c r="D616" s="2"/>
      <c r="E616" s="2"/>
      <c r="F616" s="2"/>
      <c r="G616" s="2"/>
      <c r="H616" s="2"/>
      <c r="I616" s="2"/>
    </row>
    <row r="617" spans="1:9" ht="15.75" customHeight="1" x14ac:dyDescent="0.2">
      <c r="A617" s="2"/>
      <c r="B617" s="2"/>
      <c r="C617" s="2"/>
      <c r="D617" s="2"/>
      <c r="E617" s="2"/>
      <c r="F617" s="2"/>
      <c r="G617" s="2"/>
      <c r="H617" s="2"/>
      <c r="I617" s="2"/>
    </row>
    <row r="618" spans="1:9" ht="15.75" customHeight="1" x14ac:dyDescent="0.2">
      <c r="A618" s="2"/>
      <c r="B618" s="2"/>
      <c r="C618" s="2"/>
      <c r="D618" s="2"/>
      <c r="E618" s="2"/>
      <c r="F618" s="2"/>
      <c r="G618" s="2"/>
      <c r="H618" s="2"/>
      <c r="I618" s="2"/>
    </row>
    <row r="619" spans="1:9" ht="15.75" customHeight="1" x14ac:dyDescent="0.2">
      <c r="A619" s="2"/>
      <c r="B619" s="2"/>
      <c r="C619" s="2"/>
      <c r="D619" s="2"/>
      <c r="E619" s="2"/>
      <c r="F619" s="2"/>
      <c r="G619" s="2"/>
      <c r="H619" s="2"/>
      <c r="I619" s="2"/>
    </row>
    <row r="620" spans="1:9" ht="15.75" customHeight="1" x14ac:dyDescent="0.2">
      <c r="A620" s="2"/>
      <c r="B620" s="2"/>
      <c r="C620" s="2"/>
      <c r="D620" s="2"/>
      <c r="E620" s="2"/>
      <c r="F620" s="2"/>
      <c r="G620" s="2"/>
      <c r="H620" s="2"/>
      <c r="I620" s="2"/>
    </row>
    <row r="621" spans="1:9" ht="15.75" customHeight="1" x14ac:dyDescent="0.2">
      <c r="A621" s="2"/>
      <c r="B621" s="2"/>
      <c r="C621" s="2"/>
      <c r="D621" s="2"/>
      <c r="E621" s="2"/>
      <c r="F621" s="2"/>
      <c r="G621" s="2"/>
      <c r="H621" s="2"/>
      <c r="I621" s="2"/>
    </row>
    <row r="622" spans="1:9" ht="15.75" customHeight="1" x14ac:dyDescent="0.2">
      <c r="A622" s="2"/>
      <c r="B622" s="2"/>
      <c r="C622" s="2"/>
      <c r="D622" s="2"/>
      <c r="E622" s="2"/>
      <c r="F622" s="2"/>
      <c r="G622" s="2"/>
      <c r="H622" s="2"/>
      <c r="I622" s="2"/>
    </row>
    <row r="623" spans="1:9" ht="15.75" customHeight="1" x14ac:dyDescent="0.2">
      <c r="A623" s="2"/>
      <c r="B623" s="2"/>
      <c r="C623" s="2"/>
      <c r="D623" s="2"/>
      <c r="E623" s="2"/>
      <c r="F623" s="2"/>
      <c r="G623" s="2"/>
      <c r="H623" s="2"/>
      <c r="I623" s="2"/>
    </row>
    <row r="624" spans="1:9" ht="15.75" customHeight="1" x14ac:dyDescent="0.2">
      <c r="A624" s="2"/>
      <c r="B624" s="2"/>
      <c r="C624" s="2"/>
      <c r="D624" s="2"/>
      <c r="E624" s="2"/>
      <c r="F624" s="2"/>
      <c r="G624" s="2"/>
      <c r="H624" s="2"/>
      <c r="I624" s="2"/>
    </row>
    <row r="625" spans="1:9" ht="15.75" customHeight="1" x14ac:dyDescent="0.2">
      <c r="A625" s="2"/>
      <c r="B625" s="2"/>
      <c r="C625" s="2"/>
      <c r="D625" s="2"/>
      <c r="E625" s="2"/>
      <c r="F625" s="2"/>
      <c r="G625" s="2"/>
      <c r="H625" s="2"/>
      <c r="I625" s="2"/>
    </row>
    <row r="626" spans="1:9" ht="15.75" customHeight="1" x14ac:dyDescent="0.2">
      <c r="A626" s="2"/>
      <c r="B626" s="2"/>
      <c r="C626" s="2"/>
      <c r="D626" s="2"/>
      <c r="E626" s="2"/>
      <c r="F626" s="2"/>
      <c r="G626" s="2"/>
      <c r="H626" s="2"/>
      <c r="I626" s="2"/>
    </row>
    <row r="627" spans="1:9" ht="15.75" customHeight="1" x14ac:dyDescent="0.2">
      <c r="A627" s="2"/>
      <c r="B627" s="2"/>
      <c r="C627" s="2"/>
      <c r="D627" s="2"/>
      <c r="E627" s="2"/>
      <c r="F627" s="2"/>
      <c r="G627" s="2"/>
      <c r="H627" s="2"/>
      <c r="I627" s="2"/>
    </row>
    <row r="628" spans="1:9" ht="15.75" customHeight="1" x14ac:dyDescent="0.2">
      <c r="A628" s="2"/>
      <c r="B628" s="2"/>
      <c r="C628" s="2"/>
      <c r="D628" s="2"/>
      <c r="E628" s="2"/>
      <c r="F628" s="2"/>
      <c r="G628" s="2"/>
      <c r="H628" s="2"/>
      <c r="I628" s="2"/>
    </row>
    <row r="629" spans="1:9" ht="15.75" customHeight="1" x14ac:dyDescent="0.2">
      <c r="A629" s="2"/>
      <c r="B629" s="2"/>
      <c r="C629" s="2"/>
      <c r="D629" s="2"/>
      <c r="E629" s="2"/>
      <c r="F629" s="2"/>
      <c r="G629" s="2"/>
      <c r="H629" s="2"/>
      <c r="I629" s="2"/>
    </row>
    <row r="630" spans="1:9" ht="15.75" customHeight="1" x14ac:dyDescent="0.2">
      <c r="A630" s="2"/>
      <c r="B630" s="2"/>
      <c r="C630" s="2"/>
      <c r="D630" s="2"/>
      <c r="E630" s="2"/>
      <c r="F630" s="2"/>
      <c r="G630" s="2"/>
      <c r="H630" s="2"/>
      <c r="I630" s="2"/>
    </row>
    <row r="631" spans="1:9" ht="15.75" customHeight="1" x14ac:dyDescent="0.2">
      <c r="A631" s="2"/>
      <c r="B631" s="2"/>
      <c r="C631" s="2"/>
      <c r="D631" s="2"/>
      <c r="E631" s="2"/>
      <c r="F631" s="2"/>
      <c r="G631" s="2"/>
      <c r="H631" s="2"/>
      <c r="I631" s="2"/>
    </row>
    <row r="632" spans="1:9" ht="15.75" customHeight="1" x14ac:dyDescent="0.2">
      <c r="A632" s="2"/>
      <c r="B632" s="2"/>
      <c r="C632" s="2"/>
      <c r="D632" s="2"/>
      <c r="E632" s="2"/>
      <c r="F632" s="2"/>
      <c r="G632" s="2"/>
      <c r="H632" s="2"/>
      <c r="I632" s="2"/>
    </row>
    <row r="633" spans="1:9" ht="15.75" customHeight="1" x14ac:dyDescent="0.2">
      <c r="A633" s="2"/>
      <c r="B633" s="2"/>
      <c r="C633" s="2"/>
      <c r="D633" s="2"/>
      <c r="E633" s="2"/>
      <c r="F633" s="2"/>
      <c r="G633" s="2"/>
      <c r="H633" s="2"/>
      <c r="I633" s="2"/>
    </row>
    <row r="634" spans="1:9" ht="15.75" customHeight="1" x14ac:dyDescent="0.2">
      <c r="A634" s="2"/>
      <c r="B634" s="2"/>
      <c r="C634" s="2"/>
      <c r="D634" s="2"/>
      <c r="E634" s="2"/>
      <c r="F634" s="2"/>
      <c r="G634" s="2"/>
      <c r="H634" s="2"/>
      <c r="I634" s="2"/>
    </row>
    <row r="635" spans="1:9" ht="15.75" customHeight="1" x14ac:dyDescent="0.2">
      <c r="A635" s="2"/>
      <c r="B635" s="2"/>
      <c r="C635" s="2"/>
      <c r="D635" s="2"/>
      <c r="E635" s="2"/>
      <c r="F635" s="2"/>
      <c r="G635" s="2"/>
      <c r="H635" s="2"/>
      <c r="I635" s="2"/>
    </row>
    <row r="636" spans="1:9" ht="15.75" customHeight="1" x14ac:dyDescent="0.2">
      <c r="A636" s="2"/>
      <c r="B636" s="2"/>
      <c r="C636" s="2"/>
      <c r="D636" s="2"/>
      <c r="E636" s="2"/>
      <c r="F636" s="2"/>
      <c r="G636" s="2"/>
      <c r="H636" s="2"/>
      <c r="I636" s="2"/>
    </row>
    <row r="637" spans="1:9" ht="15.75" customHeight="1" x14ac:dyDescent="0.2">
      <c r="A637" s="2"/>
      <c r="B637" s="2"/>
      <c r="C637" s="2"/>
      <c r="D637" s="2"/>
      <c r="E637" s="2"/>
      <c r="F637" s="2"/>
      <c r="G637" s="2"/>
      <c r="H637" s="2"/>
      <c r="I637" s="2"/>
    </row>
    <row r="638" spans="1:9" ht="15.75" customHeight="1" x14ac:dyDescent="0.2">
      <c r="A638" s="2"/>
      <c r="B638" s="2"/>
      <c r="C638" s="2"/>
      <c r="D638" s="2"/>
      <c r="E638" s="2"/>
      <c r="F638" s="2"/>
      <c r="G638" s="2"/>
      <c r="H638" s="2"/>
      <c r="I638" s="2"/>
    </row>
    <row r="639" spans="1:9" ht="15.75" customHeight="1" x14ac:dyDescent="0.2">
      <c r="A639" s="2"/>
      <c r="B639" s="2"/>
      <c r="C639" s="2"/>
      <c r="D639" s="2"/>
      <c r="E639" s="2"/>
      <c r="F639" s="2"/>
      <c r="G639" s="2"/>
      <c r="H639" s="2"/>
      <c r="I639" s="2"/>
    </row>
    <row r="640" spans="1:9" ht="15.75" customHeight="1" x14ac:dyDescent="0.2">
      <c r="A640" s="2"/>
      <c r="B640" s="2"/>
      <c r="C640" s="2"/>
      <c r="D640" s="2"/>
      <c r="E640" s="2"/>
      <c r="F640" s="2"/>
      <c r="G640" s="2"/>
      <c r="H640" s="2"/>
      <c r="I640" s="2"/>
    </row>
    <row r="641" spans="1:9" ht="15.75" customHeight="1" x14ac:dyDescent="0.2">
      <c r="A641" s="2"/>
      <c r="B641" s="2"/>
      <c r="C641" s="2"/>
      <c r="D641" s="2"/>
      <c r="E641" s="2"/>
      <c r="F641" s="2"/>
      <c r="G641" s="2"/>
      <c r="H641" s="2"/>
      <c r="I641" s="2"/>
    </row>
    <row r="642" spans="1:9" ht="15.75" customHeight="1" x14ac:dyDescent="0.2">
      <c r="A642" s="2"/>
      <c r="B642" s="2"/>
      <c r="C642" s="2"/>
      <c r="D642" s="2"/>
      <c r="E642" s="2"/>
      <c r="F642" s="2"/>
      <c r="G642" s="2"/>
      <c r="H642" s="2"/>
      <c r="I642" s="2"/>
    </row>
    <row r="643" spans="1:9" ht="15.75" customHeight="1" x14ac:dyDescent="0.2">
      <c r="A643" s="2"/>
      <c r="B643" s="2"/>
      <c r="C643" s="2"/>
      <c r="D643" s="2"/>
      <c r="E643" s="2"/>
      <c r="F643" s="2"/>
      <c r="G643" s="2"/>
      <c r="H643" s="2"/>
      <c r="I643" s="2"/>
    </row>
    <row r="644" spans="1:9" ht="15.75" customHeight="1" x14ac:dyDescent="0.2">
      <c r="A644" s="2"/>
      <c r="B644" s="2"/>
      <c r="C644" s="2"/>
      <c r="D644" s="2"/>
      <c r="E644" s="2"/>
      <c r="F644" s="2"/>
      <c r="G644" s="2"/>
      <c r="H644" s="2"/>
      <c r="I644" s="2"/>
    </row>
    <row r="645" spans="1:9" ht="15.75" customHeight="1" x14ac:dyDescent="0.2">
      <c r="A645" s="2"/>
      <c r="B645" s="2"/>
      <c r="C645" s="2"/>
      <c r="D645" s="2"/>
      <c r="E645" s="2"/>
      <c r="F645" s="2"/>
      <c r="G645" s="2"/>
      <c r="H645" s="2"/>
      <c r="I645" s="2"/>
    </row>
    <row r="646" spans="1:9" ht="15.75" customHeight="1" x14ac:dyDescent="0.2">
      <c r="A646" s="2"/>
      <c r="B646" s="2"/>
      <c r="C646" s="2"/>
      <c r="D646" s="2"/>
      <c r="E646" s="2"/>
      <c r="F646" s="2"/>
      <c r="G646" s="2"/>
      <c r="H646" s="2"/>
      <c r="I646" s="2"/>
    </row>
    <row r="647" spans="1:9" ht="15.75" customHeight="1" x14ac:dyDescent="0.2">
      <c r="A647" s="2"/>
      <c r="B647" s="2"/>
      <c r="C647" s="2"/>
      <c r="D647" s="2"/>
      <c r="E647" s="2"/>
      <c r="F647" s="2"/>
      <c r="G647" s="2"/>
      <c r="H647" s="2"/>
      <c r="I647" s="2"/>
    </row>
    <row r="648" spans="1:9" ht="15.75" customHeight="1" x14ac:dyDescent="0.2">
      <c r="A648" s="2"/>
      <c r="B648" s="2"/>
      <c r="C648" s="2"/>
      <c r="D648" s="2"/>
      <c r="E648" s="2"/>
      <c r="F648" s="2"/>
      <c r="G648" s="2"/>
      <c r="H648" s="2"/>
      <c r="I648" s="2"/>
    </row>
    <row r="649" spans="1:9" ht="15.75" customHeight="1" x14ac:dyDescent="0.2">
      <c r="A649" s="2"/>
      <c r="B649" s="2"/>
      <c r="C649" s="2"/>
      <c r="D649" s="2"/>
      <c r="E649" s="2"/>
      <c r="F649" s="2"/>
      <c r="G649" s="2"/>
      <c r="H649" s="2"/>
      <c r="I649" s="2"/>
    </row>
    <row r="650" spans="1:9" ht="15.75" customHeight="1" x14ac:dyDescent="0.2">
      <c r="A650" s="2"/>
      <c r="B650" s="2"/>
      <c r="C650" s="2"/>
      <c r="D650" s="2"/>
      <c r="E650" s="2"/>
      <c r="F650" s="2"/>
      <c r="G650" s="2"/>
      <c r="H650" s="2"/>
      <c r="I650" s="2"/>
    </row>
    <row r="651" spans="1:9" ht="15.75" customHeight="1" x14ac:dyDescent="0.2">
      <c r="A651" s="2"/>
      <c r="B651" s="2"/>
      <c r="C651" s="2"/>
      <c r="D651" s="2"/>
      <c r="E651" s="2"/>
      <c r="F651" s="2"/>
      <c r="G651" s="2"/>
      <c r="H651" s="2"/>
      <c r="I651" s="2"/>
    </row>
    <row r="652" spans="1:9" ht="15.75" customHeight="1" x14ac:dyDescent="0.2">
      <c r="A652" s="2"/>
      <c r="B652" s="2"/>
      <c r="C652" s="2"/>
      <c r="D652" s="2"/>
      <c r="E652" s="2"/>
      <c r="F652" s="2"/>
      <c r="G652" s="2"/>
      <c r="H652" s="2"/>
      <c r="I652" s="2"/>
    </row>
    <row r="653" spans="1:9" ht="15.75" customHeight="1" x14ac:dyDescent="0.2">
      <c r="A653" s="2"/>
      <c r="B653" s="2"/>
      <c r="C653" s="2"/>
      <c r="D653" s="2"/>
      <c r="E653" s="2"/>
      <c r="F653" s="2"/>
      <c r="G653" s="2"/>
      <c r="H653" s="2"/>
      <c r="I653" s="2"/>
    </row>
    <row r="654" spans="1:9" ht="15.75" customHeight="1" x14ac:dyDescent="0.2">
      <c r="A654" s="2"/>
      <c r="B654" s="2"/>
      <c r="C654" s="2"/>
      <c r="D654" s="2"/>
      <c r="E654" s="2"/>
      <c r="F654" s="2"/>
      <c r="G654" s="2"/>
      <c r="H654" s="2"/>
      <c r="I654" s="2"/>
    </row>
    <row r="655" spans="1:9" ht="15.75" customHeight="1" x14ac:dyDescent="0.2">
      <c r="A655" s="2"/>
      <c r="B655" s="2"/>
      <c r="C655" s="2"/>
      <c r="D655" s="2"/>
      <c r="E655" s="2"/>
      <c r="F655" s="2"/>
      <c r="G655" s="2"/>
      <c r="H655" s="2"/>
      <c r="I655" s="2"/>
    </row>
    <row r="656" spans="1:9" ht="15.75" customHeight="1" x14ac:dyDescent="0.2">
      <c r="A656" s="2"/>
      <c r="B656" s="2"/>
      <c r="C656" s="2"/>
      <c r="D656" s="2"/>
      <c r="E656" s="2"/>
      <c r="F656" s="2"/>
      <c r="G656" s="2"/>
      <c r="H656" s="2"/>
      <c r="I656" s="2"/>
    </row>
    <row r="657" spans="1:9" ht="15.75" customHeight="1" x14ac:dyDescent="0.2">
      <c r="A657" s="2"/>
      <c r="B657" s="2"/>
      <c r="C657" s="2"/>
      <c r="D657" s="2"/>
      <c r="E657" s="2"/>
      <c r="F657" s="2"/>
      <c r="G657" s="2"/>
      <c r="H657" s="2"/>
      <c r="I657" s="2"/>
    </row>
    <row r="658" spans="1:9" ht="15.75" customHeight="1" x14ac:dyDescent="0.2">
      <c r="A658" s="2"/>
      <c r="B658" s="2"/>
      <c r="C658" s="2"/>
      <c r="D658" s="2"/>
      <c r="E658" s="2"/>
      <c r="F658" s="2"/>
      <c r="G658" s="2"/>
      <c r="H658" s="2"/>
      <c r="I658" s="2"/>
    </row>
    <row r="659" spans="1:9" ht="15.75" customHeight="1" x14ac:dyDescent="0.2">
      <c r="A659" s="2"/>
      <c r="B659" s="2"/>
      <c r="C659" s="2"/>
      <c r="D659" s="2"/>
      <c r="E659" s="2"/>
      <c r="F659" s="2"/>
      <c r="G659" s="2"/>
      <c r="H659" s="2"/>
      <c r="I659" s="2"/>
    </row>
    <row r="660" spans="1:9" ht="15.75" customHeight="1" x14ac:dyDescent="0.2">
      <c r="A660" s="2"/>
      <c r="B660" s="2"/>
      <c r="C660" s="2"/>
      <c r="D660" s="2"/>
      <c r="E660" s="2"/>
      <c r="F660" s="2"/>
      <c r="G660" s="2"/>
      <c r="H660" s="2"/>
      <c r="I660" s="2"/>
    </row>
    <row r="661" spans="1:9" ht="15.75" customHeight="1" x14ac:dyDescent="0.2">
      <c r="A661" s="2"/>
      <c r="B661" s="2"/>
      <c r="C661" s="2"/>
      <c r="D661" s="2"/>
      <c r="E661" s="2"/>
      <c r="F661" s="2"/>
      <c r="G661" s="2"/>
      <c r="H661" s="2"/>
      <c r="I661" s="2"/>
    </row>
    <row r="662" spans="1:9" ht="15.75" customHeight="1" x14ac:dyDescent="0.2">
      <c r="A662" s="2"/>
      <c r="B662" s="2"/>
      <c r="C662" s="2"/>
      <c r="D662" s="2"/>
      <c r="E662" s="2"/>
      <c r="F662" s="2"/>
      <c r="G662" s="2"/>
      <c r="H662" s="2"/>
      <c r="I662" s="2"/>
    </row>
    <row r="663" spans="1:9" ht="15.75" customHeight="1" x14ac:dyDescent="0.2">
      <c r="A663" s="2"/>
      <c r="B663" s="2"/>
      <c r="C663" s="2"/>
      <c r="D663" s="2"/>
      <c r="E663" s="2"/>
      <c r="F663" s="2"/>
      <c r="G663" s="2"/>
      <c r="H663" s="2"/>
      <c r="I663" s="2"/>
    </row>
    <row r="664" spans="1:9" ht="15.75" customHeight="1" x14ac:dyDescent="0.2">
      <c r="A664" s="2"/>
      <c r="B664" s="2"/>
      <c r="C664" s="2"/>
      <c r="D664" s="2"/>
      <c r="E664" s="2"/>
      <c r="F664" s="2"/>
      <c r="G664" s="2"/>
      <c r="H664" s="2"/>
      <c r="I664" s="2"/>
    </row>
    <row r="665" spans="1:9" ht="15.75" customHeight="1" x14ac:dyDescent="0.2">
      <c r="A665" s="2"/>
      <c r="B665" s="2"/>
      <c r="C665" s="2"/>
      <c r="D665" s="2"/>
      <c r="E665" s="2"/>
      <c r="F665" s="2"/>
      <c r="G665" s="2"/>
      <c r="H665" s="2"/>
      <c r="I665" s="2"/>
    </row>
    <row r="666" spans="1:9" ht="15.75" customHeight="1" x14ac:dyDescent="0.2">
      <c r="A666" s="2"/>
      <c r="B666" s="2"/>
      <c r="C666" s="2"/>
      <c r="D666" s="2"/>
      <c r="E666" s="2"/>
      <c r="F666" s="2"/>
      <c r="G666" s="2"/>
      <c r="H666" s="2"/>
      <c r="I666" s="2"/>
    </row>
    <row r="667" spans="1:9" ht="15.75" customHeight="1" x14ac:dyDescent="0.2">
      <c r="A667" s="2"/>
      <c r="B667" s="2"/>
      <c r="C667" s="2"/>
      <c r="D667" s="2"/>
      <c r="E667" s="2"/>
      <c r="F667" s="2"/>
      <c r="G667" s="2"/>
      <c r="H667" s="2"/>
      <c r="I667" s="2"/>
    </row>
    <row r="668" spans="1:9" ht="15.75" customHeight="1" x14ac:dyDescent="0.2">
      <c r="A668" s="2"/>
      <c r="B668" s="2"/>
      <c r="C668" s="2"/>
      <c r="D668" s="2"/>
      <c r="E668" s="2"/>
      <c r="F668" s="2"/>
      <c r="G668" s="2"/>
      <c r="H668" s="2"/>
      <c r="I668" s="2"/>
    </row>
    <row r="669" spans="1:9" ht="15.75" customHeight="1" x14ac:dyDescent="0.2">
      <c r="A669" s="2"/>
      <c r="B669" s="2"/>
      <c r="C669" s="2"/>
      <c r="D669" s="2"/>
      <c r="E669" s="2"/>
      <c r="F669" s="2"/>
      <c r="G669" s="2"/>
      <c r="H669" s="2"/>
      <c r="I669" s="2"/>
    </row>
    <row r="670" spans="1:9" ht="15.75" customHeight="1" x14ac:dyDescent="0.2">
      <c r="A670" s="2"/>
      <c r="B670" s="2"/>
      <c r="C670" s="2"/>
      <c r="D670" s="2"/>
      <c r="E670" s="2"/>
      <c r="F670" s="2"/>
      <c r="G670" s="2"/>
      <c r="H670" s="2"/>
      <c r="I670" s="2"/>
    </row>
    <row r="671" spans="1:9" ht="15.75" customHeight="1" x14ac:dyDescent="0.2">
      <c r="A671" s="2"/>
      <c r="B671" s="2"/>
      <c r="C671" s="2"/>
      <c r="D671" s="2"/>
      <c r="E671" s="2"/>
      <c r="F671" s="2"/>
      <c r="G671" s="2"/>
      <c r="H671" s="2"/>
      <c r="I671" s="2"/>
    </row>
    <row r="672" spans="1:9" ht="15.75" customHeight="1" x14ac:dyDescent="0.2">
      <c r="A672" s="2"/>
      <c r="B672" s="2"/>
      <c r="C672" s="2"/>
      <c r="D672" s="2"/>
      <c r="E672" s="2"/>
      <c r="F672" s="2"/>
      <c r="G672" s="2"/>
      <c r="H672" s="2"/>
      <c r="I672" s="2"/>
    </row>
    <row r="673" spans="1:9" ht="15.75" customHeight="1" x14ac:dyDescent="0.2">
      <c r="A673" s="2"/>
      <c r="B673" s="2"/>
      <c r="C673" s="2"/>
      <c r="D673" s="2"/>
      <c r="E673" s="2"/>
      <c r="F673" s="2"/>
      <c r="G673" s="2"/>
      <c r="H673" s="2"/>
      <c r="I673" s="2"/>
    </row>
    <row r="674" spans="1:9" ht="15.75" customHeight="1" x14ac:dyDescent="0.2">
      <c r="A674" s="2"/>
      <c r="B674" s="2"/>
      <c r="C674" s="2"/>
      <c r="D674" s="2"/>
      <c r="E674" s="2"/>
      <c r="F674" s="2"/>
      <c r="G674" s="2"/>
      <c r="H674" s="2"/>
      <c r="I674" s="2"/>
    </row>
    <row r="675" spans="1:9" ht="15.75" customHeight="1" x14ac:dyDescent="0.2">
      <c r="A675" s="2"/>
      <c r="B675" s="2"/>
      <c r="C675" s="2"/>
      <c r="D675" s="2"/>
      <c r="E675" s="2"/>
      <c r="F675" s="2"/>
      <c r="G675" s="2"/>
      <c r="H675" s="2"/>
      <c r="I675" s="2"/>
    </row>
    <row r="676" spans="1:9" ht="15.75" customHeight="1" x14ac:dyDescent="0.2">
      <c r="A676" s="2"/>
      <c r="B676" s="2"/>
      <c r="C676" s="2"/>
      <c r="D676" s="2"/>
      <c r="E676" s="2"/>
      <c r="F676" s="2"/>
      <c r="G676" s="2"/>
      <c r="H676" s="2"/>
      <c r="I676" s="2"/>
    </row>
    <row r="677" spans="1:9" ht="15.75" customHeight="1" x14ac:dyDescent="0.2">
      <c r="A677" s="2"/>
      <c r="B677" s="2"/>
      <c r="C677" s="2"/>
      <c r="D677" s="2"/>
      <c r="E677" s="2"/>
      <c r="F677" s="2"/>
      <c r="G677" s="2"/>
      <c r="H677" s="2"/>
      <c r="I677" s="2"/>
    </row>
    <row r="678" spans="1:9" ht="15.75" customHeight="1" x14ac:dyDescent="0.2">
      <c r="A678" s="2"/>
      <c r="B678" s="2"/>
      <c r="C678" s="2"/>
      <c r="D678" s="2"/>
      <c r="E678" s="2"/>
      <c r="F678" s="2"/>
      <c r="G678" s="2"/>
      <c r="H678" s="2"/>
      <c r="I678" s="2"/>
    </row>
    <row r="679" spans="1:9" ht="15.75" customHeight="1" x14ac:dyDescent="0.2">
      <c r="A679" s="2"/>
      <c r="B679" s="2"/>
      <c r="C679" s="2"/>
      <c r="D679" s="2"/>
      <c r="E679" s="2"/>
      <c r="F679" s="2"/>
      <c r="G679" s="2"/>
      <c r="H679" s="2"/>
      <c r="I679" s="2"/>
    </row>
    <row r="680" spans="1:9" ht="15.75" customHeight="1" x14ac:dyDescent="0.2">
      <c r="A680" s="2"/>
      <c r="B680" s="2"/>
      <c r="C680" s="2"/>
      <c r="D680" s="2"/>
      <c r="E680" s="2"/>
      <c r="F680" s="2"/>
      <c r="G680" s="2"/>
      <c r="H680" s="2"/>
      <c r="I680" s="2"/>
    </row>
    <row r="681" spans="1:9" ht="15.75" customHeight="1" x14ac:dyDescent="0.2">
      <c r="A681" s="2"/>
      <c r="B681" s="2"/>
      <c r="C681" s="2"/>
      <c r="D681" s="2"/>
      <c r="E681" s="2"/>
      <c r="F681" s="2"/>
      <c r="G681" s="2"/>
      <c r="H681" s="2"/>
      <c r="I681" s="2"/>
    </row>
    <row r="682" spans="1:9" ht="15.75" customHeight="1" x14ac:dyDescent="0.2">
      <c r="A682" s="2"/>
      <c r="B682" s="2"/>
      <c r="C682" s="2"/>
      <c r="D682" s="2"/>
      <c r="E682" s="2"/>
      <c r="F682" s="2"/>
      <c r="G682" s="2"/>
      <c r="H682" s="2"/>
      <c r="I682" s="2"/>
    </row>
    <row r="683" spans="1:9" ht="15.75" customHeight="1" x14ac:dyDescent="0.2">
      <c r="A683" s="2"/>
      <c r="B683" s="2"/>
      <c r="C683" s="2"/>
      <c r="D683" s="2"/>
      <c r="E683" s="2"/>
      <c r="F683" s="2"/>
      <c r="G683" s="2"/>
      <c r="H683" s="2"/>
      <c r="I683" s="2"/>
    </row>
    <row r="684" spans="1:9" ht="15.75" customHeight="1" x14ac:dyDescent="0.2">
      <c r="A684" s="2"/>
      <c r="B684" s="2"/>
      <c r="C684" s="2"/>
      <c r="D684" s="2"/>
      <c r="E684" s="2"/>
      <c r="F684" s="2"/>
      <c r="G684" s="2"/>
      <c r="H684" s="2"/>
      <c r="I684" s="2"/>
    </row>
    <row r="685" spans="1:9" ht="15.75" customHeight="1" x14ac:dyDescent="0.2">
      <c r="A685" s="2"/>
      <c r="B685" s="2"/>
      <c r="C685" s="2"/>
      <c r="D685" s="2"/>
      <c r="E685" s="2"/>
      <c r="F685" s="2"/>
      <c r="G685" s="2"/>
      <c r="H685" s="2"/>
      <c r="I685" s="2"/>
    </row>
    <row r="686" spans="1:9" ht="15.75" customHeight="1" x14ac:dyDescent="0.2">
      <c r="A686" s="2"/>
      <c r="B686" s="2"/>
      <c r="C686" s="2"/>
      <c r="D686" s="2"/>
      <c r="E686" s="2"/>
      <c r="F686" s="2"/>
      <c r="G686" s="2"/>
      <c r="H686" s="2"/>
      <c r="I686" s="2"/>
    </row>
    <row r="687" spans="1:9" ht="15.75" customHeight="1" x14ac:dyDescent="0.2">
      <c r="A687" s="2"/>
      <c r="B687" s="2"/>
      <c r="C687" s="2"/>
      <c r="D687" s="2"/>
      <c r="E687" s="2"/>
      <c r="F687" s="2"/>
      <c r="G687" s="2"/>
      <c r="H687" s="2"/>
      <c r="I687" s="2"/>
    </row>
    <row r="688" spans="1:9" ht="15.75" customHeight="1" x14ac:dyDescent="0.2">
      <c r="A688" s="2"/>
      <c r="B688" s="2"/>
      <c r="C688" s="2"/>
      <c r="D688" s="2"/>
      <c r="E688" s="2"/>
      <c r="F688" s="2"/>
      <c r="G688" s="2"/>
      <c r="H688" s="2"/>
      <c r="I688" s="2"/>
    </row>
    <row r="689" spans="1:9" ht="15.75" customHeight="1" x14ac:dyDescent="0.2">
      <c r="A689" s="2"/>
      <c r="B689" s="2"/>
      <c r="C689" s="2"/>
      <c r="D689" s="2"/>
      <c r="E689" s="2"/>
      <c r="F689" s="2"/>
      <c r="G689" s="2"/>
      <c r="H689" s="2"/>
      <c r="I689" s="2"/>
    </row>
    <row r="690" spans="1:9" ht="15.75" customHeight="1" x14ac:dyDescent="0.2">
      <c r="A690" s="2"/>
      <c r="B690" s="2"/>
      <c r="C690" s="2"/>
      <c r="D690" s="2"/>
      <c r="E690" s="2"/>
      <c r="F690" s="2"/>
      <c r="G690" s="2"/>
      <c r="H690" s="2"/>
      <c r="I690" s="2"/>
    </row>
    <row r="691" spans="1:9" ht="15.75" customHeight="1" x14ac:dyDescent="0.2">
      <c r="A691" s="2"/>
      <c r="B691" s="2"/>
      <c r="C691" s="2"/>
      <c r="D691" s="2"/>
      <c r="E691" s="2"/>
      <c r="F691" s="2"/>
      <c r="G691" s="2"/>
      <c r="H691" s="2"/>
      <c r="I691" s="2"/>
    </row>
    <row r="692" spans="1:9" ht="15.75" customHeight="1" x14ac:dyDescent="0.2">
      <c r="A692" s="2"/>
      <c r="B692" s="2"/>
      <c r="C692" s="2"/>
      <c r="D692" s="2"/>
      <c r="E692" s="2"/>
      <c r="F692" s="2"/>
      <c r="G692" s="2"/>
      <c r="H692" s="2"/>
      <c r="I692" s="2"/>
    </row>
    <row r="693" spans="1:9" ht="15.75" customHeight="1" x14ac:dyDescent="0.2">
      <c r="A693" s="2"/>
      <c r="B693" s="2"/>
      <c r="C693" s="2"/>
      <c r="D693" s="2"/>
      <c r="E693" s="2"/>
      <c r="F693" s="2"/>
      <c r="G693" s="2"/>
      <c r="H693" s="2"/>
      <c r="I693" s="2"/>
    </row>
    <row r="694" spans="1:9" ht="15.75" customHeight="1" x14ac:dyDescent="0.2">
      <c r="A694" s="2"/>
      <c r="B694" s="2"/>
      <c r="C694" s="2"/>
      <c r="D694" s="2"/>
      <c r="E694" s="2"/>
      <c r="F694" s="2"/>
      <c r="G694" s="2"/>
      <c r="H694" s="2"/>
      <c r="I694" s="2"/>
    </row>
    <row r="695" spans="1:9" ht="15.75" customHeight="1" x14ac:dyDescent="0.2">
      <c r="A695" s="2"/>
      <c r="B695" s="2"/>
      <c r="C695" s="2"/>
      <c r="D695" s="2"/>
      <c r="E695" s="2"/>
      <c r="F695" s="2"/>
      <c r="G695" s="2"/>
      <c r="H695" s="2"/>
      <c r="I695" s="2"/>
    </row>
    <row r="696" spans="1:9" ht="15.75" customHeight="1" x14ac:dyDescent="0.2">
      <c r="A696" s="2"/>
      <c r="B696" s="2"/>
      <c r="C696" s="2"/>
      <c r="D696" s="2"/>
      <c r="E696" s="2"/>
      <c r="F696" s="2"/>
      <c r="G696" s="2"/>
      <c r="H696" s="2"/>
      <c r="I696" s="2"/>
    </row>
    <row r="697" spans="1:9" ht="15.75" customHeight="1" x14ac:dyDescent="0.2">
      <c r="A697" s="2"/>
      <c r="B697" s="2"/>
      <c r="C697" s="2"/>
      <c r="D697" s="2"/>
      <c r="E697" s="2"/>
      <c r="F697" s="2"/>
      <c r="G697" s="2"/>
      <c r="H697" s="2"/>
      <c r="I697" s="2"/>
    </row>
    <row r="698" spans="1:9" ht="15.75" customHeight="1" x14ac:dyDescent="0.2">
      <c r="A698" s="2"/>
      <c r="B698" s="2"/>
      <c r="C698" s="2"/>
      <c r="D698" s="2"/>
      <c r="E698" s="2"/>
      <c r="F698" s="2"/>
      <c r="G698" s="2"/>
      <c r="H698" s="2"/>
      <c r="I698" s="2"/>
    </row>
    <row r="699" spans="1:9" ht="15.75" customHeight="1" x14ac:dyDescent="0.2">
      <c r="A699" s="2"/>
      <c r="B699" s="2"/>
      <c r="C699" s="2"/>
      <c r="D699" s="2"/>
      <c r="E699" s="2"/>
      <c r="F699" s="2"/>
      <c r="G699" s="2"/>
      <c r="H699" s="2"/>
      <c r="I699" s="2"/>
    </row>
    <row r="700" spans="1:9" ht="15.75" customHeight="1" x14ac:dyDescent="0.2">
      <c r="A700" s="2"/>
      <c r="B700" s="2"/>
      <c r="C700" s="2"/>
      <c r="D700" s="2"/>
      <c r="E700" s="2"/>
      <c r="F700" s="2"/>
      <c r="G700" s="2"/>
      <c r="H700" s="2"/>
      <c r="I700" s="2"/>
    </row>
    <row r="701" spans="1:9" ht="15.75" customHeight="1" x14ac:dyDescent="0.2">
      <c r="A701" s="2"/>
      <c r="B701" s="2"/>
      <c r="C701" s="2"/>
      <c r="D701" s="2"/>
      <c r="E701" s="2"/>
      <c r="F701" s="2"/>
      <c r="G701" s="2"/>
      <c r="H701" s="2"/>
      <c r="I701" s="2"/>
    </row>
    <row r="702" spans="1:9" ht="15.75" customHeight="1" x14ac:dyDescent="0.2">
      <c r="A702" s="2"/>
      <c r="B702" s="2"/>
      <c r="C702" s="2"/>
      <c r="D702" s="2"/>
      <c r="E702" s="2"/>
      <c r="F702" s="2"/>
      <c r="G702" s="2"/>
      <c r="H702" s="2"/>
      <c r="I702" s="2"/>
    </row>
    <row r="703" spans="1:9" ht="15.75" customHeight="1" x14ac:dyDescent="0.2">
      <c r="A703" s="2"/>
      <c r="B703" s="2"/>
      <c r="C703" s="2"/>
      <c r="D703" s="2"/>
      <c r="E703" s="2"/>
      <c r="F703" s="2"/>
      <c r="G703" s="2"/>
      <c r="H703" s="2"/>
      <c r="I703" s="2"/>
    </row>
    <row r="704" spans="1:9" ht="15.75" customHeight="1" x14ac:dyDescent="0.2">
      <c r="A704" s="2"/>
      <c r="B704" s="2"/>
      <c r="C704" s="2"/>
      <c r="D704" s="2"/>
      <c r="E704" s="2"/>
      <c r="F704" s="2"/>
      <c r="G704" s="2"/>
      <c r="H704" s="2"/>
      <c r="I704" s="2"/>
    </row>
    <row r="705" spans="1:9" ht="15.75" customHeight="1" x14ac:dyDescent="0.2">
      <c r="A705" s="2"/>
      <c r="B705" s="2"/>
      <c r="C705" s="2"/>
      <c r="D705" s="2"/>
      <c r="E705" s="2"/>
      <c r="F705" s="2"/>
      <c r="G705" s="2"/>
      <c r="H705" s="2"/>
      <c r="I705" s="2"/>
    </row>
    <row r="706" spans="1:9" ht="15.75" customHeight="1" x14ac:dyDescent="0.2">
      <c r="A706" s="2"/>
      <c r="B706" s="2"/>
      <c r="C706" s="2"/>
      <c r="D706" s="2"/>
      <c r="E706" s="2"/>
      <c r="F706" s="2"/>
      <c r="G706" s="2"/>
      <c r="H706" s="2"/>
      <c r="I706" s="2"/>
    </row>
    <row r="707" spans="1:9" ht="15.75" customHeight="1" x14ac:dyDescent="0.2">
      <c r="A707" s="2"/>
      <c r="B707" s="2"/>
      <c r="C707" s="2"/>
      <c r="D707" s="2"/>
      <c r="E707" s="2"/>
      <c r="F707" s="2"/>
      <c r="G707" s="2"/>
      <c r="H707" s="2"/>
      <c r="I707" s="2"/>
    </row>
    <row r="708" spans="1:9" ht="15.75" customHeight="1" x14ac:dyDescent="0.2">
      <c r="A708" s="2"/>
      <c r="B708" s="2"/>
      <c r="C708" s="2"/>
      <c r="D708" s="2"/>
      <c r="E708" s="2"/>
      <c r="F708" s="2"/>
      <c r="G708" s="2"/>
      <c r="H708" s="2"/>
      <c r="I708" s="2"/>
    </row>
    <row r="709" spans="1:9" ht="15.75" customHeight="1" x14ac:dyDescent="0.2">
      <c r="A709" s="2"/>
      <c r="B709" s="2"/>
      <c r="C709" s="2"/>
      <c r="D709" s="2"/>
      <c r="E709" s="2"/>
      <c r="F709" s="2"/>
      <c r="G709" s="2"/>
      <c r="H709" s="2"/>
      <c r="I709" s="2"/>
    </row>
    <row r="710" spans="1:9" ht="15.75" customHeight="1" x14ac:dyDescent="0.2">
      <c r="A710" s="2"/>
      <c r="B710" s="2"/>
      <c r="C710" s="2"/>
      <c r="D710" s="2"/>
      <c r="E710" s="2"/>
      <c r="F710" s="2"/>
      <c r="G710" s="2"/>
      <c r="H710" s="2"/>
      <c r="I710" s="2"/>
    </row>
    <row r="711" spans="1:9" ht="15.75" customHeight="1" x14ac:dyDescent="0.2">
      <c r="A711" s="2"/>
      <c r="B711" s="2"/>
      <c r="C711" s="2"/>
      <c r="D711" s="2"/>
      <c r="E711" s="2"/>
      <c r="F711" s="2"/>
      <c r="G711" s="2"/>
      <c r="H711" s="2"/>
      <c r="I711" s="2"/>
    </row>
    <row r="712" spans="1:9" ht="15.75" customHeight="1" x14ac:dyDescent="0.2">
      <c r="A712" s="2"/>
      <c r="B712" s="2"/>
      <c r="C712" s="2"/>
      <c r="D712" s="2"/>
      <c r="E712" s="2"/>
      <c r="F712" s="2"/>
      <c r="G712" s="2"/>
      <c r="H712" s="2"/>
      <c r="I712" s="2"/>
    </row>
    <row r="713" spans="1:9" ht="15.75" customHeight="1" x14ac:dyDescent="0.2">
      <c r="A713" s="2"/>
      <c r="B713" s="2"/>
      <c r="C713" s="2"/>
      <c r="D713" s="2"/>
      <c r="E713" s="2"/>
      <c r="F713" s="2"/>
      <c r="G713" s="2"/>
      <c r="H713" s="2"/>
      <c r="I713" s="2"/>
    </row>
    <row r="714" spans="1:9" ht="15.75" customHeight="1" x14ac:dyDescent="0.2">
      <c r="A714" s="2"/>
      <c r="B714" s="2"/>
      <c r="C714" s="2"/>
      <c r="D714" s="2"/>
      <c r="E714" s="2"/>
      <c r="F714" s="2"/>
      <c r="G714" s="2"/>
      <c r="H714" s="2"/>
      <c r="I714" s="2"/>
    </row>
    <row r="715" spans="1:9" ht="15.75" customHeight="1" x14ac:dyDescent="0.2">
      <c r="A715" s="2"/>
      <c r="B715" s="2"/>
      <c r="C715" s="2"/>
      <c r="D715" s="2"/>
      <c r="E715" s="2"/>
      <c r="F715" s="2"/>
      <c r="G715" s="2"/>
      <c r="H715" s="2"/>
      <c r="I715" s="2"/>
    </row>
    <row r="716" spans="1:9" ht="15.75" customHeight="1" x14ac:dyDescent="0.2">
      <c r="A716" s="2"/>
      <c r="B716" s="2"/>
      <c r="C716" s="2"/>
      <c r="D716" s="2"/>
      <c r="E716" s="2"/>
      <c r="F716" s="2"/>
      <c r="G716" s="2"/>
      <c r="H716" s="2"/>
      <c r="I716" s="2"/>
    </row>
    <row r="717" spans="1:9" ht="15.75" customHeight="1" x14ac:dyDescent="0.2">
      <c r="A717" s="2"/>
      <c r="B717" s="2"/>
      <c r="C717" s="2"/>
      <c r="D717" s="2"/>
      <c r="E717" s="2"/>
      <c r="F717" s="2"/>
      <c r="G717" s="2"/>
      <c r="H717" s="2"/>
      <c r="I717" s="2"/>
    </row>
    <row r="718" spans="1:9" ht="15.75" customHeight="1" x14ac:dyDescent="0.2">
      <c r="A718" s="2"/>
      <c r="B718" s="2"/>
      <c r="C718" s="2"/>
      <c r="D718" s="2"/>
      <c r="E718" s="2"/>
      <c r="F718" s="2"/>
      <c r="G718" s="2"/>
      <c r="H718" s="2"/>
      <c r="I718" s="2"/>
    </row>
    <row r="719" spans="1:9" ht="15.75" customHeight="1" x14ac:dyDescent="0.2">
      <c r="A719" s="2"/>
      <c r="B719" s="2"/>
      <c r="C719" s="2"/>
      <c r="D719" s="2"/>
      <c r="E719" s="2"/>
      <c r="F719" s="2"/>
      <c r="G719" s="2"/>
      <c r="H719" s="2"/>
      <c r="I719" s="2"/>
    </row>
    <row r="720" spans="1:9" ht="15.75" customHeight="1" x14ac:dyDescent="0.2">
      <c r="A720" s="2"/>
      <c r="B720" s="2"/>
      <c r="C720" s="2"/>
      <c r="D720" s="2"/>
      <c r="E720" s="2"/>
      <c r="F720" s="2"/>
      <c r="G720" s="2"/>
      <c r="H720" s="2"/>
      <c r="I720" s="2"/>
    </row>
    <row r="721" spans="1:9" ht="15.75" customHeight="1" x14ac:dyDescent="0.2">
      <c r="A721" s="2"/>
      <c r="B721" s="2"/>
      <c r="C721" s="2"/>
      <c r="D721" s="2"/>
      <c r="E721" s="2"/>
      <c r="F721" s="2"/>
      <c r="G721" s="2"/>
      <c r="H721" s="2"/>
      <c r="I721" s="2"/>
    </row>
    <row r="722" spans="1:9" ht="15.75" customHeight="1" x14ac:dyDescent="0.2">
      <c r="A722" s="2"/>
      <c r="B722" s="2"/>
      <c r="C722" s="2"/>
      <c r="D722" s="2"/>
      <c r="E722" s="2"/>
      <c r="F722" s="2"/>
      <c r="G722" s="2"/>
      <c r="H722" s="2"/>
      <c r="I722" s="2"/>
    </row>
    <row r="723" spans="1:9" ht="15.75" customHeight="1" x14ac:dyDescent="0.2">
      <c r="A723" s="2"/>
      <c r="B723" s="2"/>
      <c r="C723" s="2"/>
      <c r="D723" s="2"/>
      <c r="E723" s="2"/>
      <c r="F723" s="2"/>
      <c r="G723" s="2"/>
      <c r="H723" s="2"/>
      <c r="I723" s="2"/>
    </row>
    <row r="724" spans="1:9" ht="15.75" customHeight="1" x14ac:dyDescent="0.2">
      <c r="A724" s="2"/>
      <c r="B724" s="2"/>
      <c r="C724" s="2"/>
      <c r="D724" s="2"/>
      <c r="E724" s="2"/>
      <c r="F724" s="2"/>
      <c r="G724" s="2"/>
      <c r="H724" s="2"/>
      <c r="I724" s="2"/>
    </row>
    <row r="725" spans="1:9" ht="15.75" customHeight="1" x14ac:dyDescent="0.2">
      <c r="A725" s="2"/>
      <c r="B725" s="2"/>
      <c r="C725" s="2"/>
      <c r="D725" s="2"/>
      <c r="E725" s="2"/>
      <c r="F725" s="2"/>
      <c r="G725" s="2"/>
      <c r="H725" s="2"/>
      <c r="I725" s="2"/>
    </row>
    <row r="726" spans="1:9" ht="15.75" customHeight="1" x14ac:dyDescent="0.2">
      <c r="A726" s="2"/>
      <c r="B726" s="2"/>
      <c r="C726" s="2"/>
      <c r="D726" s="2"/>
      <c r="E726" s="2"/>
      <c r="F726" s="2"/>
      <c r="G726" s="2"/>
      <c r="H726" s="2"/>
      <c r="I726" s="2"/>
    </row>
    <row r="727" spans="1:9" ht="15.75" customHeight="1" x14ac:dyDescent="0.2">
      <c r="A727" s="2"/>
      <c r="B727" s="2"/>
      <c r="C727" s="2"/>
      <c r="D727" s="2"/>
      <c r="E727" s="2"/>
      <c r="F727" s="2"/>
      <c r="G727" s="2"/>
      <c r="H727" s="2"/>
      <c r="I727" s="2"/>
    </row>
    <row r="728" spans="1:9" ht="15.75" customHeight="1" x14ac:dyDescent="0.2">
      <c r="A728" s="2"/>
      <c r="B728" s="2"/>
      <c r="C728" s="2"/>
      <c r="D728" s="2"/>
      <c r="E728" s="2"/>
      <c r="F728" s="2"/>
      <c r="G728" s="2"/>
      <c r="H728" s="2"/>
      <c r="I728" s="2"/>
    </row>
    <row r="729" spans="1:9" ht="15.75" customHeight="1" x14ac:dyDescent="0.2">
      <c r="A729" s="2"/>
      <c r="B729" s="2"/>
      <c r="C729" s="2"/>
      <c r="D729" s="2"/>
      <c r="E729" s="2"/>
      <c r="F729" s="2"/>
      <c r="G729" s="2"/>
      <c r="H729" s="2"/>
      <c r="I729" s="2"/>
    </row>
    <row r="730" spans="1:9" ht="15.75" customHeight="1" x14ac:dyDescent="0.2">
      <c r="A730" s="2"/>
      <c r="B730" s="2"/>
      <c r="C730" s="2"/>
      <c r="D730" s="2"/>
      <c r="E730" s="2"/>
      <c r="F730" s="2"/>
      <c r="G730" s="2"/>
      <c r="H730" s="2"/>
      <c r="I730" s="2"/>
    </row>
    <row r="731" spans="1:9" ht="15.75" customHeight="1" x14ac:dyDescent="0.2">
      <c r="A731" s="2"/>
      <c r="B731" s="2"/>
      <c r="C731" s="2"/>
      <c r="D731" s="2"/>
      <c r="E731" s="2"/>
      <c r="F731" s="2"/>
      <c r="G731" s="2"/>
      <c r="H731" s="2"/>
      <c r="I731" s="2"/>
    </row>
    <row r="732" spans="1:9" ht="15.75" customHeight="1" x14ac:dyDescent="0.2">
      <c r="A732" s="2"/>
      <c r="B732" s="2"/>
      <c r="C732" s="2"/>
      <c r="D732" s="2"/>
      <c r="E732" s="2"/>
      <c r="F732" s="2"/>
      <c r="G732" s="2"/>
      <c r="H732" s="2"/>
      <c r="I732" s="2"/>
    </row>
    <row r="733" spans="1:9" ht="15.75" customHeight="1" x14ac:dyDescent="0.2">
      <c r="A733" s="2"/>
      <c r="B733" s="2"/>
      <c r="C733" s="2"/>
      <c r="D733" s="2"/>
      <c r="E733" s="2"/>
      <c r="F733" s="2"/>
      <c r="G733" s="2"/>
      <c r="H733" s="2"/>
      <c r="I733" s="2"/>
    </row>
    <row r="734" spans="1:9" ht="15.75" customHeight="1" x14ac:dyDescent="0.2">
      <c r="A734" s="2"/>
      <c r="B734" s="2"/>
      <c r="C734" s="2"/>
      <c r="D734" s="2"/>
      <c r="E734" s="2"/>
      <c r="F734" s="2"/>
      <c r="G734" s="2"/>
      <c r="H734" s="2"/>
      <c r="I734" s="2"/>
    </row>
    <row r="735" spans="1:9" ht="15.75" customHeight="1" x14ac:dyDescent="0.2">
      <c r="A735" s="2"/>
      <c r="B735" s="2"/>
      <c r="C735" s="2"/>
      <c r="D735" s="2"/>
      <c r="E735" s="2"/>
      <c r="F735" s="2"/>
      <c r="G735" s="2"/>
      <c r="H735" s="2"/>
      <c r="I735" s="2"/>
    </row>
    <row r="736" spans="1:9" ht="15.75" customHeight="1" x14ac:dyDescent="0.2">
      <c r="A736" s="2"/>
      <c r="B736" s="2"/>
      <c r="C736" s="2"/>
      <c r="D736" s="2"/>
      <c r="E736" s="2"/>
      <c r="F736" s="2"/>
      <c r="G736" s="2"/>
      <c r="H736" s="2"/>
      <c r="I736" s="2"/>
    </row>
    <row r="737" spans="1:9" ht="15.75" customHeight="1" x14ac:dyDescent="0.2">
      <c r="A737" s="2"/>
      <c r="B737" s="2"/>
      <c r="C737" s="2"/>
      <c r="D737" s="2"/>
      <c r="E737" s="2"/>
      <c r="F737" s="2"/>
      <c r="G737" s="2"/>
      <c r="H737" s="2"/>
      <c r="I737" s="2"/>
    </row>
    <row r="738" spans="1:9" ht="15.75" customHeight="1" x14ac:dyDescent="0.2">
      <c r="A738" s="2"/>
      <c r="B738" s="2"/>
      <c r="C738" s="2"/>
      <c r="D738" s="2"/>
      <c r="E738" s="2"/>
      <c r="F738" s="2"/>
      <c r="G738" s="2"/>
      <c r="H738" s="2"/>
      <c r="I738" s="2"/>
    </row>
    <row r="739" spans="1:9" ht="15.75" customHeight="1" x14ac:dyDescent="0.2">
      <c r="A739" s="2"/>
      <c r="B739" s="2"/>
      <c r="C739" s="2"/>
      <c r="D739" s="2"/>
      <c r="E739" s="2"/>
      <c r="F739" s="2"/>
      <c r="G739" s="2"/>
      <c r="H739" s="2"/>
      <c r="I739" s="2"/>
    </row>
    <row r="740" spans="1:9" ht="15.75" customHeight="1" x14ac:dyDescent="0.2">
      <c r="A740" s="2"/>
      <c r="B740" s="2"/>
      <c r="C740" s="2"/>
      <c r="D740" s="2"/>
      <c r="E740" s="2"/>
      <c r="F740" s="2"/>
      <c r="G740" s="2"/>
      <c r="H740" s="2"/>
      <c r="I740" s="2"/>
    </row>
    <row r="741" spans="1:9" ht="15.75" customHeight="1" x14ac:dyDescent="0.2">
      <c r="A741" s="2"/>
      <c r="B741" s="2"/>
      <c r="C741" s="2"/>
      <c r="D741" s="2"/>
      <c r="E741" s="2"/>
      <c r="F741" s="2"/>
      <c r="G741" s="2"/>
      <c r="H741" s="2"/>
      <c r="I741" s="2"/>
    </row>
    <row r="742" spans="1:9" ht="15.75" customHeight="1" x14ac:dyDescent="0.2">
      <c r="A742" s="2"/>
      <c r="B742" s="2"/>
      <c r="C742" s="2"/>
      <c r="D742" s="2"/>
      <c r="E742" s="2"/>
      <c r="F742" s="2"/>
      <c r="G742" s="2"/>
      <c r="H742" s="2"/>
      <c r="I742" s="2"/>
    </row>
    <row r="743" spans="1:9" ht="15.75" customHeight="1" x14ac:dyDescent="0.2">
      <c r="A743" s="2"/>
      <c r="B743" s="2"/>
      <c r="C743" s="2"/>
      <c r="D743" s="2"/>
      <c r="E743" s="2"/>
      <c r="F743" s="2"/>
      <c r="G743" s="2"/>
      <c r="H743" s="2"/>
      <c r="I743" s="2"/>
    </row>
    <row r="744" spans="1:9" ht="15.75" customHeight="1" x14ac:dyDescent="0.2">
      <c r="A744" s="2"/>
      <c r="B744" s="2"/>
      <c r="C744" s="2"/>
      <c r="D744" s="2"/>
      <c r="E744" s="2"/>
      <c r="F744" s="2"/>
      <c r="G744" s="2"/>
      <c r="H744" s="2"/>
      <c r="I744" s="2"/>
    </row>
    <row r="745" spans="1:9" ht="15.75" customHeight="1" x14ac:dyDescent="0.2">
      <c r="A745" s="2"/>
      <c r="B745" s="2"/>
      <c r="C745" s="2"/>
      <c r="D745" s="2"/>
      <c r="E745" s="2"/>
      <c r="F745" s="2"/>
      <c r="G745" s="2"/>
      <c r="H745" s="2"/>
      <c r="I745" s="2"/>
    </row>
    <row r="746" spans="1:9" ht="15.75" customHeight="1" x14ac:dyDescent="0.2">
      <c r="A746" s="2"/>
      <c r="B746" s="2"/>
      <c r="C746" s="2"/>
      <c r="D746" s="2"/>
      <c r="E746" s="2"/>
      <c r="F746" s="2"/>
      <c r="G746" s="2"/>
      <c r="H746" s="2"/>
      <c r="I746" s="2"/>
    </row>
    <row r="747" spans="1:9" ht="15.75" customHeight="1" x14ac:dyDescent="0.2">
      <c r="A747" s="2"/>
      <c r="B747" s="2"/>
      <c r="C747" s="2"/>
      <c r="D747" s="2"/>
      <c r="E747" s="2"/>
      <c r="F747" s="2"/>
      <c r="G747" s="2"/>
      <c r="H747" s="2"/>
      <c r="I747" s="2"/>
    </row>
    <row r="748" spans="1:9" ht="15.75" customHeight="1" x14ac:dyDescent="0.2">
      <c r="A748" s="2"/>
      <c r="B748" s="2"/>
      <c r="C748" s="2"/>
      <c r="D748" s="2"/>
      <c r="E748" s="2"/>
      <c r="F748" s="2"/>
      <c r="G748" s="2"/>
      <c r="H748" s="2"/>
      <c r="I748" s="2"/>
    </row>
    <row r="749" spans="1:9" ht="15.75" customHeight="1" x14ac:dyDescent="0.2">
      <c r="A749" s="2"/>
      <c r="B749" s="2"/>
      <c r="C749" s="2"/>
      <c r="D749" s="2"/>
      <c r="E749" s="2"/>
      <c r="F749" s="2"/>
      <c r="G749" s="2"/>
      <c r="H749" s="2"/>
      <c r="I749" s="2"/>
    </row>
    <row r="750" spans="1:9" ht="15.75" customHeight="1" x14ac:dyDescent="0.2">
      <c r="A750" s="2"/>
      <c r="B750" s="2"/>
      <c r="C750" s="2"/>
      <c r="D750" s="2"/>
      <c r="E750" s="2"/>
      <c r="F750" s="2"/>
      <c r="G750" s="2"/>
      <c r="H750" s="2"/>
      <c r="I750" s="2"/>
    </row>
    <row r="751" spans="1:9" ht="15.75" customHeight="1" x14ac:dyDescent="0.2">
      <c r="A751" s="2"/>
      <c r="B751" s="2"/>
      <c r="C751" s="2"/>
      <c r="D751" s="2"/>
      <c r="E751" s="2"/>
      <c r="F751" s="2"/>
      <c r="G751" s="2"/>
      <c r="H751" s="2"/>
      <c r="I751" s="2"/>
    </row>
    <row r="752" spans="1:9" ht="15.75" customHeight="1" x14ac:dyDescent="0.2">
      <c r="A752" s="2"/>
      <c r="B752" s="2"/>
      <c r="C752" s="2"/>
      <c r="D752" s="2"/>
      <c r="E752" s="2"/>
      <c r="F752" s="2"/>
      <c r="G752" s="2"/>
      <c r="H752" s="2"/>
      <c r="I752" s="2"/>
    </row>
    <row r="753" spans="1:9" ht="15.75" customHeight="1" x14ac:dyDescent="0.2">
      <c r="A753" s="2"/>
      <c r="B753" s="2"/>
      <c r="C753" s="2"/>
      <c r="D753" s="2"/>
      <c r="E753" s="2"/>
      <c r="F753" s="2"/>
      <c r="G753" s="2"/>
      <c r="H753" s="2"/>
      <c r="I753" s="2"/>
    </row>
    <row r="754" spans="1:9" ht="15.75" customHeight="1" x14ac:dyDescent="0.2">
      <c r="A754" s="2"/>
      <c r="B754" s="2"/>
      <c r="C754" s="2"/>
      <c r="D754" s="2"/>
      <c r="E754" s="2"/>
      <c r="F754" s="2"/>
      <c r="G754" s="2"/>
      <c r="H754" s="2"/>
      <c r="I754" s="2"/>
    </row>
    <row r="755" spans="1:9" ht="15.75" customHeight="1" x14ac:dyDescent="0.2">
      <c r="A755" s="2"/>
      <c r="B755" s="2"/>
      <c r="C755" s="2"/>
      <c r="D755" s="2"/>
      <c r="E755" s="2"/>
      <c r="F755" s="2"/>
      <c r="G755" s="2"/>
      <c r="H755" s="2"/>
      <c r="I755" s="2"/>
    </row>
    <row r="756" spans="1:9" ht="15.75" customHeight="1" x14ac:dyDescent="0.2">
      <c r="A756" s="2"/>
      <c r="B756" s="2"/>
      <c r="C756" s="2"/>
      <c r="D756" s="2"/>
      <c r="E756" s="2"/>
      <c r="F756" s="2"/>
      <c r="G756" s="2"/>
      <c r="H756" s="2"/>
      <c r="I756" s="2"/>
    </row>
    <row r="757" spans="1:9" ht="15.75" customHeight="1" x14ac:dyDescent="0.2">
      <c r="A757" s="2"/>
      <c r="B757" s="2"/>
      <c r="C757" s="2"/>
      <c r="D757" s="2"/>
      <c r="E757" s="2"/>
      <c r="F757" s="2"/>
      <c r="G757" s="2"/>
      <c r="H757" s="2"/>
      <c r="I757" s="2"/>
    </row>
    <row r="758" spans="1:9" ht="15.75" customHeight="1" x14ac:dyDescent="0.2">
      <c r="A758" s="2"/>
      <c r="B758" s="2"/>
      <c r="C758" s="2"/>
      <c r="D758" s="2"/>
      <c r="E758" s="2"/>
      <c r="F758" s="2"/>
      <c r="G758" s="2"/>
      <c r="H758" s="2"/>
      <c r="I758" s="2"/>
    </row>
    <row r="759" spans="1:9" ht="15.75" customHeight="1" x14ac:dyDescent="0.2">
      <c r="A759" s="2"/>
      <c r="B759" s="2"/>
      <c r="C759" s="2"/>
      <c r="D759" s="2"/>
      <c r="E759" s="2"/>
      <c r="F759" s="2"/>
      <c r="G759" s="2"/>
      <c r="H759" s="2"/>
      <c r="I759" s="2"/>
    </row>
    <row r="760" spans="1:9" ht="15.75" customHeight="1" x14ac:dyDescent="0.2">
      <c r="A760" s="2"/>
      <c r="B760" s="2"/>
      <c r="C760" s="2"/>
      <c r="D760" s="2"/>
      <c r="E760" s="2"/>
      <c r="F760" s="2"/>
      <c r="G760" s="2"/>
      <c r="H760" s="2"/>
      <c r="I760" s="2"/>
    </row>
    <row r="761" spans="1:9" ht="15.75" customHeight="1" x14ac:dyDescent="0.2">
      <c r="A761" s="2"/>
      <c r="B761" s="2"/>
      <c r="C761" s="2"/>
      <c r="D761" s="2"/>
      <c r="E761" s="2"/>
      <c r="F761" s="2"/>
      <c r="G761" s="2"/>
      <c r="H761" s="2"/>
      <c r="I761" s="2"/>
    </row>
    <row r="762" spans="1:9" ht="15.75" customHeight="1" x14ac:dyDescent="0.2">
      <c r="A762" s="2"/>
      <c r="B762" s="2"/>
      <c r="C762" s="2"/>
      <c r="D762" s="2"/>
      <c r="E762" s="2"/>
      <c r="F762" s="2"/>
      <c r="G762" s="2"/>
      <c r="H762" s="2"/>
      <c r="I762" s="2"/>
    </row>
    <row r="763" spans="1:9" ht="15.75" customHeight="1" x14ac:dyDescent="0.2">
      <c r="A763" s="2"/>
      <c r="B763" s="2"/>
      <c r="C763" s="2"/>
      <c r="D763" s="2"/>
      <c r="E763" s="2"/>
      <c r="F763" s="2"/>
      <c r="G763" s="2"/>
      <c r="H763" s="2"/>
      <c r="I763" s="2"/>
    </row>
    <row r="764" spans="1:9" ht="15.75" customHeight="1" x14ac:dyDescent="0.2">
      <c r="A764" s="2"/>
      <c r="B764" s="2"/>
      <c r="C764" s="2"/>
      <c r="D764" s="2"/>
      <c r="E764" s="2"/>
      <c r="F764" s="2"/>
      <c r="G764" s="2"/>
      <c r="H764" s="2"/>
      <c r="I764" s="2"/>
    </row>
    <row r="765" spans="1:9" ht="15.75" customHeight="1" x14ac:dyDescent="0.2">
      <c r="A765" s="2"/>
      <c r="B765" s="2"/>
      <c r="C765" s="2"/>
      <c r="D765" s="2"/>
      <c r="E765" s="2"/>
      <c r="F765" s="2"/>
      <c r="G765" s="2"/>
      <c r="H765" s="2"/>
      <c r="I765" s="2"/>
    </row>
    <row r="766" spans="1:9" ht="15.75" customHeight="1" x14ac:dyDescent="0.2">
      <c r="A766" s="2"/>
      <c r="B766" s="2"/>
      <c r="C766" s="2"/>
      <c r="D766" s="2"/>
      <c r="E766" s="2"/>
      <c r="F766" s="2"/>
      <c r="G766" s="2"/>
      <c r="H766" s="2"/>
      <c r="I766" s="2"/>
    </row>
    <row r="767" spans="1:9" ht="15.75" customHeight="1" x14ac:dyDescent="0.2">
      <c r="A767" s="2"/>
      <c r="B767" s="2"/>
      <c r="C767" s="2"/>
      <c r="D767" s="2"/>
      <c r="E767" s="2"/>
      <c r="F767" s="2"/>
      <c r="G767" s="2"/>
      <c r="H767" s="2"/>
      <c r="I767" s="2"/>
    </row>
    <row r="768" spans="1:9" ht="15.75" customHeight="1" x14ac:dyDescent="0.2">
      <c r="A768" s="2"/>
      <c r="B768" s="2"/>
      <c r="C768" s="2"/>
      <c r="D768" s="2"/>
      <c r="E768" s="2"/>
      <c r="F768" s="2"/>
      <c r="G768" s="2"/>
      <c r="H768" s="2"/>
      <c r="I768" s="2"/>
    </row>
    <row r="769" spans="1:9" ht="15.75" customHeight="1" x14ac:dyDescent="0.2">
      <c r="A769" s="2"/>
      <c r="B769" s="2"/>
      <c r="C769" s="2"/>
      <c r="D769" s="2"/>
      <c r="E769" s="2"/>
      <c r="F769" s="2"/>
      <c r="G769" s="2"/>
      <c r="H769" s="2"/>
      <c r="I769" s="2"/>
    </row>
    <row r="770" spans="1:9" ht="15.75" customHeight="1" x14ac:dyDescent="0.2">
      <c r="A770" s="2"/>
      <c r="B770" s="2"/>
      <c r="C770" s="2"/>
      <c r="D770" s="2"/>
      <c r="E770" s="2"/>
      <c r="F770" s="2"/>
      <c r="G770" s="2"/>
      <c r="H770" s="2"/>
      <c r="I770" s="2"/>
    </row>
    <row r="771" spans="1:9" ht="15.75" customHeight="1" x14ac:dyDescent="0.2">
      <c r="A771" s="2"/>
      <c r="B771" s="2"/>
      <c r="C771" s="2"/>
      <c r="D771" s="2"/>
      <c r="E771" s="2"/>
      <c r="F771" s="2"/>
      <c r="G771" s="2"/>
      <c r="H771" s="2"/>
      <c r="I771" s="2"/>
    </row>
    <row r="772" spans="1:9" ht="15.75" customHeight="1" x14ac:dyDescent="0.2">
      <c r="A772" s="2"/>
      <c r="B772" s="2"/>
      <c r="C772" s="2"/>
      <c r="D772" s="2"/>
      <c r="E772" s="2"/>
      <c r="F772" s="2"/>
      <c r="G772" s="2"/>
      <c r="H772" s="2"/>
      <c r="I772" s="2"/>
    </row>
    <row r="773" spans="1:9" ht="15.75" customHeight="1" x14ac:dyDescent="0.2">
      <c r="A773" s="2"/>
      <c r="B773" s="2"/>
      <c r="C773" s="2"/>
      <c r="D773" s="2"/>
      <c r="E773" s="2"/>
      <c r="F773" s="2"/>
      <c r="G773" s="2"/>
      <c r="H773" s="2"/>
      <c r="I773" s="2"/>
    </row>
    <row r="774" spans="1:9" ht="15.75" customHeight="1" x14ac:dyDescent="0.2">
      <c r="A774" s="2"/>
      <c r="B774" s="2"/>
      <c r="C774" s="2"/>
      <c r="D774" s="2"/>
      <c r="E774" s="2"/>
      <c r="F774" s="2"/>
      <c r="G774" s="2"/>
      <c r="H774" s="2"/>
      <c r="I774" s="2"/>
    </row>
    <row r="775" spans="1:9" ht="15.75" customHeight="1" x14ac:dyDescent="0.2">
      <c r="A775" s="2"/>
      <c r="B775" s="2"/>
      <c r="C775" s="2"/>
      <c r="D775" s="2"/>
      <c r="E775" s="2"/>
      <c r="F775" s="2"/>
      <c r="G775" s="2"/>
      <c r="H775" s="2"/>
      <c r="I775" s="2"/>
    </row>
    <row r="776" spans="1:9" ht="15.75" customHeight="1" x14ac:dyDescent="0.2">
      <c r="A776" s="2"/>
      <c r="B776" s="2"/>
      <c r="C776" s="2"/>
      <c r="D776" s="2"/>
      <c r="E776" s="2"/>
      <c r="F776" s="2"/>
      <c r="G776" s="2"/>
      <c r="H776" s="2"/>
      <c r="I776" s="2"/>
    </row>
    <row r="777" spans="1:9" ht="15.75" customHeight="1" x14ac:dyDescent="0.2">
      <c r="A777" s="2"/>
      <c r="B777" s="2"/>
      <c r="C777" s="2"/>
      <c r="D777" s="2"/>
      <c r="E777" s="2"/>
      <c r="F777" s="2"/>
      <c r="G777" s="2"/>
      <c r="H777" s="2"/>
      <c r="I777" s="2"/>
    </row>
    <row r="778" spans="1:9" ht="15.75" customHeight="1" x14ac:dyDescent="0.2">
      <c r="A778" s="2"/>
      <c r="B778" s="2"/>
      <c r="C778" s="2"/>
      <c r="D778" s="2"/>
      <c r="E778" s="2"/>
      <c r="F778" s="2"/>
      <c r="G778" s="2"/>
      <c r="H778" s="2"/>
      <c r="I778" s="2"/>
    </row>
    <row r="779" spans="1:9" ht="15.75" customHeight="1" x14ac:dyDescent="0.2">
      <c r="A779" s="2"/>
      <c r="B779" s="2"/>
      <c r="C779" s="2"/>
      <c r="D779" s="2"/>
      <c r="E779" s="2"/>
      <c r="F779" s="2"/>
      <c r="G779" s="2"/>
      <c r="H779" s="2"/>
      <c r="I779" s="2"/>
    </row>
    <row r="780" spans="1:9" ht="15.75" customHeight="1" x14ac:dyDescent="0.2">
      <c r="A780" s="2"/>
      <c r="B780" s="2"/>
      <c r="C780" s="2"/>
      <c r="D780" s="2"/>
      <c r="E780" s="2"/>
      <c r="F780" s="2"/>
      <c r="G780" s="2"/>
      <c r="H780" s="2"/>
      <c r="I780" s="2"/>
    </row>
    <row r="781" spans="1:9" ht="15.75" customHeight="1" x14ac:dyDescent="0.2">
      <c r="A781" s="2"/>
      <c r="B781" s="2"/>
      <c r="C781" s="2"/>
      <c r="D781" s="2"/>
      <c r="E781" s="2"/>
      <c r="F781" s="2"/>
      <c r="G781" s="2"/>
      <c r="H781" s="2"/>
      <c r="I781" s="2"/>
    </row>
    <row r="782" spans="1:9" ht="15.75" customHeight="1" x14ac:dyDescent="0.2">
      <c r="A782" s="2"/>
      <c r="B782" s="2"/>
      <c r="C782" s="2"/>
      <c r="D782" s="2"/>
      <c r="E782" s="2"/>
      <c r="F782" s="2"/>
      <c r="G782" s="2"/>
      <c r="H782" s="2"/>
      <c r="I782" s="2"/>
    </row>
    <row r="783" spans="1:9" ht="15.75" customHeight="1" x14ac:dyDescent="0.2">
      <c r="A783" s="2"/>
      <c r="B783" s="2"/>
      <c r="C783" s="2"/>
      <c r="D783" s="2"/>
      <c r="E783" s="2"/>
      <c r="F783" s="2"/>
      <c r="G783" s="2"/>
      <c r="H783" s="2"/>
      <c r="I783" s="2"/>
    </row>
    <row r="784" spans="1:9" ht="15.75" customHeight="1" x14ac:dyDescent="0.2">
      <c r="A784" s="2"/>
      <c r="B784" s="2"/>
      <c r="C784" s="2"/>
      <c r="D784" s="2"/>
      <c r="E784" s="2"/>
      <c r="F784" s="2"/>
      <c r="G784" s="2"/>
      <c r="H784" s="2"/>
      <c r="I784" s="2"/>
    </row>
    <row r="785" spans="1:9" ht="15.75" customHeight="1" x14ac:dyDescent="0.2">
      <c r="A785" s="2"/>
      <c r="B785" s="2"/>
      <c r="C785" s="2"/>
      <c r="D785" s="2"/>
      <c r="E785" s="2"/>
      <c r="F785" s="2"/>
      <c r="G785" s="2"/>
      <c r="H785" s="2"/>
      <c r="I785" s="2"/>
    </row>
    <row r="786" spans="1:9" ht="15.75" customHeight="1" x14ac:dyDescent="0.2">
      <c r="A786" s="2"/>
      <c r="B786" s="2"/>
      <c r="C786" s="2"/>
      <c r="D786" s="2"/>
      <c r="E786" s="2"/>
      <c r="F786" s="2"/>
      <c r="G786" s="2"/>
      <c r="H786" s="2"/>
      <c r="I786" s="2"/>
    </row>
    <row r="787" spans="1:9" ht="15.75" customHeight="1" x14ac:dyDescent="0.2">
      <c r="A787" s="2"/>
      <c r="B787" s="2"/>
      <c r="C787" s="2"/>
      <c r="D787" s="2"/>
      <c r="E787" s="2"/>
      <c r="F787" s="2"/>
      <c r="G787" s="2"/>
      <c r="H787" s="2"/>
      <c r="I787" s="2"/>
    </row>
    <row r="788" spans="1:9" ht="15.75" customHeight="1" x14ac:dyDescent="0.2">
      <c r="A788" s="2"/>
      <c r="B788" s="2"/>
      <c r="C788" s="2"/>
      <c r="D788" s="2"/>
      <c r="E788" s="2"/>
      <c r="F788" s="2"/>
      <c r="G788" s="2"/>
      <c r="H788" s="2"/>
      <c r="I788" s="2"/>
    </row>
    <row r="789" spans="1:9" ht="15.75" customHeight="1" x14ac:dyDescent="0.2">
      <c r="A789" s="2"/>
      <c r="B789" s="2"/>
      <c r="C789" s="2"/>
      <c r="D789" s="2"/>
      <c r="E789" s="2"/>
      <c r="F789" s="2"/>
      <c r="G789" s="2"/>
      <c r="H789" s="2"/>
      <c r="I789" s="2"/>
    </row>
    <row r="790" spans="1:9" ht="15.75" customHeight="1" x14ac:dyDescent="0.2">
      <c r="A790" s="2"/>
      <c r="B790" s="2"/>
      <c r="C790" s="2"/>
      <c r="D790" s="2"/>
      <c r="E790" s="2"/>
      <c r="F790" s="2"/>
      <c r="G790" s="2"/>
      <c r="H790" s="2"/>
      <c r="I790" s="2"/>
    </row>
    <row r="791" spans="1:9" ht="15.75" customHeight="1" x14ac:dyDescent="0.2">
      <c r="A791" s="2"/>
      <c r="B791" s="2"/>
      <c r="C791" s="2"/>
      <c r="D791" s="2"/>
      <c r="E791" s="2"/>
      <c r="F791" s="2"/>
      <c r="G791" s="2"/>
      <c r="H791" s="2"/>
      <c r="I791" s="2"/>
    </row>
    <row r="792" spans="1:9" ht="15.75" customHeight="1" x14ac:dyDescent="0.2">
      <c r="A792" s="2"/>
      <c r="B792" s="2"/>
      <c r="C792" s="2"/>
      <c r="D792" s="2"/>
      <c r="E792" s="2"/>
      <c r="F792" s="2"/>
      <c r="G792" s="2"/>
      <c r="H792" s="2"/>
      <c r="I792" s="2"/>
    </row>
    <row r="793" spans="1:9" ht="15.75" customHeight="1" x14ac:dyDescent="0.2">
      <c r="A793" s="2"/>
      <c r="B793" s="2"/>
      <c r="C793" s="2"/>
      <c r="D793" s="2"/>
      <c r="E793" s="2"/>
      <c r="F793" s="2"/>
      <c r="G793" s="2"/>
      <c r="H793" s="2"/>
      <c r="I793" s="2"/>
    </row>
    <row r="794" spans="1:9" ht="15.75" customHeight="1" x14ac:dyDescent="0.2">
      <c r="A794" s="2"/>
      <c r="B794" s="2"/>
      <c r="C794" s="2"/>
      <c r="D794" s="2"/>
      <c r="E794" s="2"/>
      <c r="F794" s="2"/>
      <c r="G794" s="2"/>
      <c r="H794" s="2"/>
      <c r="I794" s="2"/>
    </row>
    <row r="795" spans="1:9" ht="15.75" customHeight="1" x14ac:dyDescent="0.2">
      <c r="A795" s="2"/>
      <c r="B795" s="2"/>
      <c r="C795" s="2"/>
      <c r="D795" s="2"/>
      <c r="E795" s="2"/>
      <c r="F795" s="2"/>
      <c r="G795" s="2"/>
      <c r="H795" s="2"/>
      <c r="I795" s="2"/>
    </row>
    <row r="796" spans="1:9" ht="15.75" customHeight="1" x14ac:dyDescent="0.2">
      <c r="A796" s="2"/>
      <c r="B796" s="2"/>
      <c r="C796" s="2"/>
      <c r="D796" s="2"/>
      <c r="E796" s="2"/>
      <c r="F796" s="2"/>
      <c r="G796" s="2"/>
      <c r="H796" s="2"/>
      <c r="I796" s="2"/>
    </row>
    <row r="797" spans="1:9" ht="15.75" customHeight="1" x14ac:dyDescent="0.2">
      <c r="A797" s="2"/>
      <c r="B797" s="2"/>
      <c r="C797" s="2"/>
      <c r="D797" s="2"/>
      <c r="E797" s="2"/>
      <c r="F797" s="2"/>
      <c r="G797" s="2"/>
      <c r="H797" s="2"/>
      <c r="I797" s="2"/>
    </row>
    <row r="798" spans="1:9" ht="15.75" customHeight="1" x14ac:dyDescent="0.2">
      <c r="A798" s="2"/>
      <c r="B798" s="2"/>
      <c r="C798" s="2"/>
      <c r="D798" s="2"/>
      <c r="E798" s="2"/>
      <c r="F798" s="2"/>
      <c r="G798" s="2"/>
      <c r="H798" s="2"/>
      <c r="I798" s="2"/>
    </row>
    <row r="799" spans="1:9" ht="15.75" customHeight="1" x14ac:dyDescent="0.2">
      <c r="A799" s="2"/>
      <c r="B799" s="2"/>
      <c r="C799" s="2"/>
      <c r="D799" s="2"/>
      <c r="E799" s="2"/>
      <c r="F799" s="2"/>
      <c r="G799" s="2"/>
      <c r="H799" s="2"/>
      <c r="I799" s="2"/>
    </row>
    <row r="800" spans="1:9" ht="15.75" customHeight="1" x14ac:dyDescent="0.2">
      <c r="A800" s="2"/>
      <c r="B800" s="2"/>
      <c r="C800" s="2"/>
      <c r="D800" s="2"/>
      <c r="E800" s="2"/>
      <c r="F800" s="2"/>
      <c r="G800" s="2"/>
      <c r="H800" s="2"/>
      <c r="I800" s="2"/>
    </row>
    <row r="801" spans="1:9" ht="15.75" customHeight="1" x14ac:dyDescent="0.2">
      <c r="A801" s="2"/>
      <c r="B801" s="2"/>
      <c r="C801" s="2"/>
      <c r="D801" s="2"/>
      <c r="E801" s="2"/>
      <c r="F801" s="2"/>
      <c r="G801" s="2"/>
      <c r="H801" s="2"/>
      <c r="I801" s="2"/>
    </row>
    <row r="802" spans="1:9" ht="15.75" customHeight="1" x14ac:dyDescent="0.2">
      <c r="A802" s="2"/>
      <c r="B802" s="2"/>
      <c r="C802" s="2"/>
      <c r="D802" s="2"/>
      <c r="E802" s="2"/>
      <c r="F802" s="2"/>
      <c r="G802" s="2"/>
      <c r="H802" s="2"/>
      <c r="I802" s="2"/>
    </row>
    <row r="803" spans="1:9" ht="15.75" customHeight="1" x14ac:dyDescent="0.2">
      <c r="A803" s="2"/>
      <c r="B803" s="2"/>
      <c r="C803" s="2"/>
      <c r="D803" s="2"/>
      <c r="E803" s="2"/>
      <c r="F803" s="2"/>
      <c r="G803" s="2"/>
      <c r="H803" s="2"/>
      <c r="I803" s="2"/>
    </row>
    <row r="804" spans="1:9" ht="15.75" customHeight="1" x14ac:dyDescent="0.2">
      <c r="A804" s="2"/>
      <c r="B804" s="2"/>
      <c r="C804" s="2"/>
      <c r="D804" s="2"/>
      <c r="E804" s="2"/>
      <c r="F804" s="2"/>
      <c r="G804" s="2"/>
      <c r="H804" s="2"/>
      <c r="I804" s="2"/>
    </row>
    <row r="805" spans="1:9" ht="15.75" customHeight="1" x14ac:dyDescent="0.2">
      <c r="A805" s="2"/>
      <c r="B805" s="2"/>
      <c r="C805" s="2"/>
      <c r="D805" s="2"/>
      <c r="E805" s="2"/>
      <c r="F805" s="2"/>
      <c r="G805" s="2"/>
      <c r="H805" s="2"/>
      <c r="I805" s="2"/>
    </row>
    <row r="806" spans="1:9" ht="15.75" customHeight="1" x14ac:dyDescent="0.2">
      <c r="A806" s="2"/>
      <c r="B806" s="2"/>
      <c r="C806" s="2"/>
      <c r="D806" s="2"/>
      <c r="E806" s="2"/>
      <c r="F806" s="2"/>
      <c r="G806" s="2"/>
      <c r="H806" s="2"/>
      <c r="I806" s="2"/>
    </row>
    <row r="807" spans="1:9" ht="15.75" customHeight="1" x14ac:dyDescent="0.2">
      <c r="A807" s="2"/>
      <c r="B807" s="2"/>
      <c r="C807" s="2"/>
      <c r="D807" s="2"/>
      <c r="E807" s="2"/>
      <c r="F807" s="2"/>
      <c r="G807" s="2"/>
      <c r="H807" s="2"/>
      <c r="I807" s="2"/>
    </row>
    <row r="808" spans="1:9" ht="15.75" customHeight="1" x14ac:dyDescent="0.2">
      <c r="A808" s="2"/>
      <c r="B808" s="2"/>
      <c r="C808" s="2"/>
      <c r="D808" s="2"/>
      <c r="E808" s="2"/>
      <c r="F808" s="2"/>
      <c r="G808" s="2"/>
      <c r="H808" s="2"/>
      <c r="I808" s="2"/>
    </row>
    <row r="809" spans="1:9" ht="15.75" customHeight="1" x14ac:dyDescent="0.2">
      <c r="A809" s="2"/>
      <c r="B809" s="2"/>
      <c r="C809" s="2"/>
      <c r="D809" s="2"/>
      <c r="E809" s="2"/>
      <c r="F809" s="2"/>
      <c r="G809" s="2"/>
      <c r="H809" s="2"/>
      <c r="I809" s="2"/>
    </row>
    <row r="810" spans="1:9" ht="15.75" customHeight="1" x14ac:dyDescent="0.2">
      <c r="A810" s="2"/>
      <c r="B810" s="2"/>
      <c r="C810" s="2"/>
      <c r="D810" s="2"/>
      <c r="E810" s="2"/>
      <c r="F810" s="2"/>
      <c r="G810" s="2"/>
      <c r="H810" s="2"/>
      <c r="I810" s="2"/>
    </row>
    <row r="811" spans="1:9" ht="15.75" customHeight="1" x14ac:dyDescent="0.2">
      <c r="A811" s="2"/>
      <c r="B811" s="2"/>
      <c r="C811" s="2"/>
      <c r="D811" s="2"/>
      <c r="E811" s="2"/>
      <c r="F811" s="2"/>
      <c r="G811" s="2"/>
      <c r="H811" s="2"/>
      <c r="I811" s="2"/>
    </row>
    <row r="812" spans="1:9" ht="15.75" customHeight="1" x14ac:dyDescent="0.2">
      <c r="A812" s="2"/>
      <c r="B812" s="2"/>
      <c r="C812" s="2"/>
      <c r="D812" s="2"/>
      <c r="E812" s="2"/>
      <c r="F812" s="2"/>
      <c r="G812" s="2"/>
      <c r="H812" s="2"/>
      <c r="I812" s="2"/>
    </row>
    <row r="813" spans="1:9" ht="15.75" customHeight="1" x14ac:dyDescent="0.2">
      <c r="A813" s="2"/>
      <c r="B813" s="2"/>
      <c r="C813" s="2"/>
      <c r="D813" s="2"/>
      <c r="E813" s="2"/>
      <c r="F813" s="2"/>
      <c r="G813" s="2"/>
      <c r="H813" s="2"/>
      <c r="I813" s="2"/>
    </row>
    <row r="814" spans="1:9" ht="15.75" customHeight="1" x14ac:dyDescent="0.2">
      <c r="A814" s="2"/>
      <c r="B814" s="2"/>
      <c r="C814" s="2"/>
      <c r="D814" s="2"/>
      <c r="E814" s="2"/>
      <c r="F814" s="2"/>
      <c r="G814" s="2"/>
      <c r="H814" s="2"/>
      <c r="I814" s="2"/>
    </row>
    <row r="815" spans="1:9" ht="15.75" customHeight="1" x14ac:dyDescent="0.2">
      <c r="A815" s="2"/>
      <c r="B815" s="2"/>
      <c r="C815" s="2"/>
      <c r="D815" s="2"/>
      <c r="E815" s="2"/>
      <c r="F815" s="2"/>
      <c r="G815" s="2"/>
      <c r="H815" s="2"/>
      <c r="I815" s="2"/>
    </row>
    <row r="816" spans="1:9" ht="15.75" customHeight="1" x14ac:dyDescent="0.2">
      <c r="A816" s="2"/>
      <c r="B816" s="2"/>
      <c r="C816" s="2"/>
      <c r="D816" s="2"/>
      <c r="E816" s="2"/>
      <c r="F816" s="2"/>
      <c r="G816" s="2"/>
      <c r="H816" s="2"/>
      <c r="I816" s="2"/>
    </row>
    <row r="817" spans="1:9" ht="15.75" customHeight="1" x14ac:dyDescent="0.2">
      <c r="A817" s="2"/>
      <c r="B817" s="2"/>
      <c r="C817" s="2"/>
      <c r="D817" s="2"/>
      <c r="E817" s="2"/>
      <c r="F817" s="2"/>
      <c r="G817" s="2"/>
      <c r="H817" s="2"/>
      <c r="I817" s="2"/>
    </row>
    <row r="818" spans="1:9" ht="15.75" customHeight="1" x14ac:dyDescent="0.2">
      <c r="A818" s="2"/>
      <c r="B818" s="2"/>
      <c r="C818" s="2"/>
      <c r="D818" s="2"/>
      <c r="E818" s="2"/>
      <c r="F818" s="2"/>
      <c r="G818" s="2"/>
      <c r="H818" s="2"/>
      <c r="I818" s="2"/>
    </row>
    <row r="819" spans="1:9" ht="15.75" customHeight="1" x14ac:dyDescent="0.2">
      <c r="A819" s="2"/>
      <c r="B819" s="2"/>
      <c r="C819" s="2"/>
      <c r="D819" s="2"/>
      <c r="E819" s="2"/>
      <c r="F819" s="2"/>
      <c r="G819" s="2"/>
      <c r="H819" s="2"/>
      <c r="I819" s="2"/>
    </row>
    <row r="820" spans="1:9" ht="15.75" customHeight="1" x14ac:dyDescent="0.2">
      <c r="A820" s="2"/>
      <c r="B820" s="2"/>
      <c r="C820" s="2"/>
      <c r="D820" s="2"/>
      <c r="E820" s="2"/>
      <c r="F820" s="2"/>
      <c r="G820" s="2"/>
      <c r="H820" s="2"/>
      <c r="I820" s="2"/>
    </row>
    <row r="821" spans="1:9" ht="15.75" customHeight="1" x14ac:dyDescent="0.2">
      <c r="A821" s="2"/>
      <c r="B821" s="2"/>
      <c r="C821" s="2"/>
      <c r="D821" s="2"/>
      <c r="E821" s="2"/>
      <c r="F821" s="2"/>
      <c r="G821" s="2"/>
      <c r="H821" s="2"/>
      <c r="I821" s="2"/>
    </row>
    <row r="822" spans="1:9" ht="15.75" customHeight="1" x14ac:dyDescent="0.2">
      <c r="A822" s="2"/>
      <c r="B822" s="2"/>
      <c r="C822" s="2"/>
      <c r="D822" s="2"/>
      <c r="E822" s="2"/>
      <c r="F822" s="2"/>
      <c r="G822" s="2"/>
      <c r="H822" s="2"/>
      <c r="I822" s="2"/>
    </row>
    <row r="823" spans="1:9" ht="15.75" customHeight="1" x14ac:dyDescent="0.2">
      <c r="A823" s="2"/>
      <c r="B823" s="2"/>
      <c r="C823" s="2"/>
      <c r="D823" s="2"/>
      <c r="E823" s="2"/>
      <c r="F823" s="2"/>
      <c r="G823" s="2"/>
      <c r="H823" s="2"/>
      <c r="I823" s="2"/>
    </row>
    <row r="824" spans="1:9" ht="15.75" customHeight="1" x14ac:dyDescent="0.2">
      <c r="A824" s="2"/>
      <c r="B824" s="2"/>
      <c r="C824" s="2"/>
      <c r="D824" s="2"/>
      <c r="E824" s="2"/>
      <c r="F824" s="2"/>
      <c r="G824" s="2"/>
      <c r="H824" s="2"/>
      <c r="I824" s="2"/>
    </row>
    <row r="825" spans="1:9" ht="15.75" customHeight="1" x14ac:dyDescent="0.2">
      <c r="A825" s="2"/>
      <c r="B825" s="2"/>
      <c r="C825" s="2"/>
      <c r="D825" s="2"/>
      <c r="E825" s="2"/>
      <c r="F825" s="2"/>
      <c r="G825" s="2"/>
      <c r="H825" s="2"/>
      <c r="I825" s="2"/>
    </row>
    <row r="826" spans="1:9" ht="15.75" customHeight="1" x14ac:dyDescent="0.2">
      <c r="A826" s="2"/>
      <c r="B826" s="2"/>
      <c r="C826" s="2"/>
      <c r="D826" s="2"/>
      <c r="E826" s="2"/>
      <c r="F826" s="2"/>
      <c r="G826" s="2"/>
      <c r="H826" s="2"/>
      <c r="I826" s="2"/>
    </row>
    <row r="827" spans="1:9" ht="15.75" customHeight="1" x14ac:dyDescent="0.2">
      <c r="A827" s="2"/>
      <c r="B827" s="2"/>
      <c r="C827" s="2"/>
      <c r="D827" s="2"/>
      <c r="E827" s="2"/>
      <c r="F827" s="2"/>
      <c r="G827" s="2"/>
      <c r="H827" s="2"/>
      <c r="I827" s="2"/>
    </row>
    <row r="828" spans="1:9" ht="15.75" customHeight="1" x14ac:dyDescent="0.2">
      <c r="A828" s="2"/>
      <c r="B828" s="2"/>
      <c r="C828" s="2"/>
      <c r="D828" s="2"/>
      <c r="E828" s="2"/>
      <c r="F828" s="2"/>
      <c r="G828" s="2"/>
      <c r="H828" s="2"/>
      <c r="I828" s="2"/>
    </row>
    <row r="829" spans="1:9" ht="15.75" customHeight="1" x14ac:dyDescent="0.2">
      <c r="A829" s="2"/>
      <c r="B829" s="2"/>
      <c r="C829" s="2"/>
      <c r="D829" s="2"/>
      <c r="E829" s="2"/>
      <c r="F829" s="2"/>
      <c r="G829" s="2"/>
      <c r="H829" s="2"/>
      <c r="I829" s="2"/>
    </row>
    <row r="830" spans="1:9" ht="15.75" customHeight="1" x14ac:dyDescent="0.2">
      <c r="A830" s="2"/>
      <c r="B830" s="2"/>
      <c r="C830" s="2"/>
      <c r="D830" s="2"/>
      <c r="E830" s="2"/>
      <c r="F830" s="2"/>
      <c r="G830" s="2"/>
      <c r="H830" s="2"/>
      <c r="I830" s="2"/>
    </row>
    <row r="831" spans="1:9" ht="15.75" customHeight="1" x14ac:dyDescent="0.2">
      <c r="A831" s="2"/>
      <c r="B831" s="2"/>
      <c r="C831" s="2"/>
      <c r="D831" s="2"/>
      <c r="E831" s="2"/>
      <c r="F831" s="2"/>
      <c r="G831" s="2"/>
      <c r="H831" s="2"/>
      <c r="I831" s="2"/>
    </row>
    <row r="832" spans="1:9" ht="15.75" customHeight="1" x14ac:dyDescent="0.2">
      <c r="A832" s="2"/>
      <c r="B832" s="2"/>
      <c r="C832" s="2"/>
      <c r="D832" s="2"/>
      <c r="E832" s="2"/>
      <c r="F832" s="2"/>
      <c r="G832" s="2"/>
      <c r="H832" s="2"/>
      <c r="I832" s="2"/>
    </row>
    <row r="833" spans="1:9" ht="15.75" customHeight="1" x14ac:dyDescent="0.2">
      <c r="A833" s="2"/>
      <c r="B833" s="2"/>
      <c r="C833" s="2"/>
      <c r="D833" s="2"/>
      <c r="E833" s="2"/>
      <c r="F833" s="2"/>
      <c r="G833" s="2"/>
      <c r="H833" s="2"/>
      <c r="I833" s="2"/>
    </row>
    <row r="834" spans="1:9" ht="15.75" customHeight="1" x14ac:dyDescent="0.2">
      <c r="A834" s="2"/>
      <c r="B834" s="2"/>
      <c r="C834" s="2"/>
      <c r="D834" s="2"/>
      <c r="E834" s="2"/>
      <c r="F834" s="2"/>
      <c r="G834" s="2"/>
      <c r="H834" s="2"/>
      <c r="I834" s="2"/>
    </row>
    <row r="835" spans="1:9" ht="15.75" customHeight="1" x14ac:dyDescent="0.2">
      <c r="A835" s="2"/>
      <c r="B835" s="2"/>
      <c r="C835" s="2"/>
      <c r="D835" s="2"/>
      <c r="E835" s="2"/>
      <c r="F835" s="2"/>
      <c r="G835" s="2"/>
      <c r="H835" s="2"/>
      <c r="I835" s="2"/>
    </row>
    <row r="836" spans="1:9" ht="15.75" customHeight="1" x14ac:dyDescent="0.2">
      <c r="A836" s="2"/>
      <c r="B836" s="2"/>
      <c r="C836" s="2"/>
      <c r="D836" s="2"/>
      <c r="E836" s="2"/>
      <c r="F836" s="2"/>
      <c r="G836" s="2"/>
      <c r="H836" s="2"/>
      <c r="I836" s="2"/>
    </row>
    <row r="837" spans="1:9" ht="15.75" customHeight="1" x14ac:dyDescent="0.2">
      <c r="A837" s="2"/>
      <c r="B837" s="2"/>
      <c r="C837" s="2"/>
      <c r="D837" s="2"/>
      <c r="E837" s="2"/>
      <c r="F837" s="2"/>
      <c r="G837" s="2"/>
      <c r="H837" s="2"/>
      <c r="I837" s="2"/>
    </row>
    <row r="838" spans="1:9" ht="15.75" customHeight="1" x14ac:dyDescent="0.2">
      <c r="A838" s="2"/>
      <c r="B838" s="2"/>
      <c r="C838" s="2"/>
      <c r="D838" s="2"/>
      <c r="E838" s="2"/>
      <c r="F838" s="2"/>
      <c r="G838" s="2"/>
      <c r="H838" s="2"/>
      <c r="I838" s="2"/>
    </row>
    <row r="839" spans="1:9" ht="15.75" customHeight="1" x14ac:dyDescent="0.2">
      <c r="A839" s="2"/>
      <c r="B839" s="2"/>
      <c r="C839" s="2"/>
      <c r="D839" s="2"/>
      <c r="E839" s="2"/>
      <c r="F839" s="2"/>
      <c r="G839" s="2"/>
      <c r="H839" s="2"/>
      <c r="I839" s="2"/>
    </row>
    <row r="840" spans="1:9" ht="15.75" customHeight="1" x14ac:dyDescent="0.2">
      <c r="A840" s="2"/>
      <c r="B840" s="2"/>
      <c r="C840" s="2"/>
      <c r="D840" s="2"/>
      <c r="E840" s="2"/>
      <c r="F840" s="2"/>
      <c r="G840" s="2"/>
      <c r="H840" s="2"/>
      <c r="I840" s="2"/>
    </row>
    <row r="841" spans="1:9" ht="15.75" customHeight="1" x14ac:dyDescent="0.2">
      <c r="A841" s="2"/>
      <c r="B841" s="2"/>
      <c r="C841" s="2"/>
      <c r="D841" s="2"/>
      <c r="E841" s="2"/>
      <c r="F841" s="2"/>
      <c r="G841" s="2"/>
      <c r="H841" s="2"/>
      <c r="I841" s="2"/>
    </row>
    <row r="842" spans="1:9" ht="15.75" customHeight="1" x14ac:dyDescent="0.2">
      <c r="A842" s="2"/>
      <c r="B842" s="2"/>
      <c r="C842" s="2"/>
      <c r="D842" s="2"/>
      <c r="E842" s="2"/>
      <c r="F842" s="2"/>
      <c r="G842" s="2"/>
      <c r="H842" s="2"/>
      <c r="I842" s="2"/>
    </row>
    <row r="843" spans="1:9" ht="15.75" customHeight="1" x14ac:dyDescent="0.2">
      <c r="A843" s="2"/>
      <c r="B843" s="2"/>
      <c r="C843" s="2"/>
      <c r="D843" s="2"/>
      <c r="E843" s="2"/>
      <c r="F843" s="2"/>
      <c r="G843" s="2"/>
      <c r="H843" s="2"/>
      <c r="I843" s="2"/>
    </row>
    <row r="844" spans="1:9" ht="15.75" customHeight="1" x14ac:dyDescent="0.2">
      <c r="A844" s="2"/>
      <c r="B844" s="2"/>
      <c r="C844" s="2"/>
      <c r="D844" s="2"/>
      <c r="E844" s="2"/>
      <c r="F844" s="2"/>
      <c r="G844" s="2"/>
      <c r="H844" s="2"/>
      <c r="I844" s="2"/>
    </row>
    <row r="845" spans="1:9" ht="15.75" customHeight="1" x14ac:dyDescent="0.2">
      <c r="A845" s="2"/>
      <c r="B845" s="2"/>
      <c r="C845" s="2"/>
      <c r="D845" s="2"/>
      <c r="E845" s="2"/>
      <c r="F845" s="2"/>
      <c r="G845" s="2"/>
      <c r="H845" s="2"/>
      <c r="I845" s="2"/>
    </row>
    <row r="846" spans="1:9" ht="15.75" customHeight="1" x14ac:dyDescent="0.2">
      <c r="A846" s="2"/>
      <c r="B846" s="2"/>
      <c r="C846" s="2"/>
      <c r="D846" s="2"/>
      <c r="E846" s="2"/>
      <c r="F846" s="2"/>
      <c r="G846" s="2"/>
      <c r="H846" s="2"/>
      <c r="I846" s="2"/>
    </row>
    <row r="847" spans="1:9" ht="15.75" customHeight="1" x14ac:dyDescent="0.2">
      <c r="A847" s="2"/>
      <c r="B847" s="2"/>
      <c r="C847" s="2"/>
      <c r="D847" s="2"/>
      <c r="E847" s="2"/>
      <c r="F847" s="2"/>
      <c r="G847" s="2"/>
      <c r="H847" s="2"/>
      <c r="I847" s="2"/>
    </row>
    <row r="848" spans="1:9" ht="15.75" customHeight="1" x14ac:dyDescent="0.2">
      <c r="A848" s="2"/>
      <c r="B848" s="2"/>
      <c r="C848" s="2"/>
      <c r="D848" s="2"/>
      <c r="E848" s="2"/>
      <c r="F848" s="2"/>
      <c r="G848" s="2"/>
      <c r="H848" s="2"/>
      <c r="I848" s="2"/>
    </row>
    <row r="849" spans="1:9" ht="15.75" customHeight="1" x14ac:dyDescent="0.2">
      <c r="A849" s="2"/>
      <c r="B849" s="2"/>
      <c r="C849" s="2"/>
      <c r="D849" s="2"/>
      <c r="E849" s="2"/>
      <c r="F849" s="2"/>
      <c r="G849" s="2"/>
      <c r="H849" s="2"/>
      <c r="I849" s="2"/>
    </row>
    <row r="850" spans="1:9" ht="15.75" customHeight="1" x14ac:dyDescent="0.2">
      <c r="A850" s="2"/>
      <c r="B850" s="2"/>
      <c r="C850" s="2"/>
      <c r="D850" s="2"/>
      <c r="E850" s="2"/>
      <c r="F850" s="2"/>
      <c r="G850" s="2"/>
      <c r="H850" s="2"/>
      <c r="I850" s="2"/>
    </row>
    <row r="851" spans="1:9" ht="15.75" customHeight="1" x14ac:dyDescent="0.2">
      <c r="A851" s="2"/>
      <c r="B851" s="2"/>
      <c r="C851" s="2"/>
      <c r="D851" s="2"/>
      <c r="E851" s="2"/>
      <c r="F851" s="2"/>
      <c r="G851" s="2"/>
      <c r="H851" s="2"/>
      <c r="I851" s="2"/>
    </row>
    <row r="852" spans="1:9" ht="15.75" customHeight="1" x14ac:dyDescent="0.2">
      <c r="A852" s="2"/>
      <c r="B852" s="2"/>
      <c r="C852" s="2"/>
      <c r="D852" s="2"/>
      <c r="E852" s="2"/>
      <c r="F852" s="2"/>
      <c r="G852" s="2"/>
      <c r="H852" s="2"/>
      <c r="I852" s="2"/>
    </row>
    <row r="853" spans="1:9" ht="15.75" customHeight="1" x14ac:dyDescent="0.2">
      <c r="A853" s="2"/>
      <c r="B853" s="2"/>
      <c r="C853" s="2"/>
      <c r="D853" s="2"/>
      <c r="E853" s="2"/>
      <c r="F853" s="2"/>
      <c r="G853" s="2"/>
      <c r="H853" s="2"/>
      <c r="I853" s="2"/>
    </row>
    <row r="854" spans="1:9" ht="15.75" customHeight="1" x14ac:dyDescent="0.2">
      <c r="A854" s="2"/>
      <c r="B854" s="2"/>
      <c r="C854" s="2"/>
      <c r="D854" s="2"/>
      <c r="E854" s="2"/>
      <c r="F854" s="2"/>
      <c r="G854" s="2"/>
      <c r="H854" s="2"/>
      <c r="I854" s="2"/>
    </row>
    <row r="855" spans="1:9" ht="15.75" customHeight="1" x14ac:dyDescent="0.2">
      <c r="A855" s="2"/>
      <c r="B855" s="2"/>
      <c r="C855" s="2"/>
      <c r="D855" s="2"/>
      <c r="E855" s="2"/>
      <c r="F855" s="2"/>
      <c r="G855" s="2"/>
      <c r="H855" s="2"/>
      <c r="I855" s="2"/>
    </row>
    <row r="856" spans="1:9" ht="15.75" customHeight="1" x14ac:dyDescent="0.2">
      <c r="A856" s="2"/>
      <c r="B856" s="2"/>
      <c r="C856" s="2"/>
      <c r="D856" s="2"/>
      <c r="E856" s="2"/>
      <c r="F856" s="2"/>
      <c r="G856" s="2"/>
      <c r="H856" s="2"/>
      <c r="I856" s="2"/>
    </row>
    <row r="857" spans="1:9" ht="15.75" customHeight="1" x14ac:dyDescent="0.2">
      <c r="A857" s="2"/>
      <c r="B857" s="2"/>
      <c r="C857" s="2"/>
      <c r="D857" s="2"/>
      <c r="E857" s="2"/>
      <c r="F857" s="2"/>
      <c r="G857" s="2"/>
      <c r="H857" s="2"/>
      <c r="I857" s="2"/>
    </row>
    <row r="858" spans="1:9" ht="15.75" customHeight="1" x14ac:dyDescent="0.2">
      <c r="A858" s="2"/>
      <c r="B858" s="2"/>
      <c r="C858" s="2"/>
      <c r="D858" s="2"/>
      <c r="E858" s="2"/>
      <c r="F858" s="2"/>
      <c r="G858" s="2"/>
      <c r="H858" s="2"/>
      <c r="I858" s="2"/>
    </row>
    <row r="859" spans="1:9" ht="15.75" customHeight="1" x14ac:dyDescent="0.2">
      <c r="A859" s="2"/>
      <c r="B859" s="2"/>
      <c r="C859" s="2"/>
      <c r="D859" s="2"/>
      <c r="E859" s="2"/>
      <c r="F859" s="2"/>
      <c r="G859" s="2"/>
      <c r="H859" s="2"/>
      <c r="I859" s="2"/>
    </row>
    <row r="860" spans="1:9" ht="15.75" customHeight="1" x14ac:dyDescent="0.2">
      <c r="A860" s="2"/>
      <c r="B860" s="2"/>
      <c r="C860" s="2"/>
      <c r="D860" s="2"/>
      <c r="E860" s="2"/>
      <c r="F860" s="2"/>
      <c r="G860" s="2"/>
      <c r="H860" s="2"/>
      <c r="I860" s="2"/>
    </row>
    <row r="861" spans="1:9" ht="15.75" customHeight="1" x14ac:dyDescent="0.2">
      <c r="A861" s="2"/>
      <c r="B861" s="2"/>
      <c r="C861" s="2"/>
      <c r="D861" s="2"/>
      <c r="E861" s="2"/>
      <c r="F861" s="2"/>
      <c r="G861" s="2"/>
      <c r="H861" s="2"/>
      <c r="I861" s="2"/>
    </row>
    <row r="862" spans="1:9" ht="15.75" customHeight="1" x14ac:dyDescent="0.2">
      <c r="A862" s="2"/>
      <c r="B862" s="2"/>
      <c r="C862" s="2"/>
      <c r="D862" s="2"/>
      <c r="E862" s="2"/>
      <c r="F862" s="2"/>
      <c r="G862" s="2"/>
      <c r="H862" s="2"/>
      <c r="I862" s="2"/>
    </row>
    <row r="863" spans="1:9" ht="15.75" customHeight="1" x14ac:dyDescent="0.2">
      <c r="A863" s="2"/>
      <c r="B863" s="2"/>
      <c r="C863" s="2"/>
      <c r="D863" s="2"/>
      <c r="E863" s="2"/>
      <c r="F863" s="2"/>
      <c r="G863" s="2"/>
      <c r="H863" s="2"/>
      <c r="I863" s="2"/>
    </row>
    <row r="864" spans="1:9" ht="15.75" customHeight="1" x14ac:dyDescent="0.2">
      <c r="A864" s="2"/>
      <c r="B864" s="2"/>
      <c r="C864" s="2"/>
      <c r="D864" s="2"/>
      <c r="E864" s="2"/>
      <c r="F864" s="2"/>
      <c r="G864" s="2"/>
      <c r="H864" s="2"/>
      <c r="I864" s="2"/>
    </row>
    <row r="865" spans="1:9" ht="15.75" customHeight="1" x14ac:dyDescent="0.2">
      <c r="A865" s="2"/>
      <c r="B865" s="2"/>
      <c r="C865" s="2"/>
      <c r="D865" s="2"/>
      <c r="E865" s="2"/>
      <c r="F865" s="2"/>
      <c r="G865" s="2"/>
      <c r="H865" s="2"/>
      <c r="I865" s="2"/>
    </row>
    <row r="866" spans="1:9" ht="15.75" customHeight="1" x14ac:dyDescent="0.2">
      <c r="A866" s="2"/>
      <c r="B866" s="2"/>
      <c r="C866" s="2"/>
      <c r="D866" s="2"/>
      <c r="E866" s="2"/>
      <c r="F866" s="2"/>
      <c r="G866" s="2"/>
      <c r="H866" s="2"/>
      <c r="I866" s="2"/>
    </row>
    <row r="867" spans="1:9" ht="15.75" customHeight="1" x14ac:dyDescent="0.2">
      <c r="A867" s="2"/>
      <c r="B867" s="2"/>
      <c r="C867" s="2"/>
      <c r="D867" s="2"/>
      <c r="E867" s="2"/>
      <c r="F867" s="2"/>
      <c r="G867" s="2"/>
      <c r="H867" s="2"/>
      <c r="I867" s="2"/>
    </row>
    <row r="868" spans="1:9" ht="15.75" customHeight="1" x14ac:dyDescent="0.2">
      <c r="A868" s="2"/>
      <c r="B868" s="2"/>
      <c r="C868" s="2"/>
      <c r="D868" s="2"/>
      <c r="E868" s="2"/>
      <c r="F868" s="2"/>
      <c r="G868" s="2"/>
      <c r="H868" s="2"/>
      <c r="I868" s="2"/>
    </row>
    <row r="869" spans="1:9" ht="15.75" customHeight="1" x14ac:dyDescent="0.2">
      <c r="A869" s="2"/>
      <c r="B869" s="2"/>
      <c r="C869" s="2"/>
      <c r="D869" s="2"/>
      <c r="E869" s="2"/>
      <c r="F869" s="2"/>
      <c r="G869" s="2"/>
      <c r="H869" s="2"/>
      <c r="I869" s="2"/>
    </row>
    <row r="870" spans="1:9" ht="15.75" customHeight="1" x14ac:dyDescent="0.2">
      <c r="A870" s="2"/>
      <c r="B870" s="2"/>
      <c r="C870" s="2"/>
      <c r="D870" s="2"/>
      <c r="E870" s="2"/>
      <c r="F870" s="2"/>
      <c r="G870" s="2"/>
      <c r="H870" s="2"/>
      <c r="I870" s="2"/>
    </row>
    <row r="871" spans="1:9" ht="15.75" customHeight="1" x14ac:dyDescent="0.2">
      <c r="A871" s="2"/>
      <c r="B871" s="2"/>
      <c r="C871" s="2"/>
      <c r="D871" s="2"/>
      <c r="E871" s="2"/>
      <c r="F871" s="2"/>
      <c r="G871" s="2"/>
      <c r="H871" s="2"/>
      <c r="I871" s="2"/>
    </row>
    <row r="872" spans="1:9" ht="15.75" customHeight="1" x14ac:dyDescent="0.2">
      <c r="A872" s="2"/>
      <c r="B872" s="2"/>
      <c r="C872" s="2"/>
      <c r="D872" s="2"/>
      <c r="E872" s="2"/>
      <c r="F872" s="2"/>
      <c r="G872" s="2"/>
      <c r="H872" s="2"/>
      <c r="I872" s="2"/>
    </row>
    <row r="873" spans="1:9" ht="15.75" customHeight="1" x14ac:dyDescent="0.2">
      <c r="A873" s="2"/>
      <c r="B873" s="2"/>
      <c r="C873" s="2"/>
      <c r="D873" s="2"/>
      <c r="E873" s="2"/>
      <c r="F873" s="2"/>
      <c r="G873" s="2"/>
      <c r="H873" s="2"/>
      <c r="I873" s="2"/>
    </row>
    <row r="874" spans="1:9" ht="15.75" customHeight="1" x14ac:dyDescent="0.2">
      <c r="A874" s="2"/>
      <c r="B874" s="2"/>
      <c r="C874" s="2"/>
      <c r="D874" s="2"/>
      <c r="E874" s="2"/>
      <c r="F874" s="2"/>
      <c r="G874" s="2"/>
      <c r="H874" s="2"/>
      <c r="I874" s="2"/>
    </row>
    <row r="875" spans="1:9" ht="15.75" customHeight="1" x14ac:dyDescent="0.2">
      <c r="A875" s="2"/>
      <c r="B875" s="2"/>
      <c r="C875" s="2"/>
      <c r="D875" s="2"/>
      <c r="E875" s="2"/>
      <c r="F875" s="2"/>
      <c r="G875" s="2"/>
      <c r="H875" s="2"/>
      <c r="I875" s="2"/>
    </row>
    <row r="876" spans="1:9" ht="15.75" customHeight="1" x14ac:dyDescent="0.2">
      <c r="A876" s="2"/>
      <c r="B876" s="2"/>
      <c r="C876" s="2"/>
      <c r="D876" s="2"/>
      <c r="E876" s="2"/>
      <c r="F876" s="2"/>
      <c r="G876" s="2"/>
      <c r="H876" s="2"/>
      <c r="I876" s="2"/>
    </row>
    <row r="877" spans="1:9" ht="15.75" customHeight="1" x14ac:dyDescent="0.2">
      <c r="A877" s="2"/>
      <c r="B877" s="2"/>
      <c r="C877" s="2"/>
      <c r="D877" s="2"/>
      <c r="E877" s="2"/>
      <c r="F877" s="2"/>
      <c r="G877" s="2"/>
      <c r="H877" s="2"/>
      <c r="I877" s="2"/>
    </row>
    <row r="878" spans="1:9" ht="15.75" customHeight="1" x14ac:dyDescent="0.2">
      <c r="A878" s="2"/>
      <c r="B878" s="2"/>
      <c r="C878" s="2"/>
      <c r="D878" s="2"/>
      <c r="E878" s="2"/>
      <c r="F878" s="2"/>
      <c r="G878" s="2"/>
      <c r="H878" s="2"/>
      <c r="I878" s="2"/>
    </row>
    <row r="879" spans="1:9" ht="15.75" customHeight="1" x14ac:dyDescent="0.2">
      <c r="A879" s="2"/>
      <c r="B879" s="2"/>
      <c r="C879" s="2"/>
      <c r="D879" s="2"/>
      <c r="E879" s="2"/>
      <c r="F879" s="2"/>
      <c r="G879" s="2"/>
      <c r="H879" s="2"/>
      <c r="I879" s="2"/>
    </row>
    <row r="880" spans="1:9" ht="15.75" customHeight="1" x14ac:dyDescent="0.2">
      <c r="A880" s="2"/>
      <c r="B880" s="2"/>
      <c r="C880" s="2"/>
      <c r="D880" s="2"/>
      <c r="E880" s="2"/>
      <c r="F880" s="2"/>
      <c r="G880" s="2"/>
      <c r="H880" s="2"/>
      <c r="I880" s="2"/>
    </row>
    <row r="881" spans="1:9" ht="15.75" customHeight="1" x14ac:dyDescent="0.2">
      <c r="A881" s="2"/>
      <c r="B881" s="2"/>
      <c r="C881" s="2"/>
      <c r="D881" s="2"/>
      <c r="E881" s="2"/>
      <c r="F881" s="2"/>
      <c r="G881" s="2"/>
      <c r="H881" s="2"/>
      <c r="I881" s="2"/>
    </row>
    <row r="882" spans="1:9" ht="15.75" customHeight="1" x14ac:dyDescent="0.2">
      <c r="A882" s="2"/>
      <c r="B882" s="2"/>
      <c r="C882" s="2"/>
      <c r="D882" s="2"/>
      <c r="E882" s="2"/>
      <c r="F882" s="2"/>
      <c r="G882" s="2"/>
      <c r="H882" s="2"/>
      <c r="I882" s="2"/>
    </row>
    <row r="883" spans="1:9" ht="15.75" customHeight="1" x14ac:dyDescent="0.2">
      <c r="A883" s="2"/>
      <c r="B883" s="2"/>
      <c r="C883" s="2"/>
      <c r="D883" s="2"/>
      <c r="E883" s="2"/>
      <c r="F883" s="2"/>
      <c r="G883" s="2"/>
      <c r="H883" s="2"/>
      <c r="I883" s="2"/>
    </row>
    <row r="884" spans="1:9" ht="15.75" customHeight="1" x14ac:dyDescent="0.2">
      <c r="A884" s="2"/>
      <c r="B884" s="2"/>
      <c r="C884" s="2"/>
      <c r="D884" s="2"/>
      <c r="E884" s="2"/>
      <c r="F884" s="2"/>
      <c r="G884" s="2"/>
      <c r="H884" s="2"/>
      <c r="I884" s="2"/>
    </row>
    <row r="885" spans="1:9" ht="15.75" customHeight="1" x14ac:dyDescent="0.2">
      <c r="A885" s="2"/>
      <c r="B885" s="2"/>
      <c r="C885" s="2"/>
      <c r="D885" s="2"/>
      <c r="E885" s="2"/>
      <c r="F885" s="2"/>
      <c r="G885" s="2"/>
      <c r="H885" s="2"/>
      <c r="I885" s="2"/>
    </row>
    <row r="886" spans="1:9" ht="15.75" customHeight="1" x14ac:dyDescent="0.2">
      <c r="A886" s="2"/>
      <c r="B886" s="2"/>
      <c r="C886" s="2"/>
      <c r="D886" s="2"/>
      <c r="E886" s="2"/>
      <c r="F886" s="2"/>
      <c r="G886" s="2"/>
      <c r="H886" s="2"/>
      <c r="I886" s="2"/>
    </row>
    <row r="887" spans="1:9" ht="15.75" customHeight="1" x14ac:dyDescent="0.2">
      <c r="A887" s="2"/>
      <c r="B887" s="2"/>
      <c r="C887" s="2"/>
      <c r="D887" s="2"/>
      <c r="E887" s="2"/>
      <c r="F887" s="2"/>
      <c r="G887" s="2"/>
      <c r="H887" s="2"/>
      <c r="I887" s="2"/>
    </row>
    <row r="888" spans="1:9" ht="15.75" customHeight="1" x14ac:dyDescent="0.2">
      <c r="A888" s="2"/>
      <c r="B888" s="2"/>
      <c r="C888" s="2"/>
      <c r="D888" s="2"/>
      <c r="E888" s="2"/>
      <c r="F888" s="2"/>
      <c r="G888" s="2"/>
      <c r="H888" s="2"/>
      <c r="I888" s="2"/>
    </row>
    <row r="889" spans="1:9" ht="15.75" customHeight="1" x14ac:dyDescent="0.2">
      <c r="A889" s="2"/>
      <c r="B889" s="2"/>
      <c r="C889" s="2"/>
      <c r="D889" s="2"/>
      <c r="E889" s="2"/>
      <c r="F889" s="2"/>
      <c r="G889" s="2"/>
      <c r="H889" s="2"/>
      <c r="I889" s="2"/>
    </row>
    <row r="890" spans="1:9" ht="15.75" customHeight="1" x14ac:dyDescent="0.2">
      <c r="A890" s="2"/>
      <c r="B890" s="2"/>
      <c r="C890" s="2"/>
      <c r="D890" s="2"/>
      <c r="E890" s="2"/>
      <c r="F890" s="2"/>
      <c r="G890" s="2"/>
      <c r="H890" s="2"/>
      <c r="I890" s="2"/>
    </row>
    <row r="891" spans="1:9" ht="15.75" customHeight="1" x14ac:dyDescent="0.2">
      <c r="A891" s="2"/>
      <c r="B891" s="2"/>
      <c r="C891" s="2"/>
      <c r="D891" s="2"/>
      <c r="E891" s="2"/>
      <c r="F891" s="2"/>
      <c r="G891" s="2"/>
      <c r="H891" s="2"/>
      <c r="I891" s="2"/>
    </row>
    <row r="892" spans="1:9" ht="15.75" customHeight="1" x14ac:dyDescent="0.2">
      <c r="A892" s="2"/>
      <c r="B892" s="2"/>
      <c r="C892" s="2"/>
      <c r="D892" s="2"/>
      <c r="E892" s="2"/>
      <c r="F892" s="2"/>
      <c r="G892" s="2"/>
      <c r="H892" s="2"/>
      <c r="I892" s="2"/>
    </row>
    <row r="893" spans="1:9" ht="15.75" customHeight="1" x14ac:dyDescent="0.2">
      <c r="A893" s="2"/>
      <c r="B893" s="2"/>
      <c r="C893" s="2"/>
      <c r="D893" s="2"/>
      <c r="E893" s="2"/>
      <c r="F893" s="2"/>
      <c r="G893" s="2"/>
      <c r="H893" s="2"/>
      <c r="I893" s="2"/>
    </row>
    <row r="894" spans="1:9" ht="15.75" customHeight="1" x14ac:dyDescent="0.2">
      <c r="A894" s="2"/>
      <c r="B894" s="2"/>
      <c r="C894" s="2"/>
      <c r="D894" s="2"/>
      <c r="E894" s="2"/>
      <c r="F894" s="2"/>
      <c r="G894" s="2"/>
      <c r="H894" s="2"/>
      <c r="I894" s="2"/>
    </row>
    <row r="895" spans="1:9" ht="15.75" customHeight="1" x14ac:dyDescent="0.2">
      <c r="A895" s="2"/>
      <c r="B895" s="2"/>
      <c r="C895" s="2"/>
      <c r="D895" s="2"/>
      <c r="E895" s="2"/>
      <c r="F895" s="2"/>
      <c r="G895" s="2"/>
      <c r="H895" s="2"/>
      <c r="I895" s="2"/>
    </row>
    <row r="896" spans="1:9" ht="15.75" customHeight="1" x14ac:dyDescent="0.2">
      <c r="A896" s="2"/>
      <c r="B896" s="2"/>
      <c r="C896" s="2"/>
      <c r="D896" s="2"/>
      <c r="E896" s="2"/>
      <c r="F896" s="2"/>
      <c r="G896" s="2"/>
      <c r="H896" s="2"/>
      <c r="I896" s="2"/>
    </row>
    <row r="897" spans="1:9" ht="15.75" customHeight="1" x14ac:dyDescent="0.2">
      <c r="A897" s="2"/>
      <c r="B897" s="2"/>
      <c r="C897" s="2"/>
      <c r="D897" s="2"/>
      <c r="E897" s="2"/>
      <c r="F897" s="2"/>
      <c r="G897" s="2"/>
      <c r="H897" s="2"/>
      <c r="I897" s="2"/>
    </row>
    <row r="898" spans="1:9" ht="15.75" customHeight="1" x14ac:dyDescent="0.2">
      <c r="A898" s="2"/>
      <c r="B898" s="2"/>
      <c r="C898" s="2"/>
      <c r="D898" s="2"/>
      <c r="E898" s="2"/>
      <c r="F898" s="2"/>
      <c r="G898" s="2"/>
      <c r="H898" s="2"/>
      <c r="I898" s="2"/>
    </row>
    <row r="899" spans="1:9" ht="15.75" customHeight="1" x14ac:dyDescent="0.2">
      <c r="A899" s="2"/>
      <c r="B899" s="2"/>
      <c r="C899" s="2"/>
      <c r="D899" s="2"/>
      <c r="E899" s="2"/>
      <c r="F899" s="2"/>
      <c r="G899" s="2"/>
      <c r="H899" s="2"/>
      <c r="I899" s="2"/>
    </row>
    <row r="900" spans="1:9" ht="15.75" customHeight="1" x14ac:dyDescent="0.2">
      <c r="A900" s="2"/>
      <c r="B900" s="2"/>
      <c r="C900" s="2"/>
      <c r="D900" s="2"/>
      <c r="E900" s="2"/>
      <c r="F900" s="2"/>
      <c r="G900" s="2"/>
      <c r="H900" s="2"/>
      <c r="I900" s="2"/>
    </row>
    <row r="901" spans="1:9" ht="15.75" customHeight="1" x14ac:dyDescent="0.2">
      <c r="A901" s="2"/>
      <c r="B901" s="2"/>
      <c r="C901" s="2"/>
      <c r="D901" s="2"/>
      <c r="E901" s="2"/>
      <c r="F901" s="2"/>
      <c r="G901" s="2"/>
      <c r="H901" s="2"/>
      <c r="I901" s="2"/>
    </row>
    <row r="902" spans="1:9" ht="15.75" customHeight="1" x14ac:dyDescent="0.2">
      <c r="A902" s="2"/>
      <c r="B902" s="2"/>
      <c r="C902" s="2"/>
      <c r="D902" s="2"/>
      <c r="E902" s="2"/>
      <c r="F902" s="2"/>
      <c r="G902" s="2"/>
      <c r="H902" s="2"/>
      <c r="I902" s="2"/>
    </row>
    <row r="903" spans="1:9" ht="15.75" customHeight="1" x14ac:dyDescent="0.2">
      <c r="A903" s="2"/>
      <c r="B903" s="2"/>
      <c r="C903" s="2"/>
      <c r="D903" s="2"/>
      <c r="E903" s="2"/>
      <c r="F903" s="2"/>
      <c r="G903" s="2"/>
      <c r="H903" s="2"/>
      <c r="I903" s="2"/>
    </row>
    <row r="904" spans="1:9" ht="15.75" customHeight="1" x14ac:dyDescent="0.2">
      <c r="A904" s="2"/>
      <c r="B904" s="2"/>
      <c r="C904" s="2"/>
      <c r="D904" s="2"/>
      <c r="E904" s="2"/>
      <c r="F904" s="2"/>
      <c r="G904" s="2"/>
      <c r="H904" s="2"/>
      <c r="I904" s="2"/>
    </row>
    <row r="905" spans="1:9" ht="15.75" customHeight="1" x14ac:dyDescent="0.2">
      <c r="A905" s="2"/>
      <c r="B905" s="2"/>
      <c r="C905" s="2"/>
      <c r="D905" s="2"/>
      <c r="E905" s="2"/>
      <c r="F905" s="2"/>
      <c r="G905" s="2"/>
      <c r="H905" s="2"/>
      <c r="I905" s="2"/>
    </row>
    <row r="906" spans="1:9" ht="15.75" customHeight="1" x14ac:dyDescent="0.2">
      <c r="A906" s="2"/>
      <c r="B906" s="2"/>
      <c r="C906" s="2"/>
      <c r="D906" s="2"/>
      <c r="E906" s="2"/>
      <c r="F906" s="2"/>
      <c r="G906" s="2"/>
      <c r="H906" s="2"/>
      <c r="I906" s="2"/>
    </row>
    <row r="907" spans="1:9" ht="15.75" customHeight="1" x14ac:dyDescent="0.2">
      <c r="A907" s="2"/>
      <c r="B907" s="2"/>
      <c r="C907" s="2"/>
      <c r="D907" s="2"/>
      <c r="E907" s="2"/>
      <c r="F907" s="2"/>
      <c r="G907" s="2"/>
      <c r="H907" s="2"/>
      <c r="I907" s="2"/>
    </row>
    <row r="908" spans="1:9" ht="15.75" customHeight="1" x14ac:dyDescent="0.2">
      <c r="A908" s="2"/>
      <c r="B908" s="2"/>
      <c r="C908" s="2"/>
      <c r="D908" s="2"/>
      <c r="E908" s="2"/>
      <c r="F908" s="2"/>
      <c r="G908" s="2"/>
      <c r="H908" s="2"/>
      <c r="I908" s="2"/>
    </row>
    <row r="909" spans="1:9" ht="15.75" customHeight="1" x14ac:dyDescent="0.2">
      <c r="A909" s="2"/>
      <c r="B909" s="2"/>
      <c r="C909" s="2"/>
      <c r="D909" s="2"/>
      <c r="E909" s="2"/>
      <c r="F909" s="2"/>
      <c r="G909" s="2"/>
      <c r="H909" s="2"/>
      <c r="I909" s="2"/>
    </row>
    <row r="910" spans="1:9" ht="15.75" customHeight="1" x14ac:dyDescent="0.2">
      <c r="A910" s="2"/>
      <c r="B910" s="2"/>
      <c r="C910" s="2"/>
      <c r="D910" s="2"/>
      <c r="E910" s="2"/>
      <c r="F910" s="2"/>
      <c r="G910" s="2"/>
      <c r="H910" s="2"/>
      <c r="I910" s="2"/>
    </row>
    <row r="911" spans="1:9" ht="15.75" customHeight="1" x14ac:dyDescent="0.2">
      <c r="A911" s="2"/>
      <c r="B911" s="2"/>
      <c r="C911" s="2"/>
      <c r="D911" s="2"/>
      <c r="E911" s="2"/>
      <c r="F911" s="2"/>
      <c r="G911" s="2"/>
      <c r="H911" s="2"/>
      <c r="I911" s="2"/>
    </row>
    <row r="912" spans="1:9" ht="15.75" customHeight="1" x14ac:dyDescent="0.2">
      <c r="A912" s="2"/>
      <c r="B912" s="2"/>
      <c r="C912" s="2"/>
      <c r="D912" s="2"/>
      <c r="E912" s="2"/>
      <c r="F912" s="2"/>
      <c r="G912" s="2"/>
      <c r="H912" s="2"/>
      <c r="I912" s="2"/>
    </row>
    <row r="913" spans="1:9" ht="15.75" customHeight="1" x14ac:dyDescent="0.2">
      <c r="A913" s="2"/>
      <c r="B913" s="2"/>
      <c r="C913" s="2"/>
      <c r="D913" s="2"/>
      <c r="E913" s="2"/>
      <c r="F913" s="2"/>
      <c r="G913" s="2"/>
      <c r="H913" s="2"/>
      <c r="I913" s="2"/>
    </row>
    <row r="914" spans="1:9" ht="15.75" customHeight="1" x14ac:dyDescent="0.2">
      <c r="A914" s="2"/>
      <c r="B914" s="2"/>
      <c r="C914" s="2"/>
      <c r="D914" s="2"/>
      <c r="E914" s="2"/>
      <c r="F914" s="2"/>
      <c r="G914" s="2"/>
      <c r="H914" s="2"/>
      <c r="I914" s="2"/>
    </row>
    <row r="915" spans="1:9" ht="15.75" customHeight="1" x14ac:dyDescent="0.2">
      <c r="A915" s="2"/>
      <c r="B915" s="2"/>
      <c r="C915" s="2"/>
      <c r="D915" s="2"/>
      <c r="E915" s="2"/>
      <c r="F915" s="2"/>
      <c r="G915" s="2"/>
      <c r="H915" s="2"/>
      <c r="I915" s="2"/>
    </row>
    <row r="916" spans="1:9" ht="15.75" customHeight="1" x14ac:dyDescent="0.2">
      <c r="A916" s="2"/>
      <c r="B916" s="2"/>
      <c r="C916" s="2"/>
      <c r="D916" s="2"/>
      <c r="E916" s="2"/>
      <c r="F916" s="2"/>
      <c r="G916" s="2"/>
      <c r="H916" s="2"/>
      <c r="I916" s="2"/>
    </row>
    <row r="917" spans="1:9" ht="15.75" customHeight="1" x14ac:dyDescent="0.2">
      <c r="A917" s="2"/>
      <c r="B917" s="2"/>
      <c r="C917" s="2"/>
      <c r="D917" s="2"/>
      <c r="E917" s="2"/>
      <c r="F917" s="2"/>
      <c r="G917" s="2"/>
      <c r="H917" s="2"/>
      <c r="I917" s="2"/>
    </row>
    <row r="918" spans="1:9" ht="15.75" customHeight="1" x14ac:dyDescent="0.2">
      <c r="A918" s="2"/>
      <c r="B918" s="2"/>
      <c r="C918" s="2"/>
      <c r="D918" s="2"/>
      <c r="E918" s="2"/>
      <c r="F918" s="2"/>
      <c r="G918" s="2"/>
      <c r="H918" s="2"/>
      <c r="I918" s="2"/>
    </row>
    <row r="919" spans="1:9" ht="15.75" customHeight="1" x14ac:dyDescent="0.2">
      <c r="A919" s="2"/>
      <c r="B919" s="2"/>
      <c r="C919" s="2"/>
      <c r="D919" s="2"/>
      <c r="E919" s="2"/>
      <c r="F919" s="2"/>
      <c r="G919" s="2"/>
      <c r="H919" s="2"/>
      <c r="I919" s="2"/>
    </row>
    <row r="920" spans="1:9" ht="15.75" customHeight="1" x14ac:dyDescent="0.2">
      <c r="A920" s="2"/>
      <c r="B920" s="2"/>
      <c r="C920" s="2"/>
      <c r="D920" s="2"/>
      <c r="E920" s="2"/>
      <c r="F920" s="2"/>
      <c r="G920" s="2"/>
      <c r="H920" s="2"/>
      <c r="I920" s="2"/>
    </row>
    <row r="921" spans="1:9" ht="15.75" customHeight="1" x14ac:dyDescent="0.2">
      <c r="A921" s="2"/>
      <c r="B921" s="2"/>
      <c r="C921" s="2"/>
      <c r="D921" s="2"/>
      <c r="E921" s="2"/>
      <c r="F921" s="2"/>
      <c r="G921" s="2"/>
      <c r="H921" s="2"/>
      <c r="I921" s="2"/>
    </row>
    <row r="922" spans="1:9" ht="15.75" customHeight="1" x14ac:dyDescent="0.2">
      <c r="A922" s="2"/>
      <c r="B922" s="2"/>
      <c r="C922" s="2"/>
      <c r="D922" s="2"/>
      <c r="E922" s="2"/>
      <c r="F922" s="2"/>
      <c r="G922" s="2"/>
      <c r="H922" s="2"/>
      <c r="I922" s="2"/>
    </row>
    <row r="923" spans="1:9" ht="15.75" customHeight="1" x14ac:dyDescent="0.2">
      <c r="A923" s="2"/>
      <c r="B923" s="2"/>
      <c r="C923" s="2"/>
      <c r="D923" s="2"/>
      <c r="E923" s="2"/>
      <c r="F923" s="2"/>
      <c r="G923" s="2"/>
      <c r="H923" s="2"/>
      <c r="I923" s="2"/>
    </row>
    <row r="924" spans="1:9" ht="15.75" customHeight="1" x14ac:dyDescent="0.2">
      <c r="A924" s="2"/>
      <c r="B924" s="2"/>
      <c r="C924" s="2"/>
      <c r="D924" s="2"/>
      <c r="E924" s="2"/>
      <c r="F924" s="2"/>
      <c r="G924" s="2"/>
      <c r="H924" s="2"/>
      <c r="I924" s="2"/>
    </row>
    <row r="925" spans="1:9" ht="15.75" customHeight="1" x14ac:dyDescent="0.2">
      <c r="A925" s="2"/>
      <c r="B925" s="2"/>
      <c r="C925" s="2"/>
      <c r="D925" s="2"/>
      <c r="E925" s="2"/>
      <c r="F925" s="2"/>
      <c r="G925" s="2"/>
      <c r="H925" s="2"/>
      <c r="I925" s="2"/>
    </row>
    <row r="926" spans="1:9" ht="15.75" customHeight="1" x14ac:dyDescent="0.2">
      <c r="A926" s="2"/>
      <c r="B926" s="2"/>
      <c r="C926" s="2"/>
      <c r="D926" s="2"/>
      <c r="E926" s="2"/>
      <c r="F926" s="2"/>
      <c r="G926" s="2"/>
      <c r="H926" s="2"/>
      <c r="I926" s="2"/>
    </row>
    <row r="927" spans="1:9" ht="15.75" customHeight="1" x14ac:dyDescent="0.2">
      <c r="A927" s="2"/>
      <c r="B927" s="2"/>
      <c r="C927" s="2"/>
      <c r="D927" s="2"/>
      <c r="E927" s="2"/>
      <c r="F927" s="2"/>
      <c r="G927" s="2"/>
      <c r="H927" s="2"/>
      <c r="I927" s="2"/>
    </row>
    <row r="928" spans="1:9" ht="15.75" customHeight="1" x14ac:dyDescent="0.2">
      <c r="A928" s="2"/>
      <c r="B928" s="2"/>
      <c r="C928" s="2"/>
      <c r="D928" s="2"/>
      <c r="E928" s="2"/>
      <c r="F928" s="2"/>
      <c r="G928" s="2"/>
      <c r="H928" s="2"/>
      <c r="I928" s="2"/>
    </row>
    <row r="929" spans="1:9" ht="15.75" customHeight="1" x14ac:dyDescent="0.2">
      <c r="A929" s="2"/>
      <c r="B929" s="2"/>
      <c r="C929" s="2"/>
      <c r="D929" s="2"/>
      <c r="E929" s="2"/>
      <c r="F929" s="2"/>
      <c r="G929" s="2"/>
      <c r="H929" s="2"/>
      <c r="I929" s="2"/>
    </row>
    <row r="930" spans="1:9" ht="15.75" customHeight="1" x14ac:dyDescent="0.2">
      <c r="A930" s="2"/>
      <c r="B930" s="2"/>
      <c r="C930" s="2"/>
      <c r="D930" s="2"/>
      <c r="E930" s="2"/>
      <c r="F930" s="2"/>
      <c r="G930" s="2"/>
      <c r="H930" s="2"/>
      <c r="I930" s="2"/>
    </row>
    <row r="931" spans="1:9" ht="15.75" customHeight="1" x14ac:dyDescent="0.2">
      <c r="A931" s="2"/>
      <c r="B931" s="2"/>
      <c r="C931" s="2"/>
      <c r="D931" s="2"/>
      <c r="E931" s="2"/>
      <c r="F931" s="2"/>
      <c r="G931" s="2"/>
      <c r="H931" s="2"/>
      <c r="I931" s="2"/>
    </row>
    <row r="932" spans="1:9" ht="15.75" customHeight="1" x14ac:dyDescent="0.2">
      <c r="A932" s="2"/>
      <c r="B932" s="2"/>
      <c r="C932" s="2"/>
      <c r="D932" s="2"/>
      <c r="E932" s="2"/>
      <c r="F932" s="2"/>
      <c r="G932" s="2"/>
      <c r="H932" s="2"/>
      <c r="I932" s="2"/>
    </row>
    <row r="933" spans="1:9" ht="15.75" customHeight="1" x14ac:dyDescent="0.2">
      <c r="A933" s="2"/>
      <c r="B933" s="2"/>
      <c r="C933" s="2"/>
      <c r="D933" s="2"/>
      <c r="E933" s="2"/>
      <c r="F933" s="2"/>
      <c r="G933" s="2"/>
      <c r="H933" s="2"/>
      <c r="I933" s="2"/>
    </row>
    <row r="934" spans="1:9" ht="15.75" customHeight="1" x14ac:dyDescent="0.2">
      <c r="A934" s="2"/>
      <c r="B934" s="2"/>
      <c r="C934" s="2"/>
      <c r="D934" s="2"/>
      <c r="E934" s="2"/>
      <c r="F934" s="2"/>
      <c r="G934" s="2"/>
      <c r="H934" s="2"/>
      <c r="I934" s="2"/>
    </row>
    <row r="935" spans="1:9" ht="15.75" customHeight="1" x14ac:dyDescent="0.2">
      <c r="A935" s="2"/>
      <c r="B935" s="2"/>
      <c r="C935" s="2"/>
      <c r="D935" s="2"/>
      <c r="E935" s="2"/>
      <c r="F935" s="2"/>
      <c r="G935" s="2"/>
      <c r="H935" s="2"/>
      <c r="I935" s="2"/>
    </row>
    <row r="936" spans="1:9" ht="15.75" customHeight="1" x14ac:dyDescent="0.2">
      <c r="A936" s="2"/>
      <c r="B936" s="2"/>
      <c r="C936" s="2"/>
      <c r="D936" s="2"/>
      <c r="E936" s="2"/>
      <c r="F936" s="2"/>
      <c r="G936" s="2"/>
      <c r="H936" s="2"/>
      <c r="I936" s="2"/>
    </row>
    <row r="937" spans="1:9" ht="15.75" customHeight="1" x14ac:dyDescent="0.2">
      <c r="A937" s="2"/>
      <c r="B937" s="2"/>
      <c r="C937" s="2"/>
      <c r="D937" s="2"/>
      <c r="E937" s="2"/>
      <c r="F937" s="2"/>
      <c r="G937" s="2"/>
      <c r="H937" s="2"/>
      <c r="I937" s="2"/>
    </row>
    <row r="938" spans="1:9" ht="15.75" customHeight="1" x14ac:dyDescent="0.2">
      <c r="A938" s="2"/>
      <c r="B938" s="2"/>
      <c r="C938" s="2"/>
      <c r="D938" s="2"/>
      <c r="E938" s="2"/>
      <c r="F938" s="2"/>
      <c r="G938" s="2"/>
      <c r="H938" s="2"/>
      <c r="I938" s="2"/>
    </row>
    <row r="939" spans="1:9" ht="15.75" customHeight="1" x14ac:dyDescent="0.2">
      <c r="A939" s="2"/>
      <c r="B939" s="2"/>
      <c r="C939" s="2"/>
      <c r="D939" s="2"/>
      <c r="E939" s="2"/>
      <c r="F939" s="2"/>
      <c r="G939" s="2"/>
      <c r="H939" s="2"/>
      <c r="I939" s="2"/>
    </row>
    <row r="940" spans="1:9" ht="15.75" customHeight="1" x14ac:dyDescent="0.2">
      <c r="A940" s="2"/>
      <c r="B940" s="2"/>
      <c r="C940" s="2"/>
      <c r="D940" s="2"/>
      <c r="E940" s="2"/>
      <c r="F940" s="2"/>
      <c r="G940" s="2"/>
      <c r="H940" s="2"/>
      <c r="I940" s="2"/>
    </row>
    <row r="941" spans="1:9" ht="15.75" customHeight="1" x14ac:dyDescent="0.2">
      <c r="A941" s="2"/>
      <c r="B941" s="2"/>
      <c r="C941" s="2"/>
      <c r="D941" s="2"/>
      <c r="E941" s="2"/>
      <c r="F941" s="2"/>
      <c r="G941" s="2"/>
      <c r="H941" s="2"/>
      <c r="I941" s="2"/>
    </row>
    <row r="942" spans="1:9" ht="15.75" customHeight="1" x14ac:dyDescent="0.2">
      <c r="A942" s="2"/>
      <c r="B942" s="2"/>
      <c r="C942" s="2"/>
      <c r="D942" s="2"/>
      <c r="E942" s="2"/>
      <c r="F942" s="2"/>
      <c r="G942" s="2"/>
      <c r="H942" s="2"/>
      <c r="I942" s="2"/>
    </row>
    <row r="943" spans="1:9" ht="15.75" customHeight="1" x14ac:dyDescent="0.2">
      <c r="A943" s="2"/>
      <c r="B943" s="2"/>
      <c r="C943" s="2"/>
      <c r="D943" s="2"/>
      <c r="E943" s="2"/>
      <c r="F943" s="2"/>
      <c r="G943" s="2"/>
      <c r="H943" s="2"/>
      <c r="I943" s="2"/>
    </row>
    <row r="944" spans="1:9" ht="15.75" customHeight="1" x14ac:dyDescent="0.2">
      <c r="A944" s="2"/>
      <c r="B944" s="2"/>
      <c r="C944" s="2"/>
      <c r="D944" s="2"/>
      <c r="E944" s="2"/>
      <c r="F944" s="2"/>
      <c r="G944" s="2"/>
      <c r="H944" s="2"/>
      <c r="I944" s="2"/>
    </row>
    <row r="945" spans="1:9" ht="15.75" customHeight="1" x14ac:dyDescent="0.2">
      <c r="A945" s="2"/>
      <c r="B945" s="2"/>
      <c r="C945" s="2"/>
      <c r="D945" s="2"/>
      <c r="E945" s="2"/>
      <c r="F945" s="2"/>
      <c r="G945" s="2"/>
      <c r="H945" s="2"/>
      <c r="I945" s="2"/>
    </row>
    <row r="946" spans="1:9" ht="15.75" customHeight="1" x14ac:dyDescent="0.2">
      <c r="A946" s="2"/>
      <c r="B946" s="2"/>
      <c r="C946" s="2"/>
      <c r="D946" s="2"/>
      <c r="E946" s="2"/>
      <c r="F946" s="2"/>
      <c r="G946" s="2"/>
      <c r="H946" s="2"/>
      <c r="I946" s="2"/>
    </row>
    <row r="947" spans="1:9" ht="15.75" customHeight="1" x14ac:dyDescent="0.2">
      <c r="A947" s="2"/>
      <c r="B947" s="2"/>
      <c r="C947" s="2"/>
      <c r="D947" s="2"/>
      <c r="E947" s="2"/>
      <c r="F947" s="2"/>
      <c r="G947" s="2"/>
      <c r="H947" s="2"/>
      <c r="I947" s="2"/>
    </row>
    <row r="948" spans="1:9" ht="15.75" customHeight="1" x14ac:dyDescent="0.2">
      <c r="A948" s="2"/>
      <c r="B948" s="2"/>
      <c r="C948" s="2"/>
      <c r="D948" s="2"/>
      <c r="E948" s="2"/>
      <c r="F948" s="2"/>
      <c r="G948" s="2"/>
      <c r="H948" s="2"/>
      <c r="I948" s="2"/>
    </row>
    <row r="949" spans="1:9" ht="15.75" customHeight="1" x14ac:dyDescent="0.2">
      <c r="A949" s="2"/>
      <c r="B949" s="2"/>
      <c r="C949" s="2"/>
      <c r="D949" s="2"/>
      <c r="E949" s="2"/>
      <c r="F949" s="2"/>
      <c r="G949" s="2"/>
      <c r="H949" s="2"/>
      <c r="I949" s="2"/>
    </row>
    <row r="950" spans="1:9" ht="15.75" customHeight="1" x14ac:dyDescent="0.2">
      <c r="A950" s="2"/>
      <c r="B950" s="2"/>
      <c r="C950" s="2"/>
      <c r="D950" s="2"/>
      <c r="E950" s="2"/>
      <c r="F950" s="2"/>
      <c r="G950" s="2"/>
      <c r="H950" s="2"/>
      <c r="I950" s="2"/>
    </row>
    <row r="951" spans="1:9" ht="15.75" customHeight="1" x14ac:dyDescent="0.2">
      <c r="A951" s="2"/>
      <c r="B951" s="2"/>
      <c r="C951" s="2"/>
      <c r="D951" s="2"/>
      <c r="E951" s="2"/>
      <c r="F951" s="2"/>
      <c r="G951" s="2"/>
      <c r="H951" s="2"/>
      <c r="I951" s="2"/>
    </row>
    <row r="952" spans="1:9" ht="15.75" customHeight="1" x14ac:dyDescent="0.2">
      <c r="A952" s="2"/>
      <c r="B952" s="2"/>
      <c r="C952" s="2"/>
      <c r="D952" s="2"/>
      <c r="E952" s="2"/>
      <c r="F952" s="2"/>
      <c r="G952" s="2"/>
      <c r="H952" s="2"/>
      <c r="I952" s="2"/>
    </row>
    <row r="953" spans="1:9" ht="15.75" customHeight="1" x14ac:dyDescent="0.2">
      <c r="A953" s="2"/>
      <c r="B953" s="2"/>
      <c r="C953" s="2"/>
      <c r="D953" s="2"/>
      <c r="E953" s="2"/>
      <c r="F953" s="2"/>
      <c r="G953" s="2"/>
      <c r="H953" s="2"/>
      <c r="I953" s="2"/>
    </row>
    <row r="954" spans="1:9" ht="15.75" customHeight="1" x14ac:dyDescent="0.2">
      <c r="A954" s="2"/>
      <c r="B954" s="2"/>
      <c r="C954" s="2"/>
      <c r="D954" s="2"/>
      <c r="E954" s="2"/>
      <c r="F954" s="2"/>
      <c r="G954" s="2"/>
      <c r="H954" s="2"/>
      <c r="I954" s="2"/>
    </row>
    <row r="955" spans="1:9" ht="15.75" customHeight="1" x14ac:dyDescent="0.2">
      <c r="A955" s="2"/>
      <c r="B955" s="2"/>
      <c r="C955" s="2"/>
      <c r="D955" s="2"/>
      <c r="E955" s="2"/>
      <c r="F955" s="2"/>
      <c r="G955" s="2"/>
      <c r="H955" s="2"/>
      <c r="I955" s="2"/>
    </row>
    <row r="956" spans="1:9" ht="15.75" customHeight="1" x14ac:dyDescent="0.2">
      <c r="A956" s="2"/>
      <c r="B956" s="2"/>
      <c r="C956" s="2"/>
      <c r="D956" s="2"/>
      <c r="E956" s="2"/>
      <c r="F956" s="2"/>
      <c r="G956" s="2"/>
      <c r="H956" s="2"/>
      <c r="I956" s="2"/>
    </row>
    <row r="957" spans="1:9" ht="15.75" customHeight="1" x14ac:dyDescent="0.2">
      <c r="A957" s="2"/>
      <c r="B957" s="2"/>
      <c r="C957" s="2"/>
      <c r="D957" s="2"/>
      <c r="E957" s="2"/>
      <c r="F957" s="2"/>
      <c r="G957" s="2"/>
      <c r="H957" s="2"/>
      <c r="I957" s="2"/>
    </row>
    <row r="958" spans="1:9" ht="15.75" customHeight="1" x14ac:dyDescent="0.2">
      <c r="A958" s="2"/>
      <c r="B958" s="2"/>
      <c r="C958" s="2"/>
      <c r="D958" s="2"/>
      <c r="E958" s="2"/>
      <c r="F958" s="2"/>
      <c r="G958" s="2"/>
      <c r="H958" s="2"/>
      <c r="I958" s="2"/>
    </row>
    <row r="959" spans="1:9" ht="15.75" customHeight="1" x14ac:dyDescent="0.2">
      <c r="A959" s="2"/>
      <c r="B959" s="2"/>
      <c r="C959" s="2"/>
      <c r="D959" s="2"/>
      <c r="E959" s="2"/>
      <c r="F959" s="2"/>
      <c r="G959" s="2"/>
      <c r="H959" s="2"/>
      <c r="I959" s="2"/>
    </row>
    <row r="960" spans="1:9" ht="15.75" customHeight="1" x14ac:dyDescent="0.2">
      <c r="A960" s="2"/>
      <c r="B960" s="2"/>
      <c r="C960" s="2"/>
      <c r="D960" s="2"/>
      <c r="E960" s="2"/>
      <c r="F960" s="2"/>
      <c r="G960" s="2"/>
      <c r="H960" s="2"/>
      <c r="I960" s="2"/>
    </row>
    <row r="961" spans="1:9" ht="15.75" customHeight="1" x14ac:dyDescent="0.2">
      <c r="A961" s="2"/>
      <c r="B961" s="2"/>
      <c r="C961" s="2"/>
      <c r="D961" s="2"/>
      <c r="E961" s="2"/>
      <c r="F961" s="2"/>
      <c r="G961" s="2"/>
      <c r="H961" s="2"/>
      <c r="I961" s="2"/>
    </row>
    <row r="962" spans="1:9" ht="15.75" customHeight="1" x14ac:dyDescent="0.2">
      <c r="A962" s="2"/>
      <c r="B962" s="2"/>
      <c r="C962" s="2"/>
      <c r="D962" s="2"/>
      <c r="E962" s="2"/>
      <c r="F962" s="2"/>
      <c r="G962" s="2"/>
      <c r="H962" s="2"/>
      <c r="I962" s="2"/>
    </row>
    <row r="963" spans="1:9" ht="15.75" customHeight="1" x14ac:dyDescent="0.2">
      <c r="A963" s="2"/>
      <c r="B963" s="2"/>
      <c r="C963" s="2"/>
      <c r="D963" s="2"/>
      <c r="E963" s="2"/>
      <c r="F963" s="2"/>
      <c r="G963" s="2"/>
      <c r="H963" s="2"/>
      <c r="I963" s="2"/>
    </row>
    <row r="964" spans="1:9" ht="15.75" customHeight="1" x14ac:dyDescent="0.2">
      <c r="A964" s="2"/>
      <c r="B964" s="2"/>
      <c r="C964" s="2"/>
      <c r="D964" s="2"/>
      <c r="E964" s="2"/>
      <c r="F964" s="2"/>
      <c r="G964" s="2"/>
      <c r="H964" s="2"/>
      <c r="I964" s="2"/>
    </row>
    <row r="965" spans="1:9" ht="15.75" customHeight="1" x14ac:dyDescent="0.2">
      <c r="A965" s="2"/>
      <c r="B965" s="2"/>
      <c r="C965" s="2"/>
      <c r="D965" s="2"/>
      <c r="E965" s="2"/>
      <c r="F965" s="2"/>
      <c r="G965" s="2"/>
      <c r="H965" s="2"/>
      <c r="I965" s="2"/>
    </row>
    <row r="966" spans="1:9" ht="15.75" customHeight="1" x14ac:dyDescent="0.2">
      <c r="A966" s="2"/>
      <c r="B966" s="2"/>
      <c r="C966" s="2"/>
      <c r="D966" s="2"/>
      <c r="E966" s="2"/>
      <c r="F966" s="2"/>
      <c r="G966" s="2"/>
      <c r="H966" s="2"/>
      <c r="I966" s="2"/>
    </row>
    <row r="967" spans="1:9" ht="15.75" customHeight="1" x14ac:dyDescent="0.2">
      <c r="A967" s="2"/>
      <c r="B967" s="2"/>
      <c r="C967" s="2"/>
      <c r="D967" s="2"/>
      <c r="E967" s="2"/>
      <c r="F967" s="2"/>
      <c r="G967" s="2"/>
      <c r="H967" s="2"/>
      <c r="I967" s="2"/>
    </row>
    <row r="968" spans="1:9" ht="15.75" customHeight="1" x14ac:dyDescent="0.2">
      <c r="A968" s="2"/>
      <c r="B968" s="2"/>
      <c r="C968" s="2"/>
      <c r="D968" s="2"/>
      <c r="E968" s="2"/>
      <c r="F968" s="2"/>
      <c r="G968" s="2"/>
      <c r="H968" s="2"/>
      <c r="I968" s="2"/>
    </row>
    <row r="969" spans="1:9" ht="15.75" customHeight="1" x14ac:dyDescent="0.2">
      <c r="A969" s="2"/>
      <c r="B969" s="2"/>
      <c r="C969" s="2"/>
      <c r="D969" s="2"/>
      <c r="E969" s="2"/>
      <c r="F969" s="2"/>
      <c r="G969" s="2"/>
      <c r="H969" s="2"/>
      <c r="I969" s="2"/>
    </row>
    <row r="970" spans="1:9" ht="15.75" customHeight="1" x14ac:dyDescent="0.2">
      <c r="A970" s="2"/>
      <c r="B970" s="2"/>
      <c r="C970" s="2"/>
      <c r="D970" s="2"/>
      <c r="E970" s="2"/>
      <c r="F970" s="2"/>
      <c r="G970" s="2"/>
      <c r="H970" s="2"/>
      <c r="I970" s="2"/>
    </row>
    <row r="971" spans="1:9" ht="15.75" customHeight="1" x14ac:dyDescent="0.2">
      <c r="A971" s="2"/>
      <c r="B971" s="2"/>
      <c r="C971" s="2"/>
      <c r="D971" s="2"/>
      <c r="E971" s="2"/>
      <c r="F971" s="2"/>
      <c r="G971" s="2"/>
      <c r="H971" s="2"/>
      <c r="I971" s="2"/>
    </row>
    <row r="972" spans="1:9" ht="15.75" customHeight="1" x14ac:dyDescent="0.2">
      <c r="A972" s="2"/>
      <c r="B972" s="2"/>
      <c r="C972" s="2"/>
      <c r="D972" s="2"/>
      <c r="E972" s="2"/>
      <c r="F972" s="2"/>
      <c r="G972" s="2"/>
      <c r="H972" s="2"/>
      <c r="I972" s="2"/>
    </row>
    <row r="973" spans="1:9" ht="15.75" customHeight="1" x14ac:dyDescent="0.2">
      <c r="A973" s="2"/>
      <c r="B973" s="2"/>
      <c r="C973" s="2"/>
      <c r="D973" s="2"/>
      <c r="E973" s="2"/>
      <c r="F973" s="2"/>
      <c r="G973" s="2"/>
      <c r="H973" s="2"/>
      <c r="I973" s="2"/>
    </row>
    <row r="974" spans="1:9" ht="15.75" customHeight="1" x14ac:dyDescent="0.2">
      <c r="A974" s="2"/>
      <c r="B974" s="2"/>
      <c r="C974" s="2"/>
      <c r="D974" s="2"/>
      <c r="E974" s="2"/>
      <c r="F974" s="2"/>
      <c r="G974" s="2"/>
      <c r="H974" s="2"/>
      <c r="I974" s="2"/>
    </row>
    <row r="975" spans="1:9" ht="15.75" customHeight="1" x14ac:dyDescent="0.2">
      <c r="A975" s="2"/>
      <c r="B975" s="2"/>
      <c r="C975" s="2"/>
      <c r="D975" s="2"/>
      <c r="E975" s="2"/>
      <c r="F975" s="2"/>
      <c r="G975" s="2"/>
      <c r="H975" s="2"/>
      <c r="I975" s="2"/>
    </row>
    <row r="976" spans="1:9" ht="15.75" customHeight="1" x14ac:dyDescent="0.2">
      <c r="A976" s="2"/>
      <c r="B976" s="2"/>
      <c r="C976" s="2"/>
      <c r="D976" s="2"/>
      <c r="E976" s="2"/>
      <c r="F976" s="2"/>
      <c r="G976" s="2"/>
      <c r="H976" s="2"/>
      <c r="I976" s="2"/>
    </row>
    <row r="977" spans="1:9" ht="15.75" customHeight="1" x14ac:dyDescent="0.2">
      <c r="A977" s="2"/>
      <c r="B977" s="2"/>
      <c r="C977" s="2"/>
      <c r="D977" s="2"/>
      <c r="E977" s="2"/>
      <c r="F977" s="2"/>
      <c r="G977" s="2"/>
      <c r="H977" s="2"/>
      <c r="I977" s="2"/>
    </row>
    <row r="978" spans="1:9" ht="15.75" customHeight="1" x14ac:dyDescent="0.2">
      <c r="A978" s="2"/>
      <c r="B978" s="2"/>
      <c r="C978" s="2"/>
      <c r="D978" s="2"/>
      <c r="E978" s="2"/>
      <c r="F978" s="2"/>
      <c r="G978" s="2"/>
      <c r="H978" s="2"/>
      <c r="I978" s="2"/>
    </row>
    <row r="979" spans="1:9" ht="15.75" customHeight="1" x14ac:dyDescent="0.2">
      <c r="A979" s="2"/>
      <c r="B979" s="2"/>
      <c r="C979" s="2"/>
      <c r="D979" s="2"/>
      <c r="E979" s="2"/>
      <c r="F979" s="2"/>
      <c r="G979" s="2"/>
      <c r="H979" s="2"/>
      <c r="I979" s="2"/>
    </row>
    <row r="980" spans="1:9" ht="15.75" customHeight="1" x14ac:dyDescent="0.2">
      <c r="A980" s="2"/>
      <c r="B980" s="2"/>
      <c r="C980" s="2"/>
      <c r="D980" s="2"/>
      <c r="E980" s="2"/>
      <c r="F980" s="2"/>
      <c r="G980" s="2"/>
      <c r="H980" s="2"/>
      <c r="I980" s="2"/>
    </row>
    <row r="981" spans="1:9" ht="15.75" customHeight="1" x14ac:dyDescent="0.2">
      <c r="A981" s="2"/>
      <c r="B981" s="2"/>
      <c r="C981" s="2"/>
      <c r="D981" s="2"/>
      <c r="E981" s="2"/>
      <c r="F981" s="2"/>
      <c r="G981" s="2"/>
      <c r="H981" s="2"/>
      <c r="I981" s="2"/>
    </row>
    <row r="982" spans="1:9" ht="15.75" customHeight="1" x14ac:dyDescent="0.2">
      <c r="A982" s="2"/>
      <c r="B982" s="2"/>
      <c r="C982" s="2"/>
      <c r="D982" s="2"/>
      <c r="E982" s="2"/>
      <c r="F982" s="2"/>
      <c r="G982" s="2"/>
      <c r="H982" s="2"/>
      <c r="I982" s="2"/>
    </row>
    <row r="983" spans="1:9" ht="15.75" customHeight="1" x14ac:dyDescent="0.2">
      <c r="A983" s="2"/>
      <c r="B983" s="2"/>
      <c r="C983" s="2"/>
      <c r="D983" s="2"/>
      <c r="E983" s="2"/>
      <c r="F983" s="2"/>
      <c r="G983" s="2"/>
      <c r="H983" s="2"/>
      <c r="I983" s="2"/>
    </row>
    <row r="984" spans="1:9" ht="15.75" customHeight="1" x14ac:dyDescent="0.2">
      <c r="A984" s="2"/>
      <c r="B984" s="2"/>
      <c r="C984" s="2"/>
      <c r="D984" s="2"/>
      <c r="E984" s="2"/>
      <c r="F984" s="2"/>
      <c r="G984" s="2"/>
      <c r="H984" s="2"/>
      <c r="I984" s="2"/>
    </row>
    <row r="985" spans="1:9" ht="15.75" customHeight="1" x14ac:dyDescent="0.2">
      <c r="A985" s="2"/>
      <c r="B985" s="2"/>
      <c r="C985" s="2"/>
      <c r="D985" s="2"/>
      <c r="E985" s="2"/>
      <c r="F985" s="2"/>
      <c r="G985" s="2"/>
      <c r="H985" s="2"/>
      <c r="I985" s="2"/>
    </row>
    <row r="986" spans="1:9" ht="15.75" customHeight="1" x14ac:dyDescent="0.2">
      <c r="A986" s="2"/>
      <c r="B986" s="2"/>
      <c r="C986" s="2"/>
      <c r="D986" s="2"/>
      <c r="E986" s="2"/>
      <c r="F986" s="2"/>
      <c r="G986" s="2"/>
      <c r="H986" s="2"/>
      <c r="I986" s="2"/>
    </row>
    <row r="987" spans="1:9" ht="15.75" customHeight="1" x14ac:dyDescent="0.2">
      <c r="A987" s="2"/>
      <c r="B987" s="2"/>
      <c r="C987" s="2"/>
      <c r="D987" s="2"/>
      <c r="E987" s="2"/>
      <c r="F987" s="2"/>
      <c r="G987" s="2"/>
      <c r="H987" s="2"/>
      <c r="I987" s="2"/>
    </row>
    <row r="988" spans="1:9" ht="15.75" customHeight="1" x14ac:dyDescent="0.2">
      <c r="A988" s="2"/>
      <c r="B988" s="2"/>
      <c r="C988" s="2"/>
      <c r="D988" s="2"/>
      <c r="E988" s="2"/>
      <c r="F988" s="2"/>
      <c r="G988" s="2"/>
      <c r="H988" s="2"/>
      <c r="I988" s="2"/>
    </row>
    <row r="989" spans="1:9" ht="15.75" customHeight="1" x14ac:dyDescent="0.2">
      <c r="A989" s="2"/>
      <c r="B989" s="2"/>
      <c r="C989" s="2"/>
      <c r="D989" s="2"/>
      <c r="E989" s="2"/>
      <c r="F989" s="2"/>
      <c r="G989" s="2"/>
      <c r="H989" s="2"/>
      <c r="I989" s="2"/>
    </row>
    <row r="990" spans="1:9" ht="15.75" customHeight="1" x14ac:dyDescent="0.2">
      <c r="A990" s="2"/>
      <c r="B990" s="2"/>
      <c r="C990" s="2"/>
      <c r="D990" s="2"/>
      <c r="E990" s="2"/>
      <c r="F990" s="2"/>
      <c r="G990" s="2"/>
      <c r="H990" s="2"/>
      <c r="I990" s="2"/>
    </row>
    <row r="991" spans="1:9" ht="15.75" customHeight="1" x14ac:dyDescent="0.2">
      <c r="A991" s="2"/>
      <c r="B991" s="2"/>
      <c r="C991" s="2"/>
      <c r="D991" s="2"/>
      <c r="E991" s="2"/>
      <c r="F991" s="2"/>
      <c r="G991" s="2"/>
      <c r="H991" s="2"/>
      <c r="I991" s="2"/>
    </row>
    <row r="992" spans="1:9" ht="15.75" customHeight="1" x14ac:dyDescent="0.2">
      <c r="A992" s="2"/>
      <c r="B992" s="2"/>
      <c r="C992" s="2"/>
      <c r="D992" s="2"/>
      <c r="E992" s="2"/>
      <c r="F992" s="2"/>
      <c r="G992" s="2"/>
      <c r="H992" s="2"/>
      <c r="I992" s="2"/>
    </row>
    <row r="993" spans="1:9" ht="15.75" customHeight="1" x14ac:dyDescent="0.2">
      <c r="A993" s="2"/>
      <c r="B993" s="2"/>
      <c r="C993" s="2"/>
      <c r="D993" s="2"/>
      <c r="E993" s="2"/>
      <c r="F993" s="2"/>
      <c r="G993" s="2"/>
      <c r="H993" s="2"/>
      <c r="I993" s="2"/>
    </row>
    <row r="994" spans="1:9" ht="15.75" customHeight="1" x14ac:dyDescent="0.2">
      <c r="A994" s="2"/>
      <c r="B994" s="2"/>
      <c r="C994" s="2"/>
      <c r="D994" s="2"/>
      <c r="E994" s="2"/>
      <c r="F994" s="2"/>
      <c r="G994" s="2"/>
      <c r="H994" s="2"/>
      <c r="I994" s="2"/>
    </row>
    <row r="995" spans="1:9" ht="15.75" customHeight="1" x14ac:dyDescent="0.2">
      <c r="A995" s="2"/>
      <c r="B995" s="2"/>
      <c r="C995" s="2"/>
      <c r="D995" s="2"/>
      <c r="E995" s="2"/>
      <c r="F995" s="2"/>
      <c r="G995" s="2"/>
      <c r="H995" s="2"/>
      <c r="I995" s="2"/>
    </row>
    <row r="996" spans="1:9" ht="15.75" customHeight="1" x14ac:dyDescent="0.2">
      <c r="A996" s="2"/>
      <c r="B996" s="2"/>
      <c r="C996" s="2"/>
      <c r="D996" s="2"/>
      <c r="E996" s="2"/>
      <c r="F996" s="2"/>
      <c r="G996" s="2"/>
      <c r="H996" s="2"/>
      <c r="I996" s="2"/>
    </row>
    <row r="997" spans="1:9" ht="15.75" customHeight="1" x14ac:dyDescent="0.2">
      <c r="A997" s="2"/>
      <c r="B997" s="2"/>
      <c r="C997" s="2"/>
      <c r="D997" s="2"/>
      <c r="E997" s="2"/>
      <c r="F997" s="2"/>
      <c r="G997" s="2"/>
      <c r="H997" s="2"/>
      <c r="I997" s="2"/>
    </row>
    <row r="998" spans="1:9" ht="15.75" customHeight="1" x14ac:dyDescent="0.2">
      <c r="A998" s="2"/>
      <c r="B998" s="2"/>
      <c r="C998" s="2"/>
      <c r="D998" s="2"/>
      <c r="E998" s="2"/>
      <c r="F998" s="2"/>
      <c r="G998" s="2"/>
      <c r="H998" s="2"/>
      <c r="I998" s="2"/>
    </row>
    <row r="999" spans="1:9" ht="15.75" customHeight="1" x14ac:dyDescent="0.2"/>
  </sheetData>
  <mergeCells count="1">
    <mergeCell ref="A1:G1"/>
  </mergeCells>
  <pageMargins left="0.7" right="0.7" top="0.75" bottom="0.75" header="0" footer="0"/>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165EB-17CC-4B20-9151-FC5942E42DEB}">
  <dimension ref="A1:M1078"/>
  <sheetViews>
    <sheetView workbookViewId="0">
      <selection sqref="A1:G1"/>
    </sheetView>
  </sheetViews>
  <sheetFormatPr baseColWidth="10" defaultColWidth="8.7109375" defaultRowHeight="16" x14ac:dyDescent="0.2"/>
  <cols>
    <col min="1" max="1" width="25.28515625" bestFit="1" customWidth="1"/>
    <col min="9" max="9" width="39.5703125" customWidth="1"/>
    <col min="10" max="10" width="16.7109375" customWidth="1"/>
    <col min="11" max="11" width="21.42578125" customWidth="1"/>
  </cols>
  <sheetData>
    <row r="1" spans="1:13" ht="31.75" customHeight="1" x14ac:dyDescent="0.2">
      <c r="A1" s="57" t="s">
        <v>5253</v>
      </c>
      <c r="B1" s="59"/>
      <c r="C1" s="59"/>
      <c r="D1" s="59"/>
      <c r="E1" s="59"/>
      <c r="F1" s="59"/>
      <c r="G1" s="59"/>
      <c r="H1" s="23"/>
      <c r="I1" s="23"/>
    </row>
    <row r="2" spans="1:13" x14ac:dyDescent="0.2">
      <c r="A2" s="24" t="s">
        <v>0</v>
      </c>
      <c r="B2" s="24" t="s">
        <v>1</v>
      </c>
      <c r="C2" s="24" t="s">
        <v>2</v>
      </c>
      <c r="D2" s="24" t="s">
        <v>3</v>
      </c>
      <c r="E2" s="24" t="s">
        <v>4</v>
      </c>
      <c r="F2" s="24" t="s">
        <v>5</v>
      </c>
      <c r="G2" s="24" t="s">
        <v>6</v>
      </c>
      <c r="H2" s="24" t="s">
        <v>181</v>
      </c>
      <c r="I2" s="25" t="s">
        <v>8</v>
      </c>
      <c r="J2" s="39" t="s">
        <v>3155</v>
      </c>
    </row>
    <row r="3" spans="1:13" x14ac:dyDescent="0.2">
      <c r="A3" s="35" t="s">
        <v>1875</v>
      </c>
      <c r="B3" s="35">
        <v>325.21848792712098</v>
      </c>
      <c r="C3" s="35">
        <v>-7.9297549227392299</v>
      </c>
      <c r="D3" s="35">
        <v>0.57611696889543496</v>
      </c>
      <c r="E3" s="35">
        <v>-13.764140531987101</v>
      </c>
      <c r="F3" s="40">
        <v>4.1883554679351598E-43</v>
      </c>
      <c r="G3" s="40">
        <v>8.7015597859633598E-38</v>
      </c>
      <c r="H3" s="27" t="s">
        <v>10</v>
      </c>
      <c r="I3" s="24" t="s">
        <v>1876</v>
      </c>
      <c r="J3" t="s">
        <v>5025</v>
      </c>
      <c r="K3" s="35"/>
      <c r="L3" s="35"/>
      <c r="M3" s="35"/>
    </row>
    <row r="4" spans="1:13" x14ac:dyDescent="0.2">
      <c r="A4" s="35" t="s">
        <v>1877</v>
      </c>
      <c r="B4" s="35">
        <v>156.55173564425499</v>
      </c>
      <c r="C4" s="35">
        <v>-5.22268008144846</v>
      </c>
      <c r="D4" s="35">
        <v>0.38402773236992499</v>
      </c>
      <c r="E4" s="35">
        <v>-13.599747208927001</v>
      </c>
      <c r="F4" s="40">
        <v>4.0181986488358299E-42</v>
      </c>
      <c r="G4" s="40">
        <v>4.1740243924376902E-37</v>
      </c>
      <c r="H4" s="27" t="s">
        <v>10</v>
      </c>
      <c r="I4" s="24" t="s">
        <v>1878</v>
      </c>
      <c r="J4" s="34" t="s">
        <v>10</v>
      </c>
      <c r="K4" s="35"/>
      <c r="L4" s="35"/>
      <c r="M4" s="35"/>
    </row>
    <row r="5" spans="1:13" x14ac:dyDescent="0.2">
      <c r="A5" s="35" t="s">
        <v>1879</v>
      </c>
      <c r="B5" s="35">
        <v>501.65481218152001</v>
      </c>
      <c r="C5" s="35">
        <v>-12.5104314283173</v>
      </c>
      <c r="D5" s="35">
        <v>1.2341780671988001</v>
      </c>
      <c r="E5" s="35">
        <v>-10.136650262074401</v>
      </c>
      <c r="F5" s="40">
        <v>3.7990383296529998E-24</v>
      </c>
      <c r="G5" s="40">
        <v>1.97318251803847E-19</v>
      </c>
      <c r="H5" s="27" t="s">
        <v>10</v>
      </c>
      <c r="I5" s="24" t="s">
        <v>10</v>
      </c>
      <c r="J5" s="34" t="s">
        <v>10</v>
      </c>
      <c r="K5" s="35"/>
      <c r="L5" s="35"/>
      <c r="M5" s="35"/>
    </row>
    <row r="6" spans="1:13" x14ac:dyDescent="0.2">
      <c r="A6" s="35" t="s">
        <v>1880</v>
      </c>
      <c r="B6" s="35">
        <v>339.445375655916</v>
      </c>
      <c r="C6" s="35">
        <v>-3.10936203948682</v>
      </c>
      <c r="D6" s="35">
        <v>0.310899709725724</v>
      </c>
      <c r="E6" s="35">
        <v>-10.001173826215201</v>
      </c>
      <c r="F6" s="40">
        <v>1.5060119735666801E-23</v>
      </c>
      <c r="G6" s="40">
        <v>6.2576604716064003E-19</v>
      </c>
      <c r="H6" s="43" t="s">
        <v>5229</v>
      </c>
      <c r="I6" s="24" t="s">
        <v>1881</v>
      </c>
      <c r="J6" s="34" t="s">
        <v>10</v>
      </c>
      <c r="K6" s="35"/>
      <c r="L6" s="35"/>
      <c r="M6" s="35"/>
    </row>
    <row r="7" spans="1:13" x14ac:dyDescent="0.2">
      <c r="A7" s="35" t="s">
        <v>1882</v>
      </c>
      <c r="B7" s="35">
        <v>442.41089621135501</v>
      </c>
      <c r="C7" s="35">
        <v>-12.329613488547199</v>
      </c>
      <c r="D7" s="35">
        <v>1.2389978035626401</v>
      </c>
      <c r="E7" s="35">
        <v>-9.9512795366499809</v>
      </c>
      <c r="F7" s="40">
        <v>2.48961319034073E-23</v>
      </c>
      <c r="G7" s="40">
        <v>8.6205346328738202E-19</v>
      </c>
      <c r="H7" s="27" t="s">
        <v>10</v>
      </c>
      <c r="I7" s="24" t="s">
        <v>10</v>
      </c>
      <c r="J7" s="34" t="s">
        <v>10</v>
      </c>
      <c r="K7" s="35"/>
      <c r="L7" s="35"/>
      <c r="M7" s="35"/>
    </row>
    <row r="8" spans="1:13" x14ac:dyDescent="0.2">
      <c r="A8" s="45" t="s">
        <v>1883</v>
      </c>
      <c r="B8" s="45">
        <v>123.215559955738</v>
      </c>
      <c r="C8" s="45">
        <v>-5.8034442476047099</v>
      </c>
      <c r="D8" s="45">
        <v>0.59054677582104098</v>
      </c>
      <c r="E8" s="45">
        <v>-9.8272388999773099</v>
      </c>
      <c r="F8" s="46">
        <v>8.5942740594354503E-23</v>
      </c>
      <c r="G8" s="46">
        <v>2.5507314307029601E-18</v>
      </c>
      <c r="H8" s="50" t="s">
        <v>508</v>
      </c>
      <c r="I8" s="48" t="s">
        <v>5231</v>
      </c>
      <c r="J8" s="50" t="s">
        <v>3083</v>
      </c>
      <c r="K8" s="35"/>
      <c r="L8" s="35"/>
      <c r="M8" s="35"/>
    </row>
    <row r="9" spans="1:13" x14ac:dyDescent="0.2">
      <c r="A9" s="35" t="s">
        <v>1885</v>
      </c>
      <c r="B9" s="35">
        <v>87.1026976911172</v>
      </c>
      <c r="C9" s="35">
        <v>-6.0041570184758397</v>
      </c>
      <c r="D9" s="35">
        <v>0.613022227005661</v>
      </c>
      <c r="E9" s="35">
        <v>-9.7943545176224003</v>
      </c>
      <c r="F9" s="40">
        <v>1.19055388414513E-22</v>
      </c>
      <c r="G9" s="40">
        <v>3.05207733600749E-18</v>
      </c>
      <c r="H9" s="27" t="s">
        <v>4969</v>
      </c>
      <c r="I9" s="24" t="s">
        <v>1886</v>
      </c>
      <c r="J9" s="34" t="s">
        <v>5066</v>
      </c>
      <c r="K9" s="35"/>
      <c r="L9" s="35"/>
      <c r="M9" s="35"/>
    </row>
    <row r="10" spans="1:13" x14ac:dyDescent="0.2">
      <c r="A10" s="35" t="s">
        <v>1887</v>
      </c>
      <c r="B10" s="35">
        <v>173.43264991281799</v>
      </c>
      <c r="C10" s="35">
        <v>-6.9136305100504298</v>
      </c>
      <c r="D10" s="35">
        <v>0.71670707957255897</v>
      </c>
      <c r="E10" s="35">
        <v>-9.6463823326172395</v>
      </c>
      <c r="F10" s="40">
        <v>5.0920452746464803E-22</v>
      </c>
      <c r="G10" s="40">
        <v>8.9766691162717595E-18</v>
      </c>
      <c r="H10" s="27" t="s">
        <v>10</v>
      </c>
      <c r="I10" s="24" t="s">
        <v>1888</v>
      </c>
      <c r="J10" s="34" t="s">
        <v>10</v>
      </c>
      <c r="K10" s="35"/>
      <c r="L10" s="35"/>
      <c r="M10" s="35"/>
    </row>
    <row r="11" spans="1:13" x14ac:dyDescent="0.2">
      <c r="A11" s="35" t="s">
        <v>1889</v>
      </c>
      <c r="B11" s="35">
        <v>236.97711492076101</v>
      </c>
      <c r="C11" s="35">
        <v>-11.428820344075399</v>
      </c>
      <c r="D11" s="35">
        <v>1.2113062654245701</v>
      </c>
      <c r="E11" s="35">
        <v>-9.4351203079672903</v>
      </c>
      <c r="F11" s="40">
        <v>3.9054580423353098E-21</v>
      </c>
      <c r="G11" s="40">
        <v>6.2414026234108806E-17</v>
      </c>
      <c r="H11" s="27" t="s">
        <v>10</v>
      </c>
      <c r="I11" s="24" t="s">
        <v>10</v>
      </c>
      <c r="J11" s="34" t="s">
        <v>10</v>
      </c>
      <c r="K11" s="35"/>
      <c r="L11" s="35"/>
      <c r="M11" s="35"/>
    </row>
    <row r="12" spans="1:13" x14ac:dyDescent="0.2">
      <c r="A12" s="35" t="s">
        <v>1891</v>
      </c>
      <c r="B12" s="35">
        <v>514.91215426822498</v>
      </c>
      <c r="C12" s="35">
        <v>-11.585304723464899</v>
      </c>
      <c r="D12" s="35">
        <v>1.2399149379203001</v>
      </c>
      <c r="E12" s="35">
        <v>-9.3436286386684202</v>
      </c>
      <c r="F12" s="40">
        <v>9.3087925208239396E-21</v>
      </c>
      <c r="G12" s="40">
        <v>1.3813982135402099E-16</v>
      </c>
      <c r="H12" s="27" t="s">
        <v>10</v>
      </c>
      <c r="I12" s="24" t="s">
        <v>1892</v>
      </c>
      <c r="J12" s="34" t="s">
        <v>10</v>
      </c>
      <c r="K12" s="35"/>
      <c r="L12" s="35"/>
      <c r="M12" s="35"/>
    </row>
    <row r="13" spans="1:13" x14ac:dyDescent="0.2">
      <c r="A13" s="35" t="s">
        <v>1893</v>
      </c>
      <c r="B13" s="35">
        <v>265.40087316313901</v>
      </c>
      <c r="C13" s="35">
        <v>-11.591585023707699</v>
      </c>
      <c r="D13" s="35">
        <v>1.2720412057527699</v>
      </c>
      <c r="E13" s="35">
        <v>-9.1125861106425905</v>
      </c>
      <c r="F13" s="40">
        <v>8.0441195650993502E-20</v>
      </c>
      <c r="G13" s="40">
        <v>1.1141427362445201E-15</v>
      </c>
      <c r="H13" s="27" t="s">
        <v>10</v>
      </c>
      <c r="I13" s="24" t="s">
        <v>1894</v>
      </c>
      <c r="J13" s="34" t="s">
        <v>10</v>
      </c>
      <c r="K13" s="35"/>
      <c r="L13" s="35"/>
      <c r="M13" s="35"/>
    </row>
    <row r="14" spans="1:13" x14ac:dyDescent="0.2">
      <c r="A14" s="35" t="s">
        <v>1895</v>
      </c>
      <c r="B14" s="35">
        <v>111.550853787043</v>
      </c>
      <c r="C14" s="35">
        <v>-4.7306729839348902</v>
      </c>
      <c r="D14" s="35">
        <v>0.52200117388784795</v>
      </c>
      <c r="E14" s="35">
        <v>-9.0625715430886693</v>
      </c>
      <c r="F14" s="40">
        <v>1.2741067353692099E-19</v>
      </c>
      <c r="G14" s="40">
        <v>1.47057399396314E-15</v>
      </c>
      <c r="H14" s="27" t="s">
        <v>1896</v>
      </c>
      <c r="I14" s="29" t="s">
        <v>5182</v>
      </c>
      <c r="J14" s="34" t="s">
        <v>5059</v>
      </c>
      <c r="K14" s="35"/>
      <c r="L14" s="35"/>
      <c r="M14" s="35"/>
    </row>
    <row r="15" spans="1:13" x14ac:dyDescent="0.2">
      <c r="A15" s="35" t="s">
        <v>1897</v>
      </c>
      <c r="B15" s="35">
        <v>109.794007372789</v>
      </c>
      <c r="C15" s="35">
        <v>-5.0531870360406499</v>
      </c>
      <c r="D15" s="35">
        <v>0.58218170822923698</v>
      </c>
      <c r="E15" s="35">
        <v>-8.6797420197388497</v>
      </c>
      <c r="F15" s="40">
        <v>3.9666753132046897E-18</v>
      </c>
      <c r="G15" s="40">
        <v>3.8903967854632899E-14</v>
      </c>
      <c r="H15" s="27" t="s">
        <v>10</v>
      </c>
      <c r="I15" s="24" t="s">
        <v>1898</v>
      </c>
      <c r="J15" s="34" t="s">
        <v>10</v>
      </c>
      <c r="K15" s="35"/>
      <c r="L15" s="35"/>
      <c r="M15" s="35"/>
    </row>
    <row r="16" spans="1:13" x14ac:dyDescent="0.2">
      <c r="A16" s="35" t="s">
        <v>1899</v>
      </c>
      <c r="B16" s="35">
        <v>118.46163235142301</v>
      </c>
      <c r="C16" s="35">
        <v>-10.4284678587992</v>
      </c>
      <c r="D16" s="35">
        <v>1.2165074722868601</v>
      </c>
      <c r="E16" s="35">
        <v>-8.5724651071770097</v>
      </c>
      <c r="F16" s="40">
        <v>1.01293050100193E-17</v>
      </c>
      <c r="G16" s="40">
        <v>9.1496690941807799E-14</v>
      </c>
      <c r="H16" s="27" t="s">
        <v>4935</v>
      </c>
      <c r="I16" s="24" t="s">
        <v>1900</v>
      </c>
      <c r="J16" s="34" t="s">
        <v>10</v>
      </c>
      <c r="K16" s="35"/>
      <c r="L16" s="35"/>
      <c r="M16" s="35"/>
    </row>
    <row r="17" spans="1:13" x14ac:dyDescent="0.2">
      <c r="A17" s="35" t="s">
        <v>1901</v>
      </c>
      <c r="B17" s="35">
        <v>128.172037579966</v>
      </c>
      <c r="C17" s="35">
        <v>-10.540482061794799</v>
      </c>
      <c r="D17" s="35">
        <v>1.2521200577965601</v>
      </c>
      <c r="E17" s="35">
        <v>-8.4181081487853309</v>
      </c>
      <c r="F17" s="40">
        <v>3.8261250595770603E-17</v>
      </c>
      <c r="G17" s="40">
        <v>3.3120851578228802E-13</v>
      </c>
      <c r="H17" s="27" t="s">
        <v>10</v>
      </c>
      <c r="I17" s="24" t="s">
        <v>1902</v>
      </c>
      <c r="J17" s="34" t="s">
        <v>10</v>
      </c>
      <c r="K17" s="35"/>
      <c r="L17" s="35"/>
      <c r="M17" s="35"/>
    </row>
    <row r="18" spans="1:13" x14ac:dyDescent="0.2">
      <c r="A18" s="35" t="s">
        <v>1903</v>
      </c>
      <c r="B18" s="35">
        <v>1124.2106228110099</v>
      </c>
      <c r="C18" s="35">
        <v>-4.9737805914736901</v>
      </c>
      <c r="D18" s="35">
        <v>0.59726099827141799</v>
      </c>
      <c r="E18" s="35">
        <v>-8.3276500656642707</v>
      </c>
      <c r="F18" s="40">
        <v>8.2462838949241706E-17</v>
      </c>
      <c r="G18" s="40">
        <v>6.8528598274954598E-13</v>
      </c>
      <c r="H18" s="27" t="s">
        <v>10</v>
      </c>
      <c r="I18" s="24" t="s">
        <v>10</v>
      </c>
      <c r="J18" s="34" t="s">
        <v>10</v>
      </c>
      <c r="K18" s="35"/>
      <c r="L18" s="35"/>
      <c r="M18" s="35"/>
    </row>
    <row r="19" spans="1:13" x14ac:dyDescent="0.2">
      <c r="A19" s="35" t="s">
        <v>1904</v>
      </c>
      <c r="B19" s="35">
        <v>813.557954767571</v>
      </c>
      <c r="C19" s="35">
        <v>-2.6504673449851999</v>
      </c>
      <c r="D19" s="35">
        <v>0.32040385618353601</v>
      </c>
      <c r="E19" s="35">
        <v>-8.2722704294387199</v>
      </c>
      <c r="F19" s="40">
        <v>1.3143176918050701E-16</v>
      </c>
      <c r="G19" s="40">
        <v>1.05022071684098E-12</v>
      </c>
      <c r="H19" s="27" t="s">
        <v>1905</v>
      </c>
      <c r="I19" s="24" t="s">
        <v>1906</v>
      </c>
      <c r="J19" s="34" t="s">
        <v>5065</v>
      </c>
      <c r="K19" s="35"/>
      <c r="L19" s="35"/>
      <c r="M19" s="35"/>
    </row>
    <row r="20" spans="1:13" x14ac:dyDescent="0.2">
      <c r="A20" s="35" t="s">
        <v>1907</v>
      </c>
      <c r="B20" s="35">
        <v>104.416680100855</v>
      </c>
      <c r="C20" s="35">
        <v>-10.245299281163399</v>
      </c>
      <c r="D20" s="35">
        <v>1.2435285581165301</v>
      </c>
      <c r="E20" s="35">
        <v>-8.2388934410007497</v>
      </c>
      <c r="F20" s="40">
        <v>1.73810653855828E-16</v>
      </c>
      <c r="G20" s="40">
        <v>1.33741504453598E-12</v>
      </c>
      <c r="H20" s="27" t="s">
        <v>10</v>
      </c>
      <c r="I20" s="24" t="s">
        <v>1908</v>
      </c>
      <c r="J20" s="34" t="s">
        <v>10</v>
      </c>
      <c r="K20" s="35"/>
      <c r="L20" s="35"/>
      <c r="M20" s="35"/>
    </row>
    <row r="21" spans="1:13" x14ac:dyDescent="0.2">
      <c r="A21" s="35" t="s">
        <v>1909</v>
      </c>
      <c r="B21" s="35">
        <v>110.290765159456</v>
      </c>
      <c r="C21" s="35">
        <v>-10.322973265635699</v>
      </c>
      <c r="D21" s="35">
        <v>1.2588637233253701</v>
      </c>
      <c r="E21" s="35">
        <v>-8.2002309498337809</v>
      </c>
      <c r="F21" s="40">
        <v>2.3992564310015599E-16</v>
      </c>
      <c r="G21" s="40">
        <v>1.7802139967112901E-12</v>
      </c>
      <c r="H21" s="27" t="s">
        <v>10</v>
      </c>
      <c r="I21" s="24" t="s">
        <v>1910</v>
      </c>
      <c r="J21" s="34" t="s">
        <v>10</v>
      </c>
      <c r="K21" s="35"/>
      <c r="L21" s="35"/>
      <c r="M21" s="35"/>
    </row>
    <row r="22" spans="1:13" x14ac:dyDescent="0.2">
      <c r="A22" s="35" t="s">
        <v>1911</v>
      </c>
      <c r="B22" s="35">
        <v>106.083028852749</v>
      </c>
      <c r="C22" s="35">
        <v>-7.2139137983730599</v>
      </c>
      <c r="D22" s="35">
        <v>0.89044303725945795</v>
      </c>
      <c r="E22" s="35">
        <v>-8.1014882440717706</v>
      </c>
      <c r="F22" s="40">
        <v>5.42908923243578E-16</v>
      </c>
      <c r="G22" s="40">
        <v>3.7552824705024097E-12</v>
      </c>
      <c r="H22" s="27" t="s">
        <v>10</v>
      </c>
      <c r="I22" s="24" t="s">
        <v>1912</v>
      </c>
      <c r="J22" s="34" t="s">
        <v>10</v>
      </c>
      <c r="K22" s="35"/>
      <c r="L22" s="35"/>
      <c r="M22" s="35"/>
    </row>
    <row r="23" spans="1:13" x14ac:dyDescent="0.2">
      <c r="A23" s="35" t="s">
        <v>1913</v>
      </c>
      <c r="B23" s="35">
        <v>1517.76314648721</v>
      </c>
      <c r="C23" s="35">
        <v>-3.6534789444823299</v>
      </c>
      <c r="D23" s="35">
        <v>0.451664434833012</v>
      </c>
      <c r="E23" s="35">
        <v>-8.0889232419486099</v>
      </c>
      <c r="F23" s="40">
        <v>6.0194488888933402E-16</v>
      </c>
      <c r="G23" s="40">
        <v>3.8549114883392202E-12</v>
      </c>
      <c r="H23" s="27" t="s">
        <v>10</v>
      </c>
      <c r="I23" s="24" t="s">
        <v>10</v>
      </c>
      <c r="J23" s="34" t="s">
        <v>10</v>
      </c>
      <c r="K23" s="35"/>
      <c r="L23" s="35"/>
      <c r="M23" s="35"/>
    </row>
    <row r="24" spans="1:13" x14ac:dyDescent="0.2">
      <c r="A24" s="35" t="s">
        <v>1914</v>
      </c>
      <c r="B24" s="35">
        <v>105.42233932449901</v>
      </c>
      <c r="C24" s="35">
        <v>-3.0212573983695901</v>
      </c>
      <c r="D24" s="35">
        <v>0.37360162345520898</v>
      </c>
      <c r="E24" s="35">
        <v>-8.0868422637671102</v>
      </c>
      <c r="F24" s="40">
        <v>6.1231482660040797E-16</v>
      </c>
      <c r="G24" s="40">
        <v>3.8549114883392202E-12</v>
      </c>
      <c r="H24" s="27" t="s">
        <v>2021</v>
      </c>
      <c r="I24" s="24" t="s">
        <v>1915</v>
      </c>
      <c r="J24" s="34" t="s">
        <v>10</v>
      </c>
      <c r="K24" s="35"/>
      <c r="L24" s="35"/>
      <c r="M24" s="35"/>
    </row>
    <row r="25" spans="1:13" x14ac:dyDescent="0.2">
      <c r="A25" s="35" t="s">
        <v>1916</v>
      </c>
      <c r="B25" s="35">
        <v>242.25830952795701</v>
      </c>
      <c r="C25" s="35">
        <v>-10.4976411513939</v>
      </c>
      <c r="D25" s="35">
        <v>1.3034934921664201</v>
      </c>
      <c r="E25" s="35">
        <v>-8.0534664840917092</v>
      </c>
      <c r="F25" s="40">
        <v>8.0481445055142101E-16</v>
      </c>
      <c r="G25" s="40">
        <v>4.9177950290812004E-12</v>
      </c>
      <c r="H25" s="27" t="s">
        <v>10</v>
      </c>
      <c r="I25" s="24" t="s">
        <v>10</v>
      </c>
      <c r="J25" s="34" t="s">
        <v>10</v>
      </c>
      <c r="K25" s="35"/>
      <c r="L25" s="35"/>
      <c r="M25" s="35"/>
    </row>
    <row r="26" spans="1:13" x14ac:dyDescent="0.2">
      <c r="A26" s="35" t="s">
        <v>1917</v>
      </c>
      <c r="B26" s="35">
        <v>187.290277484353</v>
      </c>
      <c r="C26" s="35">
        <v>-5.8163159300124398</v>
      </c>
      <c r="D26" s="35">
        <v>0.72372722825985103</v>
      </c>
      <c r="E26" s="35">
        <v>-8.0366133854012194</v>
      </c>
      <c r="F26" s="40">
        <v>9.2355487500178095E-16</v>
      </c>
      <c r="G26" s="40">
        <v>5.4821161888819998E-12</v>
      </c>
      <c r="H26" s="27" t="s">
        <v>10</v>
      </c>
      <c r="I26" s="24" t="s">
        <v>10</v>
      </c>
      <c r="J26" s="34" t="s">
        <v>10</v>
      </c>
      <c r="K26" s="35"/>
      <c r="L26" s="35"/>
      <c r="M26" s="35"/>
    </row>
    <row r="27" spans="1:13" x14ac:dyDescent="0.2">
      <c r="A27" s="35" t="s">
        <v>1918</v>
      </c>
      <c r="B27" s="35">
        <v>103.41053526325599</v>
      </c>
      <c r="C27" s="35">
        <v>-6.4658337187980601</v>
      </c>
      <c r="D27" s="35">
        <v>0.81006955354504695</v>
      </c>
      <c r="E27" s="35">
        <v>-7.9818253759842097</v>
      </c>
      <c r="F27" s="40">
        <v>1.44184917371179E-15</v>
      </c>
      <c r="G27" s="40">
        <v>8.0960220792882901E-12</v>
      </c>
      <c r="H27" s="27" t="s">
        <v>10</v>
      </c>
      <c r="I27" s="24" t="s">
        <v>1919</v>
      </c>
      <c r="J27" s="34" t="s">
        <v>10</v>
      </c>
      <c r="K27" s="35"/>
      <c r="L27" s="35"/>
      <c r="M27" s="35"/>
    </row>
    <row r="28" spans="1:13" x14ac:dyDescent="0.2">
      <c r="A28" s="35" t="s">
        <v>1920</v>
      </c>
      <c r="B28" s="35">
        <v>75.014935324351995</v>
      </c>
      <c r="C28" s="35">
        <v>-7.3999903849551396</v>
      </c>
      <c r="D28" s="35">
        <v>0.92870058866154004</v>
      </c>
      <c r="E28" s="35">
        <v>-7.9681120861785404</v>
      </c>
      <c r="F28" s="40">
        <v>1.6111670358510601E-15</v>
      </c>
      <c r="G28" s="40">
        <v>8.7473240162097498E-12</v>
      </c>
      <c r="H28" s="27" t="s">
        <v>10</v>
      </c>
      <c r="I28" s="24" t="s">
        <v>1921</v>
      </c>
      <c r="J28" s="34" t="s">
        <v>10</v>
      </c>
      <c r="K28" s="35"/>
      <c r="L28" s="35"/>
      <c r="M28" s="35"/>
    </row>
    <row r="29" spans="1:13" x14ac:dyDescent="0.2">
      <c r="A29" s="35" t="s">
        <v>1922</v>
      </c>
      <c r="B29" s="35">
        <v>81.780838184230703</v>
      </c>
      <c r="C29" s="35">
        <v>-9.89541399429155</v>
      </c>
      <c r="D29" s="35">
        <v>1.24815017464324</v>
      </c>
      <c r="E29" s="35">
        <v>-7.92806362192752</v>
      </c>
      <c r="F29" s="40">
        <v>2.2258927504150101E-15</v>
      </c>
      <c r="G29" s="40">
        <v>1.15610643563805E-11</v>
      </c>
      <c r="H29" s="27" t="s">
        <v>10</v>
      </c>
      <c r="I29" s="24" t="s">
        <v>1923</v>
      </c>
      <c r="J29" s="34" t="s">
        <v>10</v>
      </c>
      <c r="K29" s="35"/>
      <c r="L29" s="35"/>
      <c r="M29" s="35"/>
    </row>
    <row r="30" spans="1:13" x14ac:dyDescent="0.2">
      <c r="A30" s="35" t="s">
        <v>1924</v>
      </c>
      <c r="B30" s="35">
        <v>494.20536507657101</v>
      </c>
      <c r="C30" s="35">
        <v>-3.5206332816806101</v>
      </c>
      <c r="D30" s="35">
        <v>0.446939302583515</v>
      </c>
      <c r="E30" s="35">
        <v>-7.8772067288102203</v>
      </c>
      <c r="F30" s="40">
        <v>3.3478076605239901E-15</v>
      </c>
      <c r="G30" s="40">
        <v>1.69640763004835E-11</v>
      </c>
      <c r="H30" s="27" t="s">
        <v>4951</v>
      </c>
      <c r="I30" s="24" t="s">
        <v>1925</v>
      </c>
      <c r="J30" s="34" t="s">
        <v>5089</v>
      </c>
      <c r="K30" s="35"/>
      <c r="L30" s="35"/>
      <c r="M30" s="35"/>
    </row>
    <row r="31" spans="1:13" x14ac:dyDescent="0.2">
      <c r="A31" s="35" t="s">
        <v>1926</v>
      </c>
      <c r="B31" s="35">
        <v>83.179091152046894</v>
      </c>
      <c r="C31" s="35">
        <v>-3.21089125545137</v>
      </c>
      <c r="D31" s="35">
        <v>0.409823956070474</v>
      </c>
      <c r="E31" s="35">
        <v>-7.8348061597922296</v>
      </c>
      <c r="F31" s="40">
        <v>4.6956655665342801E-15</v>
      </c>
      <c r="G31" s="40">
        <v>2.1837444506686202E-11</v>
      </c>
      <c r="H31" s="27" t="s">
        <v>10</v>
      </c>
      <c r="I31" s="24" t="s">
        <v>1928</v>
      </c>
      <c r="J31" s="34" t="s">
        <v>10</v>
      </c>
      <c r="K31" s="35"/>
      <c r="L31" s="35"/>
      <c r="M31" s="35"/>
    </row>
    <row r="32" spans="1:13" x14ac:dyDescent="0.2">
      <c r="A32" s="35" t="s">
        <v>1929</v>
      </c>
      <c r="B32" s="35">
        <v>114.765763564351</v>
      </c>
      <c r="C32" s="35">
        <v>-5.7423097318582599</v>
      </c>
      <c r="D32" s="35">
        <v>0.732948092158486</v>
      </c>
      <c r="E32" s="35">
        <v>-7.8345380706940801</v>
      </c>
      <c r="F32" s="40">
        <v>4.7056948157817802E-15</v>
      </c>
      <c r="G32" s="40">
        <v>2.1837444506686202E-11</v>
      </c>
      <c r="H32" s="27" t="s">
        <v>4987</v>
      </c>
      <c r="I32" s="24" t="s">
        <v>1930</v>
      </c>
      <c r="J32" s="34" t="s">
        <v>5083</v>
      </c>
      <c r="K32" s="35"/>
      <c r="L32" s="35"/>
      <c r="M32" s="35"/>
    </row>
    <row r="33" spans="1:13" x14ac:dyDescent="0.2">
      <c r="A33" s="35" t="s">
        <v>1931</v>
      </c>
      <c r="B33" s="35">
        <v>1123.15340352464</v>
      </c>
      <c r="C33" s="35">
        <v>-3.0370438350621698</v>
      </c>
      <c r="D33" s="35">
        <v>0.388623047445387</v>
      </c>
      <c r="E33" s="35">
        <v>-7.8148834842044703</v>
      </c>
      <c r="F33" s="40">
        <v>5.5013895213634697E-15</v>
      </c>
      <c r="G33" s="40">
        <v>2.4318014497880599E-11</v>
      </c>
      <c r="H33" s="27" t="s">
        <v>10</v>
      </c>
      <c r="I33" s="24" t="s">
        <v>1932</v>
      </c>
      <c r="J33" s="34" t="s">
        <v>10</v>
      </c>
      <c r="K33" s="35"/>
      <c r="L33" s="35"/>
      <c r="M33" s="35"/>
    </row>
    <row r="34" spans="1:13" x14ac:dyDescent="0.2">
      <c r="A34" s="35" t="s">
        <v>1933</v>
      </c>
      <c r="B34" s="35">
        <v>111.225930130771</v>
      </c>
      <c r="C34" s="35">
        <v>-7.9381166174656297</v>
      </c>
      <c r="D34" s="35">
        <v>1.02150435368015</v>
      </c>
      <c r="E34" s="35">
        <v>-7.7710061527071996</v>
      </c>
      <c r="F34" s="40">
        <v>7.7865116147569094E-15</v>
      </c>
      <c r="G34" s="40">
        <v>3.3701968896571601E-11</v>
      </c>
      <c r="H34" s="27" t="s">
        <v>10</v>
      </c>
      <c r="I34" s="24" t="s">
        <v>10</v>
      </c>
      <c r="J34" s="34" t="s">
        <v>10</v>
      </c>
      <c r="K34" s="35"/>
      <c r="L34" s="35"/>
      <c r="M34" s="35"/>
    </row>
    <row r="35" spans="1:13" x14ac:dyDescent="0.2">
      <c r="A35" s="35" t="s">
        <v>1934</v>
      </c>
      <c r="B35" s="35">
        <v>835.829039327484</v>
      </c>
      <c r="C35" s="35">
        <v>-13.2468802057818</v>
      </c>
      <c r="D35" s="35">
        <v>1.71332214851347</v>
      </c>
      <c r="E35" s="35">
        <v>-7.7316926167534596</v>
      </c>
      <c r="F35" s="40">
        <v>1.06125946858461E-14</v>
      </c>
      <c r="G35" s="40">
        <v>4.49965351337273E-11</v>
      </c>
      <c r="H35" s="27" t="s">
        <v>10</v>
      </c>
      <c r="I35" s="24" t="s">
        <v>10</v>
      </c>
      <c r="J35" s="34" t="s">
        <v>10</v>
      </c>
      <c r="K35" s="35"/>
      <c r="L35" s="35"/>
      <c r="M35" s="35"/>
    </row>
    <row r="36" spans="1:13" x14ac:dyDescent="0.2">
      <c r="A36" s="35" t="s">
        <v>1935</v>
      </c>
      <c r="B36" s="35">
        <v>81.121379109142097</v>
      </c>
      <c r="C36" s="35">
        <v>-9.8813418143030098</v>
      </c>
      <c r="D36" s="35">
        <v>1.29140398804489</v>
      </c>
      <c r="E36" s="35">
        <v>-7.6516271482658196</v>
      </c>
      <c r="F36" s="40">
        <v>1.98451951353673E-14</v>
      </c>
      <c r="G36" s="40">
        <v>8.0842320794967806E-11</v>
      </c>
      <c r="H36" s="27" t="s">
        <v>10</v>
      </c>
      <c r="I36" s="24" t="s">
        <v>1936</v>
      </c>
      <c r="J36" s="34" t="s">
        <v>10</v>
      </c>
      <c r="K36" s="35"/>
      <c r="L36" s="35"/>
      <c r="M36" s="35"/>
    </row>
    <row r="37" spans="1:13" x14ac:dyDescent="0.2">
      <c r="A37" s="35" t="s">
        <v>1937</v>
      </c>
      <c r="B37" s="35">
        <v>63.6862676662494</v>
      </c>
      <c r="C37" s="35">
        <v>-9.5315774122525099</v>
      </c>
      <c r="D37" s="35">
        <v>1.24756904583749</v>
      </c>
      <c r="E37" s="35">
        <v>-7.64012015531695</v>
      </c>
      <c r="F37" s="40">
        <v>2.17019118763132E-14</v>
      </c>
      <c r="G37" s="40">
        <v>8.6705815457217904E-11</v>
      </c>
      <c r="H37" s="27" t="s">
        <v>10</v>
      </c>
      <c r="I37" s="24" t="s">
        <v>10</v>
      </c>
      <c r="J37" s="34" t="s">
        <v>10</v>
      </c>
      <c r="K37" s="35"/>
      <c r="L37" s="35"/>
      <c r="M37" s="35"/>
    </row>
    <row r="38" spans="1:13" x14ac:dyDescent="0.2">
      <c r="A38" s="35" t="s">
        <v>1939</v>
      </c>
      <c r="B38" s="35">
        <v>66.336925519386</v>
      </c>
      <c r="C38" s="35">
        <v>-9.5902884621821993</v>
      </c>
      <c r="D38" s="35">
        <v>1.2647444770690699</v>
      </c>
      <c r="E38" s="35">
        <v>-7.5827873820068401</v>
      </c>
      <c r="F38" s="40">
        <v>3.38208851507824E-14</v>
      </c>
      <c r="G38" s="40">
        <v>1.3257531727143301E-10</v>
      </c>
      <c r="H38" s="27" t="s">
        <v>4951</v>
      </c>
      <c r="I38" s="24" t="s">
        <v>1925</v>
      </c>
      <c r="J38" s="34" t="s">
        <v>10</v>
      </c>
      <c r="K38" s="35"/>
      <c r="L38" s="35"/>
      <c r="M38" s="35"/>
    </row>
    <row r="39" spans="1:13" x14ac:dyDescent="0.2">
      <c r="A39" s="35" t="s">
        <v>1940</v>
      </c>
      <c r="B39" s="35">
        <v>63.573965380614098</v>
      </c>
      <c r="C39" s="35">
        <v>-9.5291096832931999</v>
      </c>
      <c r="D39" s="35">
        <v>1.2644507019840601</v>
      </c>
      <c r="E39" s="35">
        <v>-7.5361654419116499</v>
      </c>
      <c r="F39" s="40">
        <v>4.8399247844990603E-14</v>
      </c>
      <c r="G39" s="40">
        <v>1.8620803954229401E-10</v>
      </c>
      <c r="H39" s="27" t="s">
        <v>4970</v>
      </c>
      <c r="I39" s="24" t="s">
        <v>1941</v>
      </c>
      <c r="J39" s="34" t="s">
        <v>10</v>
      </c>
      <c r="K39" s="35"/>
      <c r="L39" s="35"/>
      <c r="M39" s="35"/>
    </row>
    <row r="40" spans="1:13" x14ac:dyDescent="0.2">
      <c r="A40" s="35" t="s">
        <v>1942</v>
      </c>
      <c r="B40" s="35">
        <v>55.512517697116103</v>
      </c>
      <c r="C40" s="35">
        <v>-9.3352606914096796</v>
      </c>
      <c r="D40" s="35">
        <v>1.2496454542208</v>
      </c>
      <c r="E40" s="35">
        <v>-7.4703274115701301</v>
      </c>
      <c r="F40" s="40">
        <v>7.9995528125584394E-14</v>
      </c>
      <c r="G40" s="40">
        <v>2.8168730408913402E-10</v>
      </c>
      <c r="H40" s="27" t="s">
        <v>10</v>
      </c>
      <c r="I40" s="24" t="s">
        <v>1943</v>
      </c>
      <c r="J40" s="34" t="s">
        <v>10</v>
      </c>
      <c r="K40" s="35"/>
      <c r="L40" s="35"/>
      <c r="M40" s="35"/>
    </row>
    <row r="41" spans="1:13" x14ac:dyDescent="0.2">
      <c r="A41" s="35" t="s">
        <v>1944</v>
      </c>
      <c r="B41" s="35">
        <v>55.494405622248102</v>
      </c>
      <c r="C41" s="35">
        <v>-9.3321586416239501</v>
      </c>
      <c r="D41" s="35">
        <v>1.2511406470747299</v>
      </c>
      <c r="E41" s="35">
        <v>-7.4589205166048496</v>
      </c>
      <c r="F41" s="40">
        <v>8.7234208679504397E-14</v>
      </c>
      <c r="G41" s="40">
        <v>2.9710541407244502E-10</v>
      </c>
      <c r="H41" s="27" t="s">
        <v>1945</v>
      </c>
      <c r="I41" s="24" t="s">
        <v>1946</v>
      </c>
      <c r="J41" s="34" t="s">
        <v>5093</v>
      </c>
      <c r="K41" s="35"/>
      <c r="L41" s="35"/>
      <c r="M41" s="35"/>
    </row>
    <row r="42" spans="1:13" x14ac:dyDescent="0.2">
      <c r="A42" s="35" t="s">
        <v>1947</v>
      </c>
      <c r="B42" s="35">
        <v>301.72113318690998</v>
      </c>
      <c r="C42" s="35">
        <v>-2.2150886449979401</v>
      </c>
      <c r="D42" s="35">
        <v>0.297280728276335</v>
      </c>
      <c r="E42" s="35">
        <v>-7.4511679846899304</v>
      </c>
      <c r="F42" s="40">
        <v>9.2517469749130905E-14</v>
      </c>
      <c r="G42" s="40">
        <v>3.1001708782581402E-10</v>
      </c>
      <c r="H42" s="27" t="s">
        <v>10</v>
      </c>
      <c r="I42" s="24" t="s">
        <v>1948</v>
      </c>
      <c r="J42" s="34" t="s">
        <v>10</v>
      </c>
      <c r="K42" s="35"/>
      <c r="L42" s="35"/>
      <c r="M42" s="35"/>
    </row>
    <row r="43" spans="1:13" x14ac:dyDescent="0.2">
      <c r="A43" s="35" t="s">
        <v>1949</v>
      </c>
      <c r="B43" s="35">
        <v>8172.2091464415398</v>
      </c>
      <c r="C43" s="35">
        <v>-7.4745864363438299</v>
      </c>
      <c r="D43" s="35">
        <v>1.01051288690328</v>
      </c>
      <c r="E43" s="35">
        <v>-7.3968244573800197</v>
      </c>
      <c r="F43" s="40">
        <v>1.3947973816677601E-13</v>
      </c>
      <c r="G43" s="40">
        <v>4.5996432512026499E-10</v>
      </c>
      <c r="H43" s="27" t="s">
        <v>10</v>
      </c>
      <c r="I43" s="24" t="s">
        <v>1951</v>
      </c>
      <c r="J43" s="34" t="s">
        <v>10</v>
      </c>
      <c r="K43" s="35"/>
      <c r="L43" s="35"/>
      <c r="M43" s="35"/>
    </row>
    <row r="44" spans="1:13" x14ac:dyDescent="0.2">
      <c r="A44" s="35" t="s">
        <v>1952</v>
      </c>
      <c r="B44" s="35">
        <v>76.825982825761898</v>
      </c>
      <c r="C44" s="35">
        <v>-9.8048485538052699</v>
      </c>
      <c r="D44" s="35">
        <v>1.32862136015177</v>
      </c>
      <c r="E44" s="35">
        <v>-7.3797161839135601</v>
      </c>
      <c r="F44" s="40">
        <v>1.5862731544276901E-13</v>
      </c>
      <c r="G44" s="40">
        <v>5.07011946878891E-10</v>
      </c>
      <c r="H44" s="27" t="s">
        <v>10</v>
      </c>
      <c r="I44" s="24" t="s">
        <v>10</v>
      </c>
      <c r="J44" s="34" t="s">
        <v>10</v>
      </c>
      <c r="K44" s="35"/>
      <c r="L44" s="35"/>
      <c r="M44" s="35"/>
    </row>
    <row r="45" spans="1:13" x14ac:dyDescent="0.2">
      <c r="A45" s="35" t="s">
        <v>1953</v>
      </c>
      <c r="B45" s="35">
        <v>686.574308930558</v>
      </c>
      <c r="C45" s="35">
        <v>-2.4180207905016999</v>
      </c>
      <c r="D45" s="35">
        <v>0.32803873791757399</v>
      </c>
      <c r="E45" s="35">
        <v>-7.3711440479608097</v>
      </c>
      <c r="F45" s="40">
        <v>1.69169929068672E-13</v>
      </c>
      <c r="G45" s="40">
        <v>5.3251617853925795E-10</v>
      </c>
      <c r="H45" s="27" t="s">
        <v>10</v>
      </c>
      <c r="I45" s="24" t="s">
        <v>10</v>
      </c>
      <c r="J45" s="34" t="s">
        <v>10</v>
      </c>
      <c r="K45" s="35"/>
      <c r="L45" s="35"/>
      <c r="M45" s="35"/>
    </row>
    <row r="46" spans="1:13" x14ac:dyDescent="0.2">
      <c r="A46" s="35" t="s">
        <v>1955</v>
      </c>
      <c r="B46" s="35">
        <v>78.352023948596596</v>
      </c>
      <c r="C46" s="35">
        <v>-9.82980048932777</v>
      </c>
      <c r="D46" s="35">
        <v>1.33465585757537</v>
      </c>
      <c r="E46" s="35">
        <v>-7.3650450290498801</v>
      </c>
      <c r="F46" s="40">
        <v>1.7708708241187999E-13</v>
      </c>
      <c r="G46" s="40">
        <v>5.4911796856063503E-10</v>
      </c>
      <c r="H46" s="27" t="s">
        <v>10</v>
      </c>
      <c r="I46" s="24" t="s">
        <v>1957</v>
      </c>
      <c r="J46" s="34" t="s">
        <v>10</v>
      </c>
      <c r="K46" s="35"/>
      <c r="L46" s="35"/>
      <c r="M46" s="35"/>
    </row>
    <row r="47" spans="1:13" x14ac:dyDescent="0.2">
      <c r="A47" s="35" t="s">
        <v>1958</v>
      </c>
      <c r="B47" s="35">
        <v>50.882102427067601</v>
      </c>
      <c r="C47" s="35">
        <v>-9.2072425279169892</v>
      </c>
      <c r="D47" s="35">
        <v>1.2543380308108301</v>
      </c>
      <c r="E47" s="35">
        <v>-7.3403199948942204</v>
      </c>
      <c r="F47" s="40">
        <v>2.1308377805903499E-13</v>
      </c>
      <c r="G47" s="40">
        <v>6.5102107932989597E-10</v>
      </c>
      <c r="H47" s="27" t="s">
        <v>10</v>
      </c>
      <c r="I47" s="24" t="s">
        <v>1959</v>
      </c>
      <c r="J47" s="34" t="s">
        <v>10</v>
      </c>
      <c r="K47" s="35"/>
      <c r="L47" s="35"/>
      <c r="M47" s="35"/>
    </row>
    <row r="48" spans="1:13" x14ac:dyDescent="0.2">
      <c r="A48" s="35" t="s">
        <v>1960</v>
      </c>
      <c r="B48" s="35">
        <v>231.731245462239</v>
      </c>
      <c r="C48" s="35">
        <v>-3.1084867742347502</v>
      </c>
      <c r="D48" s="35">
        <v>0.42374012179829501</v>
      </c>
      <c r="E48" s="35">
        <v>-7.3358330125614604</v>
      </c>
      <c r="F48" s="40">
        <v>2.2034661922517001E-13</v>
      </c>
      <c r="G48" s="40">
        <v>6.6345409019919599E-10</v>
      </c>
      <c r="H48" s="27" t="s">
        <v>10</v>
      </c>
      <c r="I48" s="24" t="s">
        <v>1961</v>
      </c>
      <c r="J48" s="34" t="s">
        <v>10</v>
      </c>
      <c r="K48" s="35"/>
      <c r="L48" s="35"/>
      <c r="M48" s="35"/>
    </row>
    <row r="49" spans="1:13" x14ac:dyDescent="0.2">
      <c r="A49" s="45" t="s">
        <v>1962</v>
      </c>
      <c r="B49" s="45">
        <v>135.83701649783799</v>
      </c>
      <c r="C49" s="45">
        <v>-5.2509981903982901</v>
      </c>
      <c r="D49" s="45">
        <v>0.71868409055834304</v>
      </c>
      <c r="E49" s="45">
        <v>-7.3064066108918704</v>
      </c>
      <c r="F49" s="46">
        <v>2.7438104450465598E-13</v>
      </c>
      <c r="G49" s="46">
        <v>8.1233687531336398E-10</v>
      </c>
      <c r="H49" s="50" t="s">
        <v>429</v>
      </c>
      <c r="I49" s="47" t="s">
        <v>1965</v>
      </c>
      <c r="J49" s="50" t="s">
        <v>5034</v>
      </c>
      <c r="K49" s="35"/>
      <c r="L49" s="35"/>
      <c r="M49" s="35"/>
    </row>
    <row r="50" spans="1:13" x14ac:dyDescent="0.2">
      <c r="A50" s="35" t="s">
        <v>1966</v>
      </c>
      <c r="B50" s="35">
        <v>50.188082331197599</v>
      </c>
      <c r="C50" s="35">
        <v>-9.1912878842098191</v>
      </c>
      <c r="D50" s="35">
        <v>1.2582477043032601</v>
      </c>
      <c r="E50" s="35">
        <v>-7.3048318330128996</v>
      </c>
      <c r="F50" s="40">
        <v>2.7761373027613599E-13</v>
      </c>
      <c r="G50" s="40">
        <v>8.1233687531336398E-10</v>
      </c>
      <c r="H50" s="27" t="s">
        <v>10</v>
      </c>
      <c r="I50" s="24" t="s">
        <v>1968</v>
      </c>
      <c r="J50" s="34" t="s">
        <v>10</v>
      </c>
      <c r="K50" s="35"/>
      <c r="L50" s="35"/>
      <c r="M50" s="35"/>
    </row>
    <row r="51" spans="1:13" x14ac:dyDescent="0.2">
      <c r="A51" s="35" t="s">
        <v>1969</v>
      </c>
      <c r="B51" s="35">
        <v>60.251107830392399</v>
      </c>
      <c r="C51" s="35">
        <v>-4.8528675607139498</v>
      </c>
      <c r="D51" s="35">
        <v>0.67055546813094902</v>
      </c>
      <c r="E51" s="35">
        <v>-7.23708595538029</v>
      </c>
      <c r="F51" s="40">
        <v>4.5842763104457097E-13</v>
      </c>
      <c r="G51" s="40">
        <v>1.28704176912562E-9</v>
      </c>
      <c r="H51" s="27" t="s">
        <v>4960</v>
      </c>
      <c r="I51" s="24" t="s">
        <v>1970</v>
      </c>
      <c r="J51" s="34" t="s">
        <v>5057</v>
      </c>
      <c r="K51" s="35"/>
      <c r="L51" s="35"/>
      <c r="M51" s="35"/>
    </row>
    <row r="52" spans="1:13" x14ac:dyDescent="0.2">
      <c r="A52" s="35" t="s">
        <v>1971</v>
      </c>
      <c r="B52" s="35">
        <v>46.240459626871797</v>
      </c>
      <c r="C52" s="35">
        <v>-9.0693058076225697</v>
      </c>
      <c r="D52" s="35">
        <v>1.25434527933902</v>
      </c>
      <c r="E52" s="35">
        <v>-7.2303104711341</v>
      </c>
      <c r="F52" s="40">
        <v>4.8189108025633202E-13</v>
      </c>
      <c r="G52" s="40">
        <v>1.3348768435964599E-9</v>
      </c>
      <c r="H52" s="27" t="s">
        <v>10</v>
      </c>
      <c r="I52" s="24" t="s">
        <v>10</v>
      </c>
      <c r="J52" s="34" t="s">
        <v>10</v>
      </c>
      <c r="K52" s="35"/>
      <c r="L52" s="35"/>
      <c r="M52" s="35"/>
    </row>
    <row r="53" spans="1:13" x14ac:dyDescent="0.2">
      <c r="A53" s="35" t="s">
        <v>1974</v>
      </c>
      <c r="B53" s="35">
        <v>57.886432899144303</v>
      </c>
      <c r="C53" s="35">
        <v>-6.8888368077517903</v>
      </c>
      <c r="D53" s="35">
        <v>0.95662476997347001</v>
      </c>
      <c r="E53" s="35">
        <v>-7.2011900841150398</v>
      </c>
      <c r="F53" s="40">
        <v>5.9689266139343097E-13</v>
      </c>
      <c r="G53" s="40">
        <v>1.6154251800585701E-9</v>
      </c>
      <c r="H53" s="27" t="s">
        <v>10</v>
      </c>
      <c r="I53" s="24" t="s">
        <v>1975</v>
      </c>
      <c r="J53" s="34" t="s">
        <v>10</v>
      </c>
      <c r="K53" s="35"/>
      <c r="L53" s="35"/>
      <c r="M53" s="35"/>
    </row>
    <row r="54" spans="1:13" x14ac:dyDescent="0.2">
      <c r="A54" s="35" t="s">
        <v>1977</v>
      </c>
      <c r="B54" s="35">
        <v>58.095448233305397</v>
      </c>
      <c r="C54" s="35">
        <v>-9.3997320000176803</v>
      </c>
      <c r="D54" s="35">
        <v>1.31323840201423</v>
      </c>
      <c r="E54" s="35">
        <v>-7.1576737213901902</v>
      </c>
      <c r="F54" s="40">
        <v>8.2057571300537602E-13</v>
      </c>
      <c r="G54" s="40">
        <v>2.1856349721941599E-9</v>
      </c>
      <c r="H54" s="27" t="s">
        <v>10</v>
      </c>
      <c r="I54" s="24" t="s">
        <v>1936</v>
      </c>
      <c r="J54" s="34" t="s">
        <v>10</v>
      </c>
      <c r="K54" s="35"/>
      <c r="L54" s="35"/>
      <c r="M54" s="35"/>
    </row>
    <row r="55" spans="1:13" x14ac:dyDescent="0.2">
      <c r="A55" s="35" t="s">
        <v>1978</v>
      </c>
      <c r="B55" s="35">
        <v>61.284954717807999</v>
      </c>
      <c r="C55" s="35">
        <v>-3.6572570765346799</v>
      </c>
      <c r="D55" s="35">
        <v>0.51188356585856198</v>
      </c>
      <c r="E55" s="35">
        <v>-7.1447050080627301</v>
      </c>
      <c r="F55" s="40">
        <v>9.0189361820968301E-13</v>
      </c>
      <c r="G55" s="40">
        <v>2.37182038664267E-9</v>
      </c>
      <c r="H55" s="27" t="s">
        <v>10</v>
      </c>
      <c r="I55" s="24" t="s">
        <v>10</v>
      </c>
      <c r="J55" s="34" t="s">
        <v>10</v>
      </c>
      <c r="K55" s="35"/>
      <c r="L55" s="35"/>
      <c r="M55" s="35"/>
    </row>
    <row r="56" spans="1:13" x14ac:dyDescent="0.2">
      <c r="A56" s="35" t="s">
        <v>1980</v>
      </c>
      <c r="B56" s="35">
        <v>340.181659910338</v>
      </c>
      <c r="C56" s="35">
        <v>-2.3673599254629201</v>
      </c>
      <c r="D56" s="35">
        <v>0.33381983934561299</v>
      </c>
      <c r="E56" s="35">
        <v>-7.0917292696073897</v>
      </c>
      <c r="F56" s="40">
        <v>1.32446427184588E-12</v>
      </c>
      <c r="G56" s="40">
        <v>3.3971036945878099E-9</v>
      </c>
      <c r="H56" s="27" t="s">
        <v>10</v>
      </c>
      <c r="I56" s="24" t="s">
        <v>1981</v>
      </c>
      <c r="J56" s="34" t="s">
        <v>10</v>
      </c>
      <c r="K56" s="35"/>
      <c r="L56" s="35"/>
      <c r="M56" s="35"/>
    </row>
    <row r="57" spans="1:13" x14ac:dyDescent="0.2">
      <c r="A57" s="35" t="s">
        <v>1983</v>
      </c>
      <c r="B57" s="35">
        <v>45.2617440910889</v>
      </c>
      <c r="C57" s="35">
        <v>-9.0405120658425702</v>
      </c>
      <c r="D57" s="35">
        <v>1.2779424819171299</v>
      </c>
      <c r="E57" s="35">
        <v>-7.07427149012236</v>
      </c>
      <c r="F57" s="40">
        <v>1.5023590500867701E-12</v>
      </c>
      <c r="G57" s="40">
        <v>3.8063915464613E-9</v>
      </c>
      <c r="H57" s="27" t="s">
        <v>10</v>
      </c>
      <c r="I57" s="24" t="s">
        <v>10</v>
      </c>
      <c r="J57" s="34" t="s">
        <v>10</v>
      </c>
      <c r="K57" s="35"/>
      <c r="L57" s="35"/>
      <c r="M57" s="35"/>
    </row>
    <row r="58" spans="1:13" x14ac:dyDescent="0.2">
      <c r="A58" s="35" t="s">
        <v>1984</v>
      </c>
      <c r="B58" s="35">
        <v>406.432250765437</v>
      </c>
      <c r="C58" s="35">
        <v>-2.9706231979317299</v>
      </c>
      <c r="D58" s="35">
        <v>0.421940383515085</v>
      </c>
      <c r="E58" s="35">
        <v>-7.0403860687241604</v>
      </c>
      <c r="F58" s="40">
        <v>1.9170790784695598E-12</v>
      </c>
      <c r="G58" s="40">
        <v>4.7414842979347804E-9</v>
      </c>
      <c r="H58" s="27" t="s">
        <v>10</v>
      </c>
      <c r="I58" s="24" t="s">
        <v>10</v>
      </c>
      <c r="J58" s="34" t="s">
        <v>10</v>
      </c>
      <c r="K58" s="35"/>
      <c r="L58" s="35"/>
      <c r="M58" s="35"/>
    </row>
    <row r="59" spans="1:13" x14ac:dyDescent="0.2">
      <c r="A59" s="35" t="s">
        <v>1985</v>
      </c>
      <c r="B59" s="35">
        <v>57.505443908384301</v>
      </c>
      <c r="C59" s="35">
        <v>-9.3826668548429204</v>
      </c>
      <c r="D59" s="35">
        <v>1.3430850856523</v>
      </c>
      <c r="E59" s="35">
        <v>-6.9859065185628397</v>
      </c>
      <c r="F59" s="40">
        <v>2.83022486759425E-12</v>
      </c>
      <c r="G59" s="40">
        <v>6.8371650882780202E-9</v>
      </c>
      <c r="H59" s="27" t="s">
        <v>10</v>
      </c>
      <c r="I59" s="24" t="s">
        <v>1989</v>
      </c>
      <c r="J59" s="34" t="s">
        <v>10</v>
      </c>
      <c r="K59" s="35"/>
      <c r="L59" s="35"/>
      <c r="M59" s="35"/>
    </row>
    <row r="60" spans="1:13" x14ac:dyDescent="0.2">
      <c r="A60" s="35" t="s">
        <v>1990</v>
      </c>
      <c r="B60" s="35">
        <v>205.56847704206299</v>
      </c>
      <c r="C60" s="35">
        <v>-2.07431729791583</v>
      </c>
      <c r="D60" s="35">
        <v>0.29748652344360099</v>
      </c>
      <c r="E60" s="35">
        <v>-6.9728109828446998</v>
      </c>
      <c r="F60" s="40">
        <v>3.1066991382874E-12</v>
      </c>
      <c r="G60" s="40">
        <v>7.3344930247049696E-9</v>
      </c>
      <c r="H60" s="27" t="s">
        <v>10</v>
      </c>
      <c r="I60" s="24" t="s">
        <v>1992</v>
      </c>
      <c r="J60" s="34" t="s">
        <v>10</v>
      </c>
      <c r="K60" s="35"/>
      <c r="L60" s="35"/>
      <c r="M60" s="35"/>
    </row>
    <row r="61" spans="1:13" x14ac:dyDescent="0.2">
      <c r="A61" s="35" t="s">
        <v>1993</v>
      </c>
      <c r="B61" s="35">
        <v>123.529692337283</v>
      </c>
      <c r="C61" s="35">
        <v>-2.1432499869327701</v>
      </c>
      <c r="D61" s="35">
        <v>0.307943761646711</v>
      </c>
      <c r="E61" s="35">
        <v>-6.9598746715045303</v>
      </c>
      <c r="F61" s="40">
        <v>3.4057558282529401E-12</v>
      </c>
      <c r="G61" s="40">
        <v>7.8642089721320707E-9</v>
      </c>
      <c r="H61" s="27" t="s">
        <v>10</v>
      </c>
      <c r="I61" s="24" t="s">
        <v>1995</v>
      </c>
      <c r="J61" s="34" t="s">
        <v>10</v>
      </c>
      <c r="K61" s="35"/>
      <c r="L61" s="35"/>
      <c r="M61" s="35"/>
    </row>
    <row r="62" spans="1:13" x14ac:dyDescent="0.2">
      <c r="A62" s="35" t="s">
        <v>1997</v>
      </c>
      <c r="B62" s="35">
        <v>44.176670523082201</v>
      </c>
      <c r="C62" s="35">
        <v>-9.0023156628597594</v>
      </c>
      <c r="D62" s="35">
        <v>1.2934673154854399</v>
      </c>
      <c r="E62" s="35">
        <v>-6.9598323475851904</v>
      </c>
      <c r="F62" s="40">
        <v>3.4067791423202501E-12</v>
      </c>
      <c r="G62" s="40">
        <v>7.8642089721320707E-9</v>
      </c>
      <c r="H62" s="27" t="s">
        <v>10</v>
      </c>
      <c r="I62" s="24" t="s">
        <v>10</v>
      </c>
      <c r="J62" s="34" t="s">
        <v>10</v>
      </c>
      <c r="K62" s="35"/>
      <c r="L62" s="35"/>
      <c r="M62" s="35"/>
    </row>
    <row r="63" spans="1:13" x14ac:dyDescent="0.2">
      <c r="A63" s="35" t="s">
        <v>1999</v>
      </c>
      <c r="B63" s="35">
        <v>39.9414744460002</v>
      </c>
      <c r="C63" s="35">
        <v>-8.8624841395263108</v>
      </c>
      <c r="D63" s="35">
        <v>1.2838111200253699</v>
      </c>
      <c r="E63" s="35">
        <v>-6.9032617035994797</v>
      </c>
      <c r="F63" s="40">
        <v>5.08218768659112E-12</v>
      </c>
      <c r="G63" s="40">
        <v>1.1602802033136501E-8</v>
      </c>
      <c r="H63" s="27" t="s">
        <v>10</v>
      </c>
      <c r="I63" s="24" t="s">
        <v>2000</v>
      </c>
      <c r="J63" s="34" t="s">
        <v>10</v>
      </c>
      <c r="K63" s="35"/>
      <c r="L63" s="35"/>
      <c r="M63" s="35"/>
    </row>
    <row r="64" spans="1:13" x14ac:dyDescent="0.2">
      <c r="A64" s="35" t="s">
        <v>2001</v>
      </c>
      <c r="B64" s="35">
        <v>51.5752162483072</v>
      </c>
      <c r="C64" s="35">
        <v>-9.2251040038387693</v>
      </c>
      <c r="D64" s="35">
        <v>1.3409853039181101</v>
      </c>
      <c r="E64" s="35">
        <v>-6.8793475788919896</v>
      </c>
      <c r="F64" s="40">
        <v>6.0127292329061203E-12</v>
      </c>
      <c r="G64" s="40">
        <v>1.3149269205385701E-8</v>
      </c>
      <c r="H64" s="27" t="s">
        <v>10</v>
      </c>
      <c r="I64" s="24" t="s">
        <v>10</v>
      </c>
      <c r="J64" s="34" t="s">
        <v>10</v>
      </c>
      <c r="K64" s="35"/>
      <c r="L64" s="35"/>
      <c r="M64" s="35"/>
    </row>
    <row r="65" spans="1:13" x14ac:dyDescent="0.2">
      <c r="A65" s="35" t="s">
        <v>2002</v>
      </c>
      <c r="B65" s="35">
        <v>54.390988794558098</v>
      </c>
      <c r="C65" s="35">
        <v>-7.49436594099984</v>
      </c>
      <c r="D65" s="35">
        <v>1.0961007505332301</v>
      </c>
      <c r="E65" s="35">
        <v>-6.8372966055848101</v>
      </c>
      <c r="F65" s="40">
        <v>8.0701545660797995E-12</v>
      </c>
      <c r="G65" s="40">
        <v>1.74648232503175E-8</v>
      </c>
      <c r="H65" s="27" t="s">
        <v>10</v>
      </c>
      <c r="I65" s="24" t="s">
        <v>2003</v>
      </c>
      <c r="J65" s="34" t="s">
        <v>10</v>
      </c>
      <c r="K65" s="35"/>
      <c r="L65" s="35"/>
      <c r="M65" s="35"/>
    </row>
    <row r="66" spans="1:13" x14ac:dyDescent="0.2">
      <c r="A66" s="35" t="s">
        <v>2004</v>
      </c>
      <c r="B66" s="35">
        <v>47.035549633906797</v>
      </c>
      <c r="C66" s="35">
        <v>-9.0953393344576607</v>
      </c>
      <c r="D66" s="35">
        <v>1.34145252665991</v>
      </c>
      <c r="E66" s="35">
        <v>-6.7802170808863602</v>
      </c>
      <c r="F66" s="40">
        <v>1.19995443492143E-11</v>
      </c>
      <c r="G66" s="40">
        <v>2.49297733581537E-8</v>
      </c>
      <c r="H66" s="27" t="s">
        <v>10</v>
      </c>
      <c r="I66" s="24" t="s">
        <v>1936</v>
      </c>
      <c r="J66" s="34" t="s">
        <v>10</v>
      </c>
      <c r="K66" s="35"/>
      <c r="L66" s="35"/>
      <c r="M66" s="35"/>
    </row>
    <row r="67" spans="1:13" x14ac:dyDescent="0.2">
      <c r="A67" s="35" t="s">
        <v>2005</v>
      </c>
      <c r="B67" s="35">
        <v>37.091916839373397</v>
      </c>
      <c r="C67" s="35">
        <v>-5.8907898212016603</v>
      </c>
      <c r="D67" s="35">
        <v>0.86953656562729098</v>
      </c>
      <c r="E67" s="35">
        <v>-6.7746315152968899</v>
      </c>
      <c r="F67" s="40">
        <v>1.24723733543999E-11</v>
      </c>
      <c r="G67" s="40">
        <v>2.56555485011555E-8</v>
      </c>
      <c r="H67" s="27" t="s">
        <v>2006</v>
      </c>
      <c r="I67" s="24" t="s">
        <v>2007</v>
      </c>
      <c r="J67" s="34" t="s">
        <v>5041</v>
      </c>
      <c r="K67" s="35"/>
      <c r="L67" s="35"/>
      <c r="M67" s="35"/>
    </row>
    <row r="68" spans="1:13" x14ac:dyDescent="0.2">
      <c r="A68" s="35" t="s">
        <v>2008</v>
      </c>
      <c r="B68" s="35">
        <v>39.547161527664002</v>
      </c>
      <c r="C68" s="35">
        <v>-8.84164057412546</v>
      </c>
      <c r="D68" s="35">
        <v>1.3075118892658999</v>
      </c>
      <c r="E68" s="35">
        <v>-6.76218751562525</v>
      </c>
      <c r="F68" s="40">
        <v>1.35923619088275E-11</v>
      </c>
      <c r="G68" s="40">
        <v>2.7416453793498699E-8</v>
      </c>
      <c r="H68" s="27" t="s">
        <v>10</v>
      </c>
      <c r="I68" s="24" t="s">
        <v>10</v>
      </c>
      <c r="J68" s="34" t="s">
        <v>10</v>
      </c>
      <c r="K68" s="35"/>
      <c r="L68" s="35"/>
      <c r="M68" s="35"/>
    </row>
    <row r="69" spans="1:13" x14ac:dyDescent="0.2">
      <c r="A69" s="35" t="s">
        <v>2012</v>
      </c>
      <c r="B69" s="35">
        <v>53.382098911404398</v>
      </c>
      <c r="C69" s="35">
        <v>-7.4048564808873403</v>
      </c>
      <c r="D69" s="35">
        <v>1.10299393669094</v>
      </c>
      <c r="E69" s="35">
        <v>-6.7134154001811002</v>
      </c>
      <c r="F69" s="40">
        <v>1.9012086610100299E-11</v>
      </c>
      <c r="G69" s="40">
        <v>3.7617857769218999E-8</v>
      </c>
      <c r="H69" s="27" t="s">
        <v>10</v>
      </c>
      <c r="I69" s="24" t="s">
        <v>2014</v>
      </c>
      <c r="J69" s="34" t="s">
        <v>10</v>
      </c>
      <c r="K69" s="35"/>
      <c r="L69" s="35"/>
      <c r="M69" s="35"/>
    </row>
    <row r="70" spans="1:13" x14ac:dyDescent="0.2">
      <c r="A70" s="35" t="s">
        <v>2015</v>
      </c>
      <c r="B70" s="35">
        <v>94.031569270920301</v>
      </c>
      <c r="C70" s="35">
        <v>-3.2614196255457699</v>
      </c>
      <c r="D70" s="35">
        <v>0.49377535080241602</v>
      </c>
      <c r="E70" s="35">
        <v>-6.6050677099327899</v>
      </c>
      <c r="F70" s="40">
        <v>3.9733569892108798E-11</v>
      </c>
      <c r="G70" s="40">
        <v>7.2411294267587204E-8</v>
      </c>
      <c r="H70" s="27" t="s">
        <v>3889</v>
      </c>
      <c r="I70" s="24" t="s">
        <v>2016</v>
      </c>
      <c r="J70" s="34" t="s">
        <v>4114</v>
      </c>
      <c r="K70" s="35"/>
      <c r="L70" s="35"/>
      <c r="M70" s="35"/>
    </row>
    <row r="71" spans="1:13" x14ac:dyDescent="0.2">
      <c r="A71" s="35" t="s">
        <v>2017</v>
      </c>
      <c r="B71" s="35">
        <v>37.499532217821901</v>
      </c>
      <c r="C71" s="35">
        <v>-8.7710208414218798</v>
      </c>
      <c r="D71" s="35">
        <v>1.3306912449937001</v>
      </c>
      <c r="E71" s="35">
        <v>-6.5913267817910697</v>
      </c>
      <c r="F71" s="40">
        <v>4.3591321340069797E-11</v>
      </c>
      <c r="G71" s="40">
        <v>7.8750943968065703E-8</v>
      </c>
      <c r="H71" s="27" t="s">
        <v>10</v>
      </c>
      <c r="I71" s="24" t="s">
        <v>2018</v>
      </c>
      <c r="J71" s="34" t="s">
        <v>10</v>
      </c>
      <c r="K71" s="35"/>
      <c r="L71" s="35"/>
      <c r="M71" s="35"/>
    </row>
    <row r="72" spans="1:13" x14ac:dyDescent="0.2">
      <c r="A72" s="35" t="s">
        <v>2019</v>
      </c>
      <c r="B72" s="35">
        <v>69.965978726477701</v>
      </c>
      <c r="C72" s="35">
        <v>-7.8886478236826596</v>
      </c>
      <c r="D72" s="35">
        <v>1.1993756556955399</v>
      </c>
      <c r="E72" s="35">
        <v>-6.5772952671012099</v>
      </c>
      <c r="F72" s="40">
        <v>4.7908283345935698E-11</v>
      </c>
      <c r="G72" s="40">
        <v>8.5803735472570901E-8</v>
      </c>
      <c r="H72" s="27" t="s">
        <v>2021</v>
      </c>
      <c r="I72" s="24" t="s">
        <v>2022</v>
      </c>
      <c r="J72" s="34" t="s">
        <v>10</v>
      </c>
      <c r="K72" s="35"/>
      <c r="L72" s="35"/>
      <c r="M72" s="35"/>
    </row>
    <row r="73" spans="1:13" x14ac:dyDescent="0.2">
      <c r="A73" s="35" t="s">
        <v>2023</v>
      </c>
      <c r="B73" s="35">
        <v>139.26869405447599</v>
      </c>
      <c r="C73" s="35">
        <v>-2.4925949303103199</v>
      </c>
      <c r="D73" s="35">
        <v>0.37960374539521402</v>
      </c>
      <c r="E73" s="35">
        <v>-6.5663075260630501</v>
      </c>
      <c r="F73" s="40">
        <v>5.1578240924770699E-11</v>
      </c>
      <c r="G73" s="40">
        <v>9.1587085654415804E-8</v>
      </c>
      <c r="H73" s="27" t="s">
        <v>10</v>
      </c>
      <c r="I73" s="34" t="s">
        <v>5145</v>
      </c>
      <c r="J73" s="34" t="s">
        <v>10</v>
      </c>
      <c r="K73" s="35"/>
      <c r="L73" s="35"/>
      <c r="M73" s="35"/>
    </row>
    <row r="74" spans="1:13" x14ac:dyDescent="0.2">
      <c r="A74" s="35" t="s">
        <v>2025</v>
      </c>
      <c r="B74" s="35">
        <v>59.593967251125697</v>
      </c>
      <c r="C74" s="35">
        <v>-9.4383079299010202</v>
      </c>
      <c r="D74" s="35">
        <v>1.43913365952515</v>
      </c>
      <c r="E74" s="35">
        <v>-6.5583261620155904</v>
      </c>
      <c r="F74" s="40">
        <v>5.44150909185066E-11</v>
      </c>
      <c r="G74" s="40">
        <v>9.5805607024281902E-8</v>
      </c>
      <c r="H74" s="27" t="s">
        <v>10</v>
      </c>
      <c r="I74" s="24" t="s">
        <v>10</v>
      </c>
      <c r="J74" s="34" t="s">
        <v>10</v>
      </c>
      <c r="K74" s="35"/>
      <c r="L74" s="35"/>
      <c r="M74" s="35"/>
    </row>
    <row r="75" spans="1:13" x14ac:dyDescent="0.2">
      <c r="A75" s="35" t="s">
        <v>2026</v>
      </c>
      <c r="B75" s="35">
        <v>32.612735247082703</v>
      </c>
      <c r="C75" s="35">
        <v>-3.7699009599848101</v>
      </c>
      <c r="D75" s="35">
        <v>0.57538292297402105</v>
      </c>
      <c r="E75" s="35">
        <v>-6.5519861807838602</v>
      </c>
      <c r="F75" s="40">
        <v>5.6776797221087001E-11</v>
      </c>
      <c r="G75" s="40">
        <v>9.9123699861043297E-8</v>
      </c>
      <c r="H75" s="27" t="s">
        <v>10</v>
      </c>
      <c r="I75" s="24" t="s">
        <v>10</v>
      </c>
      <c r="J75" s="34" t="s">
        <v>10</v>
      </c>
      <c r="K75" s="35"/>
      <c r="L75" s="35"/>
      <c r="M75" s="35"/>
    </row>
    <row r="76" spans="1:13" x14ac:dyDescent="0.2">
      <c r="A76" s="35" t="s">
        <v>2027</v>
      </c>
      <c r="B76" s="35">
        <v>31.505984636906799</v>
      </c>
      <c r="C76" s="35">
        <v>-8.5151683319206892</v>
      </c>
      <c r="D76" s="35">
        <v>1.3000438463878401</v>
      </c>
      <c r="E76" s="35">
        <v>-6.5499085708378404</v>
      </c>
      <c r="F76" s="40">
        <v>5.7572320181377401E-11</v>
      </c>
      <c r="G76" s="40">
        <v>9.9674957930018605E-8</v>
      </c>
      <c r="H76" s="27" t="s">
        <v>10</v>
      </c>
      <c r="I76" s="24" t="s">
        <v>10</v>
      </c>
      <c r="J76" s="34" t="s">
        <v>10</v>
      </c>
      <c r="K76" s="35"/>
      <c r="L76" s="35"/>
      <c r="M76" s="35"/>
    </row>
    <row r="77" spans="1:13" x14ac:dyDescent="0.2">
      <c r="A77" s="35" t="s">
        <v>2028</v>
      </c>
      <c r="B77" s="35">
        <v>48.039082751136</v>
      </c>
      <c r="C77" s="35">
        <v>-8.1597278615605298</v>
      </c>
      <c r="D77" s="35">
        <v>1.2471319424868399</v>
      </c>
      <c r="E77" s="35">
        <v>-6.5427943777060502</v>
      </c>
      <c r="F77" s="40">
        <v>6.0379823965888394E-11</v>
      </c>
      <c r="G77" s="40">
        <v>1.03671658742621E-7</v>
      </c>
      <c r="H77" s="27" t="s">
        <v>379</v>
      </c>
      <c r="I77" s="24" t="s">
        <v>2029</v>
      </c>
      <c r="J77" s="34" t="s">
        <v>4041</v>
      </c>
      <c r="K77" s="35"/>
      <c r="L77" s="35"/>
      <c r="M77" s="35"/>
    </row>
    <row r="78" spans="1:13" x14ac:dyDescent="0.2">
      <c r="A78" s="35" t="s">
        <v>2030</v>
      </c>
      <c r="B78" s="35">
        <v>29.1451828514417</v>
      </c>
      <c r="C78" s="35">
        <v>-8.4033825525857502</v>
      </c>
      <c r="D78" s="35">
        <v>1.2851898156467401</v>
      </c>
      <c r="E78" s="35">
        <v>-6.5386314537179402</v>
      </c>
      <c r="F78" s="40">
        <v>6.2084303217034502E-11</v>
      </c>
      <c r="G78" s="40">
        <v>1.05724479501297E-7</v>
      </c>
      <c r="H78" s="27" t="s">
        <v>10</v>
      </c>
      <c r="I78" s="24" t="s">
        <v>10</v>
      </c>
      <c r="J78" s="34" t="s">
        <v>10</v>
      </c>
      <c r="K78" s="35"/>
      <c r="L78" s="35"/>
      <c r="M78" s="35"/>
    </row>
    <row r="79" spans="1:13" x14ac:dyDescent="0.2">
      <c r="A79" s="35" t="s">
        <v>2033</v>
      </c>
      <c r="B79" s="35">
        <v>46.429598124378799</v>
      </c>
      <c r="C79" s="35">
        <v>-9.0736280532101805</v>
      </c>
      <c r="D79" s="35">
        <v>1.3925272725137301</v>
      </c>
      <c r="E79" s="35">
        <v>-6.51594279861453</v>
      </c>
      <c r="F79" s="40">
        <v>7.2234500142153398E-11</v>
      </c>
      <c r="G79" s="40">
        <v>1.2200935619132699E-7</v>
      </c>
      <c r="H79" s="27" t="s">
        <v>10</v>
      </c>
      <c r="I79" s="24" t="s">
        <v>2034</v>
      </c>
      <c r="J79" s="34" t="s">
        <v>10</v>
      </c>
      <c r="K79" s="35"/>
      <c r="L79" s="35"/>
      <c r="M79" s="35"/>
    </row>
    <row r="80" spans="1:13" x14ac:dyDescent="0.2">
      <c r="A80" s="35" t="s">
        <v>2035</v>
      </c>
      <c r="B80" s="35">
        <v>45.860782920169697</v>
      </c>
      <c r="C80" s="35">
        <v>-4.6777764940587003</v>
      </c>
      <c r="D80" s="35">
        <v>0.72541539063744898</v>
      </c>
      <c r="E80" s="35">
        <v>-6.4484108752478599</v>
      </c>
      <c r="F80" s="40">
        <v>1.13028998423733E-10</v>
      </c>
      <c r="G80" s="40">
        <v>1.8345666091032101E-7</v>
      </c>
      <c r="H80" s="27" t="s">
        <v>10</v>
      </c>
      <c r="I80" s="34" t="s">
        <v>260</v>
      </c>
      <c r="J80" s="34" t="s">
        <v>10</v>
      </c>
      <c r="K80" s="35"/>
      <c r="L80" s="35"/>
      <c r="M80" s="35"/>
    </row>
    <row r="81" spans="1:13" x14ac:dyDescent="0.2">
      <c r="A81" s="35" t="s">
        <v>2037</v>
      </c>
      <c r="B81" s="35">
        <v>32.751179044401901</v>
      </c>
      <c r="C81" s="35">
        <v>-8.5717591287125305</v>
      </c>
      <c r="D81" s="35">
        <v>1.3295457874172301</v>
      </c>
      <c r="E81" s="35">
        <v>-6.4471334570312298</v>
      </c>
      <c r="F81" s="40">
        <v>1.13985412153818E-10</v>
      </c>
      <c r="G81" s="40">
        <v>1.8357483168549299E-7</v>
      </c>
      <c r="H81" s="27" t="s">
        <v>10</v>
      </c>
      <c r="I81" s="24" t="s">
        <v>10</v>
      </c>
      <c r="J81" s="34" t="s">
        <v>10</v>
      </c>
      <c r="K81" s="35"/>
      <c r="L81" s="35"/>
      <c r="M81" s="35"/>
    </row>
    <row r="82" spans="1:13" x14ac:dyDescent="0.2">
      <c r="A82" s="35" t="s">
        <v>2038</v>
      </c>
      <c r="B82" s="35">
        <v>119.64286152299201</v>
      </c>
      <c r="C82" s="35">
        <v>-4.30957653366365</v>
      </c>
      <c r="D82" s="35">
        <v>0.66925098549745199</v>
      </c>
      <c r="E82" s="35">
        <v>-6.4394025964121004</v>
      </c>
      <c r="F82" s="40">
        <v>1.19944659183526E-10</v>
      </c>
      <c r="G82" s="40">
        <v>1.91686327794866E-7</v>
      </c>
      <c r="H82" s="27" t="s">
        <v>10</v>
      </c>
      <c r="I82" s="24" t="s">
        <v>2040</v>
      </c>
      <c r="J82" s="34" t="s">
        <v>10</v>
      </c>
      <c r="K82" s="35"/>
      <c r="L82" s="35"/>
      <c r="M82" s="35"/>
    </row>
    <row r="83" spans="1:13" x14ac:dyDescent="0.2">
      <c r="A83" s="35" t="s">
        <v>2042</v>
      </c>
      <c r="B83" s="35">
        <v>34.0268975732141</v>
      </c>
      <c r="C83" s="35">
        <v>-8.6268071315679595</v>
      </c>
      <c r="D83" s="35">
        <v>1.3473759607973701</v>
      </c>
      <c r="E83" s="35">
        <v>-6.4026725892175502</v>
      </c>
      <c r="F83" s="40">
        <v>1.52680380675423E-10</v>
      </c>
      <c r="G83" s="40">
        <v>2.4032188078242298E-7</v>
      </c>
      <c r="H83" s="27" t="s">
        <v>10</v>
      </c>
      <c r="I83" s="24" t="s">
        <v>2043</v>
      </c>
      <c r="J83" s="34" t="s">
        <v>10</v>
      </c>
      <c r="K83" s="35"/>
      <c r="L83" s="35"/>
      <c r="M83" s="35"/>
    </row>
    <row r="84" spans="1:13" x14ac:dyDescent="0.2">
      <c r="A84" s="35" t="s">
        <v>2044</v>
      </c>
      <c r="B84" s="35">
        <v>50.008224930303101</v>
      </c>
      <c r="C84" s="35">
        <v>-8.2152247201177193</v>
      </c>
      <c r="D84" s="35">
        <v>1.28311330370722</v>
      </c>
      <c r="E84" s="35">
        <v>-6.4025715393815696</v>
      </c>
      <c r="F84" s="40">
        <v>1.5278150024490101E-10</v>
      </c>
      <c r="G84" s="40">
        <v>2.4032188078242298E-7</v>
      </c>
      <c r="H84" s="27" t="s">
        <v>10</v>
      </c>
      <c r="I84" s="24" t="s">
        <v>10</v>
      </c>
      <c r="J84" s="34" t="s">
        <v>10</v>
      </c>
      <c r="K84" s="35"/>
      <c r="L84" s="35"/>
      <c r="M84" s="35"/>
    </row>
    <row r="85" spans="1:13" x14ac:dyDescent="0.2">
      <c r="A85" s="35" t="s">
        <v>2046</v>
      </c>
      <c r="B85" s="35">
        <v>27.4521861156942</v>
      </c>
      <c r="C85" s="35">
        <v>-8.3214776365104299</v>
      </c>
      <c r="D85" s="35">
        <v>1.30024091863742</v>
      </c>
      <c r="E85" s="35">
        <v>-6.3999505916417903</v>
      </c>
      <c r="F85" s="40">
        <v>1.5542723891605E-10</v>
      </c>
      <c r="G85" s="40">
        <v>2.4097717498688698E-7</v>
      </c>
      <c r="H85" s="27" t="s">
        <v>10</v>
      </c>
      <c r="I85" s="29" t="s">
        <v>5183</v>
      </c>
      <c r="J85" s="34" t="s">
        <v>5011</v>
      </c>
      <c r="K85" s="35"/>
      <c r="L85" s="35"/>
      <c r="M85" s="35"/>
    </row>
    <row r="86" spans="1:13" x14ac:dyDescent="0.2">
      <c r="A86" s="35" t="s">
        <v>2047</v>
      </c>
      <c r="B86" s="35">
        <v>212.139193965972</v>
      </c>
      <c r="C86" s="35">
        <v>-11.2686586909778</v>
      </c>
      <c r="D86" s="35">
        <v>1.76250205828662</v>
      </c>
      <c r="E86" s="35">
        <v>-6.3935577482005597</v>
      </c>
      <c r="F86" s="40">
        <v>1.62069747265737E-10</v>
      </c>
      <c r="G86" s="40">
        <v>2.4941453639215201E-7</v>
      </c>
      <c r="H86" s="27" t="s">
        <v>10</v>
      </c>
      <c r="I86" s="24" t="s">
        <v>1458</v>
      </c>
      <c r="J86" s="34" t="s">
        <v>10</v>
      </c>
      <c r="K86" s="35"/>
      <c r="L86" s="35"/>
      <c r="M86" s="35"/>
    </row>
    <row r="87" spans="1:13" x14ac:dyDescent="0.2">
      <c r="A87" s="35" t="s">
        <v>2050</v>
      </c>
      <c r="B87" s="35">
        <v>31.4558384611653</v>
      </c>
      <c r="C87" s="35">
        <v>-8.5191275120709893</v>
      </c>
      <c r="D87" s="35">
        <v>1.3333043494610799</v>
      </c>
      <c r="E87" s="35">
        <v>-6.3894845280557497</v>
      </c>
      <c r="F87" s="40">
        <v>1.6644587686587E-10</v>
      </c>
      <c r="G87" s="40">
        <v>2.53185696917869E-7</v>
      </c>
      <c r="H87" s="27" t="s">
        <v>10</v>
      </c>
      <c r="I87" s="24" t="s">
        <v>2052</v>
      </c>
      <c r="J87" s="34" t="s">
        <v>10</v>
      </c>
      <c r="K87" s="35"/>
      <c r="L87" s="35"/>
      <c r="M87" s="35"/>
    </row>
    <row r="88" spans="1:13" x14ac:dyDescent="0.2">
      <c r="A88" s="35" t="s">
        <v>2053</v>
      </c>
      <c r="B88" s="35">
        <v>26.6902005438555</v>
      </c>
      <c r="C88" s="35">
        <v>-8.2751140620420909</v>
      </c>
      <c r="D88" s="35">
        <v>1.29520966031456</v>
      </c>
      <c r="E88" s="35">
        <v>-6.3890150881304804</v>
      </c>
      <c r="F88" s="40">
        <v>1.6695758715872499E-10</v>
      </c>
      <c r="G88" s="40">
        <v>2.53185696917869E-7</v>
      </c>
      <c r="H88" s="27" t="s">
        <v>10</v>
      </c>
      <c r="I88" s="24" t="s">
        <v>10</v>
      </c>
      <c r="J88" s="34" t="s">
        <v>10</v>
      </c>
      <c r="K88" s="35"/>
      <c r="L88" s="35"/>
      <c r="M88" s="35"/>
    </row>
    <row r="89" spans="1:13" x14ac:dyDescent="0.2">
      <c r="A89" s="35" t="s">
        <v>2054</v>
      </c>
      <c r="B89" s="35">
        <v>44.284916425543599</v>
      </c>
      <c r="C89" s="35">
        <v>-9.0051692387036706</v>
      </c>
      <c r="D89" s="35">
        <v>1.4113072751189299</v>
      </c>
      <c r="E89" s="35">
        <v>-6.38072898614144</v>
      </c>
      <c r="F89" s="40">
        <v>1.76246972925214E-10</v>
      </c>
      <c r="G89" s="40">
        <v>2.65335986282977E-7</v>
      </c>
      <c r="H89" s="27" t="s">
        <v>10</v>
      </c>
      <c r="I89" s="24" t="s">
        <v>10</v>
      </c>
      <c r="J89" s="34" t="s">
        <v>10</v>
      </c>
      <c r="K89" s="35"/>
      <c r="L89" s="35"/>
      <c r="M89" s="35"/>
    </row>
    <row r="90" spans="1:13" x14ac:dyDescent="0.2">
      <c r="A90" s="35" t="s">
        <v>2055</v>
      </c>
      <c r="B90" s="35">
        <v>30.021550483136402</v>
      </c>
      <c r="C90" s="35">
        <v>-8.4470948291328796</v>
      </c>
      <c r="D90" s="35">
        <v>1.3257541557444099</v>
      </c>
      <c r="E90" s="35">
        <v>-6.3715393932820303</v>
      </c>
      <c r="F90" s="40">
        <v>1.8714020890258999E-10</v>
      </c>
      <c r="G90" s="40">
        <v>2.7574114355153499E-7</v>
      </c>
      <c r="H90" s="27" t="s">
        <v>10</v>
      </c>
      <c r="I90" s="24" t="s">
        <v>10</v>
      </c>
      <c r="J90" s="34" t="s">
        <v>10</v>
      </c>
      <c r="K90" s="35"/>
      <c r="L90" s="35"/>
      <c r="M90" s="35"/>
    </row>
    <row r="91" spans="1:13" x14ac:dyDescent="0.2">
      <c r="A91" s="35" t="s">
        <v>2057</v>
      </c>
      <c r="B91" s="35">
        <v>26.368756192932501</v>
      </c>
      <c r="C91" s="35">
        <v>-8.2582538560790795</v>
      </c>
      <c r="D91" s="35">
        <v>1.3066761355146901</v>
      </c>
      <c r="E91" s="35">
        <v>-6.3200464381529304</v>
      </c>
      <c r="F91" s="40">
        <v>2.6148471228654202E-10</v>
      </c>
      <c r="G91" s="40">
        <v>3.79895229970649E-7</v>
      </c>
      <c r="H91" s="27" t="s">
        <v>10</v>
      </c>
      <c r="I91" s="24" t="s">
        <v>10</v>
      </c>
      <c r="J91" s="34" t="s">
        <v>10</v>
      </c>
      <c r="K91" s="35"/>
      <c r="L91" s="35"/>
      <c r="M91" s="35"/>
    </row>
    <row r="92" spans="1:13" x14ac:dyDescent="0.2">
      <c r="A92" s="35" t="s">
        <v>2058</v>
      </c>
      <c r="B92" s="35">
        <v>44.432119834601401</v>
      </c>
      <c r="C92" s="35">
        <v>-9.0103889933983297</v>
      </c>
      <c r="D92" s="35">
        <v>1.4284226003782701</v>
      </c>
      <c r="E92" s="35">
        <v>-6.30792945379907</v>
      </c>
      <c r="F92" s="40">
        <v>2.8279305093286498E-10</v>
      </c>
      <c r="G92" s="40">
        <v>4.0799967423339202E-7</v>
      </c>
      <c r="H92" s="27" t="s">
        <v>10</v>
      </c>
      <c r="I92" s="24" t="s">
        <v>2059</v>
      </c>
      <c r="J92" s="34" t="s">
        <v>10</v>
      </c>
      <c r="K92" s="35"/>
      <c r="L92" s="35"/>
      <c r="M92" s="35"/>
    </row>
    <row r="93" spans="1:13" x14ac:dyDescent="0.2">
      <c r="A93" s="35" t="s">
        <v>2063</v>
      </c>
      <c r="B93" s="35">
        <v>549.73299931091901</v>
      </c>
      <c r="C93" s="35">
        <v>-7.2971785996123</v>
      </c>
      <c r="D93" s="35">
        <v>1.1635591385123301</v>
      </c>
      <c r="E93" s="35">
        <v>-6.2714290645700403</v>
      </c>
      <c r="F93" s="40">
        <v>3.5774927679622002E-10</v>
      </c>
      <c r="G93" s="40">
        <v>5.1258316379362401E-7</v>
      </c>
      <c r="H93" s="27" t="s">
        <v>10</v>
      </c>
      <c r="I93" s="24" t="s">
        <v>10</v>
      </c>
      <c r="J93" s="34" t="s">
        <v>10</v>
      </c>
      <c r="K93" s="35"/>
      <c r="L93" s="35"/>
      <c r="M93" s="35"/>
    </row>
    <row r="94" spans="1:13" x14ac:dyDescent="0.2">
      <c r="A94" s="35" t="s">
        <v>2065</v>
      </c>
      <c r="B94" s="35">
        <v>32.5326669252008</v>
      </c>
      <c r="C94" s="35">
        <v>-8.5593626193051708</v>
      </c>
      <c r="D94" s="35">
        <v>1.3661239162497101</v>
      </c>
      <c r="E94" s="35">
        <v>-6.2654364787071399</v>
      </c>
      <c r="F94" s="40">
        <v>3.7178253489521002E-10</v>
      </c>
      <c r="G94" s="40">
        <v>5.29041454244447E-7</v>
      </c>
      <c r="H94" s="27" t="s">
        <v>10</v>
      </c>
      <c r="I94" s="24" t="s">
        <v>2066</v>
      </c>
      <c r="J94" s="34" t="s">
        <v>10</v>
      </c>
      <c r="K94" s="35"/>
      <c r="L94" s="35"/>
      <c r="M94" s="35"/>
    </row>
    <row r="95" spans="1:13" x14ac:dyDescent="0.2">
      <c r="A95" s="35" t="s">
        <v>2067</v>
      </c>
      <c r="B95" s="35">
        <v>25.4510730387492</v>
      </c>
      <c r="C95" s="35">
        <v>-8.2054067112487594</v>
      </c>
      <c r="D95" s="35">
        <v>1.3157017150734001</v>
      </c>
      <c r="E95" s="35">
        <v>-6.2365250552181699</v>
      </c>
      <c r="F95" s="40">
        <v>4.4739768496851301E-10</v>
      </c>
      <c r="G95" s="40">
        <v>6.3230988733549899E-7</v>
      </c>
      <c r="H95" s="27" t="s">
        <v>10</v>
      </c>
      <c r="I95" s="24" t="s">
        <v>2069</v>
      </c>
      <c r="J95" s="34" t="s">
        <v>10</v>
      </c>
      <c r="K95" s="35"/>
      <c r="L95" s="35"/>
      <c r="M95" s="35"/>
    </row>
    <row r="96" spans="1:13" x14ac:dyDescent="0.2">
      <c r="A96" s="35" t="s">
        <v>2070</v>
      </c>
      <c r="B96" s="35">
        <v>23.945941651908399</v>
      </c>
      <c r="C96" s="35">
        <v>-8.1192272552423201</v>
      </c>
      <c r="D96" s="35">
        <v>1.3033153980158201</v>
      </c>
      <c r="E96" s="35">
        <v>-6.2296718565614198</v>
      </c>
      <c r="F96" s="40">
        <v>4.6741316300118296E-10</v>
      </c>
      <c r="G96" s="40">
        <v>6.5173079927834801E-7</v>
      </c>
      <c r="H96" s="27" t="s">
        <v>10</v>
      </c>
      <c r="I96" s="24" t="s">
        <v>10</v>
      </c>
      <c r="J96" s="34" t="s">
        <v>10</v>
      </c>
      <c r="K96" s="35"/>
      <c r="L96" s="35"/>
      <c r="M96" s="35"/>
    </row>
    <row r="97" spans="1:13" x14ac:dyDescent="0.2">
      <c r="A97" s="35" t="s">
        <v>2072</v>
      </c>
      <c r="B97" s="35">
        <v>44.518278158419797</v>
      </c>
      <c r="C97" s="35">
        <v>-4.0608532431647104</v>
      </c>
      <c r="D97" s="35">
        <v>0.65239039747944305</v>
      </c>
      <c r="E97" s="35">
        <v>-6.22457543650874</v>
      </c>
      <c r="F97" s="40">
        <v>4.8286177645968403E-10</v>
      </c>
      <c r="G97" s="40">
        <v>6.6827150162530098E-7</v>
      </c>
      <c r="H97" s="27" t="s">
        <v>10</v>
      </c>
      <c r="I97" s="24" t="s">
        <v>10</v>
      </c>
      <c r="J97" s="34" t="s">
        <v>10</v>
      </c>
      <c r="K97" s="35"/>
      <c r="L97" s="35"/>
      <c r="M97" s="35"/>
    </row>
    <row r="98" spans="1:13" x14ac:dyDescent="0.2">
      <c r="A98" s="35" t="s">
        <v>2073</v>
      </c>
      <c r="B98" s="35">
        <v>25.1773379040233</v>
      </c>
      <c r="C98" s="35">
        <v>-8.1923174266380894</v>
      </c>
      <c r="D98" s="35">
        <v>1.31631965705882</v>
      </c>
      <c r="E98" s="35">
        <v>-6.2236534892618502</v>
      </c>
      <c r="F98" s="40">
        <v>4.8570918166223995E-10</v>
      </c>
      <c r="G98" s="40">
        <v>6.6827150162530098E-7</v>
      </c>
      <c r="H98" s="27" t="s">
        <v>1945</v>
      </c>
      <c r="I98" s="24" t="s">
        <v>1946</v>
      </c>
      <c r="J98" s="34" t="s">
        <v>5093</v>
      </c>
      <c r="K98" s="35"/>
      <c r="L98" s="35"/>
      <c r="M98" s="35"/>
    </row>
    <row r="99" spans="1:13" x14ac:dyDescent="0.2">
      <c r="A99" s="35" t="s">
        <v>2075</v>
      </c>
      <c r="B99" s="35">
        <v>141.41505805633699</v>
      </c>
      <c r="C99" s="35">
        <v>-3.2871951197298701</v>
      </c>
      <c r="D99" s="35">
        <v>0.52994467361092601</v>
      </c>
      <c r="E99" s="35">
        <v>-6.2029024602354097</v>
      </c>
      <c r="F99" s="40">
        <v>5.5431197967519197E-10</v>
      </c>
      <c r="G99" s="40">
        <v>7.4297832031870403E-7</v>
      </c>
      <c r="H99" s="27" t="s">
        <v>299</v>
      </c>
      <c r="I99" s="24" t="s">
        <v>2076</v>
      </c>
      <c r="J99" s="34" t="s">
        <v>5062</v>
      </c>
      <c r="K99" s="35"/>
      <c r="L99" s="35"/>
      <c r="M99" s="35"/>
    </row>
    <row r="100" spans="1:13" x14ac:dyDescent="0.2">
      <c r="A100" s="45" t="s">
        <v>2078</v>
      </c>
      <c r="B100" s="45">
        <v>27.340790104689201</v>
      </c>
      <c r="C100" s="45">
        <v>-8.3172201042552505</v>
      </c>
      <c r="D100" s="45">
        <v>1.34311974802267</v>
      </c>
      <c r="E100" s="45">
        <v>-6.1924635658881497</v>
      </c>
      <c r="F100" s="46">
        <v>5.9231044023744704E-10</v>
      </c>
      <c r="G100" s="46">
        <v>7.8714947793134995E-7</v>
      </c>
      <c r="H100" s="50" t="s">
        <v>4948</v>
      </c>
      <c r="I100" s="47" t="s">
        <v>2080</v>
      </c>
      <c r="J100" s="50" t="s">
        <v>10</v>
      </c>
      <c r="K100" s="35"/>
      <c r="L100" s="35"/>
      <c r="M100" s="35"/>
    </row>
    <row r="101" spans="1:13" x14ac:dyDescent="0.2">
      <c r="A101" s="35" t="s">
        <v>2081</v>
      </c>
      <c r="B101" s="35">
        <v>27.721860022923</v>
      </c>
      <c r="C101" s="35">
        <v>-8.3280833492226201</v>
      </c>
      <c r="D101" s="35">
        <v>1.34502011964831</v>
      </c>
      <c r="E101" s="35">
        <v>-6.1917909089718401</v>
      </c>
      <c r="F101" s="40">
        <v>5.9484427903512703E-10</v>
      </c>
      <c r="G101" s="40">
        <v>7.8714947793134995E-7</v>
      </c>
      <c r="H101" s="27" t="s">
        <v>10</v>
      </c>
      <c r="I101" s="24" t="s">
        <v>2082</v>
      </c>
      <c r="J101" s="34" t="s">
        <v>10</v>
      </c>
      <c r="K101" s="35"/>
      <c r="L101" s="35"/>
      <c r="M101" s="35"/>
    </row>
    <row r="102" spans="1:13" x14ac:dyDescent="0.2">
      <c r="A102" s="35" t="s">
        <v>2084</v>
      </c>
      <c r="B102" s="35">
        <v>22.139404720252401</v>
      </c>
      <c r="C102" s="35">
        <v>-8.0089442718487103</v>
      </c>
      <c r="D102" s="35">
        <v>1.29616943941787</v>
      </c>
      <c r="E102" s="35">
        <v>-6.1789331149835096</v>
      </c>
      <c r="F102" s="40">
        <v>6.45362277484242E-10</v>
      </c>
      <c r="G102" s="40">
        <v>8.4859421089250705E-7</v>
      </c>
      <c r="H102" s="27" t="s">
        <v>10</v>
      </c>
      <c r="I102" s="24" t="s">
        <v>10</v>
      </c>
      <c r="J102" s="34" t="s">
        <v>10</v>
      </c>
      <c r="K102" s="35"/>
      <c r="L102" s="35"/>
      <c r="M102" s="35"/>
    </row>
    <row r="103" spans="1:13" x14ac:dyDescent="0.2">
      <c r="A103" s="35" t="s">
        <v>2086</v>
      </c>
      <c r="B103" s="35">
        <v>43.038860075244102</v>
      </c>
      <c r="C103" s="35">
        <v>-6.21126109211139</v>
      </c>
      <c r="D103" s="35">
        <v>1.00684939888671</v>
      </c>
      <c r="E103" s="35">
        <v>-6.1690071017366703</v>
      </c>
      <c r="F103" s="40">
        <v>6.8720141974318201E-10</v>
      </c>
      <c r="G103" s="40">
        <v>8.9792590037839402E-7</v>
      </c>
      <c r="H103" s="27" t="s">
        <v>2087</v>
      </c>
      <c r="I103" s="24" t="s">
        <v>2089</v>
      </c>
      <c r="J103" s="34" t="s">
        <v>5018</v>
      </c>
      <c r="K103" s="35"/>
      <c r="L103" s="35"/>
      <c r="M103" s="35"/>
    </row>
    <row r="104" spans="1:13" x14ac:dyDescent="0.2">
      <c r="A104" s="35" t="s">
        <v>2090</v>
      </c>
      <c r="B104" s="35">
        <v>902.30270853216098</v>
      </c>
      <c r="C104" s="35">
        <v>-6.9872458665064396</v>
      </c>
      <c r="D104" s="35">
        <v>1.1349140609488699</v>
      </c>
      <c r="E104" s="35">
        <v>-6.1566299219736598</v>
      </c>
      <c r="F104" s="40">
        <v>7.4309217302554804E-10</v>
      </c>
      <c r="G104" s="40">
        <v>9.51404424390818E-7</v>
      </c>
      <c r="H104" s="27" t="s">
        <v>10</v>
      </c>
      <c r="I104" s="24" t="s">
        <v>10</v>
      </c>
      <c r="J104" s="34" t="s">
        <v>5007</v>
      </c>
      <c r="K104" s="35"/>
      <c r="L104" s="35"/>
      <c r="M104" s="35"/>
    </row>
    <row r="105" spans="1:13" x14ac:dyDescent="0.2">
      <c r="A105" s="35" t="s">
        <v>2091</v>
      </c>
      <c r="B105" s="35">
        <v>42.516330653046801</v>
      </c>
      <c r="C105" s="35">
        <v>-2.7743705212893599</v>
      </c>
      <c r="D105" s="35">
        <v>0.45068361534624601</v>
      </c>
      <c r="E105" s="35">
        <v>-6.1559160946152902</v>
      </c>
      <c r="F105" s="40">
        <v>7.4644737661344704E-10</v>
      </c>
      <c r="G105" s="40">
        <v>9.51404424390818E-7</v>
      </c>
      <c r="H105" s="27" t="s">
        <v>2092</v>
      </c>
      <c r="I105" s="24" t="s">
        <v>2093</v>
      </c>
      <c r="J105" s="34" t="s">
        <v>10</v>
      </c>
      <c r="K105" s="35"/>
      <c r="L105" s="35"/>
      <c r="M105" s="35"/>
    </row>
    <row r="106" spans="1:13" x14ac:dyDescent="0.2">
      <c r="A106" s="35" t="s">
        <v>2094</v>
      </c>
      <c r="B106" s="35">
        <v>65.863069131020097</v>
      </c>
      <c r="C106" s="35">
        <v>-4.3110585424242398</v>
      </c>
      <c r="D106" s="35">
        <v>0.700885110529892</v>
      </c>
      <c r="E106" s="35">
        <v>-6.1508776226747601</v>
      </c>
      <c r="F106" s="40">
        <v>7.7055359609986895E-10</v>
      </c>
      <c r="G106" s="40">
        <v>9.7614105433734306E-7</v>
      </c>
      <c r="H106" s="27" t="s">
        <v>10</v>
      </c>
      <c r="I106" s="24" t="s">
        <v>10</v>
      </c>
      <c r="J106" s="34" t="s">
        <v>10</v>
      </c>
      <c r="K106" s="35"/>
      <c r="L106" s="35"/>
      <c r="M106" s="35"/>
    </row>
    <row r="107" spans="1:13" x14ac:dyDescent="0.2">
      <c r="A107" s="35" t="s">
        <v>2096</v>
      </c>
      <c r="B107" s="35">
        <v>22.4755583455091</v>
      </c>
      <c r="C107" s="35">
        <v>-8.0293708249795905</v>
      </c>
      <c r="D107" s="35">
        <v>1.30715199496481</v>
      </c>
      <c r="E107" s="35">
        <v>-6.1426451215382603</v>
      </c>
      <c r="F107" s="40">
        <v>8.1158470544984602E-10</v>
      </c>
      <c r="G107" s="40">
        <v>1.01867009839483E-6</v>
      </c>
      <c r="H107" s="27" t="s">
        <v>10</v>
      </c>
      <c r="I107" s="24" t="s">
        <v>10</v>
      </c>
      <c r="J107" s="34" t="s">
        <v>10</v>
      </c>
      <c r="K107" s="35"/>
      <c r="L107" s="35"/>
      <c r="M107" s="35"/>
    </row>
    <row r="108" spans="1:13" x14ac:dyDescent="0.2">
      <c r="A108" s="35" t="s">
        <v>2098</v>
      </c>
      <c r="B108" s="35">
        <v>26.505316399476701</v>
      </c>
      <c r="C108" s="35">
        <v>-8.2695716754214192</v>
      </c>
      <c r="D108" s="35">
        <v>1.3463563214468499</v>
      </c>
      <c r="E108" s="35">
        <v>-6.1421865398415196</v>
      </c>
      <c r="F108" s="40">
        <v>8.1393190248918197E-10</v>
      </c>
      <c r="G108" s="40">
        <v>1.01867009839483E-6</v>
      </c>
      <c r="H108" s="27" t="s">
        <v>10</v>
      </c>
      <c r="I108" s="24" t="s">
        <v>10</v>
      </c>
      <c r="J108" s="34" t="s">
        <v>10</v>
      </c>
      <c r="K108" s="35"/>
      <c r="L108" s="35"/>
      <c r="M108" s="35"/>
    </row>
    <row r="109" spans="1:13" x14ac:dyDescent="0.2">
      <c r="A109" s="35" t="s">
        <v>2099</v>
      </c>
      <c r="B109" s="35">
        <v>47.269241173096198</v>
      </c>
      <c r="C109" s="35">
        <v>-9.1047916033396401</v>
      </c>
      <c r="D109" s="35">
        <v>1.48716353603469</v>
      </c>
      <c r="E109" s="35">
        <v>-6.1222531232955504</v>
      </c>
      <c r="F109" s="40">
        <v>9.2261300483356902E-10</v>
      </c>
      <c r="G109" s="40">
        <v>1.13419164161067E-6</v>
      </c>
      <c r="H109" s="27" t="s">
        <v>10</v>
      </c>
      <c r="I109" s="29" t="s">
        <v>5184</v>
      </c>
      <c r="J109" s="34" t="s">
        <v>5088</v>
      </c>
      <c r="K109" s="35"/>
      <c r="L109" s="35"/>
      <c r="M109" s="35"/>
    </row>
    <row r="110" spans="1:13" x14ac:dyDescent="0.2">
      <c r="A110" s="35" t="s">
        <v>2101</v>
      </c>
      <c r="B110" s="35">
        <v>34.948111021232101</v>
      </c>
      <c r="C110" s="35">
        <v>-8.6702356607820104</v>
      </c>
      <c r="D110" s="35">
        <v>1.4174045642808799</v>
      </c>
      <c r="E110" s="35">
        <v>-6.1169802040117203</v>
      </c>
      <c r="F110" s="40">
        <v>9.5365207715551206E-10</v>
      </c>
      <c r="G110" s="40">
        <v>1.16545259377365E-6</v>
      </c>
      <c r="H110" s="27" t="s">
        <v>10</v>
      </c>
      <c r="I110" s="24" t="s">
        <v>10</v>
      </c>
      <c r="J110" s="34" t="s">
        <v>10</v>
      </c>
      <c r="K110" s="35"/>
      <c r="L110" s="35"/>
      <c r="M110" s="35"/>
    </row>
    <row r="111" spans="1:13" x14ac:dyDescent="0.2">
      <c r="A111" s="35" t="s">
        <v>2103</v>
      </c>
      <c r="B111" s="35">
        <v>213.302781523487</v>
      </c>
      <c r="C111" s="35">
        <v>-4.8300738844295301</v>
      </c>
      <c r="D111" s="35">
        <v>0.79067273659093495</v>
      </c>
      <c r="E111" s="35">
        <v>-6.1088155198759901</v>
      </c>
      <c r="F111" s="40">
        <v>1.00373266180738E-9</v>
      </c>
      <c r="G111" s="40">
        <v>1.2116528416485099E-6</v>
      </c>
      <c r="H111" s="27" t="s">
        <v>10</v>
      </c>
      <c r="I111" s="24" t="s">
        <v>10</v>
      </c>
      <c r="J111" s="34" t="s">
        <v>10</v>
      </c>
      <c r="K111" s="35"/>
      <c r="L111" s="35"/>
      <c r="M111" s="35"/>
    </row>
    <row r="112" spans="1:13" x14ac:dyDescent="0.2">
      <c r="A112" s="35" t="s">
        <v>2104</v>
      </c>
      <c r="B112" s="35">
        <v>26.943570081153901</v>
      </c>
      <c r="C112" s="35">
        <v>-8.2868281537797994</v>
      </c>
      <c r="D112" s="35">
        <v>1.3567198938632099</v>
      </c>
      <c r="E112" s="35">
        <v>-6.1079875007827402</v>
      </c>
      <c r="F112" s="40">
        <v>1.0089525289531599E-9</v>
      </c>
      <c r="G112" s="40">
        <v>1.2116528416485099E-6</v>
      </c>
      <c r="H112" s="27" t="s">
        <v>10</v>
      </c>
      <c r="I112" s="24" t="s">
        <v>10</v>
      </c>
      <c r="J112" s="34" t="s">
        <v>10</v>
      </c>
      <c r="K112" s="35"/>
      <c r="L112" s="35"/>
      <c r="M112" s="35"/>
    </row>
    <row r="113" spans="1:13" x14ac:dyDescent="0.2">
      <c r="A113" s="35" t="s">
        <v>2105</v>
      </c>
      <c r="B113" s="35">
        <v>81.704646682445997</v>
      </c>
      <c r="C113" s="35">
        <v>-2.9870737186785501</v>
      </c>
      <c r="D113" s="35">
        <v>0.48999388115870801</v>
      </c>
      <c r="E113" s="35">
        <v>-6.09614493882024</v>
      </c>
      <c r="F113" s="40">
        <v>1.0865690364717101E-9</v>
      </c>
      <c r="G113" s="40">
        <v>1.29736342954722E-6</v>
      </c>
      <c r="H113" s="27" t="s">
        <v>10</v>
      </c>
      <c r="I113" s="24" t="s">
        <v>2106</v>
      </c>
      <c r="J113" s="34" t="s">
        <v>10</v>
      </c>
      <c r="K113" s="35"/>
      <c r="L113" s="35"/>
      <c r="M113" s="35"/>
    </row>
    <row r="114" spans="1:13" x14ac:dyDescent="0.2">
      <c r="A114" s="35" t="s">
        <v>2107</v>
      </c>
      <c r="B114" s="35">
        <v>36.937357518359597</v>
      </c>
      <c r="C114" s="35">
        <v>-8.7485805815984996</v>
      </c>
      <c r="D114" s="35">
        <v>1.4353487775882701</v>
      </c>
      <c r="E114" s="35">
        <v>-6.0950904185798196</v>
      </c>
      <c r="F114" s="40">
        <v>1.09375611404666E-9</v>
      </c>
      <c r="G114" s="40">
        <v>1.29848225845644E-6</v>
      </c>
      <c r="H114" s="27" t="s">
        <v>10</v>
      </c>
      <c r="I114" s="24" t="s">
        <v>2109</v>
      </c>
      <c r="J114" s="34" t="s">
        <v>10</v>
      </c>
      <c r="K114" s="35"/>
      <c r="L114" s="35"/>
      <c r="M114" s="35"/>
    </row>
    <row r="115" spans="1:13" x14ac:dyDescent="0.2">
      <c r="A115" s="35" t="s">
        <v>2110</v>
      </c>
      <c r="B115" s="35">
        <v>474.37725271996698</v>
      </c>
      <c r="C115" s="35">
        <v>-3.9434816837047699</v>
      </c>
      <c r="D115" s="35">
        <v>0.64854644277626905</v>
      </c>
      <c r="E115" s="35">
        <v>-6.0804923496668701</v>
      </c>
      <c r="F115" s="40">
        <v>1.1981406920894699E-9</v>
      </c>
      <c r="G115" s="40">
        <v>1.4143233956007901E-6</v>
      </c>
      <c r="H115" s="27" t="s">
        <v>3854</v>
      </c>
      <c r="I115" s="24" t="s">
        <v>2111</v>
      </c>
      <c r="J115" s="34" t="s">
        <v>5069</v>
      </c>
      <c r="K115" s="35"/>
      <c r="L115" s="35"/>
      <c r="M115" s="35"/>
    </row>
    <row r="116" spans="1:13" x14ac:dyDescent="0.2">
      <c r="A116" s="35" t="s">
        <v>2112</v>
      </c>
      <c r="B116" s="35">
        <v>194.74494605064399</v>
      </c>
      <c r="C116" s="35">
        <v>-2.0883528679054999</v>
      </c>
      <c r="D116" s="35">
        <v>0.34420914584750101</v>
      </c>
      <c r="E116" s="35">
        <v>-6.0671045296127399</v>
      </c>
      <c r="F116" s="40">
        <v>1.30236799342866E-9</v>
      </c>
      <c r="G116" s="40">
        <v>1.52008294855486E-6</v>
      </c>
      <c r="H116" s="27" t="s">
        <v>10</v>
      </c>
      <c r="I116" s="24" t="s">
        <v>2113</v>
      </c>
      <c r="J116" s="34" t="s">
        <v>10</v>
      </c>
      <c r="K116" s="35"/>
      <c r="L116" s="35"/>
      <c r="M116" s="35"/>
    </row>
    <row r="117" spans="1:13" x14ac:dyDescent="0.2">
      <c r="A117" s="35" t="s">
        <v>2114</v>
      </c>
      <c r="B117" s="35">
        <v>25.936268172005001</v>
      </c>
      <c r="C117" s="35">
        <v>-8.2359334565421598</v>
      </c>
      <c r="D117" s="35">
        <v>1.3597659704126499</v>
      </c>
      <c r="E117" s="35">
        <v>-6.0568756946041002</v>
      </c>
      <c r="F117" s="40">
        <v>1.38790755320159E-9</v>
      </c>
      <c r="G117" s="40">
        <v>1.6108721878377E-6</v>
      </c>
      <c r="H117" s="27" t="s">
        <v>10</v>
      </c>
      <c r="I117" s="24" t="s">
        <v>2116</v>
      </c>
      <c r="J117" s="34" t="s">
        <v>10</v>
      </c>
      <c r="K117" s="35"/>
      <c r="L117" s="35"/>
      <c r="M117" s="35"/>
    </row>
    <row r="118" spans="1:13" x14ac:dyDescent="0.2">
      <c r="A118" s="35" t="s">
        <v>2117</v>
      </c>
      <c r="B118" s="35">
        <v>587.12304481883803</v>
      </c>
      <c r="C118" s="35">
        <v>-2.1055839744883902</v>
      </c>
      <c r="D118" s="35">
        <v>0.34806520872417801</v>
      </c>
      <c r="E118" s="35">
        <v>-6.0493951182490804</v>
      </c>
      <c r="F118" s="40">
        <v>1.4539067980611699E-9</v>
      </c>
      <c r="G118" s="40">
        <v>1.6596585754834999E-6</v>
      </c>
      <c r="H118" s="27" t="s">
        <v>10</v>
      </c>
      <c r="I118" s="34" t="s">
        <v>5132</v>
      </c>
      <c r="J118" s="34" t="s">
        <v>10</v>
      </c>
      <c r="K118" s="35"/>
      <c r="L118" s="35"/>
      <c r="M118" s="35"/>
    </row>
    <row r="119" spans="1:13" x14ac:dyDescent="0.2">
      <c r="A119" s="35" t="s">
        <v>2119</v>
      </c>
      <c r="B119" s="35">
        <v>32.794868541857397</v>
      </c>
      <c r="C119" s="35">
        <v>-6.2203310302484303</v>
      </c>
      <c r="D119" s="35">
        <v>1.0313416195060701</v>
      </c>
      <c r="E119" s="35">
        <v>-6.0313003107811198</v>
      </c>
      <c r="F119" s="40">
        <v>1.62645615250094E-9</v>
      </c>
      <c r="G119" s="40">
        <v>1.8464810077540201E-6</v>
      </c>
      <c r="H119" s="27" t="s">
        <v>4988</v>
      </c>
      <c r="I119" s="24" t="s">
        <v>2120</v>
      </c>
      <c r="J119" s="34" t="s">
        <v>10</v>
      </c>
      <c r="K119" s="35"/>
      <c r="L119" s="35"/>
      <c r="M119" s="35"/>
    </row>
    <row r="120" spans="1:13" x14ac:dyDescent="0.2">
      <c r="A120" s="35" t="s">
        <v>2121</v>
      </c>
      <c r="B120" s="35">
        <v>22.170487619522401</v>
      </c>
      <c r="C120" s="35">
        <v>-8.0121095910720204</v>
      </c>
      <c r="D120" s="35">
        <v>1.33043366511887</v>
      </c>
      <c r="E120" s="35">
        <v>-6.0221789339314</v>
      </c>
      <c r="F120" s="40">
        <v>1.72084495546714E-9</v>
      </c>
      <c r="G120" s="40">
        <v>1.9325181868542198E-6</v>
      </c>
      <c r="H120" s="27" t="s">
        <v>10</v>
      </c>
      <c r="I120" s="24" t="s">
        <v>2122</v>
      </c>
      <c r="J120" s="34" t="s">
        <v>10</v>
      </c>
      <c r="K120" s="35"/>
      <c r="L120" s="35"/>
      <c r="M120" s="35"/>
    </row>
    <row r="121" spans="1:13" x14ac:dyDescent="0.2">
      <c r="A121" s="35" t="s">
        <v>2123</v>
      </c>
      <c r="B121" s="35">
        <v>57.607917991787502</v>
      </c>
      <c r="C121" s="35">
        <v>-6.6728216811752796</v>
      </c>
      <c r="D121" s="35">
        <v>1.1095580099300799</v>
      </c>
      <c r="E121" s="35">
        <v>-6.0139457526838003</v>
      </c>
      <c r="F121" s="40">
        <v>1.81061122144609E-9</v>
      </c>
      <c r="G121" s="40">
        <v>2.0140201800818802E-6</v>
      </c>
      <c r="H121" s="27" t="s">
        <v>10</v>
      </c>
      <c r="I121" s="24" t="s">
        <v>10</v>
      </c>
      <c r="J121" s="34" t="s">
        <v>10</v>
      </c>
      <c r="K121" s="35"/>
      <c r="L121" s="35"/>
      <c r="M121" s="35"/>
    </row>
    <row r="122" spans="1:13" x14ac:dyDescent="0.2">
      <c r="A122" s="35" t="s">
        <v>2124</v>
      </c>
      <c r="B122" s="35">
        <v>33.884816732730698</v>
      </c>
      <c r="C122" s="35">
        <v>-6.8051379606954097</v>
      </c>
      <c r="D122" s="35">
        <v>1.13159655404908</v>
      </c>
      <c r="E122" s="35">
        <v>-6.0137492787029601</v>
      </c>
      <c r="F122" s="40">
        <v>1.81280816763565E-9</v>
      </c>
      <c r="G122" s="40">
        <v>2.0140201800818802E-6</v>
      </c>
      <c r="H122" s="27" t="s">
        <v>2092</v>
      </c>
      <c r="I122" s="24" t="s">
        <v>2125</v>
      </c>
      <c r="J122" s="34" t="s">
        <v>10</v>
      </c>
      <c r="K122" s="35"/>
      <c r="L122" s="35"/>
      <c r="M122" s="35"/>
    </row>
    <row r="123" spans="1:13" x14ac:dyDescent="0.2">
      <c r="A123" s="35" t="s">
        <v>2126</v>
      </c>
      <c r="B123" s="35">
        <v>401.62240459145198</v>
      </c>
      <c r="C123" s="35">
        <v>-2.8457460760142399</v>
      </c>
      <c r="D123" s="35">
        <v>0.47458068077096999</v>
      </c>
      <c r="E123" s="35">
        <v>-5.9963378015962201</v>
      </c>
      <c r="F123" s="40">
        <v>2.0181698941564999E-9</v>
      </c>
      <c r="G123" s="40">
        <v>2.2256212410350801E-6</v>
      </c>
      <c r="H123" s="27" t="s">
        <v>3889</v>
      </c>
      <c r="I123" s="24" t="s">
        <v>2127</v>
      </c>
      <c r="J123" s="34" t="s">
        <v>4114</v>
      </c>
      <c r="K123" s="35"/>
      <c r="L123" s="35"/>
      <c r="M123" s="35"/>
    </row>
    <row r="124" spans="1:13" x14ac:dyDescent="0.2">
      <c r="A124" s="35" t="s">
        <v>2128</v>
      </c>
      <c r="B124" s="35">
        <v>28.713322863473</v>
      </c>
      <c r="C124" s="35">
        <v>-8.3875567575653207</v>
      </c>
      <c r="D124" s="35">
        <v>1.3989022400417299</v>
      </c>
      <c r="E124" s="35">
        <v>-5.99581337243061</v>
      </c>
      <c r="F124" s="40">
        <v>2.02469442305219E-9</v>
      </c>
      <c r="G124" s="40">
        <v>2.2256212410350801E-6</v>
      </c>
      <c r="H124" s="27" t="s">
        <v>10</v>
      </c>
      <c r="I124" s="34" t="s">
        <v>260</v>
      </c>
      <c r="J124" s="34" t="s">
        <v>10</v>
      </c>
      <c r="K124" s="35"/>
      <c r="L124" s="35"/>
      <c r="M124" s="35"/>
    </row>
    <row r="125" spans="1:13" x14ac:dyDescent="0.2">
      <c r="A125" s="35" t="s">
        <v>2130</v>
      </c>
      <c r="B125" s="35">
        <v>23.302468622428801</v>
      </c>
      <c r="C125" s="35">
        <v>-8.0836731369862793</v>
      </c>
      <c r="D125" s="35">
        <v>1.3490993697079201</v>
      </c>
      <c r="E125" s="35">
        <v>-5.9919034272000404</v>
      </c>
      <c r="F125" s="40">
        <v>2.0739908123830001E-9</v>
      </c>
      <c r="G125" s="40">
        <v>2.2678107116707498E-6</v>
      </c>
      <c r="H125" s="27" t="s">
        <v>10</v>
      </c>
      <c r="I125" s="24" t="s">
        <v>10</v>
      </c>
      <c r="J125" s="34" t="s">
        <v>10</v>
      </c>
      <c r="K125" s="35"/>
      <c r="L125" s="35"/>
      <c r="M125" s="35"/>
    </row>
    <row r="126" spans="1:13" x14ac:dyDescent="0.2">
      <c r="A126" s="35" t="s">
        <v>2131</v>
      </c>
      <c r="B126" s="35">
        <v>1062.6279804479</v>
      </c>
      <c r="C126" s="35">
        <v>-2.1484191172729901</v>
      </c>
      <c r="D126" s="35">
        <v>0.35939655029905998</v>
      </c>
      <c r="E126" s="35">
        <v>-5.9778512495049201</v>
      </c>
      <c r="F126" s="40">
        <v>2.2610004108068799E-9</v>
      </c>
      <c r="G126" s="40">
        <v>2.4465437570187199E-6</v>
      </c>
      <c r="H126" s="27" t="s">
        <v>10</v>
      </c>
      <c r="I126" s="24" t="s">
        <v>2132</v>
      </c>
      <c r="J126" s="34" t="s">
        <v>10</v>
      </c>
      <c r="K126" s="35"/>
      <c r="L126" s="35"/>
      <c r="M126" s="35"/>
    </row>
    <row r="127" spans="1:13" x14ac:dyDescent="0.2">
      <c r="A127" s="35" t="s">
        <v>2133</v>
      </c>
      <c r="B127" s="35">
        <v>100.75672916184701</v>
      </c>
      <c r="C127" s="35">
        <v>-3.81418187765725</v>
      </c>
      <c r="D127" s="35">
        <v>0.63827611110969995</v>
      </c>
      <c r="E127" s="35">
        <v>-5.9757553373350598</v>
      </c>
      <c r="F127" s="40">
        <v>2.2902650782034901E-9</v>
      </c>
      <c r="G127" s="40">
        <v>2.4653694900893499E-6</v>
      </c>
      <c r="H127" s="27" t="s">
        <v>10</v>
      </c>
      <c r="I127" s="29" t="s">
        <v>5185</v>
      </c>
      <c r="J127" s="34" t="s">
        <v>10</v>
      </c>
      <c r="K127" s="35"/>
      <c r="L127" s="35"/>
      <c r="M127" s="35"/>
    </row>
    <row r="128" spans="1:13" x14ac:dyDescent="0.2">
      <c r="A128" s="35" t="s">
        <v>2136</v>
      </c>
      <c r="B128" s="35">
        <v>24.231879846417801</v>
      </c>
      <c r="C128" s="35">
        <v>-8.1388785508810209</v>
      </c>
      <c r="D128" s="35">
        <v>1.3628231085126801</v>
      </c>
      <c r="E128" s="35">
        <v>-5.97207260431869</v>
      </c>
      <c r="F128" s="40">
        <v>2.3425822769527099E-9</v>
      </c>
      <c r="G128" s="40">
        <v>2.4958231975927601E-6</v>
      </c>
      <c r="H128" s="27" t="s">
        <v>10</v>
      </c>
      <c r="I128" s="24" t="s">
        <v>2137</v>
      </c>
      <c r="J128" s="34" t="s">
        <v>10</v>
      </c>
      <c r="K128" s="35"/>
      <c r="L128" s="35"/>
      <c r="M128" s="35"/>
    </row>
    <row r="129" spans="1:13" x14ac:dyDescent="0.2">
      <c r="A129" s="35" t="s">
        <v>2138</v>
      </c>
      <c r="B129" s="35">
        <v>1425.9926569322499</v>
      </c>
      <c r="C129" s="35">
        <v>-9.1920463008000795</v>
      </c>
      <c r="D129" s="35">
        <v>1.5398184205918499</v>
      </c>
      <c r="E129" s="35">
        <v>-5.9695650979853898</v>
      </c>
      <c r="F129" s="40">
        <v>2.3788683299366002E-9</v>
      </c>
      <c r="G129" s="40">
        <v>2.5215518813995302E-6</v>
      </c>
      <c r="H129" s="27" t="s">
        <v>10</v>
      </c>
      <c r="I129" s="34" t="s">
        <v>5103</v>
      </c>
      <c r="J129" s="34" t="s">
        <v>10</v>
      </c>
      <c r="K129" s="35"/>
      <c r="L129" s="35"/>
      <c r="M129" s="35"/>
    </row>
    <row r="130" spans="1:13" x14ac:dyDescent="0.2">
      <c r="A130" s="35" t="s">
        <v>2139</v>
      </c>
      <c r="B130" s="35">
        <v>210.36653747998801</v>
      </c>
      <c r="C130" s="35">
        <v>-2.5693246106946499</v>
      </c>
      <c r="D130" s="35">
        <v>0.430894985097449</v>
      </c>
      <c r="E130" s="35">
        <v>-5.9627628530269003</v>
      </c>
      <c r="F130" s="40">
        <v>2.4800823806099099E-9</v>
      </c>
      <c r="G130" s="40">
        <v>2.6154923607410802E-6</v>
      </c>
      <c r="H130" s="27" t="s">
        <v>4968</v>
      </c>
      <c r="I130" s="24" t="s">
        <v>2141</v>
      </c>
      <c r="J130" s="34" t="s">
        <v>10</v>
      </c>
      <c r="K130" s="35"/>
      <c r="L130" s="35"/>
      <c r="M130" s="35"/>
    </row>
    <row r="131" spans="1:13" x14ac:dyDescent="0.2">
      <c r="A131" s="35" t="s">
        <v>2142</v>
      </c>
      <c r="B131" s="35">
        <v>77.4675662545487</v>
      </c>
      <c r="C131" s="35">
        <v>-5.0451669063905102</v>
      </c>
      <c r="D131" s="35">
        <v>0.84650856891756998</v>
      </c>
      <c r="E131" s="35">
        <v>-5.9599714540890796</v>
      </c>
      <c r="F131" s="40">
        <v>2.5228199940478902E-9</v>
      </c>
      <c r="G131" s="40">
        <v>2.6392726926202902E-6</v>
      </c>
      <c r="H131" s="27" t="s">
        <v>10</v>
      </c>
      <c r="I131" s="24" t="s">
        <v>2143</v>
      </c>
      <c r="J131" s="34" t="s">
        <v>10</v>
      </c>
      <c r="K131" s="35"/>
      <c r="L131" s="35"/>
      <c r="M131" s="35"/>
    </row>
    <row r="132" spans="1:13" x14ac:dyDescent="0.2">
      <c r="A132" s="35" t="s">
        <v>2144</v>
      </c>
      <c r="B132" s="35">
        <v>77.762956289182199</v>
      </c>
      <c r="C132" s="35">
        <v>-2.0172781905026098</v>
      </c>
      <c r="D132" s="35">
        <v>0.33849029643865097</v>
      </c>
      <c r="E132" s="35">
        <v>-5.95963373758996</v>
      </c>
      <c r="F132" s="40">
        <v>2.52803897760564E-9</v>
      </c>
      <c r="G132" s="40">
        <v>2.6392726926202902E-6</v>
      </c>
      <c r="H132" s="27" t="s">
        <v>2021</v>
      </c>
      <c r="I132" s="24" t="s">
        <v>2145</v>
      </c>
      <c r="J132" s="34" t="s">
        <v>10</v>
      </c>
      <c r="K132" s="35"/>
      <c r="L132" s="35"/>
      <c r="M132" s="35"/>
    </row>
    <row r="133" spans="1:13" x14ac:dyDescent="0.2">
      <c r="A133" s="35" t="s">
        <v>2146</v>
      </c>
      <c r="B133" s="35">
        <v>19.7950555033757</v>
      </c>
      <c r="C133" s="35">
        <v>-7.8498727430575297</v>
      </c>
      <c r="D133" s="35">
        <v>1.31764779320326</v>
      </c>
      <c r="E133" s="35">
        <v>-5.9574893864271203</v>
      </c>
      <c r="F133" s="40">
        <v>2.56142342582686E-9</v>
      </c>
      <c r="G133" s="40">
        <v>2.66075542628043E-6</v>
      </c>
      <c r="H133" s="27" t="s">
        <v>10</v>
      </c>
      <c r="I133" s="24" t="s">
        <v>2148</v>
      </c>
      <c r="J133" s="34" t="s">
        <v>10</v>
      </c>
      <c r="K133" s="35"/>
      <c r="L133" s="35"/>
      <c r="M133" s="35"/>
    </row>
    <row r="134" spans="1:13" x14ac:dyDescent="0.2">
      <c r="A134" s="35" t="s">
        <v>2149</v>
      </c>
      <c r="B134" s="35">
        <v>56.011934016019801</v>
      </c>
      <c r="C134" s="35">
        <v>-5.2140082672965402</v>
      </c>
      <c r="D134" s="35">
        <v>0.87771021522464199</v>
      </c>
      <c r="E134" s="35">
        <v>-5.9404666561412398</v>
      </c>
      <c r="F134" s="40">
        <v>2.8421186436538799E-9</v>
      </c>
      <c r="G134" s="40">
        <v>2.9231049551037398E-6</v>
      </c>
      <c r="H134" s="27" t="s">
        <v>10</v>
      </c>
      <c r="I134" s="24" t="s">
        <v>10</v>
      </c>
      <c r="J134" s="34" t="s">
        <v>10</v>
      </c>
      <c r="K134" s="35"/>
      <c r="L134" s="35"/>
      <c r="M134" s="35"/>
    </row>
    <row r="135" spans="1:13" x14ac:dyDescent="0.2">
      <c r="A135" s="35" t="s">
        <v>2150</v>
      </c>
      <c r="B135" s="35">
        <v>30.848863415873701</v>
      </c>
      <c r="C135" s="35">
        <v>-6.6914300224915504</v>
      </c>
      <c r="D135" s="35">
        <v>1.12796740757604</v>
      </c>
      <c r="E135" s="35">
        <v>-5.9322902218169302</v>
      </c>
      <c r="F135" s="40">
        <v>2.9873795574332199E-9</v>
      </c>
      <c r="G135" s="40">
        <v>3.0530644813768702E-6</v>
      </c>
      <c r="H135" s="27" t="s">
        <v>2021</v>
      </c>
      <c r="I135" s="24" t="s">
        <v>2022</v>
      </c>
      <c r="J135" s="34" t="s">
        <v>10</v>
      </c>
      <c r="K135" s="35"/>
      <c r="L135" s="35"/>
      <c r="M135" s="35"/>
    </row>
    <row r="136" spans="1:13" x14ac:dyDescent="0.2">
      <c r="A136" s="35" t="s">
        <v>2152</v>
      </c>
      <c r="B136" s="35">
        <v>25.78711732635</v>
      </c>
      <c r="C136" s="35">
        <v>-8.2316398903181103</v>
      </c>
      <c r="D136" s="35">
        <v>1.3886038758978301</v>
      </c>
      <c r="E136" s="35">
        <v>-5.9279972015026896</v>
      </c>
      <c r="F136" s="40">
        <v>3.0665172296456798E-9</v>
      </c>
      <c r="G136" s="40">
        <v>3.1077431881086302E-6</v>
      </c>
      <c r="H136" s="27" t="s">
        <v>10</v>
      </c>
      <c r="I136" s="24" t="s">
        <v>2153</v>
      </c>
      <c r="J136" s="34" t="s">
        <v>10</v>
      </c>
      <c r="K136" s="35"/>
      <c r="L136" s="35"/>
      <c r="M136" s="35"/>
    </row>
    <row r="137" spans="1:13" x14ac:dyDescent="0.2">
      <c r="A137" s="35" t="s">
        <v>2154</v>
      </c>
      <c r="B137" s="35">
        <v>185.72281663942999</v>
      </c>
      <c r="C137" s="35">
        <v>-2.1449482367602299</v>
      </c>
      <c r="D137" s="35">
        <v>0.36217810973757802</v>
      </c>
      <c r="E137" s="35">
        <v>-5.9223574785190403</v>
      </c>
      <c r="F137" s="40">
        <v>3.17358814533693E-9</v>
      </c>
      <c r="G137" s="40">
        <v>3.2006406734107699E-6</v>
      </c>
      <c r="H137" s="27" t="s">
        <v>10</v>
      </c>
      <c r="I137" s="24" t="s">
        <v>10</v>
      </c>
      <c r="J137" s="34" t="s">
        <v>10</v>
      </c>
      <c r="K137" s="34"/>
      <c r="L137" s="35"/>
      <c r="M137" s="35"/>
    </row>
    <row r="138" spans="1:13" x14ac:dyDescent="0.2">
      <c r="A138" s="35" t="s">
        <v>2155</v>
      </c>
      <c r="B138" s="35">
        <v>19.215269268703899</v>
      </c>
      <c r="C138" s="35">
        <v>-7.8037961668490601</v>
      </c>
      <c r="D138" s="35">
        <v>1.31845419149952</v>
      </c>
      <c r="E138" s="35">
        <v>-5.9188982197201296</v>
      </c>
      <c r="F138" s="40">
        <v>3.2410544812221302E-9</v>
      </c>
      <c r="G138" s="40">
        <v>3.2528913758492E-6</v>
      </c>
      <c r="H138" s="27" t="s">
        <v>10</v>
      </c>
      <c r="I138" s="24" t="s">
        <v>2156</v>
      </c>
      <c r="J138" s="34" t="s">
        <v>10</v>
      </c>
      <c r="K138" s="34"/>
      <c r="L138" s="35"/>
      <c r="M138" s="35"/>
    </row>
    <row r="139" spans="1:13" x14ac:dyDescent="0.2">
      <c r="A139" s="35" t="s">
        <v>2157</v>
      </c>
      <c r="B139" s="35">
        <v>21.403925747559001</v>
      </c>
      <c r="C139" s="35">
        <v>-7.9574891348340104</v>
      </c>
      <c r="D139" s="35">
        <v>1.34511818287697</v>
      </c>
      <c r="E139" s="35">
        <v>-5.9158289852378196</v>
      </c>
      <c r="F139" s="40">
        <v>3.3020817021737202E-9</v>
      </c>
      <c r="G139" s="40">
        <v>3.2982081063307901E-6</v>
      </c>
      <c r="H139" s="27" t="s">
        <v>10</v>
      </c>
      <c r="I139" s="24" t="s">
        <v>2159</v>
      </c>
      <c r="J139" s="34" t="s">
        <v>10</v>
      </c>
      <c r="K139" s="34"/>
      <c r="L139" s="35"/>
      <c r="M139" s="35"/>
    </row>
    <row r="140" spans="1:13" x14ac:dyDescent="0.2">
      <c r="A140" s="35" t="s">
        <v>2160</v>
      </c>
      <c r="B140" s="35">
        <v>24.783673724003499</v>
      </c>
      <c r="C140" s="35">
        <v>-8.1664942861170502</v>
      </c>
      <c r="D140" s="35">
        <v>1.3810680551453101</v>
      </c>
      <c r="E140" s="35">
        <v>-5.9131729647151996</v>
      </c>
      <c r="F140" s="40">
        <v>3.3557945669075099E-9</v>
      </c>
      <c r="G140" s="40">
        <v>3.3358203638394098E-6</v>
      </c>
      <c r="H140" s="27" t="s">
        <v>10</v>
      </c>
      <c r="I140" s="24" t="s">
        <v>10</v>
      </c>
      <c r="J140" s="34" t="s">
        <v>10</v>
      </c>
      <c r="K140" s="34"/>
      <c r="L140" s="35"/>
      <c r="M140" s="35"/>
    </row>
    <row r="141" spans="1:13" x14ac:dyDescent="0.2">
      <c r="A141" s="35" t="s">
        <v>2161</v>
      </c>
      <c r="B141" s="35">
        <v>34.123781940776098</v>
      </c>
      <c r="C141" s="35">
        <v>-7.6680482937391901</v>
      </c>
      <c r="D141" s="35">
        <v>1.29770604365429</v>
      </c>
      <c r="E141" s="35">
        <v>-5.9089254698593203</v>
      </c>
      <c r="F141" s="40">
        <v>3.4434644065661202E-9</v>
      </c>
      <c r="G141" s="40">
        <v>3.4066685297645298E-6</v>
      </c>
      <c r="H141" s="27" t="s">
        <v>10</v>
      </c>
      <c r="I141" s="24" t="s">
        <v>2162</v>
      </c>
      <c r="J141" s="34" t="s">
        <v>10</v>
      </c>
      <c r="K141" s="34"/>
      <c r="L141" s="35"/>
      <c r="M141" s="35"/>
    </row>
    <row r="142" spans="1:13" x14ac:dyDescent="0.2">
      <c r="A142" s="35" t="s">
        <v>2164</v>
      </c>
      <c r="B142" s="35">
        <v>23.328822178592901</v>
      </c>
      <c r="C142" s="35">
        <v>-8.08688088509731</v>
      </c>
      <c r="D142" s="35">
        <v>1.37171340925258</v>
      </c>
      <c r="E142" s="35">
        <v>-5.8954595256918196</v>
      </c>
      <c r="F142" s="40">
        <v>3.7364008939424603E-9</v>
      </c>
      <c r="G142" s="40">
        <v>3.6789559437057299E-6</v>
      </c>
      <c r="H142" s="27" t="s">
        <v>10</v>
      </c>
      <c r="I142" s="24" t="s">
        <v>2166</v>
      </c>
      <c r="J142" s="34" t="s">
        <v>10</v>
      </c>
      <c r="K142" s="34"/>
      <c r="L142" s="35"/>
      <c r="M142" s="35"/>
    </row>
    <row r="143" spans="1:13" x14ac:dyDescent="0.2">
      <c r="A143" s="35" t="s">
        <v>2167</v>
      </c>
      <c r="B143" s="35">
        <v>24.296983144160599</v>
      </c>
      <c r="C143" s="35">
        <v>-8.1377303647134198</v>
      </c>
      <c r="D143" s="35">
        <v>1.38391149138574</v>
      </c>
      <c r="E143" s="35">
        <v>-5.8802390292784903</v>
      </c>
      <c r="F143" s="40">
        <v>4.0967444300324397E-9</v>
      </c>
      <c r="G143" s="40">
        <v>3.9772113822701796E-6</v>
      </c>
      <c r="H143" s="27" t="s">
        <v>10</v>
      </c>
      <c r="I143" s="24" t="s">
        <v>2168</v>
      </c>
      <c r="J143" s="34" t="s">
        <v>10</v>
      </c>
      <c r="K143" s="34"/>
      <c r="L143" s="35"/>
      <c r="M143" s="35"/>
    </row>
    <row r="144" spans="1:13" x14ac:dyDescent="0.2">
      <c r="A144" s="35" t="s">
        <v>2169</v>
      </c>
      <c r="B144" s="35">
        <v>23.816280523054399</v>
      </c>
      <c r="C144" s="35">
        <v>-8.1088009662921596</v>
      </c>
      <c r="D144" s="35">
        <v>1.37937509764678</v>
      </c>
      <c r="E144" s="35">
        <v>-5.8786047247959203</v>
      </c>
      <c r="F144" s="40">
        <v>4.1373901986228497E-9</v>
      </c>
      <c r="G144" s="40">
        <v>3.9979890144422696E-6</v>
      </c>
      <c r="H144" s="27" t="s">
        <v>10</v>
      </c>
      <c r="I144" s="24" t="s">
        <v>2170</v>
      </c>
      <c r="J144" s="34" t="s">
        <v>10</v>
      </c>
      <c r="K144" s="34"/>
      <c r="L144" s="35"/>
      <c r="M144" s="35"/>
    </row>
    <row r="145" spans="1:13" x14ac:dyDescent="0.2">
      <c r="A145" s="35" t="s">
        <v>2171</v>
      </c>
      <c r="B145" s="35">
        <v>20.010843954362802</v>
      </c>
      <c r="C145" s="35">
        <v>-7.8644450631158698</v>
      </c>
      <c r="D145" s="35">
        <v>1.34128368528321</v>
      </c>
      <c r="E145" s="35">
        <v>-5.8633718947049704</v>
      </c>
      <c r="F145" s="40">
        <v>4.5356080215792901E-9</v>
      </c>
      <c r="G145" s="40">
        <v>4.3423953001439003E-6</v>
      </c>
      <c r="H145" s="27" t="s">
        <v>4968</v>
      </c>
      <c r="I145" s="24" t="s">
        <v>2172</v>
      </c>
      <c r="J145" s="34" t="s">
        <v>10</v>
      </c>
      <c r="K145" s="34"/>
      <c r="L145" s="35"/>
      <c r="M145" s="35"/>
    </row>
    <row r="146" spans="1:13" x14ac:dyDescent="0.2">
      <c r="A146" s="35" t="s">
        <v>2173</v>
      </c>
      <c r="B146" s="35">
        <v>222.653909714489</v>
      </c>
      <c r="C146" s="35">
        <v>-3.75314256972618</v>
      </c>
      <c r="D146" s="35">
        <v>0.64086326457329401</v>
      </c>
      <c r="E146" s="35">
        <v>-5.8563858738652002</v>
      </c>
      <c r="F146" s="40">
        <v>4.7304839589136896E-9</v>
      </c>
      <c r="G146" s="40">
        <v>4.5081946117801499E-6</v>
      </c>
      <c r="H146" s="27" t="s">
        <v>10</v>
      </c>
      <c r="I146" s="24" t="s">
        <v>10</v>
      </c>
      <c r="J146" s="34" t="s">
        <v>10</v>
      </c>
      <c r="K146" s="34"/>
      <c r="L146" s="35"/>
      <c r="M146" s="35"/>
    </row>
    <row r="147" spans="1:13" x14ac:dyDescent="0.2">
      <c r="A147" s="35" t="s">
        <v>2174</v>
      </c>
      <c r="B147" s="35">
        <v>20.370270282245901</v>
      </c>
      <c r="C147" s="35">
        <v>-7.8906949729512199</v>
      </c>
      <c r="D147" s="35">
        <v>1.35039460841204</v>
      </c>
      <c r="E147" s="35">
        <v>-5.8432512421165903</v>
      </c>
      <c r="F147" s="40">
        <v>5.1191720012230904E-9</v>
      </c>
      <c r="G147" s="40">
        <v>4.8563410880644003E-6</v>
      </c>
      <c r="H147" s="27" t="s">
        <v>84</v>
      </c>
      <c r="I147" s="29" t="s">
        <v>5186</v>
      </c>
      <c r="J147" s="34" t="s">
        <v>5003</v>
      </c>
      <c r="K147" s="34"/>
      <c r="L147" s="35"/>
      <c r="M147" s="35"/>
    </row>
    <row r="148" spans="1:13" x14ac:dyDescent="0.2">
      <c r="A148" s="35" t="s">
        <v>2177</v>
      </c>
      <c r="B148" s="35">
        <v>229.313873277705</v>
      </c>
      <c r="C148" s="35">
        <v>-9.6630950271881595</v>
      </c>
      <c r="D148" s="35">
        <v>1.65605168874729</v>
      </c>
      <c r="E148" s="35">
        <v>-5.8350201825510499</v>
      </c>
      <c r="F148" s="40">
        <v>5.3784056375221596E-9</v>
      </c>
      <c r="G148" s="40">
        <v>5.0790729164957004E-6</v>
      </c>
      <c r="H148" s="27" t="s">
        <v>10</v>
      </c>
      <c r="I148" s="24" t="s">
        <v>10</v>
      </c>
      <c r="J148" s="34" t="s">
        <v>10</v>
      </c>
      <c r="K148" s="34"/>
      <c r="L148" s="35"/>
      <c r="M148" s="35"/>
    </row>
    <row r="149" spans="1:13" x14ac:dyDescent="0.2">
      <c r="A149" s="35" t="s">
        <v>2178</v>
      </c>
      <c r="B149" s="35">
        <v>24.209255882107701</v>
      </c>
      <c r="C149" s="35">
        <v>-8.1422418556183196</v>
      </c>
      <c r="D149" s="35">
        <v>1.3962016530952199</v>
      </c>
      <c r="E149" s="35">
        <v>-5.8317090783898404</v>
      </c>
      <c r="F149" s="40">
        <v>5.4862511575429302E-9</v>
      </c>
      <c r="G149" s="40">
        <v>5.1574732827443002E-6</v>
      </c>
      <c r="H149" s="27" t="s">
        <v>10</v>
      </c>
      <c r="I149" s="34" t="s">
        <v>260</v>
      </c>
      <c r="J149" s="34" t="s">
        <v>10</v>
      </c>
      <c r="K149" s="34"/>
      <c r="L149" s="35"/>
      <c r="M149" s="35"/>
    </row>
    <row r="150" spans="1:13" x14ac:dyDescent="0.2">
      <c r="A150" s="35" t="s">
        <v>2182</v>
      </c>
      <c r="B150" s="35">
        <v>379.88627999194102</v>
      </c>
      <c r="C150" s="35">
        <v>-6.5542897693309197</v>
      </c>
      <c r="D150" s="35">
        <v>1.1261825732200801</v>
      </c>
      <c r="E150" s="35">
        <v>-5.8199175916835104</v>
      </c>
      <c r="F150" s="40">
        <v>5.8876648733423704E-9</v>
      </c>
      <c r="G150" s="40">
        <v>5.50989956498251E-6</v>
      </c>
      <c r="H150" s="27" t="s">
        <v>10</v>
      </c>
      <c r="I150" s="24" t="s">
        <v>2184</v>
      </c>
      <c r="J150" s="34" t="s">
        <v>10</v>
      </c>
      <c r="K150" s="34"/>
      <c r="L150" s="35"/>
      <c r="M150" s="35"/>
    </row>
    <row r="151" spans="1:13" x14ac:dyDescent="0.2">
      <c r="A151" s="35" t="s">
        <v>2185</v>
      </c>
      <c r="B151" s="35">
        <v>34.221755257846901</v>
      </c>
      <c r="C151" s="35">
        <v>-7.6610116957912204</v>
      </c>
      <c r="D151" s="35">
        <v>1.31746147291724</v>
      </c>
      <c r="E151" s="35">
        <v>-5.81497968121037</v>
      </c>
      <c r="F151" s="40">
        <v>6.0641251505143003E-9</v>
      </c>
      <c r="G151" s="40">
        <v>5.6243677891529003E-6</v>
      </c>
      <c r="H151" s="27" t="s">
        <v>10</v>
      </c>
      <c r="I151" s="24" t="s">
        <v>2186</v>
      </c>
      <c r="J151" s="34" t="s">
        <v>10</v>
      </c>
      <c r="K151" s="34"/>
      <c r="L151" s="35"/>
      <c r="M151" s="35"/>
    </row>
    <row r="152" spans="1:13" x14ac:dyDescent="0.2">
      <c r="A152" s="35" t="s">
        <v>2187</v>
      </c>
      <c r="B152" s="35">
        <v>19.160150746511899</v>
      </c>
      <c r="C152" s="35">
        <v>-7.8042897473831996</v>
      </c>
      <c r="D152" s="35">
        <v>1.3451916190914699</v>
      </c>
      <c r="E152" s="35">
        <v>-5.8016193653170101</v>
      </c>
      <c r="F152" s="40">
        <v>6.5677517304791802E-9</v>
      </c>
      <c r="G152" s="40">
        <v>6.0375656129089898E-6</v>
      </c>
      <c r="H152" s="27" t="s">
        <v>10</v>
      </c>
      <c r="I152" s="24" t="s">
        <v>10</v>
      </c>
      <c r="J152" s="34" t="s">
        <v>10</v>
      </c>
      <c r="K152" s="34"/>
      <c r="L152" s="35"/>
      <c r="M152" s="35"/>
    </row>
    <row r="153" spans="1:13" x14ac:dyDescent="0.2">
      <c r="A153" s="35" t="s">
        <v>2188</v>
      </c>
      <c r="B153" s="35">
        <v>28.7661916892385</v>
      </c>
      <c r="C153" s="35">
        <v>-6.5336812450993396</v>
      </c>
      <c r="D153" s="35">
        <v>1.12657544255704</v>
      </c>
      <c r="E153" s="35">
        <v>-5.7995949479153701</v>
      </c>
      <c r="F153" s="40">
        <v>6.6475291357754E-9</v>
      </c>
      <c r="G153" s="40">
        <v>6.0839826569698403E-6</v>
      </c>
      <c r="H153" s="27" t="s">
        <v>10</v>
      </c>
      <c r="I153" s="34" t="s">
        <v>3908</v>
      </c>
      <c r="J153" s="34" t="s">
        <v>10</v>
      </c>
      <c r="K153" s="34"/>
      <c r="L153" s="35"/>
      <c r="M153" s="35"/>
    </row>
    <row r="154" spans="1:13" x14ac:dyDescent="0.2">
      <c r="A154" s="35" t="s">
        <v>2189</v>
      </c>
      <c r="B154" s="35">
        <v>274.210206714923</v>
      </c>
      <c r="C154" s="35">
        <v>-2.28973196396722</v>
      </c>
      <c r="D154" s="35">
        <v>0.39567851230973</v>
      </c>
      <c r="E154" s="35">
        <v>-5.7868494061028599</v>
      </c>
      <c r="F154" s="40">
        <v>7.1718819796703598E-9</v>
      </c>
      <c r="G154" s="40">
        <v>6.5009731124017502E-6</v>
      </c>
      <c r="H154" s="27" t="s">
        <v>10</v>
      </c>
      <c r="I154" s="24" t="s">
        <v>2190</v>
      </c>
      <c r="J154" s="34" t="s">
        <v>10</v>
      </c>
      <c r="K154" s="34"/>
      <c r="L154" s="35"/>
      <c r="M154" s="35"/>
    </row>
    <row r="155" spans="1:13" x14ac:dyDescent="0.2">
      <c r="A155" s="45" t="s">
        <v>2191</v>
      </c>
      <c r="B155" s="45">
        <v>38.019754288923203</v>
      </c>
      <c r="C155" s="45">
        <v>-3.77171008519448</v>
      </c>
      <c r="D155" s="45">
        <v>0.65197342412367598</v>
      </c>
      <c r="E155" s="45">
        <v>-5.78506722151148</v>
      </c>
      <c r="F155" s="46">
        <v>7.24833388756197E-9</v>
      </c>
      <c r="G155" s="46">
        <v>6.5009731124017502E-6</v>
      </c>
      <c r="H155" s="50" t="s">
        <v>4997</v>
      </c>
      <c r="I155" s="47" t="s">
        <v>2192</v>
      </c>
      <c r="J155" s="50" t="s">
        <v>10</v>
      </c>
      <c r="K155" s="34"/>
      <c r="L155" s="35"/>
      <c r="M155" s="35"/>
    </row>
    <row r="156" spans="1:13" x14ac:dyDescent="0.2">
      <c r="A156" s="35" t="s">
        <v>2193</v>
      </c>
      <c r="B156" s="35">
        <v>17.319049171399399</v>
      </c>
      <c r="C156" s="35">
        <v>-7.65168004836758</v>
      </c>
      <c r="D156" s="35">
        <v>1.32511145319904</v>
      </c>
      <c r="E156" s="35">
        <v>-5.7743671522083204</v>
      </c>
      <c r="F156" s="40">
        <v>7.7242844102700808E-9</v>
      </c>
      <c r="G156" s="40">
        <v>6.8579762048720999E-6</v>
      </c>
      <c r="H156" s="27" t="s">
        <v>10</v>
      </c>
      <c r="I156" s="24" t="s">
        <v>10</v>
      </c>
      <c r="J156" s="34" t="s">
        <v>10</v>
      </c>
      <c r="K156" s="34"/>
      <c r="L156" s="35"/>
      <c r="M156" s="35"/>
    </row>
    <row r="157" spans="1:13" x14ac:dyDescent="0.2">
      <c r="A157" s="35" t="s">
        <v>2194</v>
      </c>
      <c r="B157" s="35">
        <v>17.8235298791137</v>
      </c>
      <c r="C157" s="35">
        <v>-7.69359162857873</v>
      </c>
      <c r="D157" s="35">
        <v>1.33392683848091</v>
      </c>
      <c r="E157" s="35">
        <v>-5.7676263844726803</v>
      </c>
      <c r="F157" s="40">
        <v>8.0395790668665404E-9</v>
      </c>
      <c r="G157" s="40">
        <v>7.0774185958301897E-6</v>
      </c>
      <c r="H157" s="27" t="s">
        <v>4951</v>
      </c>
      <c r="I157" s="24" t="s">
        <v>2195</v>
      </c>
      <c r="J157" s="34" t="s">
        <v>10</v>
      </c>
      <c r="K157" s="34"/>
      <c r="L157" s="35"/>
      <c r="M157" s="35"/>
    </row>
    <row r="158" spans="1:13" x14ac:dyDescent="0.2">
      <c r="A158" s="35" t="s">
        <v>2196</v>
      </c>
      <c r="B158" s="35">
        <v>19.139711049755501</v>
      </c>
      <c r="C158" s="35">
        <v>-7.7964156281493402</v>
      </c>
      <c r="D158" s="35">
        <v>1.3564952761076501</v>
      </c>
      <c r="E158" s="35">
        <v>-5.74746979622405</v>
      </c>
      <c r="F158" s="40">
        <v>9.0588774893845803E-9</v>
      </c>
      <c r="G158" s="40">
        <v>7.7770088912586097E-6</v>
      </c>
      <c r="H158" s="27" t="s">
        <v>10</v>
      </c>
      <c r="I158" s="24" t="s">
        <v>2197</v>
      </c>
      <c r="J158" s="34" t="s">
        <v>5071</v>
      </c>
      <c r="K158" s="34"/>
      <c r="L158" s="35"/>
      <c r="M158" s="35"/>
    </row>
    <row r="159" spans="1:13" x14ac:dyDescent="0.2">
      <c r="A159" s="35" t="s">
        <v>2198</v>
      </c>
      <c r="B159" s="35">
        <v>37.000253646621502</v>
      </c>
      <c r="C159" s="35">
        <v>-6.4190129467931802</v>
      </c>
      <c r="D159" s="35">
        <v>1.11735003769791</v>
      </c>
      <c r="E159" s="35">
        <v>-5.7448541014222601</v>
      </c>
      <c r="F159" s="40">
        <v>9.2000277218667199E-9</v>
      </c>
      <c r="G159" s="40">
        <v>7.8656829604285707E-6</v>
      </c>
      <c r="H159" s="27" t="s">
        <v>84</v>
      </c>
      <c r="I159" s="34" t="s">
        <v>86</v>
      </c>
      <c r="J159" s="34" t="s">
        <v>10</v>
      </c>
      <c r="K159" s="34"/>
      <c r="L159" s="35"/>
      <c r="M159" s="35"/>
    </row>
    <row r="160" spans="1:13" x14ac:dyDescent="0.2">
      <c r="A160" s="35" t="s">
        <v>2199</v>
      </c>
      <c r="B160" s="35">
        <v>24.006855129830001</v>
      </c>
      <c r="C160" s="35">
        <v>-4.3759304418017404</v>
      </c>
      <c r="D160" s="35">
        <v>0.76199882707850897</v>
      </c>
      <c r="E160" s="35">
        <v>-5.7426997080546496</v>
      </c>
      <c r="F160" s="40">
        <v>9.3178884066308604E-9</v>
      </c>
      <c r="G160" s="40">
        <v>7.89073182903798E-6</v>
      </c>
      <c r="H160" s="27" t="s">
        <v>10</v>
      </c>
      <c r="I160" s="24" t="s">
        <v>10</v>
      </c>
      <c r="J160" s="34" t="s">
        <v>10</v>
      </c>
      <c r="K160" s="34"/>
      <c r="L160" s="35"/>
      <c r="M160" s="35"/>
    </row>
    <row r="161" spans="1:13" x14ac:dyDescent="0.2">
      <c r="A161" s="35" t="s">
        <v>2200</v>
      </c>
      <c r="B161" s="35">
        <v>30.789895732004702</v>
      </c>
      <c r="C161" s="35">
        <v>-8.4799033719717301</v>
      </c>
      <c r="D161" s="35">
        <v>1.47724426560521</v>
      </c>
      <c r="E161" s="35">
        <v>-5.7403528782679603</v>
      </c>
      <c r="F161" s="40">
        <v>9.4479470072255808E-9</v>
      </c>
      <c r="G161" s="40">
        <v>7.9468327062071205E-6</v>
      </c>
      <c r="H161" s="27" t="s">
        <v>4956</v>
      </c>
      <c r="I161" s="24" t="s">
        <v>2201</v>
      </c>
      <c r="J161" s="34" t="s">
        <v>5055</v>
      </c>
      <c r="K161" s="34"/>
      <c r="L161" s="35"/>
      <c r="M161" s="35"/>
    </row>
    <row r="162" spans="1:13" x14ac:dyDescent="0.2">
      <c r="A162" s="35" t="s">
        <v>2202</v>
      </c>
      <c r="B162" s="35">
        <v>54.925476596782801</v>
      </c>
      <c r="C162" s="35">
        <v>-2.84026302043398</v>
      </c>
      <c r="D162" s="35">
        <v>0.49487421461398001</v>
      </c>
      <c r="E162" s="35">
        <v>-5.7393635323058598</v>
      </c>
      <c r="F162" s="40">
        <v>9.5033026433103096E-9</v>
      </c>
      <c r="G162" s="40">
        <v>7.9611618708208707E-6</v>
      </c>
      <c r="H162" s="27" t="s">
        <v>2092</v>
      </c>
      <c r="I162" s="24" t="s">
        <v>2203</v>
      </c>
      <c r="J162" s="34" t="s">
        <v>10</v>
      </c>
      <c r="K162" s="34"/>
      <c r="L162" s="35"/>
      <c r="M162" s="35"/>
    </row>
    <row r="163" spans="1:13" x14ac:dyDescent="0.2">
      <c r="A163" s="35" t="s">
        <v>2204</v>
      </c>
      <c r="B163" s="35">
        <v>33.577280674448403</v>
      </c>
      <c r="C163" s="35">
        <v>-7.6454103046085402</v>
      </c>
      <c r="D163" s="35">
        <v>1.3362787324202601</v>
      </c>
      <c r="E163" s="35">
        <v>-5.7214188321034003</v>
      </c>
      <c r="F163" s="40">
        <v>1.05638122961323E-8</v>
      </c>
      <c r="G163" s="40">
        <v>8.7894342474707999E-6</v>
      </c>
      <c r="H163" s="27" t="s">
        <v>10</v>
      </c>
      <c r="I163" s="24" t="s">
        <v>10</v>
      </c>
      <c r="J163" s="34" t="s">
        <v>10</v>
      </c>
      <c r="K163" s="34"/>
      <c r="L163" s="35"/>
      <c r="M163" s="35"/>
    </row>
    <row r="164" spans="1:13" x14ac:dyDescent="0.2">
      <c r="A164" s="35" t="s">
        <v>2205</v>
      </c>
      <c r="B164" s="35">
        <v>465.42783856957499</v>
      </c>
      <c r="C164" s="35">
        <v>-2.6815594300616201</v>
      </c>
      <c r="D164" s="35">
        <v>0.46883963563772402</v>
      </c>
      <c r="E164" s="35">
        <v>-5.7195664065690899</v>
      </c>
      <c r="F164" s="40">
        <v>1.06796230001419E-8</v>
      </c>
      <c r="G164" s="40">
        <v>8.8045863334027208E-6</v>
      </c>
      <c r="H164" s="27" t="s">
        <v>10</v>
      </c>
      <c r="I164" s="24" t="s">
        <v>10</v>
      </c>
      <c r="J164" s="34" t="s">
        <v>10</v>
      </c>
      <c r="K164" s="34"/>
      <c r="L164" s="35"/>
      <c r="M164" s="35"/>
    </row>
    <row r="165" spans="1:13" x14ac:dyDescent="0.2">
      <c r="A165" s="35" t="s">
        <v>2206</v>
      </c>
      <c r="B165" s="35">
        <v>298.44344940973201</v>
      </c>
      <c r="C165" s="35">
        <v>-3.7182024799834399</v>
      </c>
      <c r="D165" s="35">
        <v>0.65020174028714195</v>
      </c>
      <c r="E165" s="35">
        <v>-5.7185366473202697</v>
      </c>
      <c r="F165" s="40">
        <v>1.07445345607396E-8</v>
      </c>
      <c r="G165" s="40">
        <v>8.8230890205573797E-6</v>
      </c>
      <c r="H165" s="27" t="s">
        <v>10</v>
      </c>
      <c r="I165" s="24" t="s">
        <v>2207</v>
      </c>
      <c r="J165" s="34" t="s">
        <v>10</v>
      </c>
      <c r="K165" s="34"/>
      <c r="L165" s="35"/>
      <c r="M165" s="35"/>
    </row>
    <row r="166" spans="1:13" x14ac:dyDescent="0.2">
      <c r="A166" s="35" t="s">
        <v>2208</v>
      </c>
      <c r="B166" s="35">
        <v>115.36711052057299</v>
      </c>
      <c r="C166" s="35">
        <v>-2.4840911287968201</v>
      </c>
      <c r="D166" s="35">
        <v>0.43492049790920401</v>
      </c>
      <c r="E166" s="35">
        <v>-5.7115981903327198</v>
      </c>
      <c r="F166" s="40">
        <v>1.11920090853066E-8</v>
      </c>
      <c r="G166" s="40">
        <v>9.1543584233344904E-6</v>
      </c>
      <c r="H166" s="27" t="s">
        <v>10</v>
      </c>
      <c r="I166" s="24" t="s">
        <v>10</v>
      </c>
      <c r="J166" s="34" t="s">
        <v>10</v>
      </c>
      <c r="K166" s="34"/>
      <c r="L166" s="35"/>
      <c r="M166" s="35"/>
    </row>
    <row r="167" spans="1:13" x14ac:dyDescent="0.2">
      <c r="A167" s="35" t="s">
        <v>2209</v>
      </c>
      <c r="B167" s="35">
        <v>36.313987162082199</v>
      </c>
      <c r="C167" s="35">
        <v>-6.79662461262566</v>
      </c>
      <c r="D167" s="35">
        <v>1.1910241424796899</v>
      </c>
      <c r="E167" s="35">
        <v>-5.7065380710715097</v>
      </c>
      <c r="F167" s="40">
        <v>1.15297127509214E-8</v>
      </c>
      <c r="G167" s="40">
        <v>9.3935960873741997E-6</v>
      </c>
      <c r="H167" s="27" t="s">
        <v>10</v>
      </c>
      <c r="I167" s="24" t="s">
        <v>2210</v>
      </c>
      <c r="J167" s="34" t="s">
        <v>5004</v>
      </c>
      <c r="K167" s="34"/>
      <c r="L167" s="35"/>
      <c r="M167" s="35"/>
    </row>
    <row r="168" spans="1:13" x14ac:dyDescent="0.2">
      <c r="A168" s="35" t="s">
        <v>2211</v>
      </c>
      <c r="B168" s="35">
        <v>17.180309541624801</v>
      </c>
      <c r="C168" s="35">
        <v>-7.6456327273422904</v>
      </c>
      <c r="D168" s="35">
        <v>1.3409526888302801</v>
      </c>
      <c r="E168" s="35">
        <v>-5.7016424151485801</v>
      </c>
      <c r="F168" s="40">
        <v>1.1865854012415099E-8</v>
      </c>
      <c r="G168" s="40">
        <v>9.6296967429816592E-6</v>
      </c>
      <c r="H168" s="27" t="s">
        <v>10</v>
      </c>
      <c r="I168" s="24" t="s">
        <v>2212</v>
      </c>
      <c r="J168" s="34" t="s">
        <v>5010</v>
      </c>
      <c r="K168" s="34"/>
      <c r="L168" s="35"/>
      <c r="M168" s="35"/>
    </row>
    <row r="169" spans="1:13" x14ac:dyDescent="0.2">
      <c r="A169" s="35" t="s">
        <v>2213</v>
      </c>
      <c r="B169" s="35">
        <v>18.578041734274699</v>
      </c>
      <c r="C169" s="35">
        <v>-7.7537527205897598</v>
      </c>
      <c r="D169" s="35">
        <v>1.36060656409426</v>
      </c>
      <c r="E169" s="35">
        <v>-5.6987471067739301</v>
      </c>
      <c r="F169" s="40">
        <v>1.2069110151514401E-8</v>
      </c>
      <c r="G169" s="40">
        <v>9.7565371542335308E-6</v>
      </c>
      <c r="H169" s="27" t="s">
        <v>10</v>
      </c>
      <c r="I169" s="24" t="s">
        <v>2214</v>
      </c>
      <c r="J169" s="34" t="s">
        <v>10</v>
      </c>
      <c r="K169" s="34"/>
      <c r="L169" s="35"/>
      <c r="M169" s="35"/>
    </row>
    <row r="170" spans="1:13" x14ac:dyDescent="0.2">
      <c r="A170" s="35" t="s">
        <v>2215</v>
      </c>
      <c r="B170" s="35">
        <v>26.261679828322801</v>
      </c>
      <c r="C170" s="35">
        <v>-7.2869438586433404</v>
      </c>
      <c r="D170" s="35">
        <v>1.2807120233549101</v>
      </c>
      <c r="E170" s="35">
        <v>-5.6897598568292702</v>
      </c>
      <c r="F170" s="40">
        <v>1.2721815488047199E-8</v>
      </c>
      <c r="G170" s="40">
        <v>1.02047625426051E-5</v>
      </c>
      <c r="H170" s="27" t="s">
        <v>10</v>
      </c>
      <c r="I170" s="24" t="s">
        <v>10</v>
      </c>
      <c r="J170" s="34" t="s">
        <v>10</v>
      </c>
      <c r="K170" s="34"/>
      <c r="L170" s="35"/>
      <c r="M170" s="35"/>
    </row>
    <row r="171" spans="1:13" x14ac:dyDescent="0.2">
      <c r="A171" s="35" t="s">
        <v>2216</v>
      </c>
      <c r="B171" s="35">
        <v>39.040019797182197</v>
      </c>
      <c r="C171" s="35">
        <v>-6.8916800275230496</v>
      </c>
      <c r="D171" s="35">
        <v>1.21352715726959</v>
      </c>
      <c r="E171" s="35">
        <v>-5.6790488669649299</v>
      </c>
      <c r="F171" s="40">
        <v>1.35445783241089E-8</v>
      </c>
      <c r="G171" s="40">
        <v>1.07814843459907E-5</v>
      </c>
      <c r="H171" s="27" t="s">
        <v>10</v>
      </c>
      <c r="I171" s="34" t="s">
        <v>5105</v>
      </c>
      <c r="J171" s="34" t="s">
        <v>5007</v>
      </c>
      <c r="K171" s="34"/>
      <c r="L171" s="35"/>
      <c r="M171" s="35"/>
    </row>
    <row r="172" spans="1:13" x14ac:dyDescent="0.2">
      <c r="A172" s="35" t="s">
        <v>2217</v>
      </c>
      <c r="B172" s="35">
        <v>81.125841176311695</v>
      </c>
      <c r="C172" s="35">
        <v>-2.08979478466643</v>
      </c>
      <c r="D172" s="35">
        <v>0.36984997404771902</v>
      </c>
      <c r="E172" s="35">
        <v>-5.6503851056017602</v>
      </c>
      <c r="F172" s="40">
        <v>1.6008877894174899E-8</v>
      </c>
      <c r="G172" s="40">
        <v>1.26145253833592E-5</v>
      </c>
      <c r="H172" s="43" t="s">
        <v>5229</v>
      </c>
      <c r="I172" s="29" t="s">
        <v>1881</v>
      </c>
      <c r="J172" s="34" t="s">
        <v>10</v>
      </c>
      <c r="K172" s="34"/>
      <c r="L172" s="35"/>
      <c r="M172" s="35"/>
    </row>
    <row r="173" spans="1:13" x14ac:dyDescent="0.2">
      <c r="A173" s="35" t="s">
        <v>2218</v>
      </c>
      <c r="B173" s="35">
        <v>23.8395580700039</v>
      </c>
      <c r="C173" s="35">
        <v>-8.1097561907666798</v>
      </c>
      <c r="D173" s="35">
        <v>1.4353135908319199</v>
      </c>
      <c r="E173" s="35">
        <v>-5.6501633110477201</v>
      </c>
      <c r="F173" s="40">
        <v>1.6029547648235601E-8</v>
      </c>
      <c r="G173" s="40">
        <v>1.26145253833592E-5</v>
      </c>
      <c r="H173" s="27" t="s">
        <v>10</v>
      </c>
      <c r="I173" s="24" t="s">
        <v>2219</v>
      </c>
      <c r="J173" s="34" t="s">
        <v>10</v>
      </c>
      <c r="K173" s="34"/>
      <c r="L173" s="35"/>
      <c r="M173" s="35"/>
    </row>
    <row r="174" spans="1:13" x14ac:dyDescent="0.2">
      <c r="A174" s="35" t="s">
        <v>2220</v>
      </c>
      <c r="B174" s="35">
        <v>488.55724812220097</v>
      </c>
      <c r="C174" s="35">
        <v>-3.49839215373221</v>
      </c>
      <c r="D174" s="35">
        <v>0.620833518609057</v>
      </c>
      <c r="E174" s="35">
        <v>-5.6349923914710001</v>
      </c>
      <c r="F174" s="40">
        <v>1.7506606619479299E-8</v>
      </c>
      <c r="G174" s="40">
        <v>1.36733179129193E-5</v>
      </c>
      <c r="H174" s="27" t="s">
        <v>10</v>
      </c>
      <c r="I174" s="24" t="s">
        <v>2207</v>
      </c>
      <c r="J174" s="34" t="s">
        <v>10</v>
      </c>
      <c r="K174" s="34"/>
      <c r="L174" s="35"/>
      <c r="M174" s="35"/>
    </row>
    <row r="175" spans="1:13" x14ac:dyDescent="0.2">
      <c r="A175" s="35" t="s">
        <v>2221</v>
      </c>
      <c r="B175" s="35">
        <v>16.0664503022326</v>
      </c>
      <c r="C175" s="35">
        <v>-7.5453164252626301</v>
      </c>
      <c r="D175" s="35">
        <v>1.3403332766937699</v>
      </c>
      <c r="E175" s="35">
        <v>-5.6294330346515098</v>
      </c>
      <c r="F175" s="40">
        <v>1.80802950503364E-8</v>
      </c>
      <c r="G175" s="40">
        <v>1.40160066361108E-5</v>
      </c>
      <c r="H175" s="27" t="s">
        <v>10</v>
      </c>
      <c r="I175" s="24" t="s">
        <v>10</v>
      </c>
      <c r="J175" s="34" t="s">
        <v>10</v>
      </c>
      <c r="K175" s="34"/>
      <c r="L175" s="35"/>
      <c r="M175" s="35"/>
    </row>
    <row r="176" spans="1:13" x14ac:dyDescent="0.2">
      <c r="A176" s="35" t="s">
        <v>2222</v>
      </c>
      <c r="B176" s="35">
        <v>586.68765766631202</v>
      </c>
      <c r="C176" s="35">
        <v>-2.73117235249777</v>
      </c>
      <c r="D176" s="35">
        <v>0.48545614512054303</v>
      </c>
      <c r="E176" s="35">
        <v>-5.6259919252224</v>
      </c>
      <c r="F176" s="40">
        <v>1.8444497417302699E-8</v>
      </c>
      <c r="G176" s="40">
        <v>1.4245185893788599E-5</v>
      </c>
      <c r="H176" s="27" t="s">
        <v>10</v>
      </c>
      <c r="I176" s="24" t="s">
        <v>2223</v>
      </c>
      <c r="J176" s="34" t="s">
        <v>10</v>
      </c>
      <c r="K176" s="34"/>
      <c r="L176" s="35"/>
      <c r="M176" s="35"/>
    </row>
    <row r="177" spans="1:13" x14ac:dyDescent="0.2">
      <c r="A177" s="35" t="s">
        <v>2224</v>
      </c>
      <c r="B177" s="35">
        <v>31.726074497878301</v>
      </c>
      <c r="C177" s="35">
        <v>-6.7154944220333199</v>
      </c>
      <c r="D177" s="35">
        <v>1.1950891430292301</v>
      </c>
      <c r="E177" s="35">
        <v>-5.6192414274732103</v>
      </c>
      <c r="F177" s="40">
        <v>1.91797688363767E-8</v>
      </c>
      <c r="G177" s="40">
        <v>1.47437284905023E-5</v>
      </c>
      <c r="H177" s="27" t="s">
        <v>10</v>
      </c>
      <c r="I177" s="24" t="s">
        <v>10</v>
      </c>
      <c r="J177" s="34" t="s">
        <v>10</v>
      </c>
      <c r="K177" s="34"/>
      <c r="L177" s="35"/>
      <c r="M177" s="35"/>
    </row>
    <row r="178" spans="1:13" x14ac:dyDescent="0.2">
      <c r="A178" s="35" t="s">
        <v>2225</v>
      </c>
      <c r="B178" s="35">
        <v>17.529681838951099</v>
      </c>
      <c r="C178" s="35">
        <v>-7.67014265510642</v>
      </c>
      <c r="D178" s="35">
        <v>1.36509233169785</v>
      </c>
      <c r="E178" s="35">
        <v>-5.6187720617891097</v>
      </c>
      <c r="F178" s="40">
        <v>1.9231937565827799E-8</v>
      </c>
      <c r="G178" s="40">
        <v>1.47437284905023E-5</v>
      </c>
      <c r="H178" s="27" t="s">
        <v>10</v>
      </c>
      <c r="I178" s="24" t="s">
        <v>10</v>
      </c>
      <c r="J178" s="34" t="s">
        <v>10</v>
      </c>
      <c r="K178" s="34"/>
      <c r="L178" s="35"/>
      <c r="M178" s="35"/>
    </row>
    <row r="179" spans="1:13" x14ac:dyDescent="0.2">
      <c r="A179" s="35" t="s">
        <v>2226</v>
      </c>
      <c r="B179" s="35">
        <v>18.127768429799001</v>
      </c>
      <c r="C179" s="35">
        <v>-7.7143044465335402</v>
      </c>
      <c r="D179" s="35">
        <v>1.3739153694359401</v>
      </c>
      <c r="E179" s="35">
        <v>-5.6148323383998697</v>
      </c>
      <c r="F179" s="40">
        <v>1.9675292776302701E-8</v>
      </c>
      <c r="G179" s="40">
        <v>1.5028162228064499E-5</v>
      </c>
      <c r="H179" s="27" t="s">
        <v>10</v>
      </c>
      <c r="I179" s="24" t="s">
        <v>2227</v>
      </c>
      <c r="J179" s="34" t="s">
        <v>10</v>
      </c>
      <c r="K179" s="34"/>
      <c r="L179" s="35"/>
      <c r="M179" s="35"/>
    </row>
    <row r="180" spans="1:13" x14ac:dyDescent="0.2">
      <c r="A180" s="35" t="s">
        <v>2228</v>
      </c>
      <c r="B180" s="35">
        <v>25.958609050320401</v>
      </c>
      <c r="C180" s="35">
        <v>-8.2384870255712404</v>
      </c>
      <c r="D180" s="35">
        <v>1.47040318216824</v>
      </c>
      <c r="E180" s="35">
        <v>-5.6028762216243599</v>
      </c>
      <c r="F180" s="40">
        <v>2.10823781624534E-8</v>
      </c>
      <c r="G180" s="40">
        <v>1.60439214561124E-5</v>
      </c>
      <c r="H180" s="27" t="s">
        <v>10</v>
      </c>
      <c r="I180" s="24" t="s">
        <v>2229</v>
      </c>
      <c r="J180" s="34" t="s">
        <v>10</v>
      </c>
      <c r="K180" s="34"/>
      <c r="L180" s="35"/>
      <c r="M180" s="35"/>
    </row>
    <row r="181" spans="1:13" x14ac:dyDescent="0.2">
      <c r="A181" s="35" t="s">
        <v>2230</v>
      </c>
      <c r="B181" s="35">
        <v>16.0445892582181</v>
      </c>
      <c r="C181" s="35">
        <v>-7.5455923390103798</v>
      </c>
      <c r="D181" s="35">
        <v>1.34850067235487</v>
      </c>
      <c r="E181" s="35">
        <v>-5.5955421407640804</v>
      </c>
      <c r="F181" s="40">
        <v>2.1993341701722999E-8</v>
      </c>
      <c r="G181" s="40">
        <v>1.6676090140814501E-5</v>
      </c>
      <c r="H181" s="27" t="s">
        <v>10</v>
      </c>
      <c r="I181" s="24" t="s">
        <v>10</v>
      </c>
      <c r="J181" s="34" t="s">
        <v>10</v>
      </c>
      <c r="K181" s="34"/>
      <c r="L181" s="35"/>
      <c r="M181" s="35"/>
    </row>
    <row r="182" spans="1:13" x14ac:dyDescent="0.2">
      <c r="A182" s="35" t="s">
        <v>2231</v>
      </c>
      <c r="B182" s="35">
        <v>58.124402363225698</v>
      </c>
      <c r="C182" s="35">
        <v>-8.4343940750850894</v>
      </c>
      <c r="D182" s="35">
        <v>1.5083796737897399</v>
      </c>
      <c r="E182" s="35">
        <v>-5.59169168190527</v>
      </c>
      <c r="F182" s="40">
        <v>2.24867862285602E-8</v>
      </c>
      <c r="G182" s="40">
        <v>1.6988235489820902E-5</v>
      </c>
      <c r="H182" s="27" t="s">
        <v>10</v>
      </c>
      <c r="I182" s="24" t="s">
        <v>10</v>
      </c>
      <c r="J182" s="34" t="s">
        <v>10</v>
      </c>
      <c r="K182" s="34"/>
      <c r="L182" s="35"/>
      <c r="M182" s="35"/>
    </row>
    <row r="183" spans="1:13" x14ac:dyDescent="0.2">
      <c r="A183" s="35" t="s">
        <v>2232</v>
      </c>
      <c r="B183" s="35">
        <v>29.877040761906901</v>
      </c>
      <c r="C183" s="35">
        <v>-4.0610539189638404</v>
      </c>
      <c r="D183" s="35">
        <v>0.72836607421750899</v>
      </c>
      <c r="E183" s="35">
        <v>-5.5755670983532104</v>
      </c>
      <c r="F183" s="40">
        <v>2.46724783788032E-8</v>
      </c>
      <c r="G183" s="40">
        <v>1.83145669558855E-5</v>
      </c>
      <c r="H183" s="27" t="s">
        <v>10</v>
      </c>
      <c r="I183" s="24" t="s">
        <v>10</v>
      </c>
      <c r="J183" s="34" t="s">
        <v>10</v>
      </c>
      <c r="K183" s="34"/>
      <c r="L183" s="35"/>
      <c r="M183" s="35"/>
    </row>
    <row r="184" spans="1:13" x14ac:dyDescent="0.2">
      <c r="A184" s="35" t="s">
        <v>2233</v>
      </c>
      <c r="B184" s="35">
        <v>15.56654105032</v>
      </c>
      <c r="C184" s="35">
        <v>-7.5032519480495896</v>
      </c>
      <c r="D184" s="35">
        <v>1.34717730133991</v>
      </c>
      <c r="E184" s="35">
        <v>-5.5696098357556902</v>
      </c>
      <c r="F184" s="40">
        <v>2.5531040375435199E-8</v>
      </c>
      <c r="G184" s="40">
        <v>1.8809314979570599E-5</v>
      </c>
      <c r="H184" s="27" t="s">
        <v>631</v>
      </c>
      <c r="I184" s="24" t="s">
        <v>2234</v>
      </c>
      <c r="J184" s="34" t="s">
        <v>3070</v>
      </c>
      <c r="K184" s="34"/>
      <c r="L184" s="35"/>
      <c r="M184" s="35"/>
    </row>
    <row r="185" spans="1:13" x14ac:dyDescent="0.2">
      <c r="A185" s="35" t="s">
        <v>2235</v>
      </c>
      <c r="B185" s="35">
        <v>14.9609017991425</v>
      </c>
      <c r="C185" s="35">
        <v>-7.4438787982165104</v>
      </c>
      <c r="D185" s="35">
        <v>1.3372595976028001</v>
      </c>
      <c r="E185" s="35">
        <v>-5.5665173849270397</v>
      </c>
      <c r="F185" s="40">
        <v>2.5988086438478498E-8</v>
      </c>
      <c r="G185" s="40">
        <v>1.90783776894436E-5</v>
      </c>
      <c r="H185" s="27" t="s">
        <v>10</v>
      </c>
      <c r="I185" s="24" t="s">
        <v>2236</v>
      </c>
      <c r="J185" s="34" t="s">
        <v>10</v>
      </c>
      <c r="K185" s="34"/>
      <c r="L185" s="35"/>
      <c r="M185" s="35"/>
    </row>
    <row r="186" spans="1:13" x14ac:dyDescent="0.2">
      <c r="A186" s="35" t="s">
        <v>2237</v>
      </c>
      <c r="B186" s="35">
        <v>107.384163290845</v>
      </c>
      <c r="C186" s="35">
        <v>-2.3036160182852501</v>
      </c>
      <c r="D186" s="35">
        <v>0.41482266216070202</v>
      </c>
      <c r="E186" s="35">
        <v>-5.5532549892195302</v>
      </c>
      <c r="F186" s="40">
        <v>2.8039858518002102E-8</v>
      </c>
      <c r="G186" s="40">
        <v>2.0368702259671502E-5</v>
      </c>
      <c r="H186" s="27" t="s">
        <v>10</v>
      </c>
      <c r="I186" s="29" t="s">
        <v>5187</v>
      </c>
      <c r="J186" s="34" t="s">
        <v>10</v>
      </c>
      <c r="K186" s="34"/>
      <c r="L186" s="35"/>
      <c r="M186" s="35"/>
    </row>
    <row r="187" spans="1:13" x14ac:dyDescent="0.2">
      <c r="A187" s="35" t="s">
        <v>2238</v>
      </c>
      <c r="B187" s="35">
        <v>16.758870458182699</v>
      </c>
      <c r="C187" s="35">
        <v>-7.6071194990667097</v>
      </c>
      <c r="D187" s="35">
        <v>1.37071087430955</v>
      </c>
      <c r="E187" s="35">
        <v>-5.5497622741911403</v>
      </c>
      <c r="F187" s="40">
        <v>2.8605830726902401E-8</v>
      </c>
      <c r="G187" s="40">
        <v>2.0707431945987299E-5</v>
      </c>
      <c r="H187" s="27" t="s">
        <v>10</v>
      </c>
      <c r="I187" s="24" t="s">
        <v>1925</v>
      </c>
      <c r="J187" s="34" t="s">
        <v>10</v>
      </c>
      <c r="K187" s="34"/>
      <c r="L187" s="35"/>
      <c r="M187" s="35"/>
    </row>
    <row r="188" spans="1:13" x14ac:dyDescent="0.2">
      <c r="A188" s="35" t="s">
        <v>2239</v>
      </c>
      <c r="B188" s="35">
        <v>26.1050161864027</v>
      </c>
      <c r="C188" s="35">
        <v>-6.3997332068699304</v>
      </c>
      <c r="D188" s="35">
        <v>1.1539846140285599</v>
      </c>
      <c r="E188" s="35">
        <v>-5.5457699600763597</v>
      </c>
      <c r="F188" s="40">
        <v>2.9266339796980699E-8</v>
      </c>
      <c r="G188" s="40">
        <v>2.1112005871047E-5</v>
      </c>
      <c r="H188" s="27" t="s">
        <v>10</v>
      </c>
      <c r="I188" s="24" t="s">
        <v>2240</v>
      </c>
      <c r="J188" s="34" t="s">
        <v>10</v>
      </c>
      <c r="K188" s="34"/>
      <c r="L188" s="35"/>
      <c r="M188" s="35"/>
    </row>
    <row r="189" spans="1:13" x14ac:dyDescent="0.2">
      <c r="A189" s="35" t="s">
        <v>2241</v>
      </c>
      <c r="B189" s="35">
        <v>68.573162257467104</v>
      </c>
      <c r="C189" s="35">
        <v>-7.1956351175466304</v>
      </c>
      <c r="D189" s="35">
        <v>1.30032992533139</v>
      </c>
      <c r="E189" s="35">
        <v>-5.5336995460693004</v>
      </c>
      <c r="F189" s="40">
        <v>3.1354589377773898E-8</v>
      </c>
      <c r="G189" s="40">
        <v>2.25401524940097E-5</v>
      </c>
      <c r="H189" s="27" t="s">
        <v>10</v>
      </c>
      <c r="I189" s="24" t="s">
        <v>10</v>
      </c>
      <c r="J189" s="34" t="s">
        <v>10</v>
      </c>
      <c r="K189" s="34"/>
      <c r="L189" s="35"/>
      <c r="M189" s="35"/>
    </row>
    <row r="190" spans="1:13" x14ac:dyDescent="0.2">
      <c r="A190" s="35" t="s">
        <v>2242</v>
      </c>
      <c r="B190" s="35">
        <v>23.709777914847699</v>
      </c>
      <c r="C190" s="35">
        <v>-8.1098985635828509</v>
      </c>
      <c r="D190" s="35">
        <v>1.4675990048937699</v>
      </c>
      <c r="E190" s="35">
        <v>-5.5259635203758402</v>
      </c>
      <c r="F190" s="40">
        <v>3.2768221900010802E-8</v>
      </c>
      <c r="G190" s="40">
        <v>2.3314365441981601E-5</v>
      </c>
      <c r="H190" s="27" t="s">
        <v>2243</v>
      </c>
      <c r="I190" s="24" t="s">
        <v>2244</v>
      </c>
      <c r="J190" s="34" t="s">
        <v>5038</v>
      </c>
      <c r="K190" s="34"/>
      <c r="L190" s="35"/>
      <c r="M190" s="35"/>
    </row>
    <row r="191" spans="1:13" x14ac:dyDescent="0.2">
      <c r="A191" s="35" t="s">
        <v>2245</v>
      </c>
      <c r="B191" s="35">
        <v>3101.1403615331401</v>
      </c>
      <c r="C191" s="35">
        <v>-13.414344504207101</v>
      </c>
      <c r="D191" s="35">
        <v>2.4283343575141001</v>
      </c>
      <c r="E191" s="35">
        <v>-5.5240928674827998</v>
      </c>
      <c r="F191" s="40">
        <v>3.3119226043459401E-8</v>
      </c>
      <c r="G191" s="40">
        <v>2.3483678927934999E-5</v>
      </c>
      <c r="H191" s="27" t="s">
        <v>10</v>
      </c>
      <c r="I191" s="24" t="s">
        <v>10</v>
      </c>
      <c r="J191" s="34" t="s">
        <v>10</v>
      </c>
      <c r="K191" s="34"/>
      <c r="L191" s="35"/>
      <c r="M191" s="35"/>
    </row>
    <row r="192" spans="1:13" x14ac:dyDescent="0.2">
      <c r="A192" s="35" t="s">
        <v>2246</v>
      </c>
      <c r="B192" s="35">
        <v>37.936530405978502</v>
      </c>
      <c r="C192" s="35">
        <v>-3.4491799272397499</v>
      </c>
      <c r="D192" s="35">
        <v>0.62503959346365201</v>
      </c>
      <c r="E192" s="35">
        <v>-5.51833829938061</v>
      </c>
      <c r="F192" s="40">
        <v>3.4222015808353302E-8</v>
      </c>
      <c r="G192" s="40">
        <v>2.41011156484076E-5</v>
      </c>
      <c r="H192" s="27" t="s">
        <v>10</v>
      </c>
      <c r="I192" s="24" t="s">
        <v>10</v>
      </c>
      <c r="J192" s="34" t="s">
        <v>10</v>
      </c>
      <c r="K192" s="34"/>
      <c r="L192" s="35"/>
      <c r="M192" s="35"/>
    </row>
    <row r="193" spans="1:13" x14ac:dyDescent="0.2">
      <c r="A193" s="35" t="s">
        <v>2247</v>
      </c>
      <c r="B193" s="35">
        <v>14.3873659038443</v>
      </c>
      <c r="C193" s="35">
        <v>-21.553393515074699</v>
      </c>
      <c r="D193" s="35">
        <v>3.9099088760607299</v>
      </c>
      <c r="E193" s="35">
        <v>-5.5125053289707298</v>
      </c>
      <c r="F193" s="40">
        <v>3.5376147631032898E-8</v>
      </c>
      <c r="G193" s="40">
        <v>2.4746151270144299E-5</v>
      </c>
      <c r="H193" s="27" t="s">
        <v>4965</v>
      </c>
      <c r="I193" s="24" t="s">
        <v>2248</v>
      </c>
      <c r="J193" s="34" t="s">
        <v>10</v>
      </c>
      <c r="K193" s="34"/>
      <c r="L193" s="35"/>
      <c r="M193" s="35"/>
    </row>
    <row r="194" spans="1:13" x14ac:dyDescent="0.2">
      <c r="A194" s="35" t="s">
        <v>2249</v>
      </c>
      <c r="B194" s="35">
        <v>14.3873659038443</v>
      </c>
      <c r="C194" s="35">
        <v>-21.553393515074699</v>
      </c>
      <c r="D194" s="35">
        <v>3.9099088760607299</v>
      </c>
      <c r="E194" s="35">
        <v>-5.5125053289707298</v>
      </c>
      <c r="F194" s="40">
        <v>3.5376147631032898E-8</v>
      </c>
      <c r="G194" s="40">
        <v>2.4746151270144299E-5</v>
      </c>
      <c r="H194" s="27" t="s">
        <v>2250</v>
      </c>
      <c r="I194" s="24" t="s">
        <v>2251</v>
      </c>
      <c r="J194" s="34" t="s">
        <v>5043</v>
      </c>
      <c r="K194" s="34"/>
      <c r="L194" s="35"/>
      <c r="M194" s="35"/>
    </row>
    <row r="195" spans="1:13" x14ac:dyDescent="0.2">
      <c r="A195" s="35" t="s">
        <v>2252</v>
      </c>
      <c r="B195" s="35">
        <v>14.1902786996821</v>
      </c>
      <c r="C195" s="35">
        <v>-21.510415575918699</v>
      </c>
      <c r="D195" s="35">
        <v>3.9099526330561201</v>
      </c>
      <c r="E195" s="35">
        <v>-5.5014517040595399</v>
      </c>
      <c r="F195" s="40">
        <v>3.7667679954786997E-8</v>
      </c>
      <c r="G195" s="40">
        <v>2.5912869260552101E-5</v>
      </c>
      <c r="H195" s="27" t="s">
        <v>10</v>
      </c>
      <c r="I195" s="24" t="s">
        <v>2253</v>
      </c>
      <c r="J195" s="34" t="s">
        <v>10</v>
      </c>
      <c r="K195" s="34"/>
      <c r="L195" s="35"/>
      <c r="M195" s="35"/>
    </row>
    <row r="196" spans="1:13" x14ac:dyDescent="0.2">
      <c r="A196" s="35" t="s">
        <v>2254</v>
      </c>
      <c r="B196" s="35">
        <v>14.1902786996821</v>
      </c>
      <c r="C196" s="35">
        <v>-21.510415575918699</v>
      </c>
      <c r="D196" s="35">
        <v>3.9099526330561201</v>
      </c>
      <c r="E196" s="35">
        <v>-5.5014517040595399</v>
      </c>
      <c r="F196" s="40">
        <v>3.7667679954786997E-8</v>
      </c>
      <c r="G196" s="40">
        <v>2.5912869260552101E-5</v>
      </c>
      <c r="H196" s="27" t="s">
        <v>2255</v>
      </c>
      <c r="I196" s="24" t="s">
        <v>2256</v>
      </c>
      <c r="J196" s="34" t="s">
        <v>5008</v>
      </c>
      <c r="K196" s="34"/>
      <c r="L196" s="35"/>
      <c r="M196" s="35"/>
    </row>
    <row r="197" spans="1:13" x14ac:dyDescent="0.2">
      <c r="A197" s="35" t="s">
        <v>2257</v>
      </c>
      <c r="B197" s="35">
        <v>14.1902786996821</v>
      </c>
      <c r="C197" s="35">
        <v>-21.510415575918699</v>
      </c>
      <c r="D197" s="35">
        <v>3.9099526330561201</v>
      </c>
      <c r="E197" s="35">
        <v>-5.5014517040595399</v>
      </c>
      <c r="F197" s="40">
        <v>3.7667679954786997E-8</v>
      </c>
      <c r="G197" s="40">
        <v>2.5912869260552101E-5</v>
      </c>
      <c r="H197" s="27" t="s">
        <v>10</v>
      </c>
      <c r="I197" s="24" t="s">
        <v>10</v>
      </c>
      <c r="J197" s="34" t="s">
        <v>10</v>
      </c>
      <c r="K197" s="34"/>
      <c r="L197" s="35"/>
      <c r="M197" s="35"/>
    </row>
    <row r="198" spans="1:13" x14ac:dyDescent="0.2">
      <c r="A198" s="35" t="s">
        <v>2258</v>
      </c>
      <c r="B198" s="35">
        <v>1872.6336054457199</v>
      </c>
      <c r="C198" s="35">
        <v>-3.96127840446864</v>
      </c>
      <c r="D198" s="35">
        <v>0.72165669635055796</v>
      </c>
      <c r="E198" s="35">
        <v>-5.4891452189122099</v>
      </c>
      <c r="F198" s="40">
        <v>4.0388347390125401E-8</v>
      </c>
      <c r="G198" s="40">
        <v>2.7601715461785901E-5</v>
      </c>
      <c r="H198" s="27" t="s">
        <v>4976</v>
      </c>
      <c r="I198" s="24" t="s">
        <v>2259</v>
      </c>
      <c r="J198" s="34" t="s">
        <v>10</v>
      </c>
      <c r="K198" s="34"/>
      <c r="L198" s="35"/>
      <c r="M198" s="35"/>
    </row>
    <row r="199" spans="1:13" x14ac:dyDescent="0.2">
      <c r="A199" s="35" t="s">
        <v>2260</v>
      </c>
      <c r="B199" s="35">
        <v>15.692973126978501</v>
      </c>
      <c r="C199" s="35">
        <v>-7.5115987832662396</v>
      </c>
      <c r="D199" s="35">
        <v>1.3694586482744799</v>
      </c>
      <c r="E199" s="35">
        <v>-5.4850862366168398</v>
      </c>
      <c r="F199" s="40">
        <v>4.1326776424756799E-8</v>
      </c>
      <c r="G199" s="40">
        <v>2.8058450205561299E-5</v>
      </c>
      <c r="H199" s="27" t="s">
        <v>4951</v>
      </c>
      <c r="I199" s="24" t="s">
        <v>2261</v>
      </c>
      <c r="J199" s="34" t="s">
        <v>10</v>
      </c>
      <c r="K199" s="34"/>
      <c r="L199" s="35"/>
      <c r="M199" s="35"/>
    </row>
    <row r="200" spans="1:13" x14ac:dyDescent="0.2">
      <c r="A200" s="35" t="s">
        <v>2262</v>
      </c>
      <c r="B200" s="35">
        <v>18.7505089878814</v>
      </c>
      <c r="C200" s="35">
        <v>-7.77434175563626</v>
      </c>
      <c r="D200" s="35">
        <v>1.4185501402348499</v>
      </c>
      <c r="E200" s="35">
        <v>-5.4804842882389604</v>
      </c>
      <c r="F200" s="40">
        <v>4.2416318513829598E-8</v>
      </c>
      <c r="G200" s="40">
        <v>2.8611183990776602E-5</v>
      </c>
      <c r="H200" s="27" t="s">
        <v>10</v>
      </c>
      <c r="I200" s="24" t="s">
        <v>2263</v>
      </c>
      <c r="J200" s="34" t="s">
        <v>10</v>
      </c>
      <c r="K200" s="34"/>
      <c r="L200" s="35"/>
      <c r="M200" s="35"/>
    </row>
    <row r="201" spans="1:13" x14ac:dyDescent="0.2">
      <c r="A201" s="35" t="s">
        <v>2264</v>
      </c>
      <c r="B201" s="35">
        <v>311.32118400994</v>
      </c>
      <c r="C201" s="35">
        <v>-3.4872341651256802</v>
      </c>
      <c r="D201" s="35">
        <v>0.63818013971217002</v>
      </c>
      <c r="E201" s="35">
        <v>-5.4643414110292996</v>
      </c>
      <c r="F201" s="40">
        <v>4.6462854512263501E-8</v>
      </c>
      <c r="G201" s="40">
        <v>3.1138505813063898E-5</v>
      </c>
      <c r="H201" s="27" t="s">
        <v>10</v>
      </c>
      <c r="I201" s="29" t="s">
        <v>5188</v>
      </c>
      <c r="J201" s="34" t="s">
        <v>10</v>
      </c>
      <c r="K201" s="34"/>
      <c r="L201" s="35"/>
      <c r="M201" s="35"/>
    </row>
    <row r="202" spans="1:13" x14ac:dyDescent="0.2">
      <c r="A202" s="45" t="s">
        <v>2265</v>
      </c>
      <c r="B202" s="45">
        <v>88.820949825325897</v>
      </c>
      <c r="C202" s="45">
        <v>-2.7100240188315698</v>
      </c>
      <c r="D202" s="45">
        <v>0.496389083692371</v>
      </c>
      <c r="E202" s="45">
        <v>-5.4594754555703702</v>
      </c>
      <c r="F202" s="46">
        <v>4.7754334546501203E-8</v>
      </c>
      <c r="G202" s="46">
        <v>3.1901123884382297E-5</v>
      </c>
      <c r="H202" s="50" t="s">
        <v>174</v>
      </c>
      <c r="I202" s="47" t="s">
        <v>2266</v>
      </c>
      <c r="J202" s="50" t="s">
        <v>3069</v>
      </c>
      <c r="K202" s="34"/>
      <c r="L202" s="35"/>
      <c r="M202" s="35"/>
    </row>
    <row r="203" spans="1:13" x14ac:dyDescent="0.2">
      <c r="A203" s="35" t="s">
        <v>2267</v>
      </c>
      <c r="B203" s="35">
        <v>646.99103666644203</v>
      </c>
      <c r="C203" s="35">
        <v>-3.4942183231104602</v>
      </c>
      <c r="D203" s="35">
        <v>0.64080114072505301</v>
      </c>
      <c r="E203" s="35">
        <v>-5.4528902978493798</v>
      </c>
      <c r="F203" s="40">
        <v>4.9557644216145198E-8</v>
      </c>
      <c r="G203" s="40">
        <v>3.2789483859138398E-5</v>
      </c>
      <c r="H203" s="27" t="s">
        <v>10</v>
      </c>
      <c r="I203" s="24" t="s">
        <v>2268</v>
      </c>
      <c r="J203" s="34" t="s">
        <v>10</v>
      </c>
      <c r="K203" s="34"/>
      <c r="L203" s="35"/>
      <c r="M203" s="35"/>
    </row>
    <row r="204" spans="1:13" x14ac:dyDescent="0.2">
      <c r="A204" s="35" t="s">
        <v>2269</v>
      </c>
      <c r="B204" s="35">
        <v>21.1267219087567</v>
      </c>
      <c r="C204" s="35">
        <v>-4.44912167056793</v>
      </c>
      <c r="D204" s="35">
        <v>0.816043850938582</v>
      </c>
      <c r="E204" s="35">
        <v>-5.45206200065196</v>
      </c>
      <c r="F204" s="40">
        <v>4.9789089611286898E-8</v>
      </c>
      <c r="G204" s="40">
        <v>3.2838038416769901E-5</v>
      </c>
      <c r="H204" s="27" t="s">
        <v>10</v>
      </c>
      <c r="I204" s="24" t="s">
        <v>10</v>
      </c>
      <c r="J204" s="34" t="s">
        <v>10</v>
      </c>
      <c r="K204" s="34"/>
      <c r="L204" s="35"/>
      <c r="M204" s="35"/>
    </row>
    <row r="205" spans="1:13" x14ac:dyDescent="0.2">
      <c r="A205" s="35" t="s">
        <v>2270</v>
      </c>
      <c r="B205" s="35">
        <v>16.871757071451601</v>
      </c>
      <c r="C205" s="35">
        <v>-7.6139055966920104</v>
      </c>
      <c r="D205" s="35">
        <v>1.39683286642567</v>
      </c>
      <c r="E205" s="35">
        <v>-5.4508350853564203</v>
      </c>
      <c r="F205" s="40">
        <v>5.0133844537777103E-8</v>
      </c>
      <c r="G205" s="40">
        <v>3.2960781663893703E-5</v>
      </c>
      <c r="H205" s="27" t="s">
        <v>10</v>
      </c>
      <c r="I205" s="24" t="s">
        <v>10</v>
      </c>
      <c r="J205" s="34" t="s">
        <v>10</v>
      </c>
      <c r="K205" s="34"/>
      <c r="L205" s="35"/>
      <c r="M205" s="35"/>
    </row>
    <row r="206" spans="1:13" x14ac:dyDescent="0.2">
      <c r="A206" s="35" t="s">
        <v>2271</v>
      </c>
      <c r="B206" s="35">
        <v>114.10138128196699</v>
      </c>
      <c r="C206" s="35">
        <v>-8.4984851670933708</v>
      </c>
      <c r="D206" s="35">
        <v>1.5638482502825</v>
      </c>
      <c r="E206" s="35">
        <v>-5.4343413215177199</v>
      </c>
      <c r="F206" s="40">
        <v>5.4999214686545102E-8</v>
      </c>
      <c r="G206" s="40">
        <v>3.5819488546764503E-5</v>
      </c>
      <c r="H206" s="27" t="s">
        <v>10</v>
      </c>
      <c r="I206" s="24" t="s">
        <v>2272</v>
      </c>
      <c r="J206" s="34" t="s">
        <v>10</v>
      </c>
      <c r="K206" s="34"/>
      <c r="L206" s="35"/>
      <c r="M206" s="35"/>
    </row>
    <row r="207" spans="1:13" x14ac:dyDescent="0.2">
      <c r="A207" s="35" t="s">
        <v>2273</v>
      </c>
      <c r="B207" s="35">
        <v>44.999072659415802</v>
      </c>
      <c r="C207" s="35">
        <v>-5.4610099300846704</v>
      </c>
      <c r="D207" s="35">
        <v>1.00572494287322</v>
      </c>
      <c r="E207" s="35">
        <v>-5.4299239258035197</v>
      </c>
      <c r="F207" s="40">
        <v>5.63780791127819E-8</v>
      </c>
      <c r="G207" s="40">
        <v>3.6552413390021797E-5</v>
      </c>
      <c r="H207" s="27" t="s">
        <v>10</v>
      </c>
      <c r="I207" s="24" t="s">
        <v>10</v>
      </c>
      <c r="J207" s="34" t="s">
        <v>10</v>
      </c>
      <c r="K207" s="34"/>
      <c r="L207" s="35"/>
      <c r="M207" s="35"/>
    </row>
    <row r="208" spans="1:13" x14ac:dyDescent="0.2">
      <c r="A208" s="35" t="s">
        <v>2274</v>
      </c>
      <c r="B208" s="35">
        <v>92.501473631290494</v>
      </c>
      <c r="C208" s="35">
        <v>-5.27634818253083</v>
      </c>
      <c r="D208" s="35">
        <v>0.97190105864234699</v>
      </c>
      <c r="E208" s="35">
        <v>-5.4288943669856504</v>
      </c>
      <c r="F208" s="40">
        <v>5.6704231357578599E-8</v>
      </c>
      <c r="G208" s="40">
        <v>3.6585851832065601E-5</v>
      </c>
      <c r="H208" s="27" t="s">
        <v>10</v>
      </c>
      <c r="I208" s="24" t="s">
        <v>2275</v>
      </c>
      <c r="J208" s="34" t="s">
        <v>10</v>
      </c>
      <c r="K208" s="34"/>
      <c r="L208" s="35"/>
      <c r="M208" s="35"/>
    </row>
    <row r="209" spans="1:13" x14ac:dyDescent="0.2">
      <c r="A209" s="35" t="s">
        <v>2276</v>
      </c>
      <c r="B209" s="35">
        <v>14.9338898160157</v>
      </c>
      <c r="C209" s="35">
        <v>-7.43647501073404</v>
      </c>
      <c r="D209" s="35">
        <v>1.37036901070132</v>
      </c>
      <c r="E209" s="35">
        <v>-5.4266222839702296</v>
      </c>
      <c r="F209" s="40">
        <v>5.7430483621099102E-8</v>
      </c>
      <c r="G209" s="40">
        <v>3.6825702330818097E-5</v>
      </c>
      <c r="H209" s="27" t="s">
        <v>10</v>
      </c>
      <c r="I209" s="24" t="s">
        <v>10</v>
      </c>
      <c r="J209" s="34" t="s">
        <v>10</v>
      </c>
      <c r="L209" s="35"/>
      <c r="M209" s="35"/>
    </row>
    <row r="210" spans="1:13" x14ac:dyDescent="0.2">
      <c r="A210" s="35" t="s">
        <v>2277</v>
      </c>
      <c r="B210" s="35">
        <v>682.61181523526602</v>
      </c>
      <c r="C210" s="35">
        <v>-3.3875143625922099</v>
      </c>
      <c r="D210" s="35">
        <v>0.62441134133041598</v>
      </c>
      <c r="E210" s="35">
        <v>-5.4251326623480702</v>
      </c>
      <c r="F210" s="40">
        <v>5.7911511909382899E-8</v>
      </c>
      <c r="G210" s="40">
        <v>3.7019889440756099E-5</v>
      </c>
      <c r="H210" s="27" t="s">
        <v>10</v>
      </c>
      <c r="I210" s="24" t="s">
        <v>2207</v>
      </c>
      <c r="J210" s="34" t="s">
        <v>10</v>
      </c>
      <c r="L210" s="35"/>
      <c r="M210" s="35"/>
    </row>
    <row r="211" spans="1:13" x14ac:dyDescent="0.2">
      <c r="A211" s="35" t="s">
        <v>2278</v>
      </c>
      <c r="B211" s="35">
        <v>28.083456085390399</v>
      </c>
      <c r="C211" s="35">
        <v>-8.3499597454332601</v>
      </c>
      <c r="D211" s="35">
        <v>1.5447794322717201</v>
      </c>
      <c r="E211" s="35">
        <v>-5.4052763591977602</v>
      </c>
      <c r="F211" s="40">
        <v>6.4708543707039402E-8</v>
      </c>
      <c r="G211" s="40">
        <v>4.0986549409755101E-5</v>
      </c>
      <c r="H211" s="27" t="s">
        <v>10</v>
      </c>
      <c r="I211" s="24" t="s">
        <v>2279</v>
      </c>
      <c r="J211" s="34" t="s">
        <v>10</v>
      </c>
      <c r="L211" s="35"/>
      <c r="M211" s="35"/>
    </row>
    <row r="212" spans="1:13" x14ac:dyDescent="0.2">
      <c r="A212" s="35" t="s">
        <v>2280</v>
      </c>
      <c r="B212" s="35">
        <v>379.747630666448</v>
      </c>
      <c r="C212" s="35">
        <v>-2.91652146023144</v>
      </c>
      <c r="D212" s="35">
        <v>0.53972756105215702</v>
      </c>
      <c r="E212" s="35">
        <v>-5.4036919192081001</v>
      </c>
      <c r="F212" s="40">
        <v>6.5283034491152895E-8</v>
      </c>
      <c r="G212" s="40">
        <v>4.1099824587102999E-5</v>
      </c>
      <c r="H212" s="27" t="s">
        <v>10</v>
      </c>
      <c r="I212" s="24" t="s">
        <v>2281</v>
      </c>
      <c r="J212" s="34" t="s">
        <v>10</v>
      </c>
      <c r="L212" s="35"/>
      <c r="M212" s="35"/>
    </row>
    <row r="213" spans="1:13" x14ac:dyDescent="0.2">
      <c r="A213" s="35" t="s">
        <v>2282</v>
      </c>
      <c r="B213" s="35">
        <v>30.817562180355399</v>
      </c>
      <c r="C213" s="35">
        <v>-7.5135895492788496</v>
      </c>
      <c r="D213" s="35">
        <v>1.3932776288705</v>
      </c>
      <c r="E213" s="35">
        <v>-5.39274398266907</v>
      </c>
      <c r="F213" s="40">
        <v>6.9389785506416398E-8</v>
      </c>
      <c r="G213" s="40">
        <v>4.31467819865092E-5</v>
      </c>
      <c r="H213" s="27" t="s">
        <v>2021</v>
      </c>
      <c r="I213" s="24" t="s">
        <v>2283</v>
      </c>
      <c r="J213" s="34" t="s">
        <v>10</v>
      </c>
      <c r="L213" s="35"/>
      <c r="M213" s="35"/>
    </row>
    <row r="214" spans="1:13" x14ac:dyDescent="0.2">
      <c r="A214" s="35" t="s">
        <v>2284</v>
      </c>
      <c r="B214" s="35">
        <v>14.068818969474099</v>
      </c>
      <c r="C214" s="35">
        <v>-7.3502264897372003</v>
      </c>
      <c r="D214" s="35">
        <v>1.36310411866523</v>
      </c>
      <c r="E214" s="35">
        <v>-5.3922707657391999</v>
      </c>
      <c r="F214" s="40">
        <v>6.9572825648744596E-8</v>
      </c>
      <c r="G214" s="40">
        <v>4.31467819865092E-5</v>
      </c>
      <c r="H214" s="27" t="s">
        <v>4964</v>
      </c>
      <c r="I214" s="24" t="s">
        <v>2285</v>
      </c>
      <c r="J214" s="34" t="s">
        <v>5021</v>
      </c>
      <c r="L214" s="35"/>
      <c r="M214" s="35"/>
    </row>
    <row r="215" spans="1:13" x14ac:dyDescent="0.2">
      <c r="A215" s="35" t="s">
        <v>2286</v>
      </c>
      <c r="B215" s="35">
        <v>111.67047643440399</v>
      </c>
      <c r="C215" s="35">
        <v>-2.6285309899598102</v>
      </c>
      <c r="D215" s="35">
        <v>0.48772174251629102</v>
      </c>
      <c r="E215" s="35">
        <v>-5.3894070344260196</v>
      </c>
      <c r="F215" s="40">
        <v>7.0690535929072695E-8</v>
      </c>
      <c r="G215" s="40">
        <v>4.3528290415146298E-5</v>
      </c>
      <c r="H215" s="27" t="s">
        <v>10</v>
      </c>
      <c r="I215" s="24" t="s">
        <v>10</v>
      </c>
      <c r="J215" s="34" t="s">
        <v>10</v>
      </c>
      <c r="L215" s="35"/>
      <c r="M215" s="35"/>
    </row>
    <row r="216" spans="1:13" x14ac:dyDescent="0.2">
      <c r="A216" s="35" t="s">
        <v>2287</v>
      </c>
      <c r="B216" s="35">
        <v>23.982036980278899</v>
      </c>
      <c r="C216" s="35">
        <v>-8.1186563572990398</v>
      </c>
      <c r="D216" s="35">
        <v>1.50649942248715</v>
      </c>
      <c r="E216" s="35">
        <v>-5.3890869363199503</v>
      </c>
      <c r="F216" s="40">
        <v>7.0816545179534902E-8</v>
      </c>
      <c r="G216" s="40">
        <v>4.3528290415146298E-5</v>
      </c>
      <c r="H216" s="27" t="s">
        <v>10</v>
      </c>
      <c r="I216" s="24" t="s">
        <v>2288</v>
      </c>
      <c r="J216" s="34" t="s">
        <v>10</v>
      </c>
      <c r="L216" s="35"/>
      <c r="M216" s="35"/>
    </row>
    <row r="217" spans="1:13" x14ac:dyDescent="0.2">
      <c r="A217" s="35" t="s">
        <v>2289</v>
      </c>
      <c r="B217" s="35">
        <v>25.562221866018</v>
      </c>
      <c r="C217" s="35">
        <v>-4.6961746019563</v>
      </c>
      <c r="D217" s="35">
        <v>0.87507862931247704</v>
      </c>
      <c r="E217" s="35">
        <v>-5.3665744364548598</v>
      </c>
      <c r="F217" s="40">
        <v>8.0246091581388898E-8</v>
      </c>
      <c r="G217" s="40">
        <v>4.87473888964416E-5</v>
      </c>
      <c r="H217" s="27" t="s">
        <v>10</v>
      </c>
      <c r="I217" s="24" t="s">
        <v>10</v>
      </c>
      <c r="J217" s="34" t="s">
        <v>10</v>
      </c>
      <c r="L217" s="35"/>
      <c r="M217" s="35"/>
    </row>
    <row r="218" spans="1:13" x14ac:dyDescent="0.2">
      <c r="A218" s="35" t="s">
        <v>2290</v>
      </c>
      <c r="B218" s="35">
        <v>91.698594515939106</v>
      </c>
      <c r="C218" s="35">
        <v>-2.4169199670868302</v>
      </c>
      <c r="D218" s="35">
        <v>0.45156322449089298</v>
      </c>
      <c r="E218" s="35">
        <v>-5.35234012869791</v>
      </c>
      <c r="F218" s="40">
        <v>8.6824002154460803E-8</v>
      </c>
      <c r="G218" s="40">
        <v>5.2589525923038403E-5</v>
      </c>
      <c r="H218" s="27" t="s">
        <v>10</v>
      </c>
      <c r="I218" s="24" t="s">
        <v>2291</v>
      </c>
      <c r="J218" s="34" t="s">
        <v>10</v>
      </c>
      <c r="L218" s="35"/>
      <c r="M218" s="35"/>
    </row>
    <row r="219" spans="1:13" x14ac:dyDescent="0.2">
      <c r="A219" s="35" t="s">
        <v>2292</v>
      </c>
      <c r="B219" s="35">
        <v>57.968420924354497</v>
      </c>
      <c r="C219" s="35">
        <v>-5.1614626364012004</v>
      </c>
      <c r="D219" s="35">
        <v>0.96562994133385405</v>
      </c>
      <c r="E219" s="35">
        <v>-5.34517667220583</v>
      </c>
      <c r="F219" s="40">
        <v>9.0328904428141998E-8</v>
      </c>
      <c r="G219" s="40">
        <v>5.4395280777892903E-5</v>
      </c>
      <c r="H219" s="27" t="s">
        <v>2293</v>
      </c>
      <c r="I219" s="24" t="s">
        <v>2294</v>
      </c>
      <c r="J219" s="34" t="s">
        <v>5076</v>
      </c>
      <c r="L219" s="35"/>
      <c r="M219" s="35"/>
    </row>
    <row r="220" spans="1:13" x14ac:dyDescent="0.2">
      <c r="A220" s="35" t="s">
        <v>2295</v>
      </c>
      <c r="B220" s="35">
        <v>13.223028853067801</v>
      </c>
      <c r="C220" s="35">
        <v>-7.2643176452489104</v>
      </c>
      <c r="D220" s="35">
        <v>1.3592140750889501</v>
      </c>
      <c r="E220" s="35">
        <v>-5.3444985439644803</v>
      </c>
      <c r="F220" s="40">
        <v>9.0667704990191296E-8</v>
      </c>
      <c r="G220" s="40">
        <v>5.4441502074977401E-5</v>
      </c>
      <c r="H220" s="27" t="s">
        <v>2296</v>
      </c>
      <c r="I220" s="24" t="s">
        <v>2297</v>
      </c>
      <c r="J220" s="34" t="s">
        <v>5092</v>
      </c>
      <c r="L220" s="35"/>
      <c r="M220" s="35"/>
    </row>
    <row r="221" spans="1:13" x14ac:dyDescent="0.2">
      <c r="A221" s="35" t="s">
        <v>2298</v>
      </c>
      <c r="B221" s="35">
        <v>111.26040744917501</v>
      </c>
      <c r="C221" s="35">
        <v>-2.5528315067986198</v>
      </c>
      <c r="D221" s="35">
        <v>0.47784061347582002</v>
      </c>
      <c r="E221" s="35">
        <v>-5.3424330933892099</v>
      </c>
      <c r="F221" s="40">
        <v>9.1707224944376495E-8</v>
      </c>
      <c r="G221" s="40">
        <v>5.4906992004449199E-5</v>
      </c>
      <c r="H221" s="27" t="s">
        <v>2299</v>
      </c>
      <c r="I221" s="24" t="s">
        <v>2300</v>
      </c>
      <c r="J221" s="34" t="s">
        <v>5068</v>
      </c>
      <c r="L221" s="35"/>
      <c r="M221" s="35"/>
    </row>
    <row r="222" spans="1:13" x14ac:dyDescent="0.2">
      <c r="A222" s="35" t="s">
        <v>2301</v>
      </c>
      <c r="B222" s="35">
        <v>15.399303679477701</v>
      </c>
      <c r="C222" s="35">
        <v>-7.47922560219176</v>
      </c>
      <c r="D222" s="35">
        <v>1.40067189284156</v>
      </c>
      <c r="E222" s="35">
        <v>-5.3397413344381102</v>
      </c>
      <c r="F222" s="40">
        <v>9.3079288796272203E-8</v>
      </c>
      <c r="G222" s="40">
        <v>5.5568335411374497E-5</v>
      </c>
      <c r="H222" s="27" t="s">
        <v>10</v>
      </c>
      <c r="I222" s="24" t="s">
        <v>10</v>
      </c>
      <c r="J222" s="34" t="s">
        <v>10</v>
      </c>
      <c r="L222" s="35"/>
      <c r="M222" s="35"/>
    </row>
    <row r="223" spans="1:13" x14ac:dyDescent="0.2">
      <c r="A223" s="35" t="s">
        <v>2302</v>
      </c>
      <c r="B223" s="35">
        <v>62.533871044011399</v>
      </c>
      <c r="C223" s="35">
        <v>-2.0426375242048902</v>
      </c>
      <c r="D223" s="35">
        <v>0.38313811466028802</v>
      </c>
      <c r="E223" s="35">
        <v>-5.3313346964083896</v>
      </c>
      <c r="F223" s="40">
        <v>9.7493542422205696E-8</v>
      </c>
      <c r="G223" s="40">
        <v>5.7871052569907902E-5</v>
      </c>
      <c r="H223" s="27" t="s">
        <v>10</v>
      </c>
      <c r="I223" s="24" t="s">
        <v>10</v>
      </c>
      <c r="J223" s="34" t="s">
        <v>10</v>
      </c>
      <c r="L223" s="35"/>
      <c r="M223" s="35"/>
    </row>
    <row r="224" spans="1:13" x14ac:dyDescent="0.2">
      <c r="A224" s="35" t="s">
        <v>2303</v>
      </c>
      <c r="B224" s="35">
        <v>14.460997391553001</v>
      </c>
      <c r="C224" s="35">
        <v>-7.3899512720784601</v>
      </c>
      <c r="D224" s="35">
        <v>1.3954152834909801</v>
      </c>
      <c r="E224" s="35">
        <v>-5.2958795560778302</v>
      </c>
      <c r="F224" s="40">
        <v>1.18444892451675E-7</v>
      </c>
      <c r="G224" s="40">
        <v>6.90834573768076E-5</v>
      </c>
      <c r="H224" s="27" t="s">
        <v>10</v>
      </c>
      <c r="I224" s="24" t="s">
        <v>10</v>
      </c>
      <c r="J224" s="34" t="s">
        <v>10</v>
      </c>
      <c r="L224" s="35"/>
      <c r="M224" s="35"/>
    </row>
    <row r="225" spans="1:13" x14ac:dyDescent="0.2">
      <c r="A225" s="35" t="s">
        <v>2304</v>
      </c>
      <c r="B225" s="35">
        <v>165.46618709542</v>
      </c>
      <c r="C225" s="35">
        <v>-4.4279215766575097</v>
      </c>
      <c r="D225" s="35">
        <v>0.83806767492358503</v>
      </c>
      <c r="E225" s="35">
        <v>-5.2834892803391398</v>
      </c>
      <c r="F225" s="40">
        <v>1.26746283624684E-7</v>
      </c>
      <c r="G225" s="40">
        <v>7.3145280279805202E-5</v>
      </c>
      <c r="H225" s="27" t="s">
        <v>10</v>
      </c>
      <c r="I225" s="24" t="s">
        <v>10</v>
      </c>
      <c r="J225" s="34" t="s">
        <v>10</v>
      </c>
      <c r="L225" s="35"/>
      <c r="M225" s="35"/>
    </row>
    <row r="226" spans="1:13" x14ac:dyDescent="0.2">
      <c r="A226" s="35" t="s">
        <v>2305</v>
      </c>
      <c r="B226" s="35">
        <v>14.4317318858668</v>
      </c>
      <c r="C226" s="35">
        <v>-7.3914267843367503</v>
      </c>
      <c r="D226" s="35">
        <v>1.39993414051286</v>
      </c>
      <c r="E226" s="35">
        <v>-5.2798389370152199</v>
      </c>
      <c r="F226" s="40">
        <v>1.29297492930215E-7</v>
      </c>
      <c r="G226" s="40">
        <v>7.4410886263739101E-5</v>
      </c>
      <c r="H226" s="27" t="s">
        <v>10</v>
      </c>
      <c r="I226" s="24" t="s">
        <v>10</v>
      </c>
      <c r="J226" s="34" t="s">
        <v>10</v>
      </c>
      <c r="L226" s="35"/>
      <c r="M226" s="35"/>
    </row>
    <row r="227" spans="1:13" x14ac:dyDescent="0.2">
      <c r="A227" s="35" t="s">
        <v>2306</v>
      </c>
      <c r="B227" s="35">
        <v>16.0219008832253</v>
      </c>
      <c r="C227" s="35">
        <v>-7.5375218679051299</v>
      </c>
      <c r="D227" s="35">
        <v>1.4284401451150299</v>
      </c>
      <c r="E227" s="35">
        <v>-5.2767502325399596</v>
      </c>
      <c r="F227" s="40">
        <v>1.3149491472105099E-7</v>
      </c>
      <c r="G227" s="40">
        <v>7.5258560613737104E-5</v>
      </c>
      <c r="H227" s="27" t="s">
        <v>10</v>
      </c>
      <c r="I227" s="24" t="s">
        <v>2307</v>
      </c>
      <c r="J227" s="34" t="s">
        <v>10</v>
      </c>
      <c r="L227" s="35"/>
      <c r="M227" s="35"/>
    </row>
    <row r="228" spans="1:13" x14ac:dyDescent="0.2">
      <c r="A228" s="35" t="s">
        <v>2308</v>
      </c>
      <c r="B228" s="35">
        <v>68.755363301070005</v>
      </c>
      <c r="C228" s="35">
        <v>-3.7910037932107001</v>
      </c>
      <c r="D228" s="35">
        <v>0.72098782439387399</v>
      </c>
      <c r="E228" s="35">
        <v>-5.2580690893050104</v>
      </c>
      <c r="F228" s="40">
        <v>1.4557583122456699E-7</v>
      </c>
      <c r="G228" s="40">
        <v>8.2409407062373802E-5</v>
      </c>
      <c r="H228" s="27" t="s">
        <v>10</v>
      </c>
      <c r="I228" s="24" t="s">
        <v>2309</v>
      </c>
      <c r="J228" s="34" t="s">
        <v>10</v>
      </c>
      <c r="L228" s="35"/>
      <c r="M228" s="35"/>
    </row>
    <row r="229" spans="1:13" x14ac:dyDescent="0.2">
      <c r="A229" s="35" t="s">
        <v>2310</v>
      </c>
      <c r="B229" s="35">
        <v>25.3065426497276</v>
      </c>
      <c r="C229" s="35">
        <v>-4.8774842783114201</v>
      </c>
      <c r="D229" s="35">
        <v>0.929278167001093</v>
      </c>
      <c r="E229" s="35">
        <v>-5.2486805904971598</v>
      </c>
      <c r="F229" s="40">
        <v>1.5319242069223699E-7</v>
      </c>
      <c r="G229" s="40">
        <v>8.6251069250234099E-5</v>
      </c>
      <c r="H229" s="27" t="s">
        <v>10</v>
      </c>
      <c r="I229" s="24" t="s">
        <v>10</v>
      </c>
      <c r="J229" s="34" t="s">
        <v>10</v>
      </c>
      <c r="L229" s="35"/>
      <c r="M229" s="35"/>
    </row>
    <row r="230" spans="1:13" x14ac:dyDescent="0.2">
      <c r="A230" s="35" t="s">
        <v>2311</v>
      </c>
      <c r="B230" s="35">
        <v>13.4959269681693</v>
      </c>
      <c r="C230" s="35">
        <v>-7.2951433043647897</v>
      </c>
      <c r="D230" s="35">
        <v>1.39356671487273</v>
      </c>
      <c r="E230" s="35">
        <v>-5.2348719487255</v>
      </c>
      <c r="F230" s="40">
        <v>1.65099283347398E-7</v>
      </c>
      <c r="G230" s="40">
        <v>9.1958087697378306E-5</v>
      </c>
      <c r="H230" s="27" t="s">
        <v>10</v>
      </c>
      <c r="I230" s="24" t="s">
        <v>2312</v>
      </c>
      <c r="J230" s="34" t="s">
        <v>10</v>
      </c>
      <c r="L230" s="35"/>
      <c r="M230" s="35"/>
    </row>
    <row r="231" spans="1:13" x14ac:dyDescent="0.2">
      <c r="A231" s="35" t="s">
        <v>2313</v>
      </c>
      <c r="B231" s="35">
        <v>44.752450961264998</v>
      </c>
      <c r="C231" s="35">
        <v>-3.4978532851972601</v>
      </c>
      <c r="D231" s="35">
        <v>0.66861121316856498</v>
      </c>
      <c r="E231" s="35">
        <v>-5.2315205253899997</v>
      </c>
      <c r="F231" s="40">
        <v>1.68121363112251E-7</v>
      </c>
      <c r="G231" s="40">
        <v>9.3390967686494397E-5</v>
      </c>
      <c r="H231" s="27" t="s">
        <v>10</v>
      </c>
      <c r="I231" s="24" t="s">
        <v>10</v>
      </c>
      <c r="J231" s="34" t="s">
        <v>10</v>
      </c>
      <c r="L231" s="35"/>
      <c r="M231" s="35"/>
    </row>
    <row r="232" spans="1:13" x14ac:dyDescent="0.2">
      <c r="A232" s="35" t="s">
        <v>2314</v>
      </c>
      <c r="B232" s="35">
        <v>17.479570901536501</v>
      </c>
      <c r="C232" s="35">
        <v>-7.66362284162454</v>
      </c>
      <c r="D232" s="35">
        <v>1.4652748874207999</v>
      </c>
      <c r="E232" s="35">
        <v>-5.2301605025895004</v>
      </c>
      <c r="F232" s="40">
        <v>1.6936293280495701E-7</v>
      </c>
      <c r="G232" s="40">
        <v>9.3829774580871095E-5</v>
      </c>
      <c r="H232" s="27" t="s">
        <v>10</v>
      </c>
      <c r="I232" s="24" t="s">
        <v>10</v>
      </c>
      <c r="J232" s="34" t="s">
        <v>10</v>
      </c>
      <c r="L232" s="35"/>
      <c r="M232" s="35"/>
    </row>
    <row r="233" spans="1:13" x14ac:dyDescent="0.2">
      <c r="A233" s="35" t="s">
        <v>2315</v>
      </c>
      <c r="B233" s="35">
        <v>534.90538821812004</v>
      </c>
      <c r="C233" s="35">
        <v>-2.8088195192882299</v>
      </c>
      <c r="D233" s="35">
        <v>0.53728904613804396</v>
      </c>
      <c r="E233" s="35">
        <v>-5.2277624855329199</v>
      </c>
      <c r="F233" s="40">
        <v>1.7157371974405101E-7</v>
      </c>
      <c r="G233" s="40">
        <v>9.4801781167939094E-5</v>
      </c>
      <c r="H233" s="27" t="s">
        <v>10</v>
      </c>
      <c r="I233" s="24" t="s">
        <v>10</v>
      </c>
      <c r="J233" s="34" t="s">
        <v>10</v>
      </c>
      <c r="L233" s="35"/>
      <c r="M233" s="35"/>
    </row>
    <row r="234" spans="1:13" x14ac:dyDescent="0.2">
      <c r="A234" s="35" t="s">
        <v>2316</v>
      </c>
      <c r="B234" s="35">
        <v>16.8694342938863</v>
      </c>
      <c r="C234" s="35">
        <v>-7.6117842981640296</v>
      </c>
      <c r="D234" s="35">
        <v>1.45671634133386</v>
      </c>
      <c r="E234" s="35">
        <v>-5.2253030203493296</v>
      </c>
      <c r="F234" s="40">
        <v>1.7387013070096699E-7</v>
      </c>
      <c r="G234" s="40">
        <v>9.5562335645264706E-5</v>
      </c>
      <c r="H234" s="27" t="s">
        <v>2317</v>
      </c>
      <c r="I234" s="24" t="s">
        <v>2318</v>
      </c>
      <c r="J234" s="34" t="s">
        <v>5096</v>
      </c>
      <c r="L234" s="35"/>
      <c r="M234" s="35"/>
    </row>
    <row r="235" spans="1:13" x14ac:dyDescent="0.2">
      <c r="A235" s="35" t="s">
        <v>2319</v>
      </c>
      <c r="B235" s="35">
        <v>117.392111143346</v>
      </c>
      <c r="C235" s="35">
        <v>-10.4146573935143</v>
      </c>
      <c r="D235" s="35">
        <v>1.9957109204127499</v>
      </c>
      <c r="E235" s="35">
        <v>-5.2185200206051503</v>
      </c>
      <c r="F235" s="40">
        <v>1.80358485772442E-7</v>
      </c>
      <c r="G235" s="40">
        <v>9.8079181673755406E-5</v>
      </c>
      <c r="H235" s="27" t="s">
        <v>10</v>
      </c>
      <c r="I235" s="24" t="s">
        <v>2320</v>
      </c>
      <c r="J235" s="34" t="s">
        <v>10</v>
      </c>
      <c r="L235" s="35"/>
      <c r="M235" s="35"/>
    </row>
    <row r="236" spans="1:13" x14ac:dyDescent="0.2">
      <c r="A236" s="35" t="s">
        <v>2321</v>
      </c>
      <c r="B236" s="35">
        <v>27.523149451764599</v>
      </c>
      <c r="C236" s="35">
        <v>-3.1183133943780699</v>
      </c>
      <c r="D236" s="35">
        <v>0.59769137948723206</v>
      </c>
      <c r="E236" s="35">
        <v>-5.2172634597027603</v>
      </c>
      <c r="F236" s="40">
        <v>1.8158589100175799E-7</v>
      </c>
      <c r="G236" s="40">
        <v>9.8079181673755406E-5</v>
      </c>
      <c r="H236" s="27" t="s">
        <v>10</v>
      </c>
      <c r="I236" s="24" t="s">
        <v>2322</v>
      </c>
      <c r="J236" s="34" t="s">
        <v>10</v>
      </c>
      <c r="L236" s="35"/>
      <c r="M236" s="35"/>
    </row>
    <row r="237" spans="1:13" x14ac:dyDescent="0.2">
      <c r="A237" s="35" t="s">
        <v>2323</v>
      </c>
      <c r="B237" s="35">
        <v>13.304579875076</v>
      </c>
      <c r="C237" s="35">
        <v>-7.2676176974020104</v>
      </c>
      <c r="D237" s="35">
        <v>1.39812262604652</v>
      </c>
      <c r="E237" s="35">
        <v>-5.1981260885196496</v>
      </c>
      <c r="F237" s="40">
        <v>2.0130756743082299E-7</v>
      </c>
      <c r="G237" s="35">
        <v>1.07790863348345E-4</v>
      </c>
      <c r="H237" s="27" t="s">
        <v>10</v>
      </c>
      <c r="I237" s="24" t="s">
        <v>10</v>
      </c>
      <c r="J237" s="34" t="s">
        <v>10</v>
      </c>
      <c r="L237" s="35"/>
      <c r="M237" s="35"/>
    </row>
    <row r="238" spans="1:13" x14ac:dyDescent="0.2">
      <c r="A238" s="45" t="s">
        <v>2324</v>
      </c>
      <c r="B238" s="45">
        <v>11.8189819103614</v>
      </c>
      <c r="C238" s="45">
        <v>-7.1035347844921803</v>
      </c>
      <c r="D238" s="45">
        <v>1.3668300746361099</v>
      </c>
      <c r="E238" s="45">
        <v>-5.1970869798013002</v>
      </c>
      <c r="F238" s="46">
        <v>2.02435658492078E-7</v>
      </c>
      <c r="G238" s="45">
        <v>1.0800990103250301E-4</v>
      </c>
      <c r="H238" s="50" t="s">
        <v>174</v>
      </c>
      <c r="I238" s="47" t="s">
        <v>2266</v>
      </c>
      <c r="J238" s="50" t="s">
        <v>10</v>
      </c>
      <c r="L238" s="35"/>
      <c r="M238" s="35"/>
    </row>
    <row r="239" spans="1:13" x14ac:dyDescent="0.2">
      <c r="A239" s="35" t="s">
        <v>2325</v>
      </c>
      <c r="B239" s="35">
        <v>77.340154479128103</v>
      </c>
      <c r="C239" s="35">
        <v>-2.8942174900280002</v>
      </c>
      <c r="D239" s="35">
        <v>0.55717017122609802</v>
      </c>
      <c r="E239" s="35">
        <v>-5.1944946795321796</v>
      </c>
      <c r="F239" s="40">
        <v>2.05276643789739E-7</v>
      </c>
      <c r="G239" s="35">
        <v>1.0879452654893101E-4</v>
      </c>
      <c r="H239" s="27" t="s">
        <v>1890</v>
      </c>
      <c r="I239" s="24" t="s">
        <v>2326</v>
      </c>
      <c r="J239" s="34" t="s">
        <v>10</v>
      </c>
      <c r="L239" s="35"/>
      <c r="M239" s="35"/>
    </row>
    <row r="240" spans="1:13" x14ac:dyDescent="0.2">
      <c r="A240" s="35" t="s">
        <v>2327</v>
      </c>
      <c r="B240" s="35">
        <v>24.5112068935547</v>
      </c>
      <c r="C240" s="35">
        <v>-8.1512978449067095</v>
      </c>
      <c r="D240" s="35">
        <v>1.57198365912446</v>
      </c>
      <c r="E240" s="35">
        <v>-5.1853578741694397</v>
      </c>
      <c r="F240" s="40">
        <v>2.1560045338205199E-7</v>
      </c>
      <c r="G240" s="35">
        <v>1.13111837860711E-4</v>
      </c>
      <c r="H240" s="27" t="s">
        <v>10</v>
      </c>
      <c r="I240" s="24" t="s">
        <v>281</v>
      </c>
      <c r="J240" s="34" t="s">
        <v>10</v>
      </c>
      <c r="L240" s="35"/>
      <c r="M240" s="35"/>
    </row>
    <row r="241" spans="1:13" x14ac:dyDescent="0.2">
      <c r="A241" s="35" t="s">
        <v>2328</v>
      </c>
      <c r="B241" s="35">
        <v>97.857491238079405</v>
      </c>
      <c r="C241" s="35">
        <v>-3.3559416178363999</v>
      </c>
      <c r="D241" s="35">
        <v>0.64740617697817004</v>
      </c>
      <c r="E241" s="35">
        <v>-5.1836725338342999</v>
      </c>
      <c r="F241" s="40">
        <v>2.17558780975881E-7</v>
      </c>
      <c r="G241" s="35">
        <v>1.13851743326008E-4</v>
      </c>
      <c r="H241" s="27" t="s">
        <v>10</v>
      </c>
      <c r="I241" s="24" t="s">
        <v>2329</v>
      </c>
      <c r="J241" s="34" t="s">
        <v>10</v>
      </c>
      <c r="L241" s="35"/>
      <c r="M241" s="35"/>
    </row>
    <row r="242" spans="1:13" x14ac:dyDescent="0.2">
      <c r="A242" s="35" t="s">
        <v>2330</v>
      </c>
      <c r="B242" s="35">
        <v>12.975904810819999</v>
      </c>
      <c r="C242" s="35">
        <v>-7.2369497064015604</v>
      </c>
      <c r="D242" s="35">
        <v>1.39816500076355</v>
      </c>
      <c r="E242" s="35">
        <v>-5.1760340892880397</v>
      </c>
      <c r="F242" s="40">
        <v>2.2665206230700201E-7</v>
      </c>
      <c r="G242" s="35">
        <v>1.1742724652532E-4</v>
      </c>
      <c r="H242" s="27" t="s">
        <v>10</v>
      </c>
      <c r="I242" s="24" t="s">
        <v>2331</v>
      </c>
      <c r="J242" s="34" t="s">
        <v>10</v>
      </c>
      <c r="L242" s="35"/>
      <c r="M242" s="35"/>
    </row>
    <row r="243" spans="1:13" x14ac:dyDescent="0.2">
      <c r="A243" s="35" t="s">
        <v>2332</v>
      </c>
      <c r="B243" s="35">
        <v>18.714374798508899</v>
      </c>
      <c r="C243" s="35">
        <v>-7.76530047319127</v>
      </c>
      <c r="D243" s="35">
        <v>1.5025424360672199</v>
      </c>
      <c r="E243" s="35">
        <v>-5.1681072605951099</v>
      </c>
      <c r="F243" s="40">
        <v>2.36476590456139E-7</v>
      </c>
      <c r="G243" s="35">
        <v>1.21607501303974E-4</v>
      </c>
      <c r="H243" s="27" t="s">
        <v>2333</v>
      </c>
      <c r="I243" s="24" t="s">
        <v>2334</v>
      </c>
      <c r="J243" s="34" t="s">
        <v>5101</v>
      </c>
      <c r="L243" s="35"/>
      <c r="M243" s="35"/>
    </row>
    <row r="244" spans="1:13" x14ac:dyDescent="0.2">
      <c r="A244" s="35" t="s">
        <v>2335</v>
      </c>
      <c r="B244" s="35">
        <v>21.239804252209201</v>
      </c>
      <c r="C244" s="35">
        <v>-5.0679012414629403</v>
      </c>
      <c r="D244" s="35">
        <v>0.98317862616621698</v>
      </c>
      <c r="E244" s="35">
        <v>-5.1546088437912703</v>
      </c>
      <c r="F244" s="40">
        <v>2.5416090007837001E-7</v>
      </c>
      <c r="G244" s="35">
        <v>1.2879425245783299E-4</v>
      </c>
      <c r="H244" s="27" t="s">
        <v>10</v>
      </c>
      <c r="I244" s="24" t="s">
        <v>10</v>
      </c>
      <c r="J244" s="34" t="s">
        <v>10</v>
      </c>
      <c r="L244" s="35"/>
      <c r="M244" s="35"/>
    </row>
    <row r="245" spans="1:13" x14ac:dyDescent="0.2">
      <c r="A245" s="35" t="s">
        <v>2336</v>
      </c>
      <c r="B245" s="35">
        <v>22.606969378109898</v>
      </c>
      <c r="C245" s="35">
        <v>-6.2469120885520102</v>
      </c>
      <c r="D245" s="35">
        <v>1.21190990503913</v>
      </c>
      <c r="E245" s="35">
        <v>-5.1546010661166202</v>
      </c>
      <c r="F245" s="40">
        <v>2.5417144875580799E-7</v>
      </c>
      <c r="G245" s="35">
        <v>1.2879425245783299E-4</v>
      </c>
      <c r="H245" s="27" t="s">
        <v>4966</v>
      </c>
      <c r="I245" s="24" t="s">
        <v>2337</v>
      </c>
      <c r="J245" s="34" t="s">
        <v>10</v>
      </c>
      <c r="L245" s="35"/>
      <c r="M245" s="35"/>
    </row>
    <row r="246" spans="1:13" x14ac:dyDescent="0.2">
      <c r="A246" s="35" t="s">
        <v>2338</v>
      </c>
      <c r="B246" s="35">
        <v>13.6743918691588</v>
      </c>
      <c r="C246" s="35">
        <v>-7.3115889592428003</v>
      </c>
      <c r="D246" s="35">
        <v>1.41940340076868</v>
      </c>
      <c r="E246" s="35">
        <v>-5.1511705236743799</v>
      </c>
      <c r="F246" s="40">
        <v>2.5886567888529399E-7</v>
      </c>
      <c r="G246" s="35">
        <v>1.3074972387864601E-4</v>
      </c>
      <c r="H246" s="27" t="s">
        <v>4968</v>
      </c>
      <c r="I246" s="24" t="s">
        <v>2339</v>
      </c>
      <c r="J246" s="34" t="s">
        <v>10</v>
      </c>
      <c r="L246" s="35"/>
      <c r="M246" s="35"/>
    </row>
    <row r="247" spans="1:13" x14ac:dyDescent="0.2">
      <c r="A247" s="35" t="s">
        <v>2340</v>
      </c>
      <c r="B247" s="35">
        <v>62.358260971056197</v>
      </c>
      <c r="C247" s="35">
        <v>-2.6145125266440901</v>
      </c>
      <c r="D247" s="35">
        <v>0.50758718099293199</v>
      </c>
      <c r="E247" s="35">
        <v>-5.1508639787349102</v>
      </c>
      <c r="F247" s="40">
        <v>2.5928919616281798E-7</v>
      </c>
      <c r="G247" s="35">
        <v>1.3074972387864601E-4</v>
      </c>
      <c r="H247" s="27" t="s">
        <v>10</v>
      </c>
      <c r="I247" s="24" t="s">
        <v>2341</v>
      </c>
      <c r="J247" s="34" t="s">
        <v>10</v>
      </c>
      <c r="L247" s="35"/>
      <c r="M247" s="35"/>
    </row>
    <row r="248" spans="1:13" x14ac:dyDescent="0.2">
      <c r="A248" s="35" t="s">
        <v>2342</v>
      </c>
      <c r="B248" s="35">
        <v>12.8291812360631</v>
      </c>
      <c r="C248" s="35">
        <v>-7.2263306528236999</v>
      </c>
      <c r="D248" s="35">
        <v>1.40539487272838</v>
      </c>
      <c r="E248" s="35">
        <v>-5.1418507303892502</v>
      </c>
      <c r="F248" s="40">
        <v>2.7204522476846401E-7</v>
      </c>
      <c r="G248" s="35">
        <v>1.36519390620766E-4</v>
      </c>
      <c r="H248" s="27" t="s">
        <v>10</v>
      </c>
      <c r="I248" s="24" t="s">
        <v>10</v>
      </c>
      <c r="J248" s="34" t="s">
        <v>10</v>
      </c>
      <c r="L248" s="35"/>
      <c r="M248" s="35"/>
    </row>
    <row r="249" spans="1:13" x14ac:dyDescent="0.2">
      <c r="A249" s="35" t="s">
        <v>2343</v>
      </c>
      <c r="B249" s="35">
        <v>18.051947830213599</v>
      </c>
      <c r="C249" s="35">
        <v>-7.71662266740785</v>
      </c>
      <c r="D249" s="35">
        <v>1.50434990321006</v>
      </c>
      <c r="E249" s="35">
        <v>-5.1295397772431199</v>
      </c>
      <c r="F249" s="40">
        <v>2.90451394864162E-7</v>
      </c>
      <c r="G249" s="35">
        <v>1.4505533651778599E-4</v>
      </c>
      <c r="H249" s="27" t="s">
        <v>10</v>
      </c>
      <c r="I249" s="24" t="s">
        <v>10</v>
      </c>
      <c r="J249" s="34" t="s">
        <v>10</v>
      </c>
      <c r="L249" s="35"/>
      <c r="M249" s="35"/>
    </row>
    <row r="250" spans="1:13" x14ac:dyDescent="0.2">
      <c r="A250" s="35" t="s">
        <v>2344</v>
      </c>
      <c r="B250" s="35">
        <v>12.8041652391819</v>
      </c>
      <c r="C250" s="35">
        <v>-7.2185394935938501</v>
      </c>
      <c r="D250" s="35">
        <v>1.4090677626072099</v>
      </c>
      <c r="E250" s="35">
        <v>-5.1229186311361801</v>
      </c>
      <c r="F250" s="40">
        <v>3.0084219627662398E-7</v>
      </c>
      <c r="G250" s="35">
        <v>1.49525768731211E-4</v>
      </c>
      <c r="H250" s="27" t="s">
        <v>10</v>
      </c>
      <c r="I250" s="24" t="s">
        <v>10</v>
      </c>
      <c r="J250" s="34" t="s">
        <v>10</v>
      </c>
      <c r="L250" s="35"/>
      <c r="M250" s="35"/>
    </row>
    <row r="251" spans="1:13" x14ac:dyDescent="0.2">
      <c r="A251" s="35" t="s">
        <v>2345</v>
      </c>
      <c r="B251" s="35">
        <v>50.108228391496503</v>
      </c>
      <c r="C251" s="35">
        <v>-4.4837679424148096</v>
      </c>
      <c r="D251" s="35">
        <v>0.87577199144037898</v>
      </c>
      <c r="E251" s="35">
        <v>-5.11978915315661</v>
      </c>
      <c r="F251" s="40">
        <v>3.0587744471278699E-7</v>
      </c>
      <c r="G251" s="35">
        <v>1.5166557136933099E-4</v>
      </c>
      <c r="H251" s="27" t="s">
        <v>10</v>
      </c>
      <c r="I251" s="24" t="s">
        <v>10</v>
      </c>
      <c r="J251" s="34" t="s">
        <v>10</v>
      </c>
      <c r="L251" s="35"/>
      <c r="M251" s="35"/>
    </row>
    <row r="252" spans="1:13" x14ac:dyDescent="0.2">
      <c r="A252" s="35" t="s">
        <v>2346</v>
      </c>
      <c r="B252" s="35">
        <v>12.659036760021801</v>
      </c>
      <c r="C252" s="35">
        <v>-7.1967907763466901</v>
      </c>
      <c r="D252" s="35">
        <v>1.4065419198626601</v>
      </c>
      <c r="E252" s="35">
        <v>-5.1166557318458104</v>
      </c>
      <c r="F252" s="40">
        <v>3.11000517975755E-7</v>
      </c>
      <c r="G252" s="35">
        <v>1.5383862764897899E-4</v>
      </c>
      <c r="H252" s="27" t="s">
        <v>10</v>
      </c>
      <c r="I252" s="24" t="s">
        <v>10</v>
      </c>
      <c r="J252" s="34" t="s">
        <v>10</v>
      </c>
      <c r="L252" s="35"/>
      <c r="M252" s="35"/>
    </row>
    <row r="253" spans="1:13" x14ac:dyDescent="0.2">
      <c r="A253" s="35" t="s">
        <v>2347</v>
      </c>
      <c r="B253" s="35">
        <v>13.094853482154599</v>
      </c>
      <c r="C253" s="35">
        <v>-7.2522638848550098</v>
      </c>
      <c r="D253" s="35">
        <v>1.42071900235532</v>
      </c>
      <c r="E253" s="35">
        <v>-5.1046434043832196</v>
      </c>
      <c r="F253" s="40">
        <v>3.3141887047815202E-7</v>
      </c>
      <c r="G253" s="35">
        <v>1.62856336359163E-4</v>
      </c>
      <c r="H253" s="27" t="s">
        <v>10</v>
      </c>
      <c r="I253" s="24" t="s">
        <v>2043</v>
      </c>
      <c r="J253" s="34" t="s">
        <v>10</v>
      </c>
      <c r="L253" s="35"/>
      <c r="M253" s="35"/>
    </row>
    <row r="254" spans="1:13" x14ac:dyDescent="0.2">
      <c r="A254" s="35" t="s">
        <v>2348</v>
      </c>
      <c r="B254" s="35">
        <v>26.182412373180998</v>
      </c>
      <c r="C254" s="35">
        <v>-4.6234783467742897</v>
      </c>
      <c r="D254" s="35">
        <v>0.90660092776739198</v>
      </c>
      <c r="E254" s="35">
        <v>-5.0997944135796702</v>
      </c>
      <c r="F254" s="40">
        <v>3.40022597065609E-7</v>
      </c>
      <c r="G254" s="35">
        <v>1.6660786480179901E-4</v>
      </c>
      <c r="H254" s="27" t="s">
        <v>2349</v>
      </c>
      <c r="I254" s="24" t="s">
        <v>2350</v>
      </c>
      <c r="J254" s="34" t="s">
        <v>5051</v>
      </c>
      <c r="L254" s="35"/>
      <c r="M254" s="35"/>
    </row>
    <row r="255" spans="1:13" x14ac:dyDescent="0.2">
      <c r="A255" s="35" t="s">
        <v>2351</v>
      </c>
      <c r="B255" s="35">
        <v>56.505523974811098</v>
      </c>
      <c r="C255" s="35">
        <v>-4.4601954779139401</v>
      </c>
      <c r="D255" s="35">
        <v>0.87660296158492701</v>
      </c>
      <c r="E255" s="35">
        <v>-5.0880451850741597</v>
      </c>
      <c r="F255" s="40">
        <v>3.6177318559006401E-7</v>
      </c>
      <c r="G255" s="35">
        <v>1.75199417122259E-4</v>
      </c>
      <c r="H255" s="27" t="s">
        <v>10</v>
      </c>
      <c r="I255" s="24" t="s">
        <v>10</v>
      </c>
      <c r="J255" s="34" t="s">
        <v>10</v>
      </c>
      <c r="L255" s="35"/>
      <c r="M255" s="35"/>
    </row>
    <row r="256" spans="1:13" x14ac:dyDescent="0.2">
      <c r="A256" s="35" t="s">
        <v>2352</v>
      </c>
      <c r="B256" s="35">
        <v>38.665089566748101</v>
      </c>
      <c r="C256" s="35">
        <v>-7.0602497600104401</v>
      </c>
      <c r="D256" s="35">
        <v>1.3908860157571401</v>
      </c>
      <c r="E256" s="35">
        <v>-5.0760807715556098</v>
      </c>
      <c r="F256" s="40">
        <v>3.8529955578051499E-7</v>
      </c>
      <c r="G256" s="35">
        <v>1.85296978034113E-4</v>
      </c>
      <c r="H256" s="27" t="s">
        <v>10</v>
      </c>
      <c r="I256" s="24" t="s">
        <v>10</v>
      </c>
      <c r="J256" s="34" t="s">
        <v>10</v>
      </c>
      <c r="L256" s="35"/>
      <c r="M256" s="35"/>
    </row>
    <row r="257" spans="1:13" x14ac:dyDescent="0.2">
      <c r="A257" s="35" t="s">
        <v>2353</v>
      </c>
      <c r="B257" s="35">
        <v>17.4198068242139</v>
      </c>
      <c r="C257" s="35">
        <v>-7.6580935012775999</v>
      </c>
      <c r="D257" s="35">
        <v>1.5091735006523701</v>
      </c>
      <c r="E257" s="35">
        <v>-5.0743625553769904</v>
      </c>
      <c r="F257" s="40">
        <v>3.8879713623724501E-7</v>
      </c>
      <c r="G257" s="35">
        <v>1.8654720054527699E-4</v>
      </c>
      <c r="H257" s="27" t="s">
        <v>10</v>
      </c>
      <c r="I257" s="24" t="s">
        <v>10</v>
      </c>
      <c r="J257" s="34" t="s">
        <v>10</v>
      </c>
      <c r="L257" s="35"/>
      <c r="M257" s="35"/>
    </row>
    <row r="258" spans="1:13" x14ac:dyDescent="0.2">
      <c r="A258" s="35" t="s">
        <v>2354</v>
      </c>
      <c r="B258" s="35">
        <v>12.2631190574425</v>
      </c>
      <c r="C258" s="35">
        <v>-7.1497697642681803</v>
      </c>
      <c r="D258" s="35">
        <v>1.4111215592637301</v>
      </c>
      <c r="E258" s="35">
        <v>-5.0667284595939996</v>
      </c>
      <c r="F258" s="40">
        <v>4.0471095503240002E-7</v>
      </c>
      <c r="G258" s="35">
        <v>1.93289952123474E-4</v>
      </c>
      <c r="H258" s="27" t="s">
        <v>10</v>
      </c>
      <c r="I258" s="29" t="s">
        <v>5189</v>
      </c>
      <c r="J258" s="34" t="s">
        <v>5042</v>
      </c>
      <c r="L258" s="35"/>
      <c r="M258" s="35"/>
    </row>
    <row r="259" spans="1:13" x14ac:dyDescent="0.2">
      <c r="A259" s="35" t="s">
        <v>2355</v>
      </c>
      <c r="B259" s="35">
        <v>11.7957092077349</v>
      </c>
      <c r="C259" s="35">
        <v>-7.0964243620327396</v>
      </c>
      <c r="D259" s="35">
        <v>1.40233053832225</v>
      </c>
      <c r="E259" s="35">
        <v>-5.0604505629057304</v>
      </c>
      <c r="F259" s="40">
        <v>4.1826690144494898E-7</v>
      </c>
      <c r="G259" s="35">
        <v>1.9885001916841399E-4</v>
      </c>
      <c r="H259" s="27" t="s">
        <v>10</v>
      </c>
      <c r="I259" s="24" t="s">
        <v>2356</v>
      </c>
      <c r="J259" s="34" t="s">
        <v>10</v>
      </c>
      <c r="L259" s="35"/>
      <c r="M259" s="35"/>
    </row>
    <row r="260" spans="1:13" x14ac:dyDescent="0.2">
      <c r="A260" s="35" t="s">
        <v>2357</v>
      </c>
      <c r="B260" s="35">
        <v>20.620725931749501</v>
      </c>
      <c r="C260" s="35">
        <v>-5.5158236838828003</v>
      </c>
      <c r="D260" s="35">
        <v>1.0913185797536</v>
      </c>
      <c r="E260" s="35">
        <v>-5.0542745136146898</v>
      </c>
      <c r="F260" s="40">
        <v>4.3202983683444199E-7</v>
      </c>
      <c r="G260" s="35">
        <v>2.04457382189923E-4</v>
      </c>
      <c r="H260" s="27" t="s">
        <v>10</v>
      </c>
      <c r="I260" s="24" t="s">
        <v>10</v>
      </c>
      <c r="J260" s="34" t="s">
        <v>10</v>
      </c>
      <c r="L260" s="35"/>
      <c r="M260" s="35"/>
    </row>
    <row r="261" spans="1:13" x14ac:dyDescent="0.2">
      <c r="A261" s="35" t="s">
        <v>2358</v>
      </c>
      <c r="B261" s="35">
        <v>10.9185835000679</v>
      </c>
      <c r="C261" s="35">
        <v>-6.9874700564951802</v>
      </c>
      <c r="D261" s="35">
        <v>1.3845318444122301</v>
      </c>
      <c r="E261" s="35">
        <v>-5.0468106491703999</v>
      </c>
      <c r="F261" s="40">
        <v>4.4924618163683001E-7</v>
      </c>
      <c r="G261" s="35">
        <v>2.1164079299805299E-4</v>
      </c>
      <c r="H261" s="27" t="s">
        <v>10</v>
      </c>
      <c r="I261" s="24" t="s">
        <v>2359</v>
      </c>
      <c r="J261" s="34" t="s">
        <v>10</v>
      </c>
      <c r="L261" s="35"/>
      <c r="M261" s="35"/>
    </row>
    <row r="262" spans="1:13" x14ac:dyDescent="0.2">
      <c r="A262" s="35" t="s">
        <v>2360</v>
      </c>
      <c r="B262" s="35">
        <v>10.7076981405254</v>
      </c>
      <c r="C262" s="35">
        <v>-6.9602307420030902</v>
      </c>
      <c r="D262" s="35">
        <v>1.3814689987128901</v>
      </c>
      <c r="E262" s="35">
        <v>-5.0382822549676396</v>
      </c>
      <c r="F262" s="40">
        <v>4.6972839692283902E-7</v>
      </c>
      <c r="G262" s="35">
        <v>2.20290954472012E-4</v>
      </c>
      <c r="H262" s="27" t="s">
        <v>10</v>
      </c>
      <c r="I262" s="24" t="s">
        <v>2361</v>
      </c>
      <c r="J262" s="34" t="s">
        <v>10</v>
      </c>
      <c r="L262" s="35"/>
      <c r="M262" s="35"/>
    </row>
    <row r="263" spans="1:13" x14ac:dyDescent="0.2">
      <c r="A263" s="35" t="s">
        <v>2362</v>
      </c>
      <c r="B263" s="35">
        <v>15.200721028728401</v>
      </c>
      <c r="C263" s="35">
        <v>-7.4656268655611902</v>
      </c>
      <c r="D263" s="35">
        <v>1.4839971656656199</v>
      </c>
      <c r="E263" s="35">
        <v>-5.0307554746660204</v>
      </c>
      <c r="F263" s="40">
        <v>4.8855091535565897E-7</v>
      </c>
      <c r="G263" s="35">
        <v>2.28088503304787E-4</v>
      </c>
      <c r="H263" s="27" t="s">
        <v>10</v>
      </c>
      <c r="I263" s="24" t="s">
        <v>2363</v>
      </c>
      <c r="J263" s="34" t="s">
        <v>10</v>
      </c>
      <c r="L263" s="35"/>
      <c r="M263" s="35"/>
    </row>
    <row r="264" spans="1:13" x14ac:dyDescent="0.2">
      <c r="A264" s="35" t="s">
        <v>2364</v>
      </c>
      <c r="B264" s="35">
        <v>64.497913828117305</v>
      </c>
      <c r="C264" s="35">
        <v>-2.59105167931058</v>
      </c>
      <c r="D264" s="35">
        <v>0.51549153743005804</v>
      </c>
      <c r="E264" s="35">
        <v>-5.0263709317674996</v>
      </c>
      <c r="F264" s="40">
        <v>4.9984862583607102E-7</v>
      </c>
      <c r="G264" s="35">
        <v>2.32839800693271E-4</v>
      </c>
      <c r="H264" s="27" t="s">
        <v>10</v>
      </c>
      <c r="I264" s="24" t="s">
        <v>10</v>
      </c>
      <c r="J264" s="34" t="s">
        <v>10</v>
      </c>
      <c r="L264" s="35"/>
      <c r="M264" s="35"/>
    </row>
    <row r="265" spans="1:13" x14ac:dyDescent="0.2">
      <c r="A265" s="35" t="s">
        <v>2365</v>
      </c>
      <c r="B265" s="35">
        <v>34.392010497649501</v>
      </c>
      <c r="C265" s="35">
        <v>-5.8342639162913601</v>
      </c>
      <c r="D265" s="35">
        <v>1.1616328373273901</v>
      </c>
      <c r="E265" s="35">
        <v>-5.0224681403759597</v>
      </c>
      <c r="F265" s="40">
        <v>5.1011661074928196E-7</v>
      </c>
      <c r="G265" s="35">
        <v>2.36562023622384E-4</v>
      </c>
      <c r="H265" s="27" t="s">
        <v>10</v>
      </c>
      <c r="I265" s="24" t="s">
        <v>2272</v>
      </c>
      <c r="J265" s="34" t="s">
        <v>10</v>
      </c>
      <c r="L265" s="35"/>
      <c r="M265" s="35"/>
    </row>
    <row r="266" spans="1:13" x14ac:dyDescent="0.2">
      <c r="A266" s="35" t="s">
        <v>2366</v>
      </c>
      <c r="B266" s="35">
        <v>17.887939511566898</v>
      </c>
      <c r="C266" s="35">
        <v>-7.7041982001075198</v>
      </c>
      <c r="D266" s="35">
        <v>1.53554895080995</v>
      </c>
      <c r="E266" s="35">
        <v>-5.0172273544544499</v>
      </c>
      <c r="F266" s="40">
        <v>5.2422518431706103E-7</v>
      </c>
      <c r="G266" s="35">
        <v>2.4202428309550101E-4</v>
      </c>
      <c r="H266" s="27" t="s">
        <v>10</v>
      </c>
      <c r="I266" s="24" t="s">
        <v>10</v>
      </c>
      <c r="J266" s="34" t="s">
        <v>10</v>
      </c>
      <c r="L266" s="35"/>
      <c r="M266" s="35"/>
    </row>
    <row r="267" spans="1:13" x14ac:dyDescent="0.2">
      <c r="A267" s="35" t="s">
        <v>2367</v>
      </c>
      <c r="B267" s="35">
        <v>19.589527088497</v>
      </c>
      <c r="C267" s="35">
        <v>-4.7515305626737598</v>
      </c>
      <c r="D267" s="35">
        <v>0.94722003705312396</v>
      </c>
      <c r="E267" s="35">
        <v>-5.0162901720873103</v>
      </c>
      <c r="F267" s="40">
        <v>5.2678749242874704E-7</v>
      </c>
      <c r="G267" s="35">
        <v>2.42412602319019E-4</v>
      </c>
      <c r="H267" s="27" t="s">
        <v>10</v>
      </c>
      <c r="I267" s="24" t="s">
        <v>2368</v>
      </c>
      <c r="J267" s="34" t="s">
        <v>10</v>
      </c>
      <c r="L267" s="35"/>
      <c r="M267" s="35"/>
    </row>
    <row r="268" spans="1:13" x14ac:dyDescent="0.2">
      <c r="A268" s="35" t="s">
        <v>2369</v>
      </c>
      <c r="B268" s="35">
        <v>11.314501202647101</v>
      </c>
      <c r="C268" s="35">
        <v>-7.0401628987685001</v>
      </c>
      <c r="D268" s="35">
        <v>1.40364143159404</v>
      </c>
      <c r="E268" s="35">
        <v>-5.01564198683801</v>
      </c>
      <c r="F268" s="40">
        <v>5.2856672659521504E-7</v>
      </c>
      <c r="G268" s="35">
        <v>2.42412602319019E-4</v>
      </c>
      <c r="H268" s="27" t="s">
        <v>2021</v>
      </c>
      <c r="I268" s="24" t="s">
        <v>2022</v>
      </c>
      <c r="J268" s="34" t="s">
        <v>10</v>
      </c>
      <c r="L268" s="35"/>
      <c r="M268" s="35"/>
    </row>
    <row r="269" spans="1:13" x14ac:dyDescent="0.2">
      <c r="A269" s="35" t="s">
        <v>2370</v>
      </c>
      <c r="B269" s="35">
        <v>93.9543713816322</v>
      </c>
      <c r="C269" s="35">
        <v>-2.02375383968623</v>
      </c>
      <c r="D269" s="35">
        <v>0.40402087909550499</v>
      </c>
      <c r="E269" s="35">
        <v>-5.0090328109202602</v>
      </c>
      <c r="F269" s="40">
        <v>5.4704247517993302E-7</v>
      </c>
      <c r="G269" s="35">
        <v>2.4869005792884502E-4</v>
      </c>
      <c r="H269" s="27" t="s">
        <v>4992</v>
      </c>
      <c r="I269" s="24" t="s">
        <v>2371</v>
      </c>
      <c r="J269" s="34" t="s">
        <v>10</v>
      </c>
      <c r="L269" s="35"/>
      <c r="M269" s="35"/>
    </row>
    <row r="270" spans="1:13" x14ac:dyDescent="0.2">
      <c r="A270" s="35" t="s">
        <v>2372</v>
      </c>
      <c r="B270" s="35">
        <v>15.375263212232699</v>
      </c>
      <c r="C270" s="35">
        <v>-7.4881447270640704</v>
      </c>
      <c r="D270" s="35">
        <v>1.4955512406144</v>
      </c>
      <c r="E270" s="35">
        <v>-5.0069462842261299</v>
      </c>
      <c r="F270" s="40">
        <v>5.5300351381673296E-7</v>
      </c>
      <c r="G270" s="35">
        <v>2.50851087372291E-4</v>
      </c>
      <c r="H270" s="27" t="s">
        <v>10</v>
      </c>
      <c r="I270" s="24" t="s">
        <v>2373</v>
      </c>
      <c r="J270" s="34" t="s">
        <v>10</v>
      </c>
      <c r="L270" s="35"/>
      <c r="M270" s="35"/>
    </row>
    <row r="271" spans="1:13" x14ac:dyDescent="0.2">
      <c r="A271" s="35" t="s">
        <v>2374</v>
      </c>
      <c r="B271" s="35">
        <v>11.562383320867299</v>
      </c>
      <c r="C271" s="35">
        <v>-7.0670112103138001</v>
      </c>
      <c r="D271" s="35">
        <v>1.41169217029371</v>
      </c>
      <c r="E271" s="35">
        <v>-5.0060568153774296</v>
      </c>
      <c r="F271" s="40">
        <v>5.5556364966011902E-7</v>
      </c>
      <c r="G271" s="35">
        <v>2.5146335860302298E-4</v>
      </c>
      <c r="H271" s="27" t="s">
        <v>4950</v>
      </c>
      <c r="I271" s="24" t="s">
        <v>2326</v>
      </c>
      <c r="J271" s="34" t="s">
        <v>10</v>
      </c>
      <c r="L271" s="35"/>
      <c r="M271" s="35"/>
    </row>
    <row r="272" spans="1:13" x14ac:dyDescent="0.2">
      <c r="A272" s="35" t="s">
        <v>2375</v>
      </c>
      <c r="B272" s="35">
        <v>10.756244376347</v>
      </c>
      <c r="C272" s="35">
        <v>-6.9633224390423001</v>
      </c>
      <c r="D272" s="35">
        <v>1.3924968457260001</v>
      </c>
      <c r="E272" s="35">
        <v>-5.0006019477996499</v>
      </c>
      <c r="F272" s="40">
        <v>5.7151597958316905E-7</v>
      </c>
      <c r="G272" s="35">
        <v>2.5756154849084802E-4</v>
      </c>
      <c r="H272" s="27" t="s">
        <v>10</v>
      </c>
      <c r="I272" s="24" t="s">
        <v>2376</v>
      </c>
      <c r="J272" s="34" t="s">
        <v>10</v>
      </c>
      <c r="L272" s="35"/>
      <c r="M272" s="35"/>
    </row>
    <row r="273" spans="1:13" x14ac:dyDescent="0.2">
      <c r="A273" s="35" t="s">
        <v>2377</v>
      </c>
      <c r="B273" s="35">
        <v>13.5516249736717</v>
      </c>
      <c r="C273" s="35">
        <v>-7.2982010599019498</v>
      </c>
      <c r="D273" s="35">
        <v>1.46068677736403</v>
      </c>
      <c r="E273" s="35">
        <v>-4.9964175571386802</v>
      </c>
      <c r="F273" s="40">
        <v>5.8405127029498398E-7</v>
      </c>
      <c r="G273" s="35">
        <v>2.6150895627457898E-4</v>
      </c>
      <c r="H273" s="27" t="s">
        <v>10</v>
      </c>
      <c r="I273" s="24" t="s">
        <v>2378</v>
      </c>
      <c r="J273" s="34" t="s">
        <v>10</v>
      </c>
      <c r="L273" s="35"/>
      <c r="M273" s="35"/>
    </row>
    <row r="274" spans="1:13" x14ac:dyDescent="0.2">
      <c r="A274" s="35" t="s">
        <v>2379</v>
      </c>
      <c r="B274" s="35">
        <v>10.902789358442099</v>
      </c>
      <c r="C274" s="35">
        <v>-6.9855213197495196</v>
      </c>
      <c r="D274" s="35">
        <v>1.3984257012858901</v>
      </c>
      <c r="E274" s="35">
        <v>-4.9952752679860897</v>
      </c>
      <c r="F274" s="40">
        <v>5.8751904848050797E-7</v>
      </c>
      <c r="G274" s="35">
        <v>2.6249592997014301E-4</v>
      </c>
      <c r="H274" s="27" t="s">
        <v>2380</v>
      </c>
      <c r="I274" s="24" t="s">
        <v>2381</v>
      </c>
      <c r="J274" s="34" t="s">
        <v>5063</v>
      </c>
      <c r="L274" s="35"/>
      <c r="M274" s="35"/>
    </row>
    <row r="275" spans="1:13" x14ac:dyDescent="0.2">
      <c r="A275" s="35" t="s">
        <v>2382</v>
      </c>
      <c r="B275" s="35">
        <v>11.7155746886618</v>
      </c>
      <c r="C275" s="35">
        <v>-7.0895081710506096</v>
      </c>
      <c r="D275" s="35">
        <v>1.4198237519894901</v>
      </c>
      <c r="E275" s="35">
        <v>-4.9932311395105398</v>
      </c>
      <c r="F275" s="40">
        <v>5.9377424378728598E-7</v>
      </c>
      <c r="G275" s="35">
        <v>2.6472137723663401E-4</v>
      </c>
      <c r="H275" s="27" t="s">
        <v>10</v>
      </c>
      <c r="I275" s="24" t="s">
        <v>2383</v>
      </c>
      <c r="J275" s="34" t="s">
        <v>10</v>
      </c>
      <c r="L275" s="35"/>
      <c r="M275" s="35"/>
    </row>
    <row r="276" spans="1:13" x14ac:dyDescent="0.2">
      <c r="A276" s="35" t="s">
        <v>2384</v>
      </c>
      <c r="B276" s="35">
        <v>21.634243862027802</v>
      </c>
      <c r="C276" s="35">
        <v>-6.0918769050377302</v>
      </c>
      <c r="D276" s="35">
        <v>1.22039372515318</v>
      </c>
      <c r="E276" s="35">
        <v>-4.9917307664566204</v>
      </c>
      <c r="F276" s="40">
        <v>5.9840630611572997E-7</v>
      </c>
      <c r="G276" s="35">
        <v>2.6564636866106698E-4</v>
      </c>
      <c r="H276" s="27" t="s">
        <v>4936</v>
      </c>
      <c r="I276" s="24" t="s">
        <v>2385</v>
      </c>
      <c r="J276" s="34" t="s">
        <v>10</v>
      </c>
      <c r="L276" s="35"/>
      <c r="M276" s="35"/>
    </row>
    <row r="277" spans="1:13" x14ac:dyDescent="0.2">
      <c r="A277" s="35" t="s">
        <v>2386</v>
      </c>
      <c r="B277" s="35">
        <v>72.666464953810006</v>
      </c>
      <c r="C277" s="35">
        <v>-3.0979757183129002</v>
      </c>
      <c r="D277" s="35">
        <v>0.62107282884081305</v>
      </c>
      <c r="E277" s="35">
        <v>-4.9881037689171501</v>
      </c>
      <c r="F277" s="40">
        <v>6.0974816625059097E-7</v>
      </c>
      <c r="G277" s="35">
        <v>2.7010413651931301E-4</v>
      </c>
      <c r="H277" s="27" t="s">
        <v>10</v>
      </c>
      <c r="I277" s="24" t="s">
        <v>10</v>
      </c>
      <c r="J277" s="34" t="s">
        <v>10</v>
      </c>
      <c r="L277" s="35"/>
      <c r="M277" s="35"/>
    </row>
    <row r="278" spans="1:13" x14ac:dyDescent="0.2">
      <c r="A278" s="35" t="s">
        <v>2387</v>
      </c>
      <c r="B278" s="35">
        <v>67.284807867162797</v>
      </c>
      <c r="C278" s="35">
        <v>-2.5139177063357701</v>
      </c>
      <c r="D278" s="35">
        <v>0.50451233700881504</v>
      </c>
      <c r="E278" s="35">
        <v>-4.9828666653434901</v>
      </c>
      <c r="F278" s="40">
        <v>6.2649122273413201E-7</v>
      </c>
      <c r="G278" s="35">
        <v>2.7634248507505798E-4</v>
      </c>
      <c r="H278" s="27" t="s">
        <v>10</v>
      </c>
      <c r="I278" s="24" t="s">
        <v>10</v>
      </c>
      <c r="J278" s="34" t="s">
        <v>10</v>
      </c>
      <c r="L278" s="35"/>
      <c r="M278" s="35"/>
    </row>
    <row r="279" spans="1:13" x14ac:dyDescent="0.2">
      <c r="A279" s="35" t="s">
        <v>2388</v>
      </c>
      <c r="B279" s="35">
        <v>10.5017158724275</v>
      </c>
      <c r="C279" s="35">
        <v>-6.9325734940345098</v>
      </c>
      <c r="D279" s="35">
        <v>1.3914845581952699</v>
      </c>
      <c r="E279" s="35">
        <v>-4.9821418809174203</v>
      </c>
      <c r="F279" s="40">
        <v>6.28842983475467E-7</v>
      </c>
      <c r="G279" s="35">
        <v>2.7679216710790102E-4</v>
      </c>
      <c r="H279" s="27" t="s">
        <v>10</v>
      </c>
      <c r="I279" s="24" t="s">
        <v>2389</v>
      </c>
      <c r="J279" s="34" t="s">
        <v>10</v>
      </c>
      <c r="L279" s="35"/>
      <c r="M279" s="35"/>
    </row>
    <row r="280" spans="1:13" x14ac:dyDescent="0.2">
      <c r="A280" s="35" t="s">
        <v>2390</v>
      </c>
      <c r="B280" s="35">
        <v>44.502592602535103</v>
      </c>
      <c r="C280" s="35">
        <v>-3.3513039716686599</v>
      </c>
      <c r="D280" s="35">
        <v>0.674580215251954</v>
      </c>
      <c r="E280" s="35">
        <v>-4.9679843788732496</v>
      </c>
      <c r="F280" s="40">
        <v>6.7652410970477895E-7</v>
      </c>
      <c r="G280" s="35">
        <v>2.9465816129103998E-4</v>
      </c>
      <c r="H280" s="27" t="s">
        <v>10</v>
      </c>
      <c r="I280" s="24" t="s">
        <v>2391</v>
      </c>
      <c r="J280" s="34" t="s">
        <v>10</v>
      </c>
      <c r="L280" s="35"/>
      <c r="M280" s="35"/>
    </row>
    <row r="281" spans="1:13" x14ac:dyDescent="0.2">
      <c r="A281" s="35" t="s">
        <v>2392</v>
      </c>
      <c r="B281" s="35">
        <v>10.4758628559218</v>
      </c>
      <c r="C281" s="35">
        <v>-6.9322534193810297</v>
      </c>
      <c r="D281" s="35">
        <v>1.3957376398424901</v>
      </c>
      <c r="E281" s="35">
        <v>-4.9667310112546303</v>
      </c>
      <c r="F281" s="40">
        <v>6.8090930228689703E-7</v>
      </c>
      <c r="G281" s="35">
        <v>2.9547447396239201E-4</v>
      </c>
      <c r="H281" s="27" t="s">
        <v>10</v>
      </c>
      <c r="I281" s="24" t="s">
        <v>10</v>
      </c>
      <c r="J281" s="34" t="s">
        <v>10</v>
      </c>
      <c r="L281" s="35"/>
      <c r="M281" s="35"/>
    </row>
    <row r="282" spans="1:13" x14ac:dyDescent="0.2">
      <c r="A282" s="35" t="s">
        <v>2393</v>
      </c>
      <c r="B282" s="35">
        <v>12.188972497106001</v>
      </c>
      <c r="C282" s="35">
        <v>-7.14466251308881</v>
      </c>
      <c r="D282" s="35">
        <v>1.44001075671087</v>
      </c>
      <c r="E282" s="35">
        <v>-4.9615341272921603</v>
      </c>
      <c r="F282" s="40">
        <v>6.9938578901260103E-7</v>
      </c>
      <c r="G282" s="35">
        <v>3.0208231597110601E-4</v>
      </c>
      <c r="H282" s="27" t="s">
        <v>10</v>
      </c>
      <c r="I282" s="24" t="s">
        <v>2394</v>
      </c>
      <c r="J282" s="34" t="s">
        <v>10</v>
      </c>
      <c r="L282" s="35"/>
      <c r="M282" s="35"/>
    </row>
    <row r="283" spans="1:13" x14ac:dyDescent="0.2">
      <c r="A283" s="35" t="s">
        <v>2395</v>
      </c>
      <c r="B283" s="35">
        <v>1283.45518144635</v>
      </c>
      <c r="C283" s="35">
        <v>-2.5145928837492399</v>
      </c>
      <c r="D283" s="35">
        <v>0.50758596255676702</v>
      </c>
      <c r="E283" s="35">
        <v>-4.9540236910472402</v>
      </c>
      <c r="F283" s="40">
        <v>7.2694349814016702E-7</v>
      </c>
      <c r="G283" s="35">
        <v>3.1268503809442799E-4</v>
      </c>
      <c r="H283" s="27" t="s">
        <v>10</v>
      </c>
      <c r="I283" s="24" t="s">
        <v>2396</v>
      </c>
      <c r="J283" s="34" t="s">
        <v>10</v>
      </c>
      <c r="L283" s="35"/>
      <c r="M283" s="35"/>
    </row>
    <row r="284" spans="1:13" x14ac:dyDescent="0.2">
      <c r="A284" s="35" t="s">
        <v>2397</v>
      </c>
      <c r="B284" s="35">
        <v>273.964389320066</v>
      </c>
      <c r="C284" s="35">
        <v>-2.7354028784460298</v>
      </c>
      <c r="D284" s="35">
        <v>0.55317050681392499</v>
      </c>
      <c r="E284" s="35">
        <v>-4.9449543038746304</v>
      </c>
      <c r="F284" s="40">
        <v>7.6161727747382201E-7</v>
      </c>
      <c r="G284" s="35">
        <v>3.2624857546154898E-4</v>
      </c>
      <c r="H284" s="27" t="s">
        <v>4957</v>
      </c>
      <c r="I284" s="24" t="s">
        <v>2398</v>
      </c>
      <c r="J284" s="34" t="s">
        <v>10</v>
      </c>
      <c r="L284" s="35"/>
      <c r="M284" s="35"/>
    </row>
    <row r="285" spans="1:13" x14ac:dyDescent="0.2">
      <c r="A285" s="35" t="s">
        <v>2399</v>
      </c>
      <c r="B285" s="35">
        <v>62.044577051048599</v>
      </c>
      <c r="C285" s="35">
        <v>-2.2151943360988402</v>
      </c>
      <c r="D285" s="35">
        <v>0.448469835597952</v>
      </c>
      <c r="E285" s="35">
        <v>-4.93945001483831</v>
      </c>
      <c r="F285" s="40">
        <v>7.8343222274990303E-7</v>
      </c>
      <c r="G285" s="35">
        <v>3.3421508186782102E-4</v>
      </c>
      <c r="H285" s="27" t="s">
        <v>10</v>
      </c>
      <c r="I285" s="24" t="s">
        <v>10</v>
      </c>
      <c r="J285" s="34" t="s">
        <v>10</v>
      </c>
      <c r="L285" s="35"/>
      <c r="M285" s="35"/>
    </row>
    <row r="286" spans="1:13" x14ac:dyDescent="0.2">
      <c r="A286" s="35" t="s">
        <v>2400</v>
      </c>
      <c r="B286" s="35">
        <v>22.9541926461423</v>
      </c>
      <c r="C286" s="35">
        <v>-4.5894960908482796</v>
      </c>
      <c r="D286" s="35">
        <v>0.92927173608412095</v>
      </c>
      <c r="E286" s="35">
        <v>-4.93880951355312</v>
      </c>
      <c r="F286" s="40">
        <v>7.8600944981592497E-7</v>
      </c>
      <c r="G286" s="35">
        <v>3.3462741650810897E-4</v>
      </c>
      <c r="H286" s="27" t="s">
        <v>10</v>
      </c>
      <c r="I286" s="24" t="s">
        <v>2401</v>
      </c>
      <c r="J286" s="34" t="s">
        <v>10</v>
      </c>
      <c r="L286" s="35"/>
      <c r="M286" s="35"/>
    </row>
    <row r="287" spans="1:13" x14ac:dyDescent="0.2">
      <c r="A287" s="35" t="s">
        <v>2402</v>
      </c>
      <c r="B287" s="35">
        <v>77.541660442593297</v>
      </c>
      <c r="C287" s="35">
        <v>-4.9682391229888401</v>
      </c>
      <c r="D287" s="35">
        <v>1.0066228012214999</v>
      </c>
      <c r="E287" s="35">
        <v>-4.9355519435483401</v>
      </c>
      <c r="F287" s="40">
        <v>7.9924404552329104E-7</v>
      </c>
      <c r="G287" s="35">
        <v>3.3818278191799798E-4</v>
      </c>
      <c r="H287" s="27" t="s">
        <v>10</v>
      </c>
      <c r="I287" s="24" t="s">
        <v>2403</v>
      </c>
      <c r="J287" s="34" t="s">
        <v>10</v>
      </c>
      <c r="L287" s="35"/>
      <c r="M287" s="35"/>
    </row>
    <row r="288" spans="1:13" x14ac:dyDescent="0.2">
      <c r="A288" s="35" t="s">
        <v>2404</v>
      </c>
      <c r="B288" s="35">
        <v>11.8741004325533</v>
      </c>
      <c r="C288" s="35">
        <v>-7.1026431934696097</v>
      </c>
      <c r="D288" s="35">
        <v>1.4426121159590499</v>
      </c>
      <c r="E288" s="35">
        <v>-4.9234601005328296</v>
      </c>
      <c r="F288" s="40">
        <v>8.5027219506226505E-7</v>
      </c>
      <c r="G288" s="35">
        <v>3.5765025288211297E-4</v>
      </c>
      <c r="H288" s="27" t="s">
        <v>10</v>
      </c>
      <c r="I288" s="24" t="s">
        <v>10</v>
      </c>
      <c r="J288" s="34" t="s">
        <v>10</v>
      </c>
      <c r="L288" s="35"/>
      <c r="M288" s="35"/>
    </row>
    <row r="289" spans="1:13" x14ac:dyDescent="0.2">
      <c r="A289" s="35" t="s">
        <v>2405</v>
      </c>
      <c r="B289" s="35">
        <v>18.8374796830471</v>
      </c>
      <c r="C289" s="35">
        <v>-4.6739822936804201</v>
      </c>
      <c r="D289" s="35">
        <v>0.94939430309669404</v>
      </c>
      <c r="E289" s="35">
        <v>-4.9231202235309599</v>
      </c>
      <c r="F289" s="40">
        <v>8.51750882490336E-7</v>
      </c>
      <c r="G289" s="35">
        <v>3.5765025288211297E-4</v>
      </c>
      <c r="H289" s="27" t="s">
        <v>4999</v>
      </c>
      <c r="I289" s="24" t="s">
        <v>2406</v>
      </c>
      <c r="J289" s="34" t="s">
        <v>5099</v>
      </c>
      <c r="L289" s="35"/>
      <c r="M289" s="35"/>
    </row>
    <row r="290" spans="1:13" x14ac:dyDescent="0.2">
      <c r="A290" s="35" t="s">
        <v>2407</v>
      </c>
      <c r="B290" s="35">
        <v>121.941826044899</v>
      </c>
      <c r="C290" s="35">
        <v>-3.4978382407285902</v>
      </c>
      <c r="D290" s="35">
        <v>0.71105090784907199</v>
      </c>
      <c r="E290" s="35">
        <v>-4.9192514939746701</v>
      </c>
      <c r="F290" s="40">
        <v>8.6875787748372901E-7</v>
      </c>
      <c r="G290" s="35">
        <v>3.6389044676312401E-4</v>
      </c>
      <c r="H290" s="27" t="s">
        <v>10</v>
      </c>
      <c r="I290" s="24" t="s">
        <v>10</v>
      </c>
      <c r="J290" s="34" t="s">
        <v>10</v>
      </c>
      <c r="L290" s="35"/>
      <c r="M290" s="35"/>
    </row>
    <row r="291" spans="1:13" x14ac:dyDescent="0.2">
      <c r="A291" s="35" t="s">
        <v>2408</v>
      </c>
      <c r="B291" s="35">
        <v>67.179143019469393</v>
      </c>
      <c r="C291" s="35">
        <v>-7.6871140979933097</v>
      </c>
      <c r="D291" s="35">
        <v>1.5631899291936799</v>
      </c>
      <c r="E291" s="35">
        <v>-4.9175816415081801</v>
      </c>
      <c r="F291" s="40">
        <v>8.7619918378757502E-7</v>
      </c>
      <c r="G291" s="35">
        <v>3.6567858263324398E-4</v>
      </c>
      <c r="H291" s="27" t="s">
        <v>10</v>
      </c>
      <c r="I291" s="24" t="s">
        <v>10</v>
      </c>
      <c r="J291" s="34" t="s">
        <v>10</v>
      </c>
      <c r="L291" s="35"/>
      <c r="M291" s="35"/>
    </row>
    <row r="292" spans="1:13" x14ac:dyDescent="0.2">
      <c r="A292" s="35" t="s">
        <v>2409</v>
      </c>
      <c r="B292" s="35">
        <v>33.912482162689301</v>
      </c>
      <c r="C292" s="35">
        <v>-3.5147605128755002</v>
      </c>
      <c r="D292" s="35">
        <v>0.71474483679171597</v>
      </c>
      <c r="E292" s="35">
        <v>-4.9175038866349103</v>
      </c>
      <c r="F292" s="40">
        <v>8.7654717144802199E-7</v>
      </c>
      <c r="G292" s="35">
        <v>3.6567858263324398E-4</v>
      </c>
      <c r="H292" s="27" t="s">
        <v>10</v>
      </c>
      <c r="I292" s="24" t="s">
        <v>10</v>
      </c>
      <c r="J292" s="34" t="s">
        <v>10</v>
      </c>
      <c r="L292" s="35"/>
      <c r="M292" s="35"/>
    </row>
    <row r="293" spans="1:13" x14ac:dyDescent="0.2">
      <c r="A293" s="35" t="s">
        <v>2410</v>
      </c>
      <c r="B293" s="35">
        <v>10.1322306696644</v>
      </c>
      <c r="C293" s="35">
        <v>-6.8819750897429497</v>
      </c>
      <c r="D293" s="35">
        <v>1.4014584235410601</v>
      </c>
      <c r="E293" s="35">
        <v>-4.9105809877358304</v>
      </c>
      <c r="F293" s="40">
        <v>9.0806941654897905E-7</v>
      </c>
      <c r="G293" s="35">
        <v>3.77313739409099E-4</v>
      </c>
      <c r="H293" s="27" t="s">
        <v>10</v>
      </c>
      <c r="I293" s="24" t="s">
        <v>2412</v>
      </c>
      <c r="J293" s="34" t="s">
        <v>10</v>
      </c>
      <c r="L293" s="35"/>
      <c r="M293" s="35"/>
    </row>
    <row r="294" spans="1:13" x14ac:dyDescent="0.2">
      <c r="A294" s="35" t="s">
        <v>2413</v>
      </c>
      <c r="B294" s="35">
        <v>11.3010298385867</v>
      </c>
      <c r="C294" s="35">
        <v>-7.0441747623786402</v>
      </c>
      <c r="D294" s="35">
        <v>1.4394808859801</v>
      </c>
      <c r="E294" s="35">
        <v>-4.8935521346519897</v>
      </c>
      <c r="F294" s="40">
        <v>9.90320643836331E-7</v>
      </c>
      <c r="G294" s="35">
        <v>4.0580878832516899E-4</v>
      </c>
      <c r="H294" s="27" t="s">
        <v>10</v>
      </c>
      <c r="I294" s="24" t="s">
        <v>2414</v>
      </c>
      <c r="J294" s="34" t="s">
        <v>5010</v>
      </c>
      <c r="L294" s="35"/>
      <c r="M294" s="35"/>
    </row>
    <row r="295" spans="1:13" x14ac:dyDescent="0.2">
      <c r="A295" s="35" t="s">
        <v>2415</v>
      </c>
      <c r="B295" s="35">
        <v>10.374124829147901</v>
      </c>
      <c r="C295" s="35">
        <v>-6.9094646956600902</v>
      </c>
      <c r="D295" s="35">
        <v>1.41238729295617</v>
      </c>
      <c r="E295" s="35">
        <v>-4.8920467708246997</v>
      </c>
      <c r="F295" s="40">
        <v>9.979272168493399E-7</v>
      </c>
      <c r="G295" s="35">
        <v>4.0674339402990798E-4</v>
      </c>
      <c r="H295" s="27" t="s">
        <v>10</v>
      </c>
      <c r="I295" s="24" t="s">
        <v>10</v>
      </c>
      <c r="J295" s="34" t="s">
        <v>10</v>
      </c>
      <c r="L295" s="35"/>
      <c r="M295" s="35"/>
    </row>
    <row r="296" spans="1:13" x14ac:dyDescent="0.2">
      <c r="A296" s="35" t="s">
        <v>2416</v>
      </c>
      <c r="B296" s="35">
        <v>11.384250055520599</v>
      </c>
      <c r="C296" s="35">
        <v>-7.04315993957161</v>
      </c>
      <c r="D296" s="35">
        <v>1.4397481624852899</v>
      </c>
      <c r="E296" s="35">
        <v>-4.8919388286724601</v>
      </c>
      <c r="F296" s="40">
        <v>9.9847480195639593E-7</v>
      </c>
      <c r="G296" s="35">
        <v>4.0674339402990798E-4</v>
      </c>
      <c r="H296" s="27" t="s">
        <v>10</v>
      </c>
      <c r="I296" s="24" t="s">
        <v>2417</v>
      </c>
      <c r="J296" s="34" t="s">
        <v>10</v>
      </c>
      <c r="L296" s="35"/>
      <c r="M296" s="35"/>
    </row>
    <row r="297" spans="1:13" x14ac:dyDescent="0.2">
      <c r="A297" s="35" t="s">
        <v>2418</v>
      </c>
      <c r="B297" s="35">
        <v>11.152488870246</v>
      </c>
      <c r="C297" s="35">
        <v>-7.0230388665712802</v>
      </c>
      <c r="D297" s="35">
        <v>1.43820126370708</v>
      </c>
      <c r="E297" s="35">
        <v>-4.8832100511918801</v>
      </c>
      <c r="F297" s="40">
        <v>1.043725823121E-6</v>
      </c>
      <c r="G297" s="35">
        <v>4.2393718767799298E-4</v>
      </c>
      <c r="H297" s="27" t="s">
        <v>10</v>
      </c>
      <c r="I297" s="24" t="s">
        <v>2419</v>
      </c>
      <c r="J297" s="34" t="s">
        <v>5082</v>
      </c>
      <c r="L297" s="35"/>
      <c r="M297" s="35"/>
    </row>
    <row r="298" spans="1:13" x14ac:dyDescent="0.2">
      <c r="A298" s="35" t="s">
        <v>2420</v>
      </c>
      <c r="B298" s="35">
        <v>304.696855920828</v>
      </c>
      <c r="C298" s="35">
        <v>-7.4996782152122003</v>
      </c>
      <c r="D298" s="35">
        <v>1.53811128182337</v>
      </c>
      <c r="E298" s="35">
        <v>-4.8759009207198902</v>
      </c>
      <c r="F298" s="40">
        <v>1.08312966910023E-6</v>
      </c>
      <c r="G298" s="35">
        <v>4.3779511193305098E-4</v>
      </c>
      <c r="H298" s="27" t="s">
        <v>10</v>
      </c>
      <c r="I298" s="24" t="s">
        <v>10</v>
      </c>
      <c r="J298" s="34" t="s">
        <v>10</v>
      </c>
      <c r="L298" s="35"/>
      <c r="M298" s="35"/>
    </row>
    <row r="299" spans="1:13" x14ac:dyDescent="0.2">
      <c r="A299" s="35" t="s">
        <v>2421</v>
      </c>
      <c r="B299" s="35">
        <v>9.73431698083958</v>
      </c>
      <c r="C299" s="35">
        <v>-6.8223183074481897</v>
      </c>
      <c r="D299" s="35">
        <v>1.4007208003470599</v>
      </c>
      <c r="E299" s="35">
        <v>-4.8705768528302098</v>
      </c>
      <c r="F299" s="40">
        <v>1.1127290989989901E-6</v>
      </c>
      <c r="G299" s="35">
        <v>4.4888572173132699E-4</v>
      </c>
      <c r="H299" s="27" t="s">
        <v>10</v>
      </c>
      <c r="I299" s="24" t="s">
        <v>10</v>
      </c>
      <c r="J299" s="34" t="s">
        <v>10</v>
      </c>
      <c r="L299" s="35"/>
      <c r="M299" s="35"/>
    </row>
    <row r="300" spans="1:13" x14ac:dyDescent="0.2">
      <c r="A300" s="35" t="s">
        <v>2422</v>
      </c>
      <c r="B300" s="35">
        <v>24.591663463257099</v>
      </c>
      <c r="C300" s="35">
        <v>-2.9836198064496902</v>
      </c>
      <c r="D300" s="35">
        <v>0.61378325938673295</v>
      </c>
      <c r="E300" s="35">
        <v>-4.8610315788521099</v>
      </c>
      <c r="F300" s="40">
        <v>1.1677562169114799E-6</v>
      </c>
      <c r="G300" s="35">
        <v>4.6873370230905698E-4</v>
      </c>
      <c r="H300" s="27" t="s">
        <v>10</v>
      </c>
      <c r="I300" s="24" t="s">
        <v>10</v>
      </c>
      <c r="J300" s="34" t="s">
        <v>10</v>
      </c>
      <c r="L300" s="35"/>
      <c r="M300" s="35"/>
    </row>
    <row r="301" spans="1:13" x14ac:dyDescent="0.2">
      <c r="A301" s="35" t="s">
        <v>2423</v>
      </c>
      <c r="B301" s="35">
        <v>17.110827695125799</v>
      </c>
      <c r="C301" s="35">
        <v>-6.6609106848197897</v>
      </c>
      <c r="D301" s="35">
        <v>1.3703118931864799</v>
      </c>
      <c r="E301" s="35">
        <v>-4.86087197953941</v>
      </c>
      <c r="F301" s="40">
        <v>1.16869817380048E-6</v>
      </c>
      <c r="G301" s="35">
        <v>4.6873370230905698E-4</v>
      </c>
      <c r="H301" s="27" t="s">
        <v>10</v>
      </c>
      <c r="I301" s="24" t="s">
        <v>2153</v>
      </c>
      <c r="J301" s="34" t="s">
        <v>10</v>
      </c>
      <c r="L301" s="35"/>
      <c r="M301" s="35"/>
    </row>
    <row r="302" spans="1:13" x14ac:dyDescent="0.2">
      <c r="A302" s="35" t="s">
        <v>2424</v>
      </c>
      <c r="B302" s="35">
        <v>44.0145279773662</v>
      </c>
      <c r="C302" s="35">
        <v>-2.6431245326422599</v>
      </c>
      <c r="D302" s="35">
        <v>0.54553294883430303</v>
      </c>
      <c r="E302" s="35">
        <v>-4.8450318872400002</v>
      </c>
      <c r="F302" s="40">
        <v>1.26591345684249E-6</v>
      </c>
      <c r="G302" s="35">
        <v>5.0322939062888102E-4</v>
      </c>
      <c r="H302" s="27" t="s">
        <v>10</v>
      </c>
      <c r="I302" s="24" t="s">
        <v>2425</v>
      </c>
      <c r="J302" s="34" t="s">
        <v>10</v>
      </c>
      <c r="L302" s="35"/>
      <c r="M302" s="35"/>
    </row>
    <row r="303" spans="1:13" x14ac:dyDescent="0.2">
      <c r="A303" s="35" t="s">
        <v>2426</v>
      </c>
      <c r="B303" s="35">
        <v>57.591519030028202</v>
      </c>
      <c r="C303" s="35">
        <v>-2.5710873642331298</v>
      </c>
      <c r="D303" s="35">
        <v>0.53072176913793501</v>
      </c>
      <c r="E303" s="35">
        <v>-4.8445108411690203</v>
      </c>
      <c r="F303" s="40">
        <v>1.26923988086762E-6</v>
      </c>
      <c r="G303" s="35">
        <v>5.0322939062888102E-4</v>
      </c>
      <c r="H303" s="27" t="s">
        <v>2427</v>
      </c>
      <c r="I303" s="24" t="s">
        <v>2428</v>
      </c>
      <c r="J303" s="34" t="s">
        <v>5064</v>
      </c>
      <c r="L303" s="35"/>
      <c r="M303" s="35"/>
    </row>
    <row r="304" spans="1:13" x14ac:dyDescent="0.2">
      <c r="A304" s="35" t="s">
        <v>2429</v>
      </c>
      <c r="B304" s="35">
        <v>12.445828622914</v>
      </c>
      <c r="C304" s="35">
        <v>-7.16981835684442</v>
      </c>
      <c r="D304" s="35">
        <v>1.4805805690999101</v>
      </c>
      <c r="E304" s="35">
        <v>-4.8425722358379701</v>
      </c>
      <c r="F304" s="40">
        <v>1.2816901746269701E-6</v>
      </c>
      <c r="G304" s="35">
        <v>5.07197759847238E-4</v>
      </c>
      <c r="H304" s="27" t="s">
        <v>10</v>
      </c>
      <c r="I304" s="24" t="s">
        <v>2052</v>
      </c>
      <c r="J304" s="34" t="s">
        <v>10</v>
      </c>
      <c r="L304" s="35"/>
      <c r="M304" s="35"/>
    </row>
    <row r="305" spans="1:13" x14ac:dyDescent="0.2">
      <c r="A305" s="35" t="s">
        <v>2430</v>
      </c>
      <c r="B305" s="35">
        <v>21.5687954968427</v>
      </c>
      <c r="C305" s="35">
        <v>-6.1729795889072099</v>
      </c>
      <c r="D305" s="35">
        <v>1.2764383035948801</v>
      </c>
      <c r="E305" s="35">
        <v>-4.83609710827543</v>
      </c>
      <c r="F305" s="40">
        <v>1.32413252293384E-6</v>
      </c>
      <c r="G305" s="35">
        <v>5.2299710348791505E-4</v>
      </c>
      <c r="H305" s="27" t="s">
        <v>10</v>
      </c>
      <c r="I305" s="24" t="s">
        <v>2431</v>
      </c>
      <c r="J305" s="34" t="s">
        <v>10</v>
      </c>
      <c r="L305" s="35"/>
      <c r="M305" s="35"/>
    </row>
    <row r="306" spans="1:13" x14ac:dyDescent="0.2">
      <c r="A306" s="35" t="s">
        <v>2432</v>
      </c>
      <c r="B306" s="35">
        <v>10.947849005754099</v>
      </c>
      <c r="C306" s="35">
        <v>-6.9854083777232203</v>
      </c>
      <c r="D306" s="35">
        <v>1.4446539529740601</v>
      </c>
      <c r="E306" s="35">
        <v>-4.8353506134410802</v>
      </c>
      <c r="F306" s="40">
        <v>1.3291115799253201E-6</v>
      </c>
      <c r="G306" s="35">
        <v>5.2396756242687902E-4</v>
      </c>
      <c r="H306" s="27" t="s">
        <v>1890</v>
      </c>
      <c r="I306" s="24" t="s">
        <v>2433</v>
      </c>
      <c r="J306" s="34" t="s">
        <v>5006</v>
      </c>
      <c r="L306" s="35"/>
      <c r="M306" s="35"/>
    </row>
    <row r="307" spans="1:13" x14ac:dyDescent="0.2">
      <c r="A307" s="35" t="s">
        <v>2434</v>
      </c>
      <c r="B307" s="35">
        <v>11.914405187078801</v>
      </c>
      <c r="C307" s="35">
        <v>-7.11498102952664</v>
      </c>
      <c r="D307" s="35">
        <v>1.4721915868150399</v>
      </c>
      <c r="E307" s="35">
        <v>-4.8329178710491698</v>
      </c>
      <c r="F307" s="40">
        <v>1.3454630362078799E-6</v>
      </c>
      <c r="G307" s="35">
        <v>5.2670820777248799E-4</v>
      </c>
      <c r="H307" s="27" t="s">
        <v>10</v>
      </c>
      <c r="I307" s="24" t="s">
        <v>10</v>
      </c>
      <c r="J307" s="34" t="s">
        <v>10</v>
      </c>
      <c r="L307" s="35"/>
      <c r="M307" s="35"/>
    </row>
    <row r="308" spans="1:13" x14ac:dyDescent="0.2">
      <c r="A308" s="35" t="s">
        <v>2435</v>
      </c>
      <c r="B308" s="35">
        <v>1634.0956028379101</v>
      </c>
      <c r="C308" s="35">
        <v>-2.6523579082112998</v>
      </c>
      <c r="D308" s="35">
        <v>0.54882332986923099</v>
      </c>
      <c r="E308" s="35">
        <v>-4.8328082351077901</v>
      </c>
      <c r="F308" s="40">
        <v>1.34620448183057E-6</v>
      </c>
      <c r="G308" s="35">
        <v>5.2670820777248799E-4</v>
      </c>
      <c r="H308" s="27" t="s">
        <v>10</v>
      </c>
      <c r="I308" s="24" t="s">
        <v>2436</v>
      </c>
      <c r="J308" s="34" t="s">
        <v>10</v>
      </c>
      <c r="L308" s="35"/>
      <c r="M308" s="35"/>
    </row>
    <row r="309" spans="1:13" x14ac:dyDescent="0.2">
      <c r="A309" s="35" t="s">
        <v>2437</v>
      </c>
      <c r="B309" s="35">
        <v>11.327462338402899</v>
      </c>
      <c r="C309" s="35">
        <v>-7.04862543618255</v>
      </c>
      <c r="D309" s="35">
        <v>1.4604136634439699</v>
      </c>
      <c r="E309" s="35">
        <v>-4.8264581553971402</v>
      </c>
      <c r="F309" s="40">
        <v>1.38982578693416E-6</v>
      </c>
      <c r="G309" s="35">
        <v>5.4072031121777796E-4</v>
      </c>
      <c r="H309" s="27" t="s">
        <v>10</v>
      </c>
      <c r="I309" s="24" t="s">
        <v>2438</v>
      </c>
      <c r="J309" s="34" t="s">
        <v>5009</v>
      </c>
      <c r="L309" s="35"/>
      <c r="M309" s="35"/>
    </row>
    <row r="310" spans="1:13" x14ac:dyDescent="0.2">
      <c r="A310" s="35" t="s">
        <v>2439</v>
      </c>
      <c r="B310" s="35">
        <v>10.8564918008568</v>
      </c>
      <c r="C310" s="35">
        <v>-6.9809724158075497</v>
      </c>
      <c r="D310" s="35">
        <v>1.44726512854282</v>
      </c>
      <c r="E310" s="35">
        <v>-4.8235615424772602</v>
      </c>
      <c r="F310" s="40">
        <v>1.41017229023538E-6</v>
      </c>
      <c r="G310" s="35">
        <v>5.4658909389951695E-4</v>
      </c>
      <c r="H310" s="27" t="s">
        <v>10</v>
      </c>
      <c r="I310" s="24" t="s">
        <v>10</v>
      </c>
      <c r="J310" s="34" t="s">
        <v>10</v>
      </c>
      <c r="L310" s="35"/>
      <c r="M310" s="35"/>
    </row>
    <row r="311" spans="1:13" x14ac:dyDescent="0.2">
      <c r="A311" s="35" t="s">
        <v>2440</v>
      </c>
      <c r="B311" s="35">
        <v>399.66723378255699</v>
      </c>
      <c r="C311" s="35">
        <v>-12.182363330454301</v>
      </c>
      <c r="D311" s="35">
        <v>2.5335105171452801</v>
      </c>
      <c r="E311" s="35">
        <v>-4.8084913198549399</v>
      </c>
      <c r="F311" s="40">
        <v>1.5207363090298101E-6</v>
      </c>
      <c r="G311" s="35">
        <v>5.8291899007158004E-4</v>
      </c>
      <c r="H311" s="27" t="s">
        <v>10</v>
      </c>
      <c r="I311" s="24" t="s">
        <v>2441</v>
      </c>
      <c r="J311" s="34" t="s">
        <v>10</v>
      </c>
      <c r="L311" s="35"/>
      <c r="M311" s="35"/>
    </row>
    <row r="312" spans="1:13" x14ac:dyDescent="0.2">
      <c r="A312" s="35" t="s">
        <v>2442</v>
      </c>
      <c r="B312" s="35">
        <v>11.665032466594599</v>
      </c>
      <c r="C312" s="35">
        <v>-7.0852555141340998</v>
      </c>
      <c r="D312" s="35">
        <v>1.4746984236473399</v>
      </c>
      <c r="E312" s="35">
        <v>-4.8045453907859397</v>
      </c>
      <c r="F312" s="40">
        <v>1.55103512475189E-6</v>
      </c>
      <c r="G312" s="35">
        <v>5.9343803568683896E-4</v>
      </c>
      <c r="H312" s="27" t="s">
        <v>2299</v>
      </c>
      <c r="I312" s="24" t="s">
        <v>2443</v>
      </c>
      <c r="J312" s="34" t="s">
        <v>10</v>
      </c>
      <c r="L312" s="35"/>
      <c r="M312" s="35"/>
    </row>
    <row r="313" spans="1:13" x14ac:dyDescent="0.2">
      <c r="A313" s="35" t="s">
        <v>2444</v>
      </c>
      <c r="B313" s="35">
        <v>35.451718658476203</v>
      </c>
      <c r="C313" s="35">
        <v>-4.9534981925714803</v>
      </c>
      <c r="D313" s="35">
        <v>1.0331948507269999</v>
      </c>
      <c r="E313" s="35">
        <v>-4.7943504452098296</v>
      </c>
      <c r="F313" s="40">
        <v>1.6320276229630901E-6</v>
      </c>
      <c r="G313" s="35">
        <v>6.2213491896572501E-4</v>
      </c>
      <c r="H313" s="27" t="s">
        <v>10</v>
      </c>
      <c r="I313" s="24" t="s">
        <v>2445</v>
      </c>
      <c r="J313" s="34" t="s">
        <v>10</v>
      </c>
      <c r="L313" s="35"/>
      <c r="M313" s="35"/>
    </row>
    <row r="314" spans="1:13" x14ac:dyDescent="0.2">
      <c r="A314" s="35" t="s">
        <v>2446</v>
      </c>
      <c r="B314" s="35">
        <v>48.896536971943803</v>
      </c>
      <c r="C314" s="35">
        <v>-4.5568421774803998</v>
      </c>
      <c r="D314" s="35">
        <v>0.95159343153511</v>
      </c>
      <c r="E314" s="35">
        <v>-4.7886440011773796</v>
      </c>
      <c r="F314" s="40">
        <v>1.6791205229806601E-6</v>
      </c>
      <c r="G314" s="35">
        <v>6.3774655095497296E-4</v>
      </c>
      <c r="H314" s="27" t="s">
        <v>4941</v>
      </c>
      <c r="I314" s="34" t="s">
        <v>5116</v>
      </c>
      <c r="J314" s="34" t="s">
        <v>10</v>
      </c>
      <c r="L314" s="35"/>
      <c r="M314" s="35"/>
    </row>
    <row r="315" spans="1:13" x14ac:dyDescent="0.2">
      <c r="A315" s="35" t="s">
        <v>2447</v>
      </c>
      <c r="B315" s="35">
        <v>9.9856856875693207</v>
      </c>
      <c r="C315" s="35">
        <v>-6.8582968085404703</v>
      </c>
      <c r="D315" s="35">
        <v>1.4323979314753901</v>
      </c>
      <c r="E315" s="35">
        <v>-4.7879829046362303</v>
      </c>
      <c r="F315" s="40">
        <v>1.6846599515347999E-6</v>
      </c>
      <c r="G315" s="35">
        <v>6.3868287023916698E-4</v>
      </c>
      <c r="H315" s="27" t="s">
        <v>10</v>
      </c>
      <c r="I315" s="24" t="s">
        <v>2448</v>
      </c>
      <c r="J315" s="34" t="s">
        <v>10</v>
      </c>
      <c r="L315" s="35"/>
      <c r="M315" s="35"/>
    </row>
    <row r="316" spans="1:13" x14ac:dyDescent="0.2">
      <c r="A316" s="35" t="s">
        <v>2449</v>
      </c>
      <c r="B316" s="35">
        <v>104.190019244166</v>
      </c>
      <c r="C316" s="35">
        <v>-3.7402394339145602</v>
      </c>
      <c r="D316" s="35">
        <v>0.78130763437602102</v>
      </c>
      <c r="E316" s="35">
        <v>-4.7871533175298397</v>
      </c>
      <c r="F316" s="40">
        <v>1.69163604064698E-6</v>
      </c>
      <c r="G316" s="35">
        <v>6.4015944856221098E-4</v>
      </c>
      <c r="H316" s="27" t="s">
        <v>10</v>
      </c>
      <c r="I316" s="24" t="s">
        <v>10</v>
      </c>
      <c r="J316" s="34" t="s">
        <v>10</v>
      </c>
      <c r="L316" s="35"/>
      <c r="M316" s="35"/>
    </row>
    <row r="317" spans="1:13" x14ac:dyDescent="0.2">
      <c r="A317" s="35" t="s">
        <v>2450</v>
      </c>
      <c r="B317" s="35">
        <v>78.4879930579053</v>
      </c>
      <c r="C317" s="35">
        <v>-3.3285564518369899</v>
      </c>
      <c r="D317" s="35">
        <v>0.69579536840892797</v>
      </c>
      <c r="E317" s="35">
        <v>-4.7838151890093501</v>
      </c>
      <c r="F317" s="40">
        <v>1.7199883909932999E-6</v>
      </c>
      <c r="G317" s="35">
        <v>6.4735128289711004E-4</v>
      </c>
      <c r="H317" s="27" t="s">
        <v>10</v>
      </c>
      <c r="I317" s="24" t="s">
        <v>10</v>
      </c>
      <c r="J317" s="34" t="s">
        <v>10</v>
      </c>
      <c r="L317" s="35"/>
      <c r="M317" s="35"/>
    </row>
    <row r="318" spans="1:13" x14ac:dyDescent="0.2">
      <c r="A318" s="35" t="s">
        <v>2451</v>
      </c>
      <c r="B318" s="35">
        <v>18.7085398827533</v>
      </c>
      <c r="C318" s="35">
        <v>-7.7655142374725701</v>
      </c>
      <c r="D318" s="35">
        <v>1.6240554313128099</v>
      </c>
      <c r="E318" s="35">
        <v>-4.7815573826783098</v>
      </c>
      <c r="F318" s="40">
        <v>1.7394233506592199E-6</v>
      </c>
      <c r="G318" s="35">
        <v>6.5311995718622196E-4</v>
      </c>
      <c r="H318" s="27" t="s">
        <v>10</v>
      </c>
      <c r="I318" s="24" t="s">
        <v>10</v>
      </c>
      <c r="J318" s="34" t="s">
        <v>10</v>
      </c>
      <c r="L318" s="35"/>
      <c r="M318" s="35"/>
    </row>
    <row r="319" spans="1:13" x14ac:dyDescent="0.2">
      <c r="A319" s="35" t="s">
        <v>2452</v>
      </c>
      <c r="B319" s="35">
        <v>14682.5683911169</v>
      </c>
      <c r="C319" s="35">
        <v>-12.5428375513715</v>
      </c>
      <c r="D319" s="35">
        <v>2.6235069182126298</v>
      </c>
      <c r="E319" s="35">
        <v>-4.7809431964131397</v>
      </c>
      <c r="F319" s="40">
        <v>1.74474660774347E-6</v>
      </c>
      <c r="G319" s="35">
        <v>6.5311995718622196E-4</v>
      </c>
      <c r="H319" s="27" t="s">
        <v>10</v>
      </c>
      <c r="I319" s="24" t="s">
        <v>10</v>
      </c>
      <c r="J319" s="34" t="s">
        <v>10</v>
      </c>
      <c r="L319" s="35"/>
      <c r="M319" s="35"/>
    </row>
    <row r="320" spans="1:13" x14ac:dyDescent="0.2">
      <c r="A320" s="35" t="s">
        <v>2453</v>
      </c>
      <c r="B320" s="35">
        <v>16.299959626085101</v>
      </c>
      <c r="C320" s="35">
        <v>-7.56084416677969</v>
      </c>
      <c r="D320" s="35">
        <v>1.5832026551506899</v>
      </c>
      <c r="E320" s="35">
        <v>-4.7756641527739401</v>
      </c>
      <c r="F320" s="40">
        <v>1.7911511108992E-6</v>
      </c>
      <c r="G320" s="35">
        <v>6.6808328580964796E-4</v>
      </c>
      <c r="H320" s="27" t="s">
        <v>10</v>
      </c>
      <c r="I320" s="24" t="s">
        <v>1948</v>
      </c>
      <c r="J320" s="34" t="s">
        <v>10</v>
      </c>
      <c r="L320" s="35"/>
      <c r="M320" s="35"/>
    </row>
    <row r="321" spans="1:13" x14ac:dyDescent="0.2">
      <c r="A321" s="35" t="s">
        <v>2454</v>
      </c>
      <c r="B321" s="35">
        <v>27.493780202005102</v>
      </c>
      <c r="C321" s="35">
        <v>-2.91230353515301</v>
      </c>
      <c r="D321" s="35">
        <v>0.61187876217951997</v>
      </c>
      <c r="E321" s="35">
        <v>-4.7596087904397102</v>
      </c>
      <c r="F321" s="40">
        <v>1.9396855317406202E-6</v>
      </c>
      <c r="G321" s="35">
        <v>7.2089679308104404E-4</v>
      </c>
      <c r="H321" s="27" t="s">
        <v>10</v>
      </c>
      <c r="I321" s="24" t="s">
        <v>2455</v>
      </c>
      <c r="J321" s="34" t="s">
        <v>5023</v>
      </c>
      <c r="L321" s="35"/>
      <c r="M321" s="35"/>
    </row>
    <row r="322" spans="1:13" x14ac:dyDescent="0.2">
      <c r="A322" s="35" t="s">
        <v>2456</v>
      </c>
      <c r="B322" s="35">
        <v>38.0762835894907</v>
      </c>
      <c r="C322" s="35">
        <v>-4.5327439261315501</v>
      </c>
      <c r="D322" s="35">
        <v>0.95345251885083604</v>
      </c>
      <c r="E322" s="35">
        <v>-4.7540321479193501</v>
      </c>
      <c r="F322" s="40">
        <v>1.9939931022905201E-6</v>
      </c>
      <c r="G322" s="35">
        <v>7.3843855786001698E-4</v>
      </c>
      <c r="H322" s="27" t="s">
        <v>379</v>
      </c>
      <c r="I322" s="24" t="s">
        <v>380</v>
      </c>
      <c r="J322" s="34" t="s">
        <v>4041</v>
      </c>
      <c r="L322" s="35"/>
      <c r="M322" s="35"/>
    </row>
    <row r="323" spans="1:13" x14ac:dyDescent="0.2">
      <c r="A323" s="35" t="s">
        <v>2457</v>
      </c>
      <c r="B323" s="35">
        <v>9.2507861981864608</v>
      </c>
      <c r="C323" s="35">
        <v>-6.7452202342924998</v>
      </c>
      <c r="D323" s="35">
        <v>1.4200272617776299</v>
      </c>
      <c r="E323" s="35">
        <v>-4.7500639007793701</v>
      </c>
      <c r="F323" s="40">
        <v>2.0335238038077299E-6</v>
      </c>
      <c r="G323" s="35">
        <v>7.5040279109037198E-4</v>
      </c>
      <c r="H323" s="27" t="s">
        <v>10</v>
      </c>
      <c r="I323" s="24" t="s">
        <v>2458</v>
      </c>
      <c r="J323" s="34" t="s">
        <v>10</v>
      </c>
      <c r="L323" s="35"/>
      <c r="M323" s="35"/>
    </row>
    <row r="324" spans="1:13" x14ac:dyDescent="0.2">
      <c r="A324" s="35" t="s">
        <v>2459</v>
      </c>
      <c r="B324" s="35">
        <v>63.916564712762003</v>
      </c>
      <c r="C324" s="35">
        <v>-2.3300149541823898</v>
      </c>
      <c r="D324" s="35">
        <v>0.49127420656078902</v>
      </c>
      <c r="E324" s="35">
        <v>-4.7427992820829701</v>
      </c>
      <c r="F324" s="40">
        <v>2.1078509266095201E-6</v>
      </c>
      <c r="G324" s="35">
        <v>7.7244032553060898E-4</v>
      </c>
      <c r="H324" s="27" t="s">
        <v>299</v>
      </c>
      <c r="I324" s="24" t="s">
        <v>2460</v>
      </c>
      <c r="J324" s="34" t="s">
        <v>5050</v>
      </c>
      <c r="L324" s="35"/>
      <c r="M324" s="35"/>
    </row>
    <row r="325" spans="1:13" x14ac:dyDescent="0.2">
      <c r="A325" s="35" t="s">
        <v>2461</v>
      </c>
      <c r="B325" s="35">
        <v>18.611263974125201</v>
      </c>
      <c r="C325" s="35">
        <v>-7.7627941366141098</v>
      </c>
      <c r="D325" s="35">
        <v>1.6367624459608201</v>
      </c>
      <c r="E325" s="35">
        <v>-4.7427738556508503</v>
      </c>
      <c r="F325" s="40">
        <v>2.1081155999145899E-6</v>
      </c>
      <c r="G325" s="35">
        <v>7.7244032553060898E-4</v>
      </c>
      <c r="H325" s="27" t="s">
        <v>10</v>
      </c>
      <c r="I325" s="24" t="s">
        <v>2462</v>
      </c>
      <c r="J325" s="34" t="s">
        <v>10</v>
      </c>
      <c r="L325" s="35"/>
      <c r="M325" s="35"/>
    </row>
    <row r="326" spans="1:13" x14ac:dyDescent="0.2">
      <c r="A326" s="35" t="s">
        <v>2463</v>
      </c>
      <c r="B326" s="35">
        <v>14.904807747314401</v>
      </c>
      <c r="C326" s="35">
        <v>-7.4307583754674598</v>
      </c>
      <c r="D326" s="35">
        <v>1.5682041435410801</v>
      </c>
      <c r="E326" s="35">
        <v>-4.7383871583762396</v>
      </c>
      <c r="F326" s="40">
        <v>2.1542593379834701E-6</v>
      </c>
      <c r="G326" s="35">
        <v>7.8519351407385001E-4</v>
      </c>
      <c r="H326" s="27" t="s">
        <v>382</v>
      </c>
      <c r="I326" s="24" t="s">
        <v>2464</v>
      </c>
      <c r="J326" s="34" t="s">
        <v>5046</v>
      </c>
      <c r="L326" s="35"/>
      <c r="M326" s="35"/>
    </row>
    <row r="327" spans="1:13" x14ac:dyDescent="0.2">
      <c r="A327" s="35" t="s">
        <v>2465</v>
      </c>
      <c r="B327" s="35">
        <v>37.202452938980599</v>
      </c>
      <c r="C327" s="35">
        <v>-3.5493311165874299</v>
      </c>
      <c r="D327" s="35">
        <v>0.74956032605652501</v>
      </c>
      <c r="E327" s="35">
        <v>-4.7352174244075096</v>
      </c>
      <c r="F327" s="40">
        <v>2.1882038729703399E-6</v>
      </c>
      <c r="G327" s="35">
        <v>7.9476827089407503E-4</v>
      </c>
      <c r="H327" s="27" t="s">
        <v>10</v>
      </c>
      <c r="I327" s="24" t="s">
        <v>2466</v>
      </c>
      <c r="J327" s="34" t="s">
        <v>10</v>
      </c>
      <c r="L327" s="35"/>
      <c r="M327" s="35"/>
    </row>
    <row r="328" spans="1:13" x14ac:dyDescent="0.2">
      <c r="A328" s="35" t="s">
        <v>2467</v>
      </c>
      <c r="B328" s="35">
        <v>63.481303882339503</v>
      </c>
      <c r="C328" s="35">
        <v>-3.5035232759244201</v>
      </c>
      <c r="D328" s="35">
        <v>0.73990570250529697</v>
      </c>
      <c r="E328" s="35">
        <v>-4.7350943019652396</v>
      </c>
      <c r="F328" s="40">
        <v>2.1895326948452899E-6</v>
      </c>
      <c r="G328" s="35">
        <v>7.9476827089407503E-4</v>
      </c>
      <c r="H328" s="27" t="s">
        <v>10</v>
      </c>
      <c r="I328" s="24" t="s">
        <v>10</v>
      </c>
      <c r="J328" s="34" t="s">
        <v>10</v>
      </c>
      <c r="L328" s="35"/>
      <c r="M328" s="35"/>
    </row>
    <row r="329" spans="1:13" x14ac:dyDescent="0.2">
      <c r="A329" s="35" t="s">
        <v>2468</v>
      </c>
      <c r="B329" s="35">
        <v>9.0453834133990902</v>
      </c>
      <c r="C329" s="35">
        <v>-6.7198606404569201</v>
      </c>
      <c r="D329" s="35">
        <v>1.4192948313900999</v>
      </c>
      <c r="E329" s="35">
        <v>-4.7346474402892502</v>
      </c>
      <c r="F329" s="40">
        <v>2.1943620459821601E-6</v>
      </c>
      <c r="G329" s="35">
        <v>7.9476827089407503E-4</v>
      </c>
      <c r="H329" s="27" t="s">
        <v>10</v>
      </c>
      <c r="I329" s="24" t="s">
        <v>2469</v>
      </c>
      <c r="J329" s="34" t="s">
        <v>10</v>
      </c>
      <c r="L329" s="35"/>
      <c r="M329" s="35"/>
    </row>
    <row r="330" spans="1:13" x14ac:dyDescent="0.2">
      <c r="A330" s="35" t="s">
        <v>2470</v>
      </c>
      <c r="B330" s="35">
        <v>23.192145974488501</v>
      </c>
      <c r="C330" s="35">
        <v>-4.6053474315354199</v>
      </c>
      <c r="D330" s="35">
        <v>0.972718557925075</v>
      </c>
      <c r="E330" s="35">
        <v>-4.7345117393042999</v>
      </c>
      <c r="F330" s="40">
        <v>2.1958306257975699E-6</v>
      </c>
      <c r="G330" s="35">
        <v>7.9476827089407503E-4</v>
      </c>
      <c r="H330" s="27" t="s">
        <v>10</v>
      </c>
      <c r="I330" s="24" t="s">
        <v>10</v>
      </c>
      <c r="J330" s="34" t="s">
        <v>10</v>
      </c>
      <c r="L330" s="35"/>
      <c r="M330" s="35"/>
    </row>
    <row r="331" spans="1:13" x14ac:dyDescent="0.2">
      <c r="A331" s="35" t="s">
        <v>2471</v>
      </c>
      <c r="B331" s="35">
        <v>11.40502138792</v>
      </c>
      <c r="C331" s="35">
        <v>-7.05202725346384</v>
      </c>
      <c r="D331" s="35">
        <v>1.49029908296417</v>
      </c>
      <c r="E331" s="35">
        <v>-4.7319543667956498</v>
      </c>
      <c r="F331" s="40">
        <v>2.22368410369702E-6</v>
      </c>
      <c r="G331" s="35">
        <v>7.9920159662491802E-4</v>
      </c>
      <c r="H331" s="27" t="s">
        <v>10</v>
      </c>
      <c r="I331" s="24" t="s">
        <v>2472</v>
      </c>
      <c r="J331" s="34" t="s">
        <v>10</v>
      </c>
      <c r="L331" s="35"/>
      <c r="M331" s="35"/>
    </row>
    <row r="332" spans="1:13" x14ac:dyDescent="0.2">
      <c r="A332" s="35" t="s">
        <v>2473</v>
      </c>
      <c r="B332" s="35">
        <v>11.5046152297903</v>
      </c>
      <c r="C332" s="35">
        <v>-7.0584240247589198</v>
      </c>
      <c r="D332" s="35">
        <v>1.49171792239598</v>
      </c>
      <c r="E332" s="35">
        <v>-4.7317417849493602</v>
      </c>
      <c r="F332" s="40">
        <v>2.2260146388794899E-6</v>
      </c>
      <c r="G332" s="35">
        <v>7.9920159662491802E-4</v>
      </c>
      <c r="H332" s="27" t="s">
        <v>10</v>
      </c>
      <c r="I332" s="24" t="s">
        <v>2474</v>
      </c>
      <c r="J332" s="34" t="s">
        <v>10</v>
      </c>
      <c r="L332" s="35"/>
      <c r="M332" s="35"/>
    </row>
    <row r="333" spans="1:13" x14ac:dyDescent="0.2">
      <c r="A333" s="35" t="s">
        <v>2475</v>
      </c>
      <c r="B333" s="35">
        <v>18.9178007557576</v>
      </c>
      <c r="C333" s="35">
        <v>-6.7955602877941903</v>
      </c>
      <c r="D333" s="35">
        <v>1.4362005806484399</v>
      </c>
      <c r="E333" s="35">
        <v>-4.7316234092636202</v>
      </c>
      <c r="F333" s="40">
        <v>2.2273134082569298E-6</v>
      </c>
      <c r="G333" s="35">
        <v>7.9920159662491802E-4</v>
      </c>
      <c r="H333" s="27" t="s">
        <v>10</v>
      </c>
      <c r="I333" s="24" t="s">
        <v>2477</v>
      </c>
      <c r="J333" s="34" t="s">
        <v>10</v>
      </c>
      <c r="L333" s="35"/>
      <c r="M333" s="35"/>
    </row>
    <row r="334" spans="1:13" x14ac:dyDescent="0.2">
      <c r="A334" s="35" t="s">
        <v>2478</v>
      </c>
      <c r="B334" s="35">
        <v>13.7480290837751</v>
      </c>
      <c r="C334" s="35">
        <v>-6.3472254546735201</v>
      </c>
      <c r="D334" s="35">
        <v>1.34292318456589</v>
      </c>
      <c r="E334" s="35">
        <v>-4.7264248079277298</v>
      </c>
      <c r="F334" s="40">
        <v>2.28507351644581E-6</v>
      </c>
      <c r="G334" s="35">
        <v>8.1631478329254395E-4</v>
      </c>
      <c r="H334" s="27" t="s">
        <v>10</v>
      </c>
      <c r="I334" s="24" t="s">
        <v>10</v>
      </c>
      <c r="J334" s="34" t="s">
        <v>10</v>
      </c>
      <c r="L334" s="35"/>
      <c r="M334" s="35"/>
    </row>
    <row r="335" spans="1:13" x14ac:dyDescent="0.2">
      <c r="A335" s="35" t="s">
        <v>2479</v>
      </c>
      <c r="B335" s="35">
        <v>11.5537409489224</v>
      </c>
      <c r="C335" s="35">
        <v>-7.06587773751325</v>
      </c>
      <c r="D335" s="35">
        <v>1.49499012441599</v>
      </c>
      <c r="E335" s="35">
        <v>-4.72637084494019</v>
      </c>
      <c r="F335" s="40">
        <v>2.2856805593049499E-6</v>
      </c>
      <c r="G335" s="35">
        <v>8.1631478329254395E-4</v>
      </c>
      <c r="H335" s="27" t="s">
        <v>10</v>
      </c>
      <c r="I335" s="24" t="s">
        <v>2480</v>
      </c>
      <c r="J335" s="34" t="s">
        <v>10</v>
      </c>
      <c r="L335" s="35"/>
      <c r="M335" s="35"/>
    </row>
    <row r="336" spans="1:13" x14ac:dyDescent="0.2">
      <c r="A336" s="35" t="s">
        <v>2481</v>
      </c>
      <c r="B336" s="35">
        <v>31.814868511088399</v>
      </c>
      <c r="C336" s="35">
        <v>-3.5589999031451698</v>
      </c>
      <c r="D336" s="35">
        <v>0.75310664314874398</v>
      </c>
      <c r="E336" s="35">
        <v>-4.7257582116989001</v>
      </c>
      <c r="F336" s="40">
        <v>2.2925830875211201E-6</v>
      </c>
      <c r="G336" s="35">
        <v>8.1697751617673697E-4</v>
      </c>
      <c r="H336" s="27" t="s">
        <v>10</v>
      </c>
      <c r="I336" s="24" t="s">
        <v>10</v>
      </c>
      <c r="J336" s="34" t="s">
        <v>10</v>
      </c>
      <c r="L336" s="35"/>
      <c r="M336" s="35"/>
    </row>
    <row r="337" spans="1:13" x14ac:dyDescent="0.2">
      <c r="A337" s="35" t="s">
        <v>2482</v>
      </c>
      <c r="B337" s="35">
        <v>47.789069378977302</v>
      </c>
      <c r="C337" s="35">
        <v>-2.7605853251549801</v>
      </c>
      <c r="D337" s="35">
        <v>0.58428554965370205</v>
      </c>
      <c r="E337" s="35">
        <v>-4.72471949167858</v>
      </c>
      <c r="F337" s="40">
        <v>2.3043320891219901E-6</v>
      </c>
      <c r="G337" s="35">
        <v>8.1975824915689701E-4</v>
      </c>
      <c r="H337" s="27" t="s">
        <v>10</v>
      </c>
      <c r="I337" s="24" t="s">
        <v>2483</v>
      </c>
      <c r="J337" s="34" t="s">
        <v>10</v>
      </c>
      <c r="L337" s="35"/>
      <c r="M337" s="35"/>
    </row>
    <row r="338" spans="1:13" x14ac:dyDescent="0.2">
      <c r="A338" s="35" t="s">
        <v>2484</v>
      </c>
      <c r="B338" s="35">
        <v>75.7870996640752</v>
      </c>
      <c r="C338" s="35">
        <v>-3.37898905436849</v>
      </c>
      <c r="D338" s="35">
        <v>0.71543629806329001</v>
      </c>
      <c r="E338" s="35">
        <v>-4.7229768233950704</v>
      </c>
      <c r="F338" s="40">
        <v>2.3241734487587301E-6</v>
      </c>
      <c r="G338" s="35">
        <v>8.2540338294071597E-4</v>
      </c>
      <c r="H338" s="27" t="s">
        <v>10</v>
      </c>
      <c r="I338" s="24" t="s">
        <v>10</v>
      </c>
      <c r="J338" s="34" t="s">
        <v>10</v>
      </c>
      <c r="L338" s="35"/>
      <c r="M338" s="35"/>
    </row>
    <row r="339" spans="1:13" x14ac:dyDescent="0.2">
      <c r="A339" s="35" t="s">
        <v>2485</v>
      </c>
      <c r="B339" s="35">
        <v>24.379237845039899</v>
      </c>
      <c r="C339" s="35">
        <v>-5.7225039609804202</v>
      </c>
      <c r="D339" s="35">
        <v>1.21282664405964</v>
      </c>
      <c r="E339" s="35">
        <v>-4.7183197936893402</v>
      </c>
      <c r="F339" s="40">
        <v>2.3780048011431599E-6</v>
      </c>
      <c r="G339" s="35">
        <v>8.4021218616717305E-4</v>
      </c>
      <c r="H339" s="27" t="s">
        <v>10</v>
      </c>
      <c r="I339" s="24" t="s">
        <v>10</v>
      </c>
      <c r="J339" s="34" t="s">
        <v>10</v>
      </c>
      <c r="L339" s="35"/>
      <c r="M339" s="35"/>
    </row>
    <row r="340" spans="1:13" x14ac:dyDescent="0.2">
      <c r="A340" s="35" t="s">
        <v>2486</v>
      </c>
      <c r="B340" s="35">
        <v>20.6149574479292</v>
      </c>
      <c r="C340" s="35">
        <v>-6.1019219621615699</v>
      </c>
      <c r="D340" s="35">
        <v>1.2941280548351499</v>
      </c>
      <c r="E340" s="35">
        <v>-4.71508359575658</v>
      </c>
      <c r="F340" s="40">
        <v>2.4161153151311099E-6</v>
      </c>
      <c r="G340" s="35">
        <v>8.5222827404138899E-4</v>
      </c>
      <c r="H340" s="27" t="s">
        <v>923</v>
      </c>
      <c r="I340" s="24" t="s">
        <v>2487</v>
      </c>
      <c r="J340" s="34" t="s">
        <v>4097</v>
      </c>
    </row>
    <row r="341" spans="1:13" x14ac:dyDescent="0.2">
      <c r="A341" s="35" t="s">
        <v>2488</v>
      </c>
      <c r="B341" s="35">
        <v>17.658097392351699</v>
      </c>
      <c r="C341" s="35">
        <v>-5.8592444354761</v>
      </c>
      <c r="D341" s="35">
        <v>1.24352601432884</v>
      </c>
      <c r="E341" s="35">
        <v>-4.7117988429365196</v>
      </c>
      <c r="F341" s="40">
        <v>2.4553969099318399E-6</v>
      </c>
      <c r="G341" s="35">
        <v>8.6169500070911896E-4</v>
      </c>
      <c r="H341" s="27" t="s">
        <v>2317</v>
      </c>
      <c r="I341" s="24" t="s">
        <v>2318</v>
      </c>
      <c r="J341" s="34" t="s">
        <v>5095</v>
      </c>
    </row>
    <row r="342" spans="1:13" x14ac:dyDescent="0.2">
      <c r="A342" s="35" t="s">
        <v>2489</v>
      </c>
      <c r="B342" s="35">
        <v>13.427553735976099</v>
      </c>
      <c r="C342" s="35">
        <v>-6.3091130834981799</v>
      </c>
      <c r="D342" s="35">
        <v>1.3406351988143199</v>
      </c>
      <c r="E342" s="35">
        <v>-4.7060625359367299</v>
      </c>
      <c r="F342" s="40">
        <v>2.5254707637388098E-6</v>
      </c>
      <c r="G342" s="35">
        <v>8.8479208092971499E-4</v>
      </c>
      <c r="H342" s="27" t="s">
        <v>10</v>
      </c>
      <c r="I342" s="24" t="s">
        <v>2490</v>
      </c>
      <c r="J342" s="34" t="s">
        <v>10</v>
      </c>
    </row>
    <row r="343" spans="1:13" x14ac:dyDescent="0.2">
      <c r="A343" s="35" t="s">
        <v>2491</v>
      </c>
      <c r="B343" s="35">
        <v>8.8043262735400294</v>
      </c>
      <c r="C343" s="35">
        <v>-6.6757172349970597</v>
      </c>
      <c r="D343" s="35">
        <v>1.4188617270870401</v>
      </c>
      <c r="E343" s="35">
        <v>-4.7049808360836503</v>
      </c>
      <c r="F343" s="40">
        <v>2.5388980215939301E-6</v>
      </c>
      <c r="G343" s="35">
        <v>8.8714049122104997E-4</v>
      </c>
      <c r="H343" s="27" t="s">
        <v>10</v>
      </c>
      <c r="I343" s="24" t="s">
        <v>2492</v>
      </c>
      <c r="J343" s="34" t="s">
        <v>10</v>
      </c>
    </row>
    <row r="344" spans="1:13" x14ac:dyDescent="0.2">
      <c r="A344" s="35" t="s">
        <v>2493</v>
      </c>
      <c r="B344" s="35">
        <v>8.7520407572181007</v>
      </c>
      <c r="C344" s="35">
        <v>-6.6681493990904404</v>
      </c>
      <c r="D344" s="35">
        <v>1.4172971974616899</v>
      </c>
      <c r="E344" s="35">
        <v>-4.7048349570102701</v>
      </c>
      <c r="F344" s="40">
        <v>2.5407140697574302E-6</v>
      </c>
      <c r="G344" s="35">
        <v>8.8714049122104997E-4</v>
      </c>
      <c r="H344" s="27" t="s">
        <v>10</v>
      </c>
      <c r="I344" s="24" t="s">
        <v>2494</v>
      </c>
      <c r="J344" s="34" t="s">
        <v>10</v>
      </c>
    </row>
    <row r="345" spans="1:13" x14ac:dyDescent="0.2">
      <c r="A345" s="35" t="s">
        <v>2495</v>
      </c>
      <c r="B345" s="35">
        <v>11.770361575210799</v>
      </c>
      <c r="C345" s="35">
        <v>-7.0941259933321499</v>
      </c>
      <c r="D345" s="35">
        <v>1.5081794787493901</v>
      </c>
      <c r="E345" s="35">
        <v>-4.7037677499860298</v>
      </c>
      <c r="F345" s="40">
        <v>2.55403770539852E-6</v>
      </c>
      <c r="G345" s="35">
        <v>8.9029640523955703E-4</v>
      </c>
      <c r="H345" s="27" t="s">
        <v>10</v>
      </c>
      <c r="I345" s="24" t="s">
        <v>2496</v>
      </c>
      <c r="J345" s="34" t="s">
        <v>10</v>
      </c>
    </row>
    <row r="346" spans="1:13" x14ac:dyDescent="0.2">
      <c r="A346" s="35" t="s">
        <v>2497</v>
      </c>
      <c r="B346" s="35">
        <v>15.0312224701463</v>
      </c>
      <c r="C346" s="35">
        <v>-5.6177541069632904</v>
      </c>
      <c r="D346" s="35">
        <v>1.19455141593376</v>
      </c>
      <c r="E346" s="35">
        <v>-4.7028148240667997</v>
      </c>
      <c r="F346" s="40">
        <v>2.56599124489288E-6</v>
      </c>
      <c r="G346" s="35">
        <v>8.9296495322272297E-4</v>
      </c>
      <c r="H346" s="27" t="s">
        <v>10</v>
      </c>
      <c r="I346" s="24" t="s">
        <v>2498</v>
      </c>
      <c r="J346" s="34" t="s">
        <v>10</v>
      </c>
    </row>
    <row r="347" spans="1:13" x14ac:dyDescent="0.2">
      <c r="A347" s="35" t="s">
        <v>2499</v>
      </c>
      <c r="B347" s="35">
        <v>10.841024450550799</v>
      </c>
      <c r="C347" s="35">
        <v>-6.9838231857685296</v>
      </c>
      <c r="D347" s="35">
        <v>1.4877800612493299</v>
      </c>
      <c r="E347" s="35">
        <v>-4.6941233907275404</v>
      </c>
      <c r="F347" s="40">
        <v>2.6775239013321999E-6</v>
      </c>
      <c r="G347" s="35">
        <v>9.30220159941759E-4</v>
      </c>
      <c r="H347" s="27" t="s">
        <v>10</v>
      </c>
      <c r="I347" s="24" t="s">
        <v>2500</v>
      </c>
      <c r="J347" s="34" t="s">
        <v>10</v>
      </c>
    </row>
    <row r="348" spans="1:13" x14ac:dyDescent="0.2">
      <c r="A348" s="35" t="s">
        <v>2501</v>
      </c>
      <c r="B348" s="35">
        <v>10.217520972172901</v>
      </c>
      <c r="C348" s="35">
        <v>-6.8888415883114904</v>
      </c>
      <c r="D348" s="35">
        <v>1.4698304357810901</v>
      </c>
      <c r="E348" s="35">
        <v>-4.68682741941634</v>
      </c>
      <c r="F348" s="40">
        <v>2.7747275590054202E-6</v>
      </c>
      <c r="G348" s="35">
        <v>9.6077716458121704E-4</v>
      </c>
      <c r="H348" s="27" t="s">
        <v>10</v>
      </c>
      <c r="I348" s="24" t="s">
        <v>10</v>
      </c>
      <c r="J348" s="34" t="s">
        <v>10</v>
      </c>
    </row>
    <row r="349" spans="1:13" x14ac:dyDescent="0.2">
      <c r="A349" s="35" t="s">
        <v>2502</v>
      </c>
      <c r="B349" s="35">
        <v>10.5057819442476</v>
      </c>
      <c r="C349" s="35">
        <v>-6.9403364994935401</v>
      </c>
      <c r="D349" s="35">
        <v>1.4813675954268599</v>
      </c>
      <c r="E349" s="35">
        <v>-4.6850872942806898</v>
      </c>
      <c r="F349" s="40">
        <v>2.7984063724809699E-6</v>
      </c>
      <c r="G349" s="35">
        <v>9.6575700053348203E-4</v>
      </c>
      <c r="H349" s="27" t="s">
        <v>2503</v>
      </c>
      <c r="I349" s="24" t="s">
        <v>2504</v>
      </c>
      <c r="J349" s="34" t="s">
        <v>5031</v>
      </c>
    </row>
    <row r="350" spans="1:13" x14ac:dyDescent="0.2">
      <c r="A350" s="35" t="s">
        <v>2505</v>
      </c>
      <c r="B350" s="35">
        <v>43.807023366760198</v>
      </c>
      <c r="C350" s="35">
        <v>-3.31083519762548</v>
      </c>
      <c r="D350" s="35">
        <v>0.706735089685542</v>
      </c>
      <c r="E350" s="35">
        <v>-4.6846905522953701</v>
      </c>
      <c r="F350" s="40">
        <v>2.8038321331784302E-6</v>
      </c>
      <c r="G350" s="35">
        <v>9.6602479048195496E-4</v>
      </c>
      <c r="H350" s="27" t="s">
        <v>10</v>
      </c>
      <c r="I350" s="24" t="s">
        <v>10</v>
      </c>
      <c r="J350" s="34" t="s">
        <v>10</v>
      </c>
    </row>
    <row r="351" spans="1:13" x14ac:dyDescent="0.2">
      <c r="A351" s="35" t="s">
        <v>4425</v>
      </c>
      <c r="B351" s="35">
        <v>10.070797397415999</v>
      </c>
      <c r="C351" s="35">
        <v>-6.8750280332935301</v>
      </c>
      <c r="D351" s="35">
        <v>1.4706889353257599</v>
      </c>
      <c r="E351" s="35">
        <v>-4.6746989578531704</v>
      </c>
      <c r="F351" s="40">
        <v>2.9438512303780399E-6</v>
      </c>
      <c r="G351" s="35">
        <v>1.0125873447324801E-3</v>
      </c>
      <c r="H351" s="27" t="s">
        <v>10</v>
      </c>
      <c r="I351" s="24" t="s">
        <v>10</v>
      </c>
      <c r="J351" s="34" t="s">
        <v>10</v>
      </c>
    </row>
    <row r="352" spans="1:13" x14ac:dyDescent="0.2">
      <c r="A352" s="35" t="s">
        <v>4426</v>
      </c>
      <c r="B352" s="35">
        <v>30.679820809040599</v>
      </c>
      <c r="C352" s="35">
        <v>-6.1290228277041896</v>
      </c>
      <c r="D352" s="35">
        <v>1.3133790211280001</v>
      </c>
      <c r="E352" s="35">
        <v>-4.66660631021825</v>
      </c>
      <c r="F352" s="40">
        <v>3.0621524334247801E-6</v>
      </c>
      <c r="G352" s="35">
        <v>1.0463495739450599E-3</v>
      </c>
      <c r="H352" s="27" t="s">
        <v>10</v>
      </c>
      <c r="I352" s="24" t="s">
        <v>10</v>
      </c>
      <c r="J352" s="34" t="s">
        <v>10</v>
      </c>
    </row>
    <row r="353" spans="1:10" x14ac:dyDescent="0.2">
      <c r="A353" s="35" t="s">
        <v>4427</v>
      </c>
      <c r="B353" s="35">
        <v>9.6248428567511706</v>
      </c>
      <c r="C353" s="35">
        <v>-6.8081278905633598</v>
      </c>
      <c r="D353" s="35">
        <v>1.46027511223969</v>
      </c>
      <c r="E353" s="35">
        <v>-4.6622227780910599</v>
      </c>
      <c r="F353" s="40">
        <v>3.1281230292671501E-6</v>
      </c>
      <c r="G353" s="35">
        <v>1.0671368276985601E-3</v>
      </c>
      <c r="H353" s="27" t="s">
        <v>10</v>
      </c>
      <c r="I353" s="24" t="s">
        <v>10</v>
      </c>
      <c r="J353" s="34" t="s">
        <v>10</v>
      </c>
    </row>
    <row r="354" spans="1:10" x14ac:dyDescent="0.2">
      <c r="A354" s="35" t="s">
        <v>4428</v>
      </c>
      <c r="B354" s="35">
        <v>11.7077693363413</v>
      </c>
      <c r="C354" s="35">
        <v>-7.08209878367499</v>
      </c>
      <c r="D354" s="35">
        <v>1.51980173778967</v>
      </c>
      <c r="E354" s="35">
        <v>-4.6598833305552603</v>
      </c>
      <c r="F354" s="40">
        <v>3.1638866411864201E-6</v>
      </c>
      <c r="G354" s="35">
        <v>1.07580430937205E-3</v>
      </c>
      <c r="H354" s="27" t="s">
        <v>10</v>
      </c>
      <c r="I354" s="24" t="s">
        <v>10</v>
      </c>
      <c r="J354" s="34" t="s">
        <v>10</v>
      </c>
    </row>
    <row r="355" spans="1:10" x14ac:dyDescent="0.2">
      <c r="A355" s="35" t="s">
        <v>4429</v>
      </c>
      <c r="B355" s="35">
        <v>20.2998239250356</v>
      </c>
      <c r="C355" s="35">
        <v>-4.9997449938914702</v>
      </c>
      <c r="D355" s="35">
        <v>1.07398254751971</v>
      </c>
      <c r="E355" s="35">
        <v>-4.6553316955085204</v>
      </c>
      <c r="F355" s="40">
        <v>3.2345954185648702E-6</v>
      </c>
      <c r="G355" s="35">
        <v>1.09447329931492E-3</v>
      </c>
      <c r="H355" s="27" t="s">
        <v>10</v>
      </c>
      <c r="I355" s="34" t="s">
        <v>5177</v>
      </c>
      <c r="J355" s="34" t="s">
        <v>10</v>
      </c>
    </row>
    <row r="356" spans="1:10" x14ac:dyDescent="0.2">
      <c r="A356" s="35" t="s">
        <v>4430</v>
      </c>
      <c r="B356" s="35">
        <v>34.499531624192798</v>
      </c>
      <c r="C356" s="35">
        <v>-5.0413020388387197</v>
      </c>
      <c r="D356" s="35">
        <v>1.0831674435944301</v>
      </c>
      <c r="E356" s="35">
        <v>-4.6542222706670699</v>
      </c>
      <c r="F356" s="40">
        <v>3.25205847527233E-6</v>
      </c>
      <c r="G356" s="35">
        <v>1.0985929440466299E-3</v>
      </c>
      <c r="H356" s="27" t="s">
        <v>10</v>
      </c>
      <c r="I356" s="24" t="s">
        <v>10</v>
      </c>
      <c r="J356" s="34" t="s">
        <v>10</v>
      </c>
    </row>
    <row r="357" spans="1:10" x14ac:dyDescent="0.2">
      <c r="A357" s="35" t="s">
        <v>4431</v>
      </c>
      <c r="B357" s="35">
        <v>125.154372527574</v>
      </c>
      <c r="C357" s="35">
        <v>-2.4131364089937</v>
      </c>
      <c r="D357" s="35">
        <v>0.51862231909036005</v>
      </c>
      <c r="E357" s="35">
        <v>-4.6529744674818998</v>
      </c>
      <c r="F357" s="40">
        <v>3.2718077389474899E-6</v>
      </c>
      <c r="G357" s="35">
        <v>1.1034702737220401E-3</v>
      </c>
      <c r="H357" s="27" t="s">
        <v>10</v>
      </c>
      <c r="I357" s="24" t="s">
        <v>10</v>
      </c>
      <c r="J357" s="34" t="s">
        <v>10</v>
      </c>
    </row>
    <row r="358" spans="1:10" x14ac:dyDescent="0.2">
      <c r="A358" s="35" t="s">
        <v>4432</v>
      </c>
      <c r="B358" s="35">
        <v>133.41845439416801</v>
      </c>
      <c r="C358" s="35">
        <v>-3.5009822436784201</v>
      </c>
      <c r="D358" s="35">
        <v>0.75273314408283598</v>
      </c>
      <c r="E358" s="35">
        <v>-4.6510270886825102</v>
      </c>
      <c r="F358" s="40">
        <v>3.3028593629582199E-6</v>
      </c>
      <c r="G358" s="35">
        <v>1.1121375199525899E-3</v>
      </c>
      <c r="H358" s="27" t="s">
        <v>10</v>
      </c>
      <c r="I358" s="24" t="s">
        <v>10</v>
      </c>
      <c r="J358" s="34" t="s">
        <v>10</v>
      </c>
    </row>
    <row r="359" spans="1:10" x14ac:dyDescent="0.2">
      <c r="A359" s="35" t="s">
        <v>4433</v>
      </c>
      <c r="B359" s="35">
        <v>107.393557372403</v>
      </c>
      <c r="C359" s="35">
        <v>-3.7382853984257798</v>
      </c>
      <c r="D359" s="35">
        <v>0.80391035187424598</v>
      </c>
      <c r="E359" s="35">
        <v>-4.6501272059879497</v>
      </c>
      <c r="F359" s="40">
        <v>3.3173035945368102E-6</v>
      </c>
      <c r="G359" s="35">
        <v>1.11481582762727E-3</v>
      </c>
      <c r="H359" s="27" t="s">
        <v>10</v>
      </c>
      <c r="I359" s="24" t="s">
        <v>10</v>
      </c>
      <c r="J359" s="34" t="s">
        <v>10</v>
      </c>
    </row>
    <row r="360" spans="1:10" x14ac:dyDescent="0.2">
      <c r="A360" s="35" t="s">
        <v>4434</v>
      </c>
      <c r="B360" s="35">
        <v>66.412841611357294</v>
      </c>
      <c r="C360" s="35">
        <v>-2.9131553803846799</v>
      </c>
      <c r="D360" s="35">
        <v>0.626503398757841</v>
      </c>
      <c r="E360" s="35">
        <v>-4.6498636498390198</v>
      </c>
      <c r="F360" s="40">
        <v>3.3215454538077398E-6</v>
      </c>
      <c r="G360" s="35">
        <v>1.11481582762727E-3</v>
      </c>
      <c r="H360" s="27" t="s">
        <v>10</v>
      </c>
      <c r="I360" s="34" t="s">
        <v>3140</v>
      </c>
      <c r="J360" s="34" t="s">
        <v>10</v>
      </c>
    </row>
    <row r="361" spans="1:10" x14ac:dyDescent="0.2">
      <c r="A361" s="35" t="s">
        <v>4435</v>
      </c>
      <c r="B361" s="35">
        <v>165.69606230415101</v>
      </c>
      <c r="C361" s="35">
        <v>-3.4863611460691999</v>
      </c>
      <c r="D361" s="35">
        <v>0.75012987965870603</v>
      </c>
      <c r="E361" s="35">
        <v>-4.6476766765448998</v>
      </c>
      <c r="F361" s="40">
        <v>3.3569453832908402E-6</v>
      </c>
      <c r="G361" s="35">
        <v>1.12487991137254E-3</v>
      </c>
      <c r="H361" s="27" t="s">
        <v>10</v>
      </c>
      <c r="I361" s="24" t="s">
        <v>10</v>
      </c>
      <c r="J361" s="34" t="s">
        <v>10</v>
      </c>
    </row>
    <row r="362" spans="1:10" x14ac:dyDescent="0.2">
      <c r="A362" s="35" t="s">
        <v>4436</v>
      </c>
      <c r="B362" s="35">
        <v>19.440631915946799</v>
      </c>
      <c r="C362" s="35">
        <v>-7.8204873890752697</v>
      </c>
      <c r="D362" s="35">
        <v>1.68296238730522</v>
      </c>
      <c r="E362" s="35">
        <v>-4.6468580926502501</v>
      </c>
      <c r="F362" s="40">
        <v>3.37028840218818E-6</v>
      </c>
      <c r="G362" s="35">
        <v>1.12571967409165E-3</v>
      </c>
      <c r="H362" s="27" t="s">
        <v>10</v>
      </c>
      <c r="I362" s="24" t="s">
        <v>10</v>
      </c>
      <c r="J362" s="34" t="s">
        <v>10</v>
      </c>
    </row>
    <row r="363" spans="1:10" x14ac:dyDescent="0.2">
      <c r="A363" s="35" t="s">
        <v>4437</v>
      </c>
      <c r="B363" s="35">
        <v>43.043795141609699</v>
      </c>
      <c r="C363" s="35">
        <v>-2.2100792891704102</v>
      </c>
      <c r="D363" s="35">
        <v>0.47571685304390998</v>
      </c>
      <c r="E363" s="35">
        <v>-4.6457872472439297</v>
      </c>
      <c r="F363" s="40">
        <v>3.3878201158176801E-6</v>
      </c>
      <c r="G363" s="35">
        <v>1.12975915887932E-3</v>
      </c>
      <c r="H363" s="27" t="s">
        <v>10</v>
      </c>
      <c r="I363" s="24" t="s">
        <v>10</v>
      </c>
      <c r="J363" s="34" t="s">
        <v>10</v>
      </c>
    </row>
    <row r="364" spans="1:10" x14ac:dyDescent="0.2">
      <c r="A364" s="35" t="s">
        <v>4438</v>
      </c>
      <c r="B364" s="35">
        <v>125.389986449494</v>
      </c>
      <c r="C364" s="35">
        <v>-3.40264030634044</v>
      </c>
      <c r="D364" s="35">
        <v>0.73273905395793104</v>
      </c>
      <c r="E364" s="35">
        <v>-4.6437272422711597</v>
      </c>
      <c r="F364" s="40">
        <v>3.4217924437374699E-6</v>
      </c>
      <c r="G364" s="35">
        <v>1.13925947266205E-3</v>
      </c>
      <c r="H364" s="27" t="s">
        <v>10</v>
      </c>
      <c r="I364" s="34" t="s">
        <v>862</v>
      </c>
      <c r="J364" s="34" t="s">
        <v>3064</v>
      </c>
    </row>
    <row r="365" spans="1:10" x14ac:dyDescent="0.2">
      <c r="A365" s="35" t="s">
        <v>4439</v>
      </c>
      <c r="B365" s="35">
        <v>135.837455426091</v>
      </c>
      <c r="C365" s="35">
        <v>-3.9731969692325801</v>
      </c>
      <c r="D365" s="35">
        <v>0.85611017648364696</v>
      </c>
      <c r="E365" s="35">
        <v>-4.6409878989547</v>
      </c>
      <c r="F365" s="40">
        <v>3.4674743342508201E-6</v>
      </c>
      <c r="G365" s="35">
        <v>1.14894513203606E-3</v>
      </c>
      <c r="H365" s="27" t="s">
        <v>10</v>
      </c>
      <c r="I365" s="24" t="s">
        <v>10</v>
      </c>
      <c r="J365" s="34" t="s">
        <v>10</v>
      </c>
    </row>
    <row r="366" spans="1:10" x14ac:dyDescent="0.2">
      <c r="A366" s="35" t="s">
        <v>4440</v>
      </c>
      <c r="B366" s="35">
        <v>8.4920296785434797</v>
      </c>
      <c r="C366" s="35">
        <v>-6.6230602913867704</v>
      </c>
      <c r="D366" s="35">
        <v>1.4279809371874801</v>
      </c>
      <c r="E366" s="35">
        <v>-4.6380593178165199</v>
      </c>
      <c r="F366" s="40">
        <v>3.5169586089528601E-6</v>
      </c>
      <c r="G366" s="35">
        <v>1.15921434204112E-3</v>
      </c>
      <c r="H366" s="27" t="s">
        <v>10</v>
      </c>
      <c r="I366" s="24" t="s">
        <v>10</v>
      </c>
      <c r="J366" s="34" t="s">
        <v>10</v>
      </c>
    </row>
    <row r="367" spans="1:10" x14ac:dyDescent="0.2">
      <c r="A367" s="35" t="s">
        <v>4441</v>
      </c>
      <c r="B367" s="35">
        <v>8.6210372247580107</v>
      </c>
      <c r="C367" s="35">
        <v>-6.6454740353602402</v>
      </c>
      <c r="D367" s="35">
        <v>1.43288296163283</v>
      </c>
      <c r="E367" s="35">
        <v>-4.6378345010031001</v>
      </c>
      <c r="F367" s="40">
        <v>3.5207851991179299E-6</v>
      </c>
      <c r="G367" s="35">
        <v>1.15921434204112E-3</v>
      </c>
      <c r="H367" s="27" t="s">
        <v>4977</v>
      </c>
      <c r="I367" s="34" t="s">
        <v>5147</v>
      </c>
      <c r="J367" s="34" t="s">
        <v>10</v>
      </c>
    </row>
    <row r="368" spans="1:10" x14ac:dyDescent="0.2">
      <c r="A368" s="35" t="s">
        <v>4442</v>
      </c>
      <c r="B368" s="35">
        <v>141.03041046237399</v>
      </c>
      <c r="C368" s="35">
        <v>-2.0456396447798602</v>
      </c>
      <c r="D368" s="35">
        <v>0.441261920653716</v>
      </c>
      <c r="E368" s="35">
        <v>-4.6358852849783698</v>
      </c>
      <c r="F368" s="40">
        <v>3.5541304336736802E-6</v>
      </c>
      <c r="G368" s="35">
        <v>1.1645832280385701E-3</v>
      </c>
      <c r="H368" s="27" t="s">
        <v>10</v>
      </c>
      <c r="I368" s="24" t="s">
        <v>10</v>
      </c>
      <c r="J368" s="34" t="s">
        <v>10</v>
      </c>
    </row>
    <row r="369" spans="1:10" x14ac:dyDescent="0.2">
      <c r="A369" s="35" t="s">
        <v>4443</v>
      </c>
      <c r="B369" s="35">
        <v>8.6733227410799394</v>
      </c>
      <c r="C369" s="35">
        <v>-6.6532329821649503</v>
      </c>
      <c r="D369" s="35">
        <v>1.4352560234487</v>
      </c>
      <c r="E369" s="35">
        <v>-4.6355722417929801</v>
      </c>
      <c r="F369" s="40">
        <v>3.5595138037144199E-6</v>
      </c>
      <c r="G369" s="35">
        <v>1.1645832280385701E-3</v>
      </c>
      <c r="H369" s="27" t="s">
        <v>10</v>
      </c>
      <c r="I369" s="24" t="s">
        <v>10</v>
      </c>
      <c r="J369" s="34" t="s">
        <v>10</v>
      </c>
    </row>
    <row r="370" spans="1:10" x14ac:dyDescent="0.2">
      <c r="A370" s="35" t="s">
        <v>4444</v>
      </c>
      <c r="B370" s="35">
        <v>8.5670084141813092</v>
      </c>
      <c r="C370" s="35">
        <v>-6.6344380852394602</v>
      </c>
      <c r="D370" s="35">
        <v>1.4342673118523399</v>
      </c>
      <c r="E370" s="35">
        <v>-4.6256635917269602</v>
      </c>
      <c r="F370" s="40">
        <v>3.7340094525319699E-6</v>
      </c>
      <c r="G370" s="35">
        <v>1.2104030002515001E-3</v>
      </c>
      <c r="H370" s="27" t="s">
        <v>10</v>
      </c>
      <c r="I370" s="24" t="s">
        <v>10</v>
      </c>
      <c r="J370" s="34" t="s">
        <v>10</v>
      </c>
    </row>
    <row r="371" spans="1:10" x14ac:dyDescent="0.2">
      <c r="A371" s="35" t="s">
        <v>4445</v>
      </c>
      <c r="B371" s="35">
        <v>43.443546107602899</v>
      </c>
      <c r="C371" s="35">
        <v>-2.80978890540666</v>
      </c>
      <c r="D371" s="35">
        <v>0.60867387906052695</v>
      </c>
      <c r="E371" s="35">
        <v>-4.6162468968497503</v>
      </c>
      <c r="F371" s="40">
        <v>3.9074205192002899E-6</v>
      </c>
      <c r="G371" s="35">
        <v>1.25276243423916E-3</v>
      </c>
      <c r="H371" s="27" t="s">
        <v>3103</v>
      </c>
      <c r="I371" s="34" t="s">
        <v>5148</v>
      </c>
      <c r="J371" s="34" t="s">
        <v>5027</v>
      </c>
    </row>
    <row r="372" spans="1:10" x14ac:dyDescent="0.2">
      <c r="A372" s="35" t="s">
        <v>4446</v>
      </c>
      <c r="B372" s="35">
        <v>8.6058225664427699</v>
      </c>
      <c r="C372" s="35">
        <v>-6.6499120200493502</v>
      </c>
      <c r="D372" s="35">
        <v>1.44143849180122</v>
      </c>
      <c r="E372" s="35">
        <v>-4.6133859043403502</v>
      </c>
      <c r="F372" s="40">
        <v>3.9616177338984802E-6</v>
      </c>
      <c r="G372" s="35">
        <v>1.26285515194125E-3</v>
      </c>
      <c r="H372" s="27" t="s">
        <v>10</v>
      </c>
      <c r="I372" s="24" t="s">
        <v>10</v>
      </c>
      <c r="J372" s="34" t="s">
        <v>10</v>
      </c>
    </row>
    <row r="373" spans="1:10" x14ac:dyDescent="0.2">
      <c r="A373" s="35" t="s">
        <v>4447</v>
      </c>
      <c r="B373" s="35">
        <v>254.00338676726099</v>
      </c>
      <c r="C373" s="35">
        <v>-7.2744857266061498</v>
      </c>
      <c r="D373" s="35">
        <v>1.5770114113581299</v>
      </c>
      <c r="E373" s="35">
        <v>-4.6128301128406601</v>
      </c>
      <c r="F373" s="40">
        <v>3.9722296195547903E-6</v>
      </c>
      <c r="G373" s="35">
        <v>1.26285515194125E-3</v>
      </c>
      <c r="H373" s="27" t="s">
        <v>4979</v>
      </c>
      <c r="I373" s="34" t="s">
        <v>5153</v>
      </c>
      <c r="J373" s="34" t="s">
        <v>5081</v>
      </c>
    </row>
    <row r="374" spans="1:10" x14ac:dyDescent="0.2">
      <c r="A374" s="35" t="s">
        <v>4448</v>
      </c>
      <c r="B374" s="35">
        <v>9.4392310304038194</v>
      </c>
      <c r="C374" s="35">
        <v>-6.7727416449224398</v>
      </c>
      <c r="D374" s="35">
        <v>1.46839334830035</v>
      </c>
      <c r="E374" s="35">
        <v>-4.6123483552699502</v>
      </c>
      <c r="F374" s="40">
        <v>3.9814499919208996E-6</v>
      </c>
      <c r="G374" s="35">
        <v>1.26285515194125E-3</v>
      </c>
      <c r="H374" s="27" t="s">
        <v>10</v>
      </c>
      <c r="I374" s="24" t="s">
        <v>10</v>
      </c>
      <c r="J374" s="34" t="s">
        <v>10</v>
      </c>
    </row>
    <row r="375" spans="1:10" x14ac:dyDescent="0.2">
      <c r="A375" s="35" t="s">
        <v>4449</v>
      </c>
      <c r="B375" s="35">
        <v>16.712539550130799</v>
      </c>
      <c r="C375" s="35">
        <v>-4.3915472181232502</v>
      </c>
      <c r="D375" s="35">
        <v>0.95229293057221498</v>
      </c>
      <c r="E375" s="35">
        <v>-4.6115507919232899</v>
      </c>
      <c r="F375" s="40">
        <v>3.99675968698354E-6</v>
      </c>
      <c r="G375" s="35">
        <v>1.26577866696487E-3</v>
      </c>
      <c r="H375" s="27" t="s">
        <v>10</v>
      </c>
      <c r="I375" s="24" t="s">
        <v>10</v>
      </c>
      <c r="J375" s="34" t="s">
        <v>10</v>
      </c>
    </row>
    <row r="376" spans="1:10" x14ac:dyDescent="0.2">
      <c r="A376" s="35" t="s">
        <v>4450</v>
      </c>
      <c r="B376" s="35">
        <v>18.8612285143194</v>
      </c>
      <c r="C376" s="35">
        <v>-5.4370112965967099</v>
      </c>
      <c r="D376" s="35">
        <v>1.1800704608270201</v>
      </c>
      <c r="E376" s="35">
        <v>-4.6073615746523497</v>
      </c>
      <c r="F376" s="40">
        <v>4.07810512595573E-6</v>
      </c>
      <c r="G376" s="35">
        <v>1.28957505106249E-3</v>
      </c>
      <c r="H376" s="27" t="s">
        <v>10</v>
      </c>
      <c r="I376" s="24" t="s">
        <v>10</v>
      </c>
      <c r="J376" s="34" t="s">
        <v>10</v>
      </c>
    </row>
    <row r="377" spans="1:10" x14ac:dyDescent="0.2">
      <c r="A377" s="35" t="s">
        <v>4451</v>
      </c>
      <c r="B377" s="35">
        <v>15.813600463299601</v>
      </c>
      <c r="C377" s="35">
        <v>-6.5442732057251201</v>
      </c>
      <c r="D377" s="35">
        <v>1.4228024202577201</v>
      </c>
      <c r="E377" s="35">
        <v>-4.5995656969291199</v>
      </c>
      <c r="F377" s="40">
        <v>4.2337266156687396E-6</v>
      </c>
      <c r="G377" s="35">
        <v>1.3246718475374601E-3</v>
      </c>
      <c r="H377" s="27" t="s">
        <v>10</v>
      </c>
      <c r="I377" s="24" t="s">
        <v>10</v>
      </c>
      <c r="J377" s="34" t="s">
        <v>10</v>
      </c>
    </row>
    <row r="378" spans="1:10" x14ac:dyDescent="0.2">
      <c r="A378" s="35" t="s">
        <v>4452</v>
      </c>
      <c r="B378" s="35">
        <v>8.4452267369766592</v>
      </c>
      <c r="C378" s="35">
        <v>-6.6225640007420203</v>
      </c>
      <c r="D378" s="35">
        <v>1.4436543085712099</v>
      </c>
      <c r="E378" s="35">
        <v>-4.5873613658219998</v>
      </c>
      <c r="F378" s="40">
        <v>4.48883314836177E-6</v>
      </c>
      <c r="G378" s="35">
        <v>1.3960808676213301E-3</v>
      </c>
      <c r="H378" s="27" t="s">
        <v>10</v>
      </c>
      <c r="I378" s="24" t="s">
        <v>10</v>
      </c>
      <c r="J378" s="34" t="s">
        <v>10</v>
      </c>
    </row>
    <row r="379" spans="1:10" x14ac:dyDescent="0.2">
      <c r="A379" s="35" t="s">
        <v>4453</v>
      </c>
      <c r="B379" s="35">
        <v>8.75004477097254</v>
      </c>
      <c r="C379" s="35">
        <v>-6.6676035088538796</v>
      </c>
      <c r="D379" s="35">
        <v>1.4552329044150201</v>
      </c>
      <c r="E379" s="35">
        <v>-4.5818119481940602</v>
      </c>
      <c r="F379" s="40">
        <v>4.6096433188460204E-6</v>
      </c>
      <c r="G379" s="35">
        <v>1.4315112964875499E-3</v>
      </c>
      <c r="H379" s="27" t="s">
        <v>10</v>
      </c>
      <c r="I379" s="24" t="s">
        <v>10</v>
      </c>
      <c r="J379" s="34" t="s">
        <v>10</v>
      </c>
    </row>
    <row r="380" spans="1:10" x14ac:dyDescent="0.2">
      <c r="A380" s="35" t="s">
        <v>4454</v>
      </c>
      <c r="B380" s="35">
        <v>9.4625037330302799</v>
      </c>
      <c r="C380" s="35">
        <v>-6.7812582061828399</v>
      </c>
      <c r="D380" s="35">
        <v>1.4806158214187199</v>
      </c>
      <c r="E380" s="35">
        <v>-4.5800254921530499</v>
      </c>
      <c r="F380" s="40">
        <v>4.6491925990489901E-6</v>
      </c>
      <c r="G380" s="35">
        <v>1.44163829493735E-3</v>
      </c>
      <c r="H380" s="27" t="s">
        <v>10</v>
      </c>
      <c r="I380" s="24" t="s">
        <v>10</v>
      </c>
      <c r="J380" s="34" t="s">
        <v>10</v>
      </c>
    </row>
    <row r="381" spans="1:10" x14ac:dyDescent="0.2">
      <c r="A381" s="35" t="s">
        <v>4455</v>
      </c>
      <c r="B381" s="35">
        <v>10.45026737573</v>
      </c>
      <c r="C381" s="35">
        <v>-6.9188030450381097</v>
      </c>
      <c r="D381" s="35">
        <v>1.51118056887742</v>
      </c>
      <c r="E381" s="35">
        <v>-4.5784092169592503</v>
      </c>
      <c r="F381" s="40">
        <v>4.6852542437761303E-6</v>
      </c>
      <c r="G381" s="35">
        <v>1.4441983392729299E-3</v>
      </c>
      <c r="H381" s="27" t="s">
        <v>10</v>
      </c>
      <c r="I381" s="24" t="s">
        <v>10</v>
      </c>
      <c r="J381" s="34" t="s">
        <v>10</v>
      </c>
    </row>
    <row r="382" spans="1:10" x14ac:dyDescent="0.2">
      <c r="A382" s="45" t="s">
        <v>4456</v>
      </c>
      <c r="B382" s="45">
        <v>28.646195001589199</v>
      </c>
      <c r="C382" s="45">
        <v>-2.4519188135300301</v>
      </c>
      <c r="D382" s="45">
        <v>0.53568972909368495</v>
      </c>
      <c r="E382" s="45">
        <v>-4.5771249295340199</v>
      </c>
      <c r="F382" s="46">
        <v>4.7140995971950501E-6</v>
      </c>
      <c r="G382" s="45">
        <v>1.4509370013553399E-3</v>
      </c>
      <c r="H382" s="50" t="s">
        <v>164</v>
      </c>
      <c r="I382" s="50" t="s">
        <v>5141</v>
      </c>
      <c r="J382" s="50" t="s">
        <v>10</v>
      </c>
    </row>
    <row r="383" spans="1:10" x14ac:dyDescent="0.2">
      <c r="A383" s="35" t="s">
        <v>4457</v>
      </c>
      <c r="B383" s="35">
        <v>13.845893063189999</v>
      </c>
      <c r="C383" s="35">
        <v>-6.3439229995973001</v>
      </c>
      <c r="D383" s="35">
        <v>1.38652694946458</v>
      </c>
      <c r="E383" s="35">
        <v>-4.5754054777277</v>
      </c>
      <c r="F383" s="40">
        <v>4.7529852584633996E-6</v>
      </c>
      <c r="G383" s="35">
        <v>1.4607414280433701E-3</v>
      </c>
      <c r="H383" s="27" t="s">
        <v>10</v>
      </c>
      <c r="I383" s="24" t="s">
        <v>10</v>
      </c>
      <c r="J383" s="34" t="s">
        <v>10</v>
      </c>
    </row>
    <row r="384" spans="1:10" x14ac:dyDescent="0.2">
      <c r="A384" s="35" t="s">
        <v>4458</v>
      </c>
      <c r="B384" s="35">
        <v>8.4069920680257493</v>
      </c>
      <c r="C384" s="35">
        <v>-6.6140001744753203</v>
      </c>
      <c r="D384" s="35">
        <v>1.4465985872613401</v>
      </c>
      <c r="E384" s="35">
        <v>-4.5721046824722498</v>
      </c>
      <c r="F384" s="40">
        <v>4.8284959236913696E-6</v>
      </c>
      <c r="G384" s="35">
        <v>1.47521911635651E-3</v>
      </c>
      <c r="H384" s="27" t="s">
        <v>10</v>
      </c>
      <c r="I384" s="24" t="s">
        <v>10</v>
      </c>
      <c r="J384" s="34" t="s">
        <v>10</v>
      </c>
    </row>
    <row r="385" spans="1:10" x14ac:dyDescent="0.2">
      <c r="A385" s="35" t="s">
        <v>4459</v>
      </c>
      <c r="B385" s="35">
        <v>92.828486218276595</v>
      </c>
      <c r="C385" s="35">
        <v>-2.2260313029213399</v>
      </c>
      <c r="D385" s="35">
        <v>0.48703602021822101</v>
      </c>
      <c r="E385" s="35">
        <v>-4.5705681110073799</v>
      </c>
      <c r="F385" s="40">
        <v>4.8640379753650599E-6</v>
      </c>
      <c r="G385" s="35">
        <v>1.48221058133988E-3</v>
      </c>
      <c r="H385" s="27" t="s">
        <v>10</v>
      </c>
      <c r="I385" s="24" t="s">
        <v>10</v>
      </c>
      <c r="J385" s="34" t="s">
        <v>10</v>
      </c>
    </row>
    <row r="386" spans="1:10" x14ac:dyDescent="0.2">
      <c r="A386" s="35" t="s">
        <v>4460</v>
      </c>
      <c r="B386" s="35">
        <v>9.9167738543202599</v>
      </c>
      <c r="C386" s="35">
        <v>-6.8465123890017399</v>
      </c>
      <c r="D386" s="35">
        <v>1.49797927173362</v>
      </c>
      <c r="E386" s="35">
        <v>-4.5704987500115601</v>
      </c>
      <c r="F386" s="40">
        <v>4.8656482434865699E-6</v>
      </c>
      <c r="G386" s="35">
        <v>1.48221058133988E-3</v>
      </c>
      <c r="H386" s="27" t="s">
        <v>242</v>
      </c>
      <c r="I386" s="34" t="s">
        <v>243</v>
      </c>
      <c r="J386" s="34" t="s">
        <v>3053</v>
      </c>
    </row>
    <row r="387" spans="1:10" x14ac:dyDescent="0.2">
      <c r="A387" s="35" t="s">
        <v>4461</v>
      </c>
      <c r="B387" s="35">
        <v>64.118854635518403</v>
      </c>
      <c r="C387" s="35">
        <v>-3.6508588041335899</v>
      </c>
      <c r="D387" s="35">
        <v>0.79938105151524397</v>
      </c>
      <c r="E387" s="35">
        <v>-4.5671070101215303</v>
      </c>
      <c r="F387" s="40">
        <v>4.9450159752462504E-6</v>
      </c>
      <c r="G387" s="35">
        <v>1.5029754378112299E-3</v>
      </c>
      <c r="H387" s="27" t="s">
        <v>10</v>
      </c>
      <c r="I387" s="24" t="s">
        <v>10</v>
      </c>
      <c r="J387" s="34" t="s">
        <v>10</v>
      </c>
    </row>
    <row r="388" spans="1:10" x14ac:dyDescent="0.2">
      <c r="A388" s="35" t="s">
        <v>4462</v>
      </c>
      <c r="B388" s="35">
        <v>250.26582777448999</v>
      </c>
      <c r="C388" s="35">
        <v>-2.3010803344731898</v>
      </c>
      <c r="D388" s="35">
        <v>0.50465768097031705</v>
      </c>
      <c r="E388" s="35">
        <v>-4.5596855477337597</v>
      </c>
      <c r="F388" s="40">
        <v>5.1230274523688201E-6</v>
      </c>
      <c r="G388" s="35">
        <v>1.54925719271374E-3</v>
      </c>
      <c r="H388" s="27" t="s">
        <v>4941</v>
      </c>
      <c r="I388" s="34" t="s">
        <v>5179</v>
      </c>
      <c r="J388" s="34" t="s">
        <v>10</v>
      </c>
    </row>
    <row r="389" spans="1:10" x14ac:dyDescent="0.2">
      <c r="A389" s="35" t="s">
        <v>4463</v>
      </c>
      <c r="B389" s="35">
        <v>8.1222917837896507</v>
      </c>
      <c r="C389" s="35">
        <v>-6.5628787388552201</v>
      </c>
      <c r="D389" s="35">
        <v>1.4397098843865399</v>
      </c>
      <c r="E389" s="35">
        <v>-4.5584730715741903</v>
      </c>
      <c r="F389" s="40">
        <v>5.1526869685026403E-6</v>
      </c>
      <c r="G389" s="35">
        <v>1.5559616770759201E-3</v>
      </c>
      <c r="H389" s="27" t="s">
        <v>10</v>
      </c>
      <c r="I389" s="24" t="s">
        <v>10</v>
      </c>
      <c r="J389" s="34" t="s">
        <v>10</v>
      </c>
    </row>
    <row r="390" spans="1:10" x14ac:dyDescent="0.2">
      <c r="A390" s="35" t="s">
        <v>4464</v>
      </c>
      <c r="B390" s="35">
        <v>8.2547118191847506</v>
      </c>
      <c r="C390" s="35">
        <v>-6.5802768721956797</v>
      </c>
      <c r="D390" s="35">
        <v>1.44568567252199</v>
      </c>
      <c r="E390" s="35">
        <v>-4.5516649969397598</v>
      </c>
      <c r="F390" s="40">
        <v>5.32230342416614E-6</v>
      </c>
      <c r="G390" s="35">
        <v>1.59756387527619E-3</v>
      </c>
      <c r="H390" s="27" t="s">
        <v>4959</v>
      </c>
      <c r="I390" s="34" t="s">
        <v>5131</v>
      </c>
      <c r="J390" s="34" t="s">
        <v>5056</v>
      </c>
    </row>
    <row r="391" spans="1:10" x14ac:dyDescent="0.2">
      <c r="A391" s="35" t="s">
        <v>4465</v>
      </c>
      <c r="B391" s="35">
        <v>67.970530002521002</v>
      </c>
      <c r="C391" s="35">
        <v>-9.6269050567749197</v>
      </c>
      <c r="D391" s="35">
        <v>2.1156651710279601</v>
      </c>
      <c r="E391" s="35">
        <v>-4.5502970832087799</v>
      </c>
      <c r="F391" s="40">
        <v>5.3570226392895398E-6</v>
      </c>
      <c r="G391" s="35">
        <v>1.60367953234616E-3</v>
      </c>
      <c r="H391" s="27" t="s">
        <v>10</v>
      </c>
      <c r="I391" s="24" t="s">
        <v>10</v>
      </c>
      <c r="J391" s="34" t="s">
        <v>10</v>
      </c>
    </row>
    <row r="392" spans="1:10" x14ac:dyDescent="0.2">
      <c r="A392" s="35" t="s">
        <v>4466</v>
      </c>
      <c r="B392" s="35">
        <v>98.922624793244097</v>
      </c>
      <c r="C392" s="35">
        <v>-3.31599327975864</v>
      </c>
      <c r="D392" s="35">
        <v>0.72919883499319604</v>
      </c>
      <c r="E392" s="35">
        <v>-4.5474473087845499</v>
      </c>
      <c r="F392" s="40">
        <v>5.4300509061047902E-6</v>
      </c>
      <c r="G392" s="35">
        <v>1.6162258682646199E-3</v>
      </c>
      <c r="H392" s="27" t="s">
        <v>10</v>
      </c>
      <c r="I392" s="24" t="s">
        <v>10</v>
      </c>
      <c r="J392" s="34" t="s">
        <v>10</v>
      </c>
    </row>
    <row r="393" spans="1:10" x14ac:dyDescent="0.2">
      <c r="A393" s="35" t="s">
        <v>4467</v>
      </c>
      <c r="B393" s="35">
        <v>15.375372549888599</v>
      </c>
      <c r="C393" s="35">
        <v>-7.4787089560304398</v>
      </c>
      <c r="D393" s="35">
        <v>1.6460574065462701</v>
      </c>
      <c r="E393" s="35">
        <v>-4.5434071292338096</v>
      </c>
      <c r="F393" s="40">
        <v>5.5352197830255002E-6</v>
      </c>
      <c r="G393" s="35">
        <v>1.6343447820180001E-3</v>
      </c>
      <c r="H393" s="27" t="s">
        <v>10</v>
      </c>
      <c r="I393" s="24" t="s">
        <v>10</v>
      </c>
      <c r="J393" s="34" t="s">
        <v>10</v>
      </c>
    </row>
    <row r="394" spans="1:10" x14ac:dyDescent="0.2">
      <c r="A394" s="35" t="s">
        <v>4468</v>
      </c>
      <c r="B394" s="35">
        <v>50.874896721973201</v>
      </c>
      <c r="C394" s="35">
        <v>-5.0402922588057502</v>
      </c>
      <c r="D394" s="35">
        <v>1.10946472633273</v>
      </c>
      <c r="E394" s="35">
        <v>-4.5429945983646798</v>
      </c>
      <c r="F394" s="40">
        <v>5.5460673201213199E-6</v>
      </c>
      <c r="G394" s="35">
        <v>1.6343447820180001E-3</v>
      </c>
      <c r="H394" s="27" t="s">
        <v>10</v>
      </c>
      <c r="I394" s="24" t="s">
        <v>10</v>
      </c>
      <c r="J394" s="34" t="s">
        <v>10</v>
      </c>
    </row>
    <row r="395" spans="1:10" x14ac:dyDescent="0.2">
      <c r="A395" s="35" t="s">
        <v>4469</v>
      </c>
      <c r="B395" s="35">
        <v>41.856637535094798</v>
      </c>
      <c r="C395" s="35">
        <v>-2.7617712961239498</v>
      </c>
      <c r="D395" s="35">
        <v>0.60803569719402895</v>
      </c>
      <c r="E395" s="35">
        <v>-4.5421203210091203</v>
      </c>
      <c r="F395" s="40">
        <v>5.5691238283019996E-6</v>
      </c>
      <c r="G395" s="35">
        <v>1.6365189392824799E-3</v>
      </c>
      <c r="H395" s="27" t="s">
        <v>10</v>
      </c>
      <c r="I395" s="24" t="s">
        <v>10</v>
      </c>
      <c r="J395" s="34" t="s">
        <v>10</v>
      </c>
    </row>
    <row r="396" spans="1:10" x14ac:dyDescent="0.2">
      <c r="A396" s="45" t="s">
        <v>4470</v>
      </c>
      <c r="B396" s="45">
        <v>10.594157944616899</v>
      </c>
      <c r="C396" s="45">
        <v>-6.9400950939326904</v>
      </c>
      <c r="D396" s="45">
        <v>1.5319652672808</v>
      </c>
      <c r="E396" s="45">
        <v>-4.5301908875853103</v>
      </c>
      <c r="F396" s="46">
        <v>5.8930417626597402E-6</v>
      </c>
      <c r="G396" s="45">
        <v>1.72196172214225E-3</v>
      </c>
      <c r="H396" s="50" t="s">
        <v>4997</v>
      </c>
      <c r="I396" s="50" t="s">
        <v>3979</v>
      </c>
      <c r="J396" s="50" t="s">
        <v>10</v>
      </c>
    </row>
    <row r="397" spans="1:10" x14ac:dyDescent="0.2">
      <c r="A397" s="35" t="s">
        <v>4471</v>
      </c>
      <c r="B397" s="35">
        <v>8.5632691336809703</v>
      </c>
      <c r="C397" s="35">
        <v>-6.63119116488273</v>
      </c>
      <c r="D397" s="35">
        <v>1.464689064139</v>
      </c>
      <c r="E397" s="35">
        <v>-4.5273712538987203</v>
      </c>
      <c r="F397" s="40">
        <v>5.9721964220945298E-6</v>
      </c>
      <c r="G397" s="35">
        <v>1.7377585992558401E-3</v>
      </c>
      <c r="H397" s="27" t="s">
        <v>10</v>
      </c>
      <c r="I397" s="24" t="s">
        <v>10</v>
      </c>
      <c r="J397" s="34" t="s">
        <v>10</v>
      </c>
    </row>
    <row r="398" spans="1:10" x14ac:dyDescent="0.2">
      <c r="A398" s="35" t="s">
        <v>4472</v>
      </c>
      <c r="B398" s="35">
        <v>7.8938689883666102</v>
      </c>
      <c r="C398" s="35">
        <v>-6.5198399738296597</v>
      </c>
      <c r="D398" s="35">
        <v>1.4409548163802099</v>
      </c>
      <c r="E398" s="35">
        <v>-4.5246664917696799</v>
      </c>
      <c r="F398" s="40">
        <v>6.0490817986826997E-6</v>
      </c>
      <c r="G398" s="35">
        <v>1.7576685848491201E-3</v>
      </c>
      <c r="H398" s="27" t="s">
        <v>10</v>
      </c>
      <c r="I398" s="24" t="s">
        <v>10</v>
      </c>
      <c r="J398" s="34" t="s">
        <v>10</v>
      </c>
    </row>
    <row r="399" spans="1:10" x14ac:dyDescent="0.2">
      <c r="A399" s="35" t="s">
        <v>4473</v>
      </c>
      <c r="B399" s="35">
        <v>14.7011147836237</v>
      </c>
      <c r="C399" s="35">
        <v>-5.63320328425828</v>
      </c>
      <c r="D399" s="35">
        <v>1.2461674614663301</v>
      </c>
      <c r="E399" s="35">
        <v>-4.5204223817799196</v>
      </c>
      <c r="F399" s="40">
        <v>6.1716370367163396E-6</v>
      </c>
      <c r="G399" s="35">
        <v>1.7882770211995001E-3</v>
      </c>
      <c r="H399" s="27" t="s">
        <v>10</v>
      </c>
      <c r="I399" s="24" t="s">
        <v>10</v>
      </c>
      <c r="J399" s="34" t="s">
        <v>10</v>
      </c>
    </row>
    <row r="400" spans="1:10" x14ac:dyDescent="0.2">
      <c r="A400" s="35" t="s">
        <v>4474</v>
      </c>
      <c r="B400" s="35">
        <v>19.062340281546401</v>
      </c>
      <c r="C400" s="35">
        <v>-7.7883398839592397</v>
      </c>
      <c r="D400" s="35">
        <v>1.7238883977852699</v>
      </c>
      <c r="E400" s="35">
        <v>-4.5178910038289901</v>
      </c>
      <c r="F400" s="40">
        <v>6.2458619300175899E-6</v>
      </c>
      <c r="G400" s="35">
        <v>1.8023458172289799E-3</v>
      </c>
      <c r="H400" s="27" t="s">
        <v>4996</v>
      </c>
      <c r="I400" s="34" t="s">
        <v>5175</v>
      </c>
      <c r="J400" s="34" t="s">
        <v>5097</v>
      </c>
    </row>
    <row r="401" spans="1:10" x14ac:dyDescent="0.2">
      <c r="A401" s="35" t="s">
        <v>4475</v>
      </c>
      <c r="B401" s="35">
        <v>25.632054904081201</v>
      </c>
      <c r="C401" s="35">
        <v>-2.8468853332925401</v>
      </c>
      <c r="D401" s="35">
        <v>0.63075116668745801</v>
      </c>
      <c r="E401" s="35">
        <v>-4.5134840546449402</v>
      </c>
      <c r="F401" s="40">
        <v>6.3771246251131401E-6</v>
      </c>
      <c r="G401" s="35">
        <v>1.83514188189317E-3</v>
      </c>
      <c r="H401" s="27" t="s">
        <v>10</v>
      </c>
      <c r="I401" s="24" t="s">
        <v>10</v>
      </c>
      <c r="J401" s="34" t="s">
        <v>10</v>
      </c>
    </row>
    <row r="402" spans="1:10" x14ac:dyDescent="0.2">
      <c r="A402" s="35" t="s">
        <v>4476</v>
      </c>
      <c r="B402" s="35">
        <v>43.571451771934598</v>
      </c>
      <c r="C402" s="35">
        <v>-3.3933141105038902</v>
      </c>
      <c r="D402" s="35">
        <v>0.75225982220474197</v>
      </c>
      <c r="E402" s="35">
        <v>-4.5108272572084003</v>
      </c>
      <c r="F402" s="40">
        <v>6.4575292737716599E-6</v>
      </c>
      <c r="G402" s="35">
        <v>1.85302548591396E-3</v>
      </c>
      <c r="H402" s="27" t="s">
        <v>4989</v>
      </c>
      <c r="I402" s="34" t="s">
        <v>5163</v>
      </c>
      <c r="J402" s="34" t="s">
        <v>10</v>
      </c>
    </row>
    <row r="403" spans="1:10" x14ac:dyDescent="0.2">
      <c r="A403" s="35" t="s">
        <v>4477</v>
      </c>
      <c r="B403" s="35">
        <v>8.0021793015107896</v>
      </c>
      <c r="C403" s="35">
        <v>-6.5409824499082099</v>
      </c>
      <c r="D403" s="35">
        <v>1.45098076874001</v>
      </c>
      <c r="E403" s="35">
        <v>-4.5079732211669503</v>
      </c>
      <c r="F403" s="40">
        <v>6.5449834237885298E-6</v>
      </c>
      <c r="G403" s="35">
        <v>1.87553044992084E-3</v>
      </c>
      <c r="H403" s="27" t="s">
        <v>10</v>
      </c>
      <c r="I403" s="34" t="s">
        <v>5114</v>
      </c>
      <c r="J403" s="34" t="s">
        <v>5010</v>
      </c>
    </row>
    <row r="404" spans="1:10" x14ac:dyDescent="0.2">
      <c r="A404" s="35" t="s">
        <v>4478</v>
      </c>
      <c r="B404" s="35">
        <v>7.7735038140969603</v>
      </c>
      <c r="C404" s="35">
        <v>-6.5001933319086804</v>
      </c>
      <c r="D404" s="35">
        <v>1.4426895106028801</v>
      </c>
      <c r="E404" s="35">
        <v>-4.50560795246398</v>
      </c>
      <c r="F404" s="40">
        <v>6.6183181786585803E-6</v>
      </c>
      <c r="G404" s="35">
        <v>1.89393293598539E-3</v>
      </c>
      <c r="H404" s="27" t="s">
        <v>1927</v>
      </c>
      <c r="I404" s="34" t="s">
        <v>5123</v>
      </c>
      <c r="J404" s="34" t="s">
        <v>5049</v>
      </c>
    </row>
    <row r="405" spans="1:10" x14ac:dyDescent="0.2">
      <c r="A405" s="35" t="s">
        <v>4479</v>
      </c>
      <c r="B405" s="35">
        <v>99.868638377360895</v>
      </c>
      <c r="C405" s="35">
        <v>-3.8445168136397498</v>
      </c>
      <c r="D405" s="35">
        <v>0.85383999274070699</v>
      </c>
      <c r="E405" s="35">
        <v>-4.5026197488119397</v>
      </c>
      <c r="F405" s="40">
        <v>6.7120912766435703E-6</v>
      </c>
      <c r="G405" s="35">
        <v>1.9181254955575799E-3</v>
      </c>
      <c r="H405" s="27" t="s">
        <v>10</v>
      </c>
      <c r="I405" s="24" t="s">
        <v>10</v>
      </c>
      <c r="J405" s="34" t="s">
        <v>10</v>
      </c>
    </row>
    <row r="406" spans="1:10" x14ac:dyDescent="0.2">
      <c r="A406" s="35" t="s">
        <v>4480</v>
      </c>
      <c r="B406" s="35">
        <v>8.6144649383876608</v>
      </c>
      <c r="C406" s="35">
        <v>-6.6529795198698203</v>
      </c>
      <c r="D406" s="35">
        <v>1.47792971076695</v>
      </c>
      <c r="E406" s="35">
        <v>-4.5015534036576996</v>
      </c>
      <c r="F406" s="40">
        <v>6.7458610257908497E-6</v>
      </c>
      <c r="G406" s="35">
        <v>1.92512788911292E-3</v>
      </c>
      <c r="H406" s="27" t="s">
        <v>10</v>
      </c>
      <c r="I406" s="24" t="s">
        <v>10</v>
      </c>
      <c r="J406" s="34" t="s">
        <v>10</v>
      </c>
    </row>
    <row r="407" spans="1:10" x14ac:dyDescent="0.2">
      <c r="A407" s="35" t="s">
        <v>4481</v>
      </c>
      <c r="B407" s="35">
        <v>75.573791304524505</v>
      </c>
      <c r="C407" s="35">
        <v>-4.4560956651802597</v>
      </c>
      <c r="D407" s="35">
        <v>0.99066938700373697</v>
      </c>
      <c r="E407" s="35">
        <v>-4.4980653724020296</v>
      </c>
      <c r="F407" s="40">
        <v>6.8574613734848801E-6</v>
      </c>
      <c r="G407" s="35">
        <v>1.95161471932839E-3</v>
      </c>
      <c r="H407" s="27" t="s">
        <v>4961</v>
      </c>
      <c r="I407" s="34" t="s">
        <v>5135</v>
      </c>
      <c r="J407" s="34" t="s">
        <v>10</v>
      </c>
    </row>
    <row r="408" spans="1:10" x14ac:dyDescent="0.2">
      <c r="A408" s="35" t="s">
        <v>4482</v>
      </c>
      <c r="B408" s="35">
        <v>249.85343164125899</v>
      </c>
      <c r="C408" s="35">
        <v>-2.2132296996148</v>
      </c>
      <c r="D408" s="35">
        <v>0.49217172363417899</v>
      </c>
      <c r="E408" s="35">
        <v>-4.49686480009942</v>
      </c>
      <c r="F408" s="40">
        <v>6.8962808705067999E-6</v>
      </c>
      <c r="G408" s="35">
        <v>1.9570733303846898E-3</v>
      </c>
      <c r="H408" s="27" t="s">
        <v>3864</v>
      </c>
      <c r="I408" s="34" t="s">
        <v>3996</v>
      </c>
      <c r="J408" s="34" t="s">
        <v>4092</v>
      </c>
    </row>
    <row r="409" spans="1:10" x14ac:dyDescent="0.2">
      <c r="A409" s="35" t="s">
        <v>4483</v>
      </c>
      <c r="B409" s="35">
        <v>20.285623330142499</v>
      </c>
      <c r="C409" s="35">
        <v>-5.8723007689818401</v>
      </c>
      <c r="D409" s="35">
        <v>1.30597074695846</v>
      </c>
      <c r="E409" s="35">
        <v>-4.4965025309013402</v>
      </c>
      <c r="F409" s="40">
        <v>6.9080357639154004E-6</v>
      </c>
      <c r="G409" s="35">
        <v>1.9570733303846898E-3</v>
      </c>
      <c r="H409" s="27" t="s">
        <v>10</v>
      </c>
      <c r="I409" s="24" t="s">
        <v>10</v>
      </c>
      <c r="J409" s="34" t="s">
        <v>10</v>
      </c>
    </row>
    <row r="410" spans="1:10" x14ac:dyDescent="0.2">
      <c r="A410" s="35" t="s">
        <v>4484</v>
      </c>
      <c r="B410" s="35">
        <v>39.3650547419223</v>
      </c>
      <c r="C410" s="35">
        <v>-3.0921559750177701</v>
      </c>
      <c r="D410" s="35">
        <v>0.68770983973379396</v>
      </c>
      <c r="E410" s="35">
        <v>-4.4963090483258403</v>
      </c>
      <c r="F410" s="40">
        <v>6.9143217259783798E-6</v>
      </c>
      <c r="G410" s="35">
        <v>1.9570733303846898E-3</v>
      </c>
      <c r="H410" s="27" t="s">
        <v>10</v>
      </c>
      <c r="I410" s="24" t="s">
        <v>10</v>
      </c>
      <c r="J410" s="34" t="s">
        <v>10</v>
      </c>
    </row>
    <row r="411" spans="1:10" x14ac:dyDescent="0.2">
      <c r="A411" s="35" t="s">
        <v>4485</v>
      </c>
      <c r="B411" s="35">
        <v>32.652056857271397</v>
      </c>
      <c r="C411" s="35">
        <v>-5.5509851619854098</v>
      </c>
      <c r="D411" s="35">
        <v>1.2355556132377301</v>
      </c>
      <c r="E411" s="35">
        <v>-4.4927036084108103</v>
      </c>
      <c r="F411" s="40">
        <v>7.0324628444908796E-6</v>
      </c>
      <c r="G411" s="35">
        <v>1.9824102452103802E-3</v>
      </c>
      <c r="H411" s="27" t="s">
        <v>4984</v>
      </c>
      <c r="I411" s="34" t="s">
        <v>5159</v>
      </c>
      <c r="J411" s="34" t="s">
        <v>5080</v>
      </c>
    </row>
    <row r="412" spans="1:10" x14ac:dyDescent="0.2">
      <c r="A412" s="35" t="s">
        <v>4486</v>
      </c>
      <c r="B412" s="35">
        <v>18.943107543457899</v>
      </c>
      <c r="C412" s="35">
        <v>-4.6598576629388599</v>
      </c>
      <c r="D412" s="35">
        <v>1.0380963681424</v>
      </c>
      <c r="E412" s="35">
        <v>-4.4888488255452899</v>
      </c>
      <c r="F412" s="40">
        <v>7.1609090569860202E-6</v>
      </c>
      <c r="G412" s="35">
        <v>2.0131553748892902E-3</v>
      </c>
      <c r="H412" s="27" t="s">
        <v>10</v>
      </c>
      <c r="I412" s="24" t="s">
        <v>10</v>
      </c>
      <c r="J412" s="34" t="s">
        <v>10</v>
      </c>
    </row>
    <row r="413" spans="1:10" x14ac:dyDescent="0.2">
      <c r="A413" s="35" t="s">
        <v>4487</v>
      </c>
      <c r="B413" s="35">
        <v>80.932209460903493</v>
      </c>
      <c r="C413" s="35">
        <v>-2.4369105999855099</v>
      </c>
      <c r="D413" s="35">
        <v>0.54403016195406895</v>
      </c>
      <c r="E413" s="35">
        <v>-4.47936671605214</v>
      </c>
      <c r="F413" s="40">
        <v>7.4864819396746499E-6</v>
      </c>
      <c r="G413" s="35">
        <v>2.0961745847156901E-3</v>
      </c>
      <c r="H413" s="27" t="s">
        <v>10</v>
      </c>
      <c r="I413" s="24" t="s">
        <v>10</v>
      </c>
      <c r="J413" s="34" t="s">
        <v>10</v>
      </c>
    </row>
    <row r="414" spans="1:10" x14ac:dyDescent="0.2">
      <c r="A414" s="35" t="s">
        <v>4488</v>
      </c>
      <c r="B414" s="35">
        <v>16.324007246343001</v>
      </c>
      <c r="C414" s="35">
        <v>-4.81813224106362</v>
      </c>
      <c r="D414" s="35">
        <v>1.0764638924676899</v>
      </c>
      <c r="E414" s="35">
        <v>-4.4758883923347499</v>
      </c>
      <c r="F414" s="40">
        <v>7.6094229978303699E-6</v>
      </c>
      <c r="G414" s="35">
        <v>2.1209784252282701E-3</v>
      </c>
      <c r="H414" s="27" t="s">
        <v>10</v>
      </c>
      <c r="I414" s="24" t="s">
        <v>10</v>
      </c>
      <c r="J414" s="34" t="s">
        <v>10</v>
      </c>
    </row>
    <row r="415" spans="1:10" x14ac:dyDescent="0.2">
      <c r="A415" s="35" t="s">
        <v>4489</v>
      </c>
      <c r="B415" s="35">
        <v>15.3321254518372</v>
      </c>
      <c r="C415" s="35">
        <v>-7.4816591040040104</v>
      </c>
      <c r="D415" s="35">
        <v>1.6716152190789699</v>
      </c>
      <c r="E415" s="35">
        <v>-4.4757065014796202</v>
      </c>
      <c r="F415" s="40">
        <v>7.6159047402736501E-6</v>
      </c>
      <c r="G415" s="35">
        <v>2.1209784252282701E-3</v>
      </c>
      <c r="H415" s="27" t="s">
        <v>10</v>
      </c>
      <c r="I415" s="24" t="s">
        <v>10</v>
      </c>
      <c r="J415" s="34" t="s">
        <v>10</v>
      </c>
    </row>
    <row r="416" spans="1:10" x14ac:dyDescent="0.2">
      <c r="A416" s="35" t="s">
        <v>4490</v>
      </c>
      <c r="B416" s="35">
        <v>9.0706569465942195</v>
      </c>
      <c r="C416" s="35">
        <v>-6.71524845376823</v>
      </c>
      <c r="D416" s="35">
        <v>1.50124424101917</v>
      </c>
      <c r="E416" s="35">
        <v>-4.4731218746986503</v>
      </c>
      <c r="F416" s="40">
        <v>7.7085811958417007E-6</v>
      </c>
      <c r="G416" s="35">
        <v>2.1381895793368298E-3</v>
      </c>
      <c r="H416" s="27" t="s">
        <v>10</v>
      </c>
      <c r="I416" s="24" t="s">
        <v>10</v>
      </c>
      <c r="J416" s="34" t="s">
        <v>10</v>
      </c>
    </row>
    <row r="417" spans="1:10" x14ac:dyDescent="0.2">
      <c r="A417" s="35" t="s">
        <v>4491</v>
      </c>
      <c r="B417" s="35">
        <v>18.045270288336699</v>
      </c>
      <c r="C417" s="35">
        <v>-5.0579071368202904</v>
      </c>
      <c r="D417" s="35">
        <v>1.1309643190875101</v>
      </c>
      <c r="E417" s="35">
        <v>-4.4722075236654097</v>
      </c>
      <c r="F417" s="40">
        <v>7.74162434947506E-6</v>
      </c>
      <c r="G417" s="35">
        <v>2.1394693440460401E-3</v>
      </c>
      <c r="H417" s="27" t="s">
        <v>10</v>
      </c>
      <c r="I417" s="24" t="s">
        <v>10</v>
      </c>
      <c r="J417" s="34" t="s">
        <v>10</v>
      </c>
    </row>
    <row r="418" spans="1:10" x14ac:dyDescent="0.2">
      <c r="A418" s="35" t="s">
        <v>4492</v>
      </c>
      <c r="B418" s="35">
        <v>25.758100550915799</v>
      </c>
      <c r="C418" s="35">
        <v>-7.2605281884461403</v>
      </c>
      <c r="D418" s="35">
        <v>1.6235021807377701</v>
      </c>
      <c r="E418" s="35">
        <v>-4.4721394739037299</v>
      </c>
      <c r="F418" s="40">
        <v>7.7440889636045503E-6</v>
      </c>
      <c r="G418" s="35">
        <v>2.1394693440460401E-3</v>
      </c>
      <c r="H418" s="27" t="s">
        <v>10</v>
      </c>
      <c r="I418" s="24" t="s">
        <v>10</v>
      </c>
      <c r="J418" s="34" t="s">
        <v>10</v>
      </c>
    </row>
    <row r="419" spans="1:10" x14ac:dyDescent="0.2">
      <c r="A419" s="35" t="s">
        <v>4493</v>
      </c>
      <c r="B419" s="35">
        <v>8.2406609718137407</v>
      </c>
      <c r="C419" s="35">
        <v>-6.5811350709719196</v>
      </c>
      <c r="D419" s="35">
        <v>1.47174831841581</v>
      </c>
      <c r="E419" s="35">
        <v>-4.4716443624381803</v>
      </c>
      <c r="F419" s="40">
        <v>7.7620434204549007E-6</v>
      </c>
      <c r="G419" s="35">
        <v>2.14158179662686E-3</v>
      </c>
      <c r="H419" s="27" t="s">
        <v>10</v>
      </c>
      <c r="I419" s="24" t="s">
        <v>10</v>
      </c>
      <c r="J419" s="34" t="s">
        <v>10</v>
      </c>
    </row>
    <row r="420" spans="1:10" x14ac:dyDescent="0.2">
      <c r="A420" s="35" t="s">
        <v>4494</v>
      </c>
      <c r="B420" s="35">
        <v>28.9306770191155</v>
      </c>
      <c r="C420" s="35">
        <v>-7.4193297753911498</v>
      </c>
      <c r="D420" s="35">
        <v>1.6597104710722701</v>
      </c>
      <c r="E420" s="35">
        <v>-4.4702554479865597</v>
      </c>
      <c r="F420" s="40">
        <v>7.8126229366559607E-6</v>
      </c>
      <c r="G420" s="35">
        <v>2.1526781045462799E-3</v>
      </c>
      <c r="H420" s="27" t="s">
        <v>10</v>
      </c>
      <c r="I420" s="24" t="s">
        <v>10</v>
      </c>
      <c r="J420" s="34" t="s">
        <v>10</v>
      </c>
    </row>
    <row r="421" spans="1:10" x14ac:dyDescent="0.2">
      <c r="A421" s="35" t="s">
        <v>4495</v>
      </c>
      <c r="B421" s="35">
        <v>8.5621053227367501</v>
      </c>
      <c r="C421" s="35">
        <v>-6.6349313410491702</v>
      </c>
      <c r="D421" s="35">
        <v>1.48518085593962</v>
      </c>
      <c r="E421" s="35">
        <v>-4.46742315221368</v>
      </c>
      <c r="F421" s="40">
        <v>7.9167436374790807E-6</v>
      </c>
      <c r="G421" s="35">
        <v>2.1698561888497401E-3</v>
      </c>
      <c r="H421" s="27" t="s">
        <v>10</v>
      </c>
      <c r="I421" s="24" t="s">
        <v>10</v>
      </c>
      <c r="J421" s="34" t="s">
        <v>10</v>
      </c>
    </row>
    <row r="422" spans="1:10" x14ac:dyDescent="0.2">
      <c r="A422" s="35" t="s">
        <v>4496</v>
      </c>
      <c r="B422" s="35">
        <v>7.5884714710601697</v>
      </c>
      <c r="C422" s="35">
        <v>-6.4619982463885703</v>
      </c>
      <c r="D422" s="35">
        <v>1.44670604427579</v>
      </c>
      <c r="E422" s="35">
        <v>-4.4666974828486401</v>
      </c>
      <c r="F422" s="40">
        <v>7.9436333799481802E-6</v>
      </c>
      <c r="G422" s="35">
        <v>2.1714967059006801E-3</v>
      </c>
      <c r="H422" s="27" t="s">
        <v>10</v>
      </c>
      <c r="I422" s="24" t="s">
        <v>10</v>
      </c>
      <c r="J422" s="34" t="s">
        <v>10</v>
      </c>
    </row>
    <row r="423" spans="1:10" x14ac:dyDescent="0.2">
      <c r="A423" s="35" t="s">
        <v>4497</v>
      </c>
      <c r="B423" s="35">
        <v>15.185198737800301</v>
      </c>
      <c r="C423" s="35">
        <v>-6.4736940687323701</v>
      </c>
      <c r="D423" s="35">
        <v>1.44950224872143</v>
      </c>
      <c r="E423" s="35">
        <v>-4.4661497244607098</v>
      </c>
      <c r="F423" s="40">
        <v>7.9639884200357908E-6</v>
      </c>
      <c r="G423" s="35">
        <v>2.17420023415632E-3</v>
      </c>
      <c r="H423" s="27" t="s">
        <v>10</v>
      </c>
      <c r="I423" s="24" t="s">
        <v>10</v>
      </c>
      <c r="J423" s="34" t="s">
        <v>10</v>
      </c>
    </row>
    <row r="424" spans="1:10" x14ac:dyDescent="0.2">
      <c r="A424" s="35" t="s">
        <v>4498</v>
      </c>
      <c r="B424" s="35">
        <v>7.5588791740541499</v>
      </c>
      <c r="C424" s="35">
        <v>-6.4571442549326097</v>
      </c>
      <c r="D424" s="35">
        <v>1.44712238538853</v>
      </c>
      <c r="E424" s="35">
        <v>-4.4620581646236896</v>
      </c>
      <c r="F424" s="40">
        <v>8.1176183518240802E-6</v>
      </c>
      <c r="G424" s="35">
        <v>2.2103327893860602E-3</v>
      </c>
      <c r="H424" s="27" t="s">
        <v>10</v>
      </c>
      <c r="I424" s="24" t="s">
        <v>10</v>
      </c>
      <c r="J424" s="34" t="s">
        <v>10</v>
      </c>
    </row>
    <row r="425" spans="1:10" x14ac:dyDescent="0.2">
      <c r="A425" s="35" t="s">
        <v>4499</v>
      </c>
      <c r="B425" s="35">
        <v>168.30186518949</v>
      </c>
      <c r="C425" s="35">
        <v>-5.7809151640704499</v>
      </c>
      <c r="D425" s="35">
        <v>1.2964230295221999</v>
      </c>
      <c r="E425" s="35">
        <v>-4.4591271771846097</v>
      </c>
      <c r="F425" s="40">
        <v>8.2294083234736695E-6</v>
      </c>
      <c r="G425" s="35">
        <v>2.2378389471879498E-3</v>
      </c>
      <c r="H425" s="27" t="s">
        <v>10</v>
      </c>
      <c r="I425" s="24" t="s">
        <v>10</v>
      </c>
      <c r="J425" s="34" t="s">
        <v>10</v>
      </c>
    </row>
    <row r="426" spans="1:10" x14ac:dyDescent="0.2">
      <c r="A426" s="35" t="s">
        <v>4500</v>
      </c>
      <c r="B426" s="35">
        <v>7.9062506408118303</v>
      </c>
      <c r="C426" s="35">
        <v>-6.5284576554463003</v>
      </c>
      <c r="D426" s="35">
        <v>1.4660795078142399</v>
      </c>
      <c r="E426" s="35">
        <v>-4.4530038245875998</v>
      </c>
      <c r="F426" s="40">
        <v>8.4677245673000107E-6</v>
      </c>
      <c r="G426" s="35">
        <v>2.2966326177597698E-3</v>
      </c>
      <c r="H426" s="27" t="s">
        <v>10</v>
      </c>
      <c r="I426" s="24" t="s">
        <v>10</v>
      </c>
      <c r="J426" s="34" t="s">
        <v>10</v>
      </c>
    </row>
    <row r="427" spans="1:10" x14ac:dyDescent="0.2">
      <c r="A427" s="35" t="s">
        <v>4501</v>
      </c>
      <c r="B427" s="35">
        <v>86.753712814607994</v>
      </c>
      <c r="C427" s="35">
        <v>-2.20940355643758</v>
      </c>
      <c r="D427" s="35">
        <v>0.49668384933811299</v>
      </c>
      <c r="E427" s="35">
        <v>-4.4483096428076996</v>
      </c>
      <c r="F427" s="40">
        <v>8.65487029689576E-6</v>
      </c>
      <c r="G427" s="35">
        <v>2.3443301608890199E-3</v>
      </c>
      <c r="H427" s="27" t="s">
        <v>10</v>
      </c>
      <c r="I427" s="24" t="s">
        <v>10</v>
      </c>
      <c r="J427" s="34" t="s">
        <v>10</v>
      </c>
    </row>
    <row r="428" spans="1:10" x14ac:dyDescent="0.2">
      <c r="A428" s="35" t="s">
        <v>4502</v>
      </c>
      <c r="B428" s="35">
        <v>29.296427785701301</v>
      </c>
      <c r="C428" s="35">
        <v>-7.4366676621392198</v>
      </c>
      <c r="D428" s="35">
        <v>1.67217531636489</v>
      </c>
      <c r="E428" s="35">
        <v>-4.4473014219021403</v>
      </c>
      <c r="F428" s="40">
        <v>8.6955781193560496E-6</v>
      </c>
      <c r="G428" s="35">
        <v>2.3522897496939298E-3</v>
      </c>
      <c r="H428" s="27" t="s">
        <v>10</v>
      </c>
      <c r="I428" s="24" t="s">
        <v>10</v>
      </c>
      <c r="J428" s="34" t="s">
        <v>10</v>
      </c>
    </row>
    <row r="429" spans="1:10" x14ac:dyDescent="0.2">
      <c r="A429" s="35" t="s">
        <v>4503</v>
      </c>
      <c r="B429" s="35">
        <v>14.8523339496844</v>
      </c>
      <c r="C429" s="35">
        <v>-7.4359180649075496</v>
      </c>
      <c r="D429" s="35">
        <v>1.6728157032559401</v>
      </c>
      <c r="E429" s="35">
        <v>-4.4451508019887704</v>
      </c>
      <c r="F429" s="40">
        <v>8.7830236100272096E-6</v>
      </c>
      <c r="G429" s="35">
        <v>2.3728554657019701E-3</v>
      </c>
      <c r="H429" s="27" t="s">
        <v>10</v>
      </c>
      <c r="I429" s="24" t="s">
        <v>10</v>
      </c>
      <c r="J429" s="34" t="s">
        <v>10</v>
      </c>
    </row>
    <row r="430" spans="1:10" x14ac:dyDescent="0.2">
      <c r="A430" s="35" t="s">
        <v>4504</v>
      </c>
      <c r="B430" s="35">
        <v>23.090088365522799</v>
      </c>
      <c r="C430" s="35">
        <v>-4.1818066794911504</v>
      </c>
      <c r="D430" s="35">
        <v>0.94117040545084596</v>
      </c>
      <c r="E430" s="35">
        <v>-4.4431982298550396</v>
      </c>
      <c r="F430" s="40">
        <v>8.8631436625483099E-6</v>
      </c>
      <c r="G430" s="35">
        <v>2.3882895911237199E-3</v>
      </c>
      <c r="H430" s="27" t="s">
        <v>2092</v>
      </c>
      <c r="I430" s="34" t="s">
        <v>5118</v>
      </c>
      <c r="J430" s="34" t="s">
        <v>10</v>
      </c>
    </row>
    <row r="431" spans="1:10" x14ac:dyDescent="0.2">
      <c r="A431" s="35" t="s">
        <v>4505</v>
      </c>
      <c r="B431" s="35">
        <v>7.5922107515604997</v>
      </c>
      <c r="C431" s="35">
        <v>-6.4667276000147202</v>
      </c>
      <c r="D431" s="35">
        <v>1.45571318372464</v>
      </c>
      <c r="E431" s="35">
        <v>-4.4423088780914499</v>
      </c>
      <c r="F431" s="40">
        <v>8.8998675642289197E-6</v>
      </c>
      <c r="G431" s="35">
        <v>2.3941683215933799E-3</v>
      </c>
      <c r="H431" s="27" t="s">
        <v>10</v>
      </c>
      <c r="I431" s="24" t="s">
        <v>10</v>
      </c>
      <c r="J431" s="34" t="s">
        <v>10</v>
      </c>
    </row>
    <row r="432" spans="1:10" x14ac:dyDescent="0.2">
      <c r="A432" s="35" t="s">
        <v>4506</v>
      </c>
      <c r="B432" s="35">
        <v>42.551984579103397</v>
      </c>
      <c r="C432" s="35">
        <v>-2.3385389758244002</v>
      </c>
      <c r="D432" s="35">
        <v>0.52645098617042796</v>
      </c>
      <c r="E432" s="35">
        <v>-4.4420829996647502</v>
      </c>
      <c r="F432" s="40">
        <v>8.9092178649556096E-6</v>
      </c>
      <c r="G432" s="35">
        <v>2.3941683215933799E-3</v>
      </c>
      <c r="H432" s="27" t="s">
        <v>4937</v>
      </c>
      <c r="I432" s="34" t="s">
        <v>5110</v>
      </c>
      <c r="J432" s="34" t="s">
        <v>10</v>
      </c>
    </row>
    <row r="433" spans="1:10" x14ac:dyDescent="0.2">
      <c r="A433" s="35" t="s">
        <v>4507</v>
      </c>
      <c r="B433" s="35">
        <v>29.447821545119702</v>
      </c>
      <c r="C433" s="35">
        <v>-4.9367902341402203</v>
      </c>
      <c r="D433" s="35">
        <v>1.11223308258353</v>
      </c>
      <c r="E433" s="35">
        <v>-4.4386291969241798</v>
      </c>
      <c r="F433" s="40">
        <v>9.0533633692554999E-6</v>
      </c>
      <c r="G433" s="35">
        <v>2.4212460928091199E-3</v>
      </c>
      <c r="H433" s="27" t="s">
        <v>10</v>
      </c>
      <c r="I433" s="34" t="s">
        <v>4020</v>
      </c>
      <c r="J433" s="34" t="s">
        <v>10</v>
      </c>
    </row>
    <row r="434" spans="1:10" x14ac:dyDescent="0.2">
      <c r="A434" s="35" t="s">
        <v>4508</v>
      </c>
      <c r="B434" s="35">
        <v>9.2610977650571407</v>
      </c>
      <c r="C434" s="35">
        <v>-6.7439446674045902</v>
      </c>
      <c r="D434" s="35">
        <v>1.5193919087274601</v>
      </c>
      <c r="E434" s="35">
        <v>-4.4385814013270899</v>
      </c>
      <c r="F434" s="40">
        <v>9.0553736792809207E-6</v>
      </c>
      <c r="G434" s="35">
        <v>2.4212460928091199E-3</v>
      </c>
      <c r="H434" s="27" t="s">
        <v>10</v>
      </c>
      <c r="I434" s="24" t="s">
        <v>10</v>
      </c>
      <c r="J434" s="34" t="s">
        <v>10</v>
      </c>
    </row>
    <row r="435" spans="1:10" x14ac:dyDescent="0.2">
      <c r="A435" s="35" t="s">
        <v>4509</v>
      </c>
      <c r="B435" s="35">
        <v>16.124778584521099</v>
      </c>
      <c r="C435" s="35">
        <v>-4.4141789064996004</v>
      </c>
      <c r="D435" s="35">
        <v>0.99539039661920803</v>
      </c>
      <c r="E435" s="35">
        <v>-4.43462074929809</v>
      </c>
      <c r="F435" s="40">
        <v>9.2234512379843098E-6</v>
      </c>
      <c r="G435" s="35">
        <v>2.4441675196411601E-3</v>
      </c>
      <c r="H435" s="27" t="s">
        <v>10</v>
      </c>
      <c r="I435" s="24" t="s">
        <v>10</v>
      </c>
      <c r="J435" s="34" t="s">
        <v>10</v>
      </c>
    </row>
    <row r="436" spans="1:10" x14ac:dyDescent="0.2">
      <c r="A436" s="35" t="s">
        <v>4510</v>
      </c>
      <c r="B436" s="35">
        <v>7.8990247718019502</v>
      </c>
      <c r="C436" s="35">
        <v>-6.5175259070697598</v>
      </c>
      <c r="D436" s="35">
        <v>1.47011094863048</v>
      </c>
      <c r="E436" s="35">
        <v>-4.4333564845165903</v>
      </c>
      <c r="F436" s="40">
        <v>9.2777273211988592E-6</v>
      </c>
      <c r="G436" s="35">
        <v>2.4532447608756102E-3</v>
      </c>
      <c r="H436" s="27" t="s">
        <v>10</v>
      </c>
      <c r="I436" s="24" t="s">
        <v>10</v>
      </c>
      <c r="J436" s="34" t="s">
        <v>10</v>
      </c>
    </row>
    <row r="437" spans="1:10" x14ac:dyDescent="0.2">
      <c r="A437" s="35" t="s">
        <v>4511</v>
      </c>
      <c r="B437" s="35">
        <v>10.3944904265754</v>
      </c>
      <c r="C437" s="35">
        <v>-6.9180103754144397</v>
      </c>
      <c r="D437" s="35">
        <v>1.56145049680341</v>
      </c>
      <c r="E437" s="35">
        <v>-4.4305025292681099</v>
      </c>
      <c r="F437" s="40">
        <v>9.40137445250713E-6</v>
      </c>
      <c r="G437" s="35">
        <v>2.4818195054067001E-3</v>
      </c>
      <c r="H437" s="27" t="s">
        <v>10</v>
      </c>
      <c r="I437" s="24" t="s">
        <v>10</v>
      </c>
      <c r="J437" s="34" t="s">
        <v>10</v>
      </c>
    </row>
    <row r="438" spans="1:10" x14ac:dyDescent="0.2">
      <c r="A438" s="35" t="s">
        <v>4512</v>
      </c>
      <c r="B438" s="35">
        <v>8.9034147314287804</v>
      </c>
      <c r="C438" s="35">
        <v>-6.6865136161336904</v>
      </c>
      <c r="D438" s="35">
        <v>1.50930590861783</v>
      </c>
      <c r="E438" s="35">
        <v>-4.4301911083465901</v>
      </c>
      <c r="F438" s="40">
        <v>9.4149615819022501E-6</v>
      </c>
      <c r="G438" s="35">
        <v>2.4822522314843702E-3</v>
      </c>
      <c r="H438" s="27" t="s">
        <v>10</v>
      </c>
      <c r="I438" s="24" t="s">
        <v>10</v>
      </c>
      <c r="J438" s="34" t="s">
        <v>10</v>
      </c>
    </row>
    <row r="439" spans="1:10" x14ac:dyDescent="0.2">
      <c r="A439" s="35" t="s">
        <v>4513</v>
      </c>
      <c r="B439" s="35">
        <v>9.8063886112784093</v>
      </c>
      <c r="C439" s="35">
        <v>-6.8330881961788199</v>
      </c>
      <c r="D439" s="35">
        <v>1.54340509224553</v>
      </c>
      <c r="E439" s="35">
        <v>-4.4272811010602702</v>
      </c>
      <c r="F439" s="40">
        <v>9.5428335629628502E-6</v>
      </c>
      <c r="G439" s="35">
        <v>2.5127768437349898E-3</v>
      </c>
      <c r="H439" s="27" t="s">
        <v>10</v>
      </c>
      <c r="I439" s="34" t="s">
        <v>3925</v>
      </c>
      <c r="J439" s="34" t="s">
        <v>10</v>
      </c>
    </row>
    <row r="440" spans="1:10" x14ac:dyDescent="0.2">
      <c r="A440" s="35" t="s">
        <v>4514</v>
      </c>
      <c r="B440" s="35">
        <v>13.0912897173753</v>
      </c>
      <c r="C440" s="35">
        <v>-4.1003626777578202</v>
      </c>
      <c r="D440" s="35">
        <v>0.92671957736645505</v>
      </c>
      <c r="E440" s="35">
        <v>-4.4245991753084599</v>
      </c>
      <c r="F440" s="40">
        <v>9.6621509217133201E-6</v>
      </c>
      <c r="G440" s="35">
        <v>2.5409744644195901E-3</v>
      </c>
      <c r="H440" s="27" t="s">
        <v>10</v>
      </c>
      <c r="I440" s="34" t="s">
        <v>5111</v>
      </c>
      <c r="J440" s="34" t="s">
        <v>10</v>
      </c>
    </row>
    <row r="441" spans="1:10" x14ac:dyDescent="0.2">
      <c r="A441" s="35" t="s">
        <v>4515</v>
      </c>
      <c r="B441" s="35">
        <v>17.213917262273</v>
      </c>
      <c r="C441" s="35">
        <v>-4.3146316742871296</v>
      </c>
      <c r="D441" s="35">
        <v>0.97554329274027496</v>
      </c>
      <c r="E441" s="35">
        <v>-4.4227987690504698</v>
      </c>
      <c r="F441" s="40">
        <v>9.7430480036463898E-6</v>
      </c>
      <c r="G441" s="35">
        <v>2.5570621492422702E-3</v>
      </c>
      <c r="H441" s="27" t="s">
        <v>10</v>
      </c>
      <c r="I441" s="24" t="s">
        <v>10</v>
      </c>
      <c r="J441" s="34" t="s">
        <v>10</v>
      </c>
    </row>
    <row r="442" spans="1:10" x14ac:dyDescent="0.2">
      <c r="A442" s="35" t="s">
        <v>4516</v>
      </c>
      <c r="B442" s="35">
        <v>15.654445766366599</v>
      </c>
      <c r="C442" s="35">
        <v>-5.6978130881687301</v>
      </c>
      <c r="D442" s="35">
        <v>1.2883138226126301</v>
      </c>
      <c r="E442" s="35">
        <v>-4.4226903322467503</v>
      </c>
      <c r="F442" s="40">
        <v>9.7479409605492905E-6</v>
      </c>
      <c r="G442" s="35">
        <v>2.5570621492422702E-3</v>
      </c>
      <c r="H442" s="27" t="s">
        <v>10</v>
      </c>
      <c r="I442" s="24" t="s">
        <v>10</v>
      </c>
      <c r="J442" s="34" t="s">
        <v>10</v>
      </c>
    </row>
    <row r="443" spans="1:10" x14ac:dyDescent="0.2">
      <c r="A443" s="35" t="s">
        <v>4517</v>
      </c>
      <c r="B443" s="35">
        <v>14.080794886947499</v>
      </c>
      <c r="C443" s="35">
        <v>-7.3545805371571404</v>
      </c>
      <c r="D443" s="35">
        <v>1.66429845774383</v>
      </c>
      <c r="E443" s="35">
        <v>-4.4190274304088701</v>
      </c>
      <c r="F443" s="40">
        <v>9.9146064310756697E-6</v>
      </c>
      <c r="G443" s="35">
        <v>2.5942304454591399E-3</v>
      </c>
      <c r="H443" s="27" t="s">
        <v>10</v>
      </c>
      <c r="I443" s="24" t="s">
        <v>10</v>
      </c>
      <c r="J443" s="34" t="s">
        <v>10</v>
      </c>
    </row>
    <row r="444" spans="1:10" x14ac:dyDescent="0.2">
      <c r="A444" s="35" t="s">
        <v>4518</v>
      </c>
      <c r="B444" s="35">
        <v>7.6235463428213004</v>
      </c>
      <c r="C444" s="35">
        <v>-6.4751003981912998</v>
      </c>
      <c r="D444" s="35">
        <v>1.46716798664168</v>
      </c>
      <c r="E444" s="35">
        <v>-4.4133326634346002</v>
      </c>
      <c r="F444" s="40">
        <v>1.01791401651467E-5</v>
      </c>
      <c r="G444" s="35">
        <v>2.6567555831032799E-3</v>
      </c>
      <c r="H444" s="27" t="s">
        <v>10</v>
      </c>
      <c r="I444" s="24" t="s">
        <v>10</v>
      </c>
      <c r="J444" s="34" t="s">
        <v>10</v>
      </c>
    </row>
    <row r="445" spans="1:10" x14ac:dyDescent="0.2">
      <c r="A445" s="35" t="s">
        <v>4519</v>
      </c>
      <c r="B445" s="35">
        <v>9.0103826409669399</v>
      </c>
      <c r="C445" s="35">
        <v>-6.7175915856617703</v>
      </c>
      <c r="D445" s="35">
        <v>1.5225277115526501</v>
      </c>
      <c r="E445" s="35">
        <v>-4.4121309153783796</v>
      </c>
      <c r="F445" s="40">
        <v>1.02358187589204E-5</v>
      </c>
      <c r="G445" s="35">
        <v>2.66579269238183E-3</v>
      </c>
      <c r="H445" s="27" t="s">
        <v>10</v>
      </c>
      <c r="I445" s="34" t="s">
        <v>260</v>
      </c>
      <c r="J445" s="34" t="s">
        <v>10</v>
      </c>
    </row>
    <row r="446" spans="1:10" x14ac:dyDescent="0.2">
      <c r="A446" s="35" t="s">
        <v>4520</v>
      </c>
      <c r="B446" s="35">
        <v>50.6644237893222</v>
      </c>
      <c r="C446" s="35">
        <v>-3.0050425664046401</v>
      </c>
      <c r="D446" s="35">
        <v>0.68109822595511404</v>
      </c>
      <c r="E446" s="35">
        <v>-4.4120546081156196</v>
      </c>
      <c r="F446" s="40">
        <v>1.02394278313055E-5</v>
      </c>
      <c r="G446" s="35">
        <v>2.66579269238183E-3</v>
      </c>
      <c r="H446" s="27" t="s">
        <v>10</v>
      </c>
      <c r="I446" s="24" t="s">
        <v>10</v>
      </c>
      <c r="J446" s="34" t="s">
        <v>10</v>
      </c>
    </row>
    <row r="447" spans="1:10" x14ac:dyDescent="0.2">
      <c r="A447" s="35" t="s">
        <v>4521</v>
      </c>
      <c r="B447" s="35">
        <v>16.0392135706788</v>
      </c>
      <c r="C447" s="35">
        <v>-3.54151250084601</v>
      </c>
      <c r="D447" s="35">
        <v>0.80294634712046198</v>
      </c>
      <c r="E447" s="35">
        <v>-4.4106465065152101</v>
      </c>
      <c r="F447" s="40">
        <v>1.0306244746846E-5</v>
      </c>
      <c r="G447" s="35">
        <v>2.6798300170534899E-3</v>
      </c>
      <c r="H447" s="27" t="s">
        <v>10</v>
      </c>
      <c r="I447" s="24" t="s">
        <v>10</v>
      </c>
      <c r="J447" s="34" t="s">
        <v>10</v>
      </c>
    </row>
    <row r="448" spans="1:10" x14ac:dyDescent="0.2">
      <c r="A448" s="35" t="s">
        <v>4522</v>
      </c>
      <c r="B448" s="35">
        <v>89.266762637035598</v>
      </c>
      <c r="C448" s="35">
        <v>-3.8606795682946702</v>
      </c>
      <c r="D448" s="35">
        <v>0.87548721740236901</v>
      </c>
      <c r="E448" s="35">
        <v>-4.4097497845252098</v>
      </c>
      <c r="F448" s="40">
        <v>1.03490125939349E-5</v>
      </c>
      <c r="G448" s="35">
        <v>2.6875868255819102E-3</v>
      </c>
      <c r="H448" s="27" t="s">
        <v>84</v>
      </c>
      <c r="I448" s="34" t="s">
        <v>86</v>
      </c>
      <c r="J448" s="34" t="s">
        <v>10</v>
      </c>
    </row>
    <row r="449" spans="1:10" x14ac:dyDescent="0.2">
      <c r="A449" s="35" t="s">
        <v>4523</v>
      </c>
      <c r="B449" s="35">
        <v>12.022314609574201</v>
      </c>
      <c r="C449" s="35">
        <v>-7.1218873066063999</v>
      </c>
      <c r="D449" s="35">
        <v>1.6164947321065699</v>
      </c>
      <c r="E449" s="35">
        <v>-4.4057596756442097</v>
      </c>
      <c r="F449" s="40">
        <v>1.05413784518534E-5</v>
      </c>
      <c r="G449" s="35">
        <v>2.73071648583946E-3</v>
      </c>
      <c r="H449" s="27" t="s">
        <v>10</v>
      </c>
      <c r="I449" s="24" t="s">
        <v>10</v>
      </c>
      <c r="J449" s="34" t="s">
        <v>10</v>
      </c>
    </row>
    <row r="450" spans="1:10" x14ac:dyDescent="0.2">
      <c r="A450" s="35" t="s">
        <v>4524</v>
      </c>
      <c r="B450" s="35">
        <v>250.13968214884699</v>
      </c>
      <c r="C450" s="35">
        <v>-2.3859089168118</v>
      </c>
      <c r="D450" s="35">
        <v>0.54171899966853099</v>
      </c>
      <c r="E450" s="35">
        <v>-4.4043294000611004</v>
      </c>
      <c r="F450" s="40">
        <v>1.06111606701412E-5</v>
      </c>
      <c r="G450" s="35">
        <v>2.74195559227097E-3</v>
      </c>
      <c r="H450" s="27" t="s">
        <v>10</v>
      </c>
      <c r="I450" s="24" t="s">
        <v>10</v>
      </c>
      <c r="J450" s="34" t="s">
        <v>10</v>
      </c>
    </row>
    <row r="451" spans="1:10" x14ac:dyDescent="0.2">
      <c r="A451" s="35" t="s">
        <v>4525</v>
      </c>
      <c r="B451" s="35">
        <v>9.4574220489239291</v>
      </c>
      <c r="C451" s="35">
        <v>-6.7892570433147004</v>
      </c>
      <c r="D451" s="35">
        <v>1.54308378106888</v>
      </c>
      <c r="E451" s="35">
        <v>-4.3997980709847404</v>
      </c>
      <c r="F451" s="40">
        <v>1.08351655089609E-5</v>
      </c>
      <c r="G451" s="35">
        <v>2.79636105028532E-3</v>
      </c>
      <c r="H451" s="27" t="s">
        <v>10</v>
      </c>
      <c r="I451" s="24" t="s">
        <v>10</v>
      </c>
      <c r="J451" s="34" t="s">
        <v>10</v>
      </c>
    </row>
    <row r="452" spans="1:10" x14ac:dyDescent="0.2">
      <c r="A452" s="35" t="s">
        <v>4526</v>
      </c>
      <c r="B452" s="35">
        <v>7.45746793860007</v>
      </c>
      <c r="C452" s="35">
        <v>-6.4358043981295499</v>
      </c>
      <c r="D452" s="35">
        <v>1.4651819729432001</v>
      </c>
      <c r="E452" s="35">
        <v>-4.3924949371316497</v>
      </c>
      <c r="F452" s="40">
        <v>1.1205724050762099E-5</v>
      </c>
      <c r="G452" s="35">
        <v>2.8776964226083098E-3</v>
      </c>
      <c r="H452" s="27" t="s">
        <v>10</v>
      </c>
      <c r="I452" s="24" t="s">
        <v>10</v>
      </c>
      <c r="J452" s="34" t="s">
        <v>10</v>
      </c>
    </row>
    <row r="453" spans="1:10" x14ac:dyDescent="0.2">
      <c r="A453" s="35" t="s">
        <v>4527</v>
      </c>
      <c r="B453" s="35">
        <v>89.909242383724404</v>
      </c>
      <c r="C453" s="35">
        <v>-4.0441744660492303</v>
      </c>
      <c r="D453" s="35">
        <v>0.92115078926139204</v>
      </c>
      <c r="E453" s="35">
        <v>-4.3903501068397102</v>
      </c>
      <c r="F453" s="40">
        <v>1.1316830334912901E-5</v>
      </c>
      <c r="G453" s="35">
        <v>2.8990621492727101E-3</v>
      </c>
      <c r="H453" s="27" t="s">
        <v>10</v>
      </c>
      <c r="I453" s="24" t="s">
        <v>10</v>
      </c>
      <c r="J453" s="34" t="s">
        <v>10</v>
      </c>
    </row>
    <row r="454" spans="1:10" x14ac:dyDescent="0.2">
      <c r="A454" s="45" t="s">
        <v>4528</v>
      </c>
      <c r="B454" s="45">
        <v>52.7704007932333</v>
      </c>
      <c r="C454" s="45">
        <v>-4.01452207267213</v>
      </c>
      <c r="D454" s="45">
        <v>0.91531108572559705</v>
      </c>
      <c r="E454" s="45">
        <v>-4.3859646575674196</v>
      </c>
      <c r="F454" s="46">
        <v>1.15472871072483E-5</v>
      </c>
      <c r="G454" s="45">
        <v>2.94719678163817E-3</v>
      </c>
      <c r="H454" s="50" t="s">
        <v>508</v>
      </c>
      <c r="I454" s="50" t="s">
        <v>509</v>
      </c>
      <c r="J454" s="50" t="s">
        <v>3083</v>
      </c>
    </row>
    <row r="455" spans="1:10" x14ac:dyDescent="0.2">
      <c r="A455" s="35" t="s">
        <v>4529</v>
      </c>
      <c r="B455" s="35">
        <v>53.8572454367958</v>
      </c>
      <c r="C455" s="35">
        <v>-4.7992919525342099</v>
      </c>
      <c r="D455" s="35">
        <v>1.09454624018712</v>
      </c>
      <c r="E455" s="35">
        <v>-4.3847320253128199</v>
      </c>
      <c r="F455" s="40">
        <v>1.16128645809806E-5</v>
      </c>
      <c r="G455" s="35">
        <v>2.9602972931119E-3</v>
      </c>
      <c r="H455" s="27" t="s">
        <v>10</v>
      </c>
      <c r="I455" s="24" t="s">
        <v>10</v>
      </c>
      <c r="J455" s="34" t="s">
        <v>10</v>
      </c>
    </row>
    <row r="456" spans="1:10" x14ac:dyDescent="0.2">
      <c r="A456" s="35" t="s">
        <v>4530</v>
      </c>
      <c r="B456" s="35">
        <v>27.2015923265959</v>
      </c>
      <c r="C456" s="35">
        <v>-5.6151862681993903</v>
      </c>
      <c r="D456" s="35">
        <v>1.28334588365424</v>
      </c>
      <c r="E456" s="35">
        <v>-4.3754270300151203</v>
      </c>
      <c r="F456" s="40">
        <v>1.21194980794795E-5</v>
      </c>
      <c r="G456" s="35">
        <v>3.0706078573174899E-3</v>
      </c>
      <c r="H456" s="27" t="s">
        <v>4972</v>
      </c>
      <c r="I456" s="34" t="s">
        <v>5144</v>
      </c>
      <c r="J456" s="34" t="s">
        <v>5024</v>
      </c>
    </row>
    <row r="457" spans="1:10" x14ac:dyDescent="0.2">
      <c r="A457" s="35" t="s">
        <v>4531</v>
      </c>
      <c r="B457" s="35">
        <v>223.253346354255</v>
      </c>
      <c r="C457" s="35">
        <v>-2.5958639733686399</v>
      </c>
      <c r="D457" s="35">
        <v>0.59345376611922596</v>
      </c>
      <c r="E457" s="35">
        <v>-4.3741637875917201</v>
      </c>
      <c r="F457" s="40">
        <v>1.2189883401289901E-5</v>
      </c>
      <c r="G457" s="35">
        <v>3.0809262967376899E-3</v>
      </c>
      <c r="H457" s="27" t="s">
        <v>10</v>
      </c>
      <c r="I457" s="24" t="s">
        <v>10</v>
      </c>
      <c r="J457" s="34" t="s">
        <v>10</v>
      </c>
    </row>
    <row r="458" spans="1:10" x14ac:dyDescent="0.2">
      <c r="A458" s="45" t="s">
        <v>4532</v>
      </c>
      <c r="B458" s="45">
        <v>36.327628139197003</v>
      </c>
      <c r="C458" s="45">
        <v>-3.29190127202894</v>
      </c>
      <c r="D458" s="45">
        <v>0.75270228515692905</v>
      </c>
      <c r="E458" s="45">
        <v>-4.3734439723968901</v>
      </c>
      <c r="F458" s="46">
        <v>1.2230164350490401E-5</v>
      </c>
      <c r="G458" s="45">
        <v>3.08735118444773E-3</v>
      </c>
      <c r="H458" s="50" t="s">
        <v>508</v>
      </c>
      <c r="I458" s="50" t="s">
        <v>509</v>
      </c>
      <c r="J458" s="50" t="s">
        <v>3083</v>
      </c>
    </row>
    <row r="459" spans="1:10" x14ac:dyDescent="0.2">
      <c r="A459" s="35" t="s">
        <v>4533</v>
      </c>
      <c r="B459" s="35">
        <v>59.049544937700396</v>
      </c>
      <c r="C459" s="35">
        <v>-3.0251308814543898</v>
      </c>
      <c r="D459" s="35">
        <v>0.69219143407561301</v>
      </c>
      <c r="E459" s="35">
        <v>-4.37036740492794</v>
      </c>
      <c r="F459" s="40">
        <v>1.24037656332116E-5</v>
      </c>
      <c r="G459" s="35">
        <v>3.1273746758416301E-3</v>
      </c>
      <c r="H459" s="27" t="s">
        <v>10</v>
      </c>
      <c r="I459" s="24" t="s">
        <v>10</v>
      </c>
      <c r="J459" s="34" t="s">
        <v>10</v>
      </c>
    </row>
    <row r="460" spans="1:10" x14ac:dyDescent="0.2">
      <c r="A460" s="35" t="s">
        <v>4534</v>
      </c>
      <c r="B460" s="35">
        <v>42.967640650212402</v>
      </c>
      <c r="C460" s="35">
        <v>-2.87577531270369</v>
      </c>
      <c r="D460" s="35">
        <v>0.65835876835993701</v>
      </c>
      <c r="E460" s="35">
        <v>-4.3680975342177701</v>
      </c>
      <c r="F460" s="40">
        <v>1.2533352284115399E-5</v>
      </c>
      <c r="G460" s="35">
        <v>3.1523960498046999E-3</v>
      </c>
      <c r="H460" s="27" t="s">
        <v>10</v>
      </c>
      <c r="I460" s="24" t="s">
        <v>10</v>
      </c>
      <c r="J460" s="34" t="s">
        <v>10</v>
      </c>
    </row>
    <row r="461" spans="1:10" x14ac:dyDescent="0.2">
      <c r="A461" s="35" t="s">
        <v>4535</v>
      </c>
      <c r="B461" s="35">
        <v>957.11626196480404</v>
      </c>
      <c r="C461" s="35">
        <v>-2.9329779391758</v>
      </c>
      <c r="D461" s="35">
        <v>0.67225371461428196</v>
      </c>
      <c r="E461" s="35">
        <v>-4.3629032840058697</v>
      </c>
      <c r="F461" s="40">
        <v>1.2834769341818301E-5</v>
      </c>
      <c r="G461" s="35">
        <v>3.2165263442446301E-3</v>
      </c>
      <c r="H461" s="27" t="s">
        <v>10</v>
      </c>
      <c r="I461" s="24" t="s">
        <v>10</v>
      </c>
      <c r="J461" s="34" t="s">
        <v>10</v>
      </c>
    </row>
    <row r="462" spans="1:10" x14ac:dyDescent="0.2">
      <c r="A462" s="35" t="s">
        <v>4536</v>
      </c>
      <c r="B462" s="35">
        <v>28.603385203222</v>
      </c>
      <c r="C462" s="35">
        <v>-6.63300397201583</v>
      </c>
      <c r="D462" s="35">
        <v>1.52197358608788</v>
      </c>
      <c r="E462" s="35">
        <v>-4.3581597162047299</v>
      </c>
      <c r="F462" s="40">
        <v>1.31160655304255E-5</v>
      </c>
      <c r="G462" s="35">
        <v>3.2624603334708699E-3</v>
      </c>
      <c r="H462" s="27" t="s">
        <v>10</v>
      </c>
      <c r="I462" s="24" t="s">
        <v>10</v>
      </c>
      <c r="J462" s="34" t="s">
        <v>10</v>
      </c>
    </row>
    <row r="463" spans="1:10" x14ac:dyDescent="0.2">
      <c r="A463" s="35" t="s">
        <v>4537</v>
      </c>
      <c r="B463" s="35">
        <v>10.7237498184651</v>
      </c>
      <c r="C463" s="35">
        <v>-6.9543972281625397</v>
      </c>
      <c r="D463" s="35">
        <v>1.5960328669019099</v>
      </c>
      <c r="E463" s="35">
        <v>-4.3573020157547599</v>
      </c>
      <c r="F463" s="40">
        <v>1.31675515466008E-5</v>
      </c>
      <c r="G463" s="35">
        <v>3.26448429488734E-3</v>
      </c>
      <c r="H463" s="27" t="s">
        <v>2692</v>
      </c>
      <c r="I463" s="34" t="s">
        <v>5107</v>
      </c>
      <c r="J463" s="34" t="s">
        <v>5040</v>
      </c>
    </row>
    <row r="464" spans="1:10" x14ac:dyDescent="0.2">
      <c r="A464" s="35" t="s">
        <v>4538</v>
      </c>
      <c r="B464" s="35">
        <v>332.48155969853701</v>
      </c>
      <c r="C464" s="35">
        <v>-10.241810460346001</v>
      </c>
      <c r="D464" s="35">
        <v>2.3506942553401</v>
      </c>
      <c r="E464" s="35">
        <v>-4.3569300588877402</v>
      </c>
      <c r="F464" s="40">
        <v>1.3189939249879501E-5</v>
      </c>
      <c r="G464" s="35">
        <v>3.26613709034322E-3</v>
      </c>
      <c r="H464" s="27" t="s">
        <v>10</v>
      </c>
      <c r="I464" s="24" t="s">
        <v>10</v>
      </c>
      <c r="J464" s="34" t="s">
        <v>10</v>
      </c>
    </row>
    <row r="465" spans="1:10" x14ac:dyDescent="0.2">
      <c r="A465" s="35" t="s">
        <v>4539</v>
      </c>
      <c r="B465" s="35">
        <v>7.7715078278513996</v>
      </c>
      <c r="C465" s="35">
        <v>-6.4990890290222803</v>
      </c>
      <c r="D465" s="35">
        <v>1.4918585203488599</v>
      </c>
      <c r="E465" s="35">
        <v>-4.3563708893136397</v>
      </c>
      <c r="F465" s="40">
        <v>1.32236634358184E-5</v>
      </c>
      <c r="G465" s="35">
        <v>3.2705897866331999E-3</v>
      </c>
      <c r="H465" s="27" t="s">
        <v>4959</v>
      </c>
      <c r="I465" s="34" t="s">
        <v>5151</v>
      </c>
      <c r="J465" s="34" t="s">
        <v>5072</v>
      </c>
    </row>
    <row r="466" spans="1:10" x14ac:dyDescent="0.2">
      <c r="A466" s="35" t="s">
        <v>4540</v>
      </c>
      <c r="B466" s="35">
        <v>19.715880517298601</v>
      </c>
      <c r="C466" s="35">
        <v>-5.3791931111442803</v>
      </c>
      <c r="D466" s="35">
        <v>1.2351279382490801</v>
      </c>
      <c r="E466" s="35">
        <v>-4.3551707839835796</v>
      </c>
      <c r="F466" s="40">
        <v>1.3296321168452901E-5</v>
      </c>
      <c r="G466" s="35">
        <v>3.2727918967967698E-3</v>
      </c>
      <c r="H466" s="27" t="s">
        <v>10</v>
      </c>
      <c r="I466" s="24" t="s">
        <v>10</v>
      </c>
      <c r="J466" s="34" t="s">
        <v>10</v>
      </c>
    </row>
    <row r="467" spans="1:10" x14ac:dyDescent="0.2">
      <c r="A467" s="35" t="s">
        <v>4541</v>
      </c>
      <c r="B467" s="35">
        <v>27.052946955640799</v>
      </c>
      <c r="C467" s="35">
        <v>-2.4296000600732599</v>
      </c>
      <c r="D467" s="35">
        <v>0.55790271153938997</v>
      </c>
      <c r="E467" s="35">
        <v>-4.3548812540620201</v>
      </c>
      <c r="F467" s="40">
        <v>1.33139070575317E-5</v>
      </c>
      <c r="G467" s="35">
        <v>3.2727918967967698E-3</v>
      </c>
      <c r="H467" s="27" t="s">
        <v>4991</v>
      </c>
      <c r="I467" s="34" t="s">
        <v>5165</v>
      </c>
      <c r="J467" s="34" t="s">
        <v>5086</v>
      </c>
    </row>
    <row r="468" spans="1:10" x14ac:dyDescent="0.2">
      <c r="A468" s="35" t="s">
        <v>4542</v>
      </c>
      <c r="B468" s="35">
        <v>69.585939900004902</v>
      </c>
      <c r="C468" s="35">
        <v>-4.5491774354826102</v>
      </c>
      <c r="D468" s="35">
        <v>1.0446570745833601</v>
      </c>
      <c r="E468" s="35">
        <v>-4.3547088764003901</v>
      </c>
      <c r="F468" s="40">
        <v>1.3324387717965501E-5</v>
      </c>
      <c r="G468" s="35">
        <v>3.2727918967967698E-3</v>
      </c>
      <c r="H468" s="27" t="s">
        <v>10</v>
      </c>
      <c r="I468" s="34" t="s">
        <v>5117</v>
      </c>
      <c r="J468" s="34" t="s">
        <v>10</v>
      </c>
    </row>
    <row r="469" spans="1:10" x14ac:dyDescent="0.2">
      <c r="A469" s="35" t="s">
        <v>4543</v>
      </c>
      <c r="B469" s="35">
        <v>8.5891221501866593</v>
      </c>
      <c r="C469" s="35">
        <v>-6.6338428288914901</v>
      </c>
      <c r="D469" s="35">
        <v>1.5252873408791501</v>
      </c>
      <c r="E469" s="35">
        <v>-4.3492413862609203</v>
      </c>
      <c r="F469" s="40">
        <v>1.3660927864571E-5</v>
      </c>
      <c r="G469" s="35">
        <v>3.3389879169786101E-3</v>
      </c>
      <c r="H469" s="27" t="s">
        <v>10</v>
      </c>
      <c r="I469" s="24" t="s">
        <v>10</v>
      </c>
      <c r="J469" s="34" t="s">
        <v>10</v>
      </c>
    </row>
    <row r="470" spans="1:10" x14ac:dyDescent="0.2">
      <c r="A470" s="35" t="s">
        <v>4544</v>
      </c>
      <c r="B470" s="35">
        <v>11.233782355940299</v>
      </c>
      <c r="C470" s="35">
        <v>-7.0348840085320896</v>
      </c>
      <c r="D470" s="35">
        <v>1.6184127080927999</v>
      </c>
      <c r="E470" s="35">
        <v>-4.3467800106576604</v>
      </c>
      <c r="F470" s="40">
        <v>1.38150654461069E-5</v>
      </c>
      <c r="G470" s="35">
        <v>3.3684247975639598E-3</v>
      </c>
      <c r="H470" s="27" t="s">
        <v>10</v>
      </c>
      <c r="I470" s="24" t="s">
        <v>10</v>
      </c>
      <c r="J470" s="34" t="s">
        <v>10</v>
      </c>
    </row>
    <row r="471" spans="1:10" x14ac:dyDescent="0.2">
      <c r="A471" s="35" t="s">
        <v>4545</v>
      </c>
      <c r="B471" s="35">
        <v>9.4820419994795202</v>
      </c>
      <c r="C471" s="35">
        <v>-6.77622646779023</v>
      </c>
      <c r="D471" s="35">
        <v>1.5590498983104</v>
      </c>
      <c r="E471" s="35">
        <v>-4.3463820337847299</v>
      </c>
      <c r="F471" s="40">
        <v>1.38401430368538E-5</v>
      </c>
      <c r="G471" s="35">
        <v>3.3684247975639598E-3</v>
      </c>
      <c r="H471" s="27" t="s">
        <v>4951</v>
      </c>
      <c r="I471" s="34" t="s">
        <v>5118</v>
      </c>
      <c r="J471" s="34" t="s">
        <v>10</v>
      </c>
    </row>
    <row r="472" spans="1:10" x14ac:dyDescent="0.2">
      <c r="A472" s="35" t="s">
        <v>4546</v>
      </c>
      <c r="B472" s="35">
        <v>8.49145019523292</v>
      </c>
      <c r="C472" s="35">
        <v>-6.6184641807186102</v>
      </c>
      <c r="D472" s="35">
        <v>1.52405305157711</v>
      </c>
      <c r="E472" s="35">
        <v>-4.3426730938727696</v>
      </c>
      <c r="F472" s="40">
        <v>1.40759505080619E-5</v>
      </c>
      <c r="G472" s="35">
        <v>3.4113042383257098E-3</v>
      </c>
      <c r="H472" s="27" t="s">
        <v>10</v>
      </c>
      <c r="I472" s="24" t="s">
        <v>10</v>
      </c>
      <c r="J472" s="34" t="s">
        <v>10</v>
      </c>
    </row>
    <row r="473" spans="1:10" x14ac:dyDescent="0.2">
      <c r="A473" s="35" t="s">
        <v>4547</v>
      </c>
      <c r="B473" s="35">
        <v>269.443312899126</v>
      </c>
      <c r="C473" s="35">
        <v>-2.54241233203313</v>
      </c>
      <c r="D473" s="35">
        <v>0.58565140834548501</v>
      </c>
      <c r="E473" s="35">
        <v>-4.3411700130896298</v>
      </c>
      <c r="F473" s="40">
        <v>1.41726005224785E-5</v>
      </c>
      <c r="G473" s="35">
        <v>3.4277564541886499E-3</v>
      </c>
      <c r="H473" s="27" t="s">
        <v>10</v>
      </c>
      <c r="I473" s="24" t="s">
        <v>10</v>
      </c>
      <c r="J473" s="34" t="s">
        <v>10</v>
      </c>
    </row>
    <row r="474" spans="1:10" x14ac:dyDescent="0.2">
      <c r="A474" s="35" t="s">
        <v>4548</v>
      </c>
      <c r="B474" s="35">
        <v>465.70447666894398</v>
      </c>
      <c r="C474" s="35">
        <v>-2.5316350567683399</v>
      </c>
      <c r="D474" s="35">
        <v>0.58331919858890702</v>
      </c>
      <c r="E474" s="35">
        <v>-4.3400509753365801</v>
      </c>
      <c r="F474" s="40">
        <v>1.42449667392944E-5</v>
      </c>
      <c r="G474" s="35">
        <v>3.4412526859172701E-3</v>
      </c>
      <c r="H474" s="27" t="s">
        <v>3103</v>
      </c>
      <c r="I474" s="34" t="s">
        <v>86</v>
      </c>
      <c r="J474" s="34" t="s">
        <v>10</v>
      </c>
    </row>
    <row r="475" spans="1:10" x14ac:dyDescent="0.2">
      <c r="A475" s="35" t="s">
        <v>4549</v>
      </c>
      <c r="B475" s="35">
        <v>9.6880242675774504</v>
      </c>
      <c r="C475" s="35">
        <v>-6.80760733562854</v>
      </c>
      <c r="D475" s="35">
        <v>1.5687737681690399</v>
      </c>
      <c r="E475" s="35">
        <v>-4.3394449051592003</v>
      </c>
      <c r="F475" s="40">
        <v>1.42843072144264E-5</v>
      </c>
      <c r="G475" s="35">
        <v>3.44674858262528E-3</v>
      </c>
      <c r="H475" s="27" t="s">
        <v>4953</v>
      </c>
      <c r="I475" s="34" t="s">
        <v>5127</v>
      </c>
      <c r="J475" s="34" t="s">
        <v>5054</v>
      </c>
    </row>
    <row r="476" spans="1:10" x14ac:dyDescent="0.2">
      <c r="A476" s="35" t="s">
        <v>4550</v>
      </c>
      <c r="B476" s="35">
        <v>20.291025745367602</v>
      </c>
      <c r="C476" s="35">
        <v>-4.8373185877137397</v>
      </c>
      <c r="D476" s="35">
        <v>1.1153049717806101</v>
      </c>
      <c r="E476" s="35">
        <v>-4.33721601723951</v>
      </c>
      <c r="F476" s="40">
        <v>1.44298791066653E-5</v>
      </c>
      <c r="G476" s="35">
        <v>3.4749505097002998E-3</v>
      </c>
      <c r="H476" s="27" t="s">
        <v>10</v>
      </c>
      <c r="I476" s="24" t="s">
        <v>10</v>
      </c>
      <c r="J476" s="34" t="s">
        <v>10</v>
      </c>
    </row>
    <row r="477" spans="1:10" x14ac:dyDescent="0.2">
      <c r="A477" s="35" t="s">
        <v>4551</v>
      </c>
      <c r="B477" s="35">
        <v>15.3303510014048</v>
      </c>
      <c r="C477" s="35">
        <v>-4.8265159087810803</v>
      </c>
      <c r="D477" s="35">
        <v>1.1130891251641599</v>
      </c>
      <c r="E477" s="35">
        <v>-4.3361450576289204</v>
      </c>
      <c r="F477" s="40">
        <v>1.45003271943234E-5</v>
      </c>
      <c r="G477" s="35">
        <v>3.4840607076946999E-3</v>
      </c>
      <c r="H477" s="27" t="s">
        <v>4978</v>
      </c>
      <c r="I477" s="34" t="s">
        <v>5152</v>
      </c>
      <c r="J477" s="34" t="s">
        <v>5028</v>
      </c>
    </row>
    <row r="478" spans="1:10" x14ac:dyDescent="0.2">
      <c r="A478" s="35" t="s">
        <v>4552</v>
      </c>
      <c r="B478" s="35">
        <v>10.7430400186611</v>
      </c>
      <c r="C478" s="35">
        <v>-5.9749386453247304</v>
      </c>
      <c r="D478" s="35">
        <v>1.37980058223511</v>
      </c>
      <c r="E478" s="35">
        <v>-4.33029143649589</v>
      </c>
      <c r="F478" s="40">
        <v>1.48912127667925E-5</v>
      </c>
      <c r="G478" s="35">
        <v>3.5642152068867902E-3</v>
      </c>
      <c r="H478" s="27" t="s">
        <v>10</v>
      </c>
      <c r="I478" s="24" t="s">
        <v>10</v>
      </c>
      <c r="J478" s="34" t="s">
        <v>10</v>
      </c>
    </row>
    <row r="479" spans="1:10" x14ac:dyDescent="0.2">
      <c r="A479" s="35" t="s">
        <v>4553</v>
      </c>
      <c r="B479" s="35">
        <v>34.928076073138101</v>
      </c>
      <c r="C479" s="35">
        <v>-2.0659280208289199</v>
      </c>
      <c r="D479" s="35">
        <v>0.47789170707623702</v>
      </c>
      <c r="E479" s="35">
        <v>-4.3230045431597004</v>
      </c>
      <c r="F479" s="40">
        <v>1.5391856279516401E-5</v>
      </c>
      <c r="G479" s="35">
        <v>3.6713553308923099E-3</v>
      </c>
      <c r="H479" s="27" t="s">
        <v>10</v>
      </c>
      <c r="I479" s="24" t="s">
        <v>10</v>
      </c>
      <c r="J479" s="34" t="s">
        <v>10</v>
      </c>
    </row>
    <row r="480" spans="1:10" x14ac:dyDescent="0.2">
      <c r="A480" s="35" t="s">
        <v>4554</v>
      </c>
      <c r="B480" s="35">
        <v>7.04433959146</v>
      </c>
      <c r="C480" s="35">
        <v>-6.3597049799630696</v>
      </c>
      <c r="D480" s="35">
        <v>1.47172096836567</v>
      </c>
      <c r="E480" s="35">
        <v>-4.3212708907894797</v>
      </c>
      <c r="F480" s="40">
        <v>1.5513307727397101E-5</v>
      </c>
      <c r="G480" s="35">
        <v>3.6876232954383302E-3</v>
      </c>
      <c r="H480" s="27" t="s">
        <v>10</v>
      </c>
      <c r="I480" s="24" t="s">
        <v>10</v>
      </c>
      <c r="J480" s="34" t="s">
        <v>10</v>
      </c>
    </row>
    <row r="481" spans="1:10" x14ac:dyDescent="0.2">
      <c r="A481" s="35" t="s">
        <v>4555</v>
      </c>
      <c r="B481" s="35">
        <v>7.9079939350666102</v>
      </c>
      <c r="C481" s="35">
        <v>-6.5305474867683904</v>
      </c>
      <c r="D481" s="35">
        <v>1.5119688226754799</v>
      </c>
      <c r="E481" s="35">
        <v>-4.31923422548644</v>
      </c>
      <c r="F481" s="40">
        <v>1.56571539730011E-5</v>
      </c>
      <c r="G481" s="35">
        <v>3.7133192703365401E-3</v>
      </c>
      <c r="H481" s="27" t="s">
        <v>2427</v>
      </c>
      <c r="I481" s="34" t="s">
        <v>5134</v>
      </c>
      <c r="J481" s="34" t="s">
        <v>5019</v>
      </c>
    </row>
    <row r="482" spans="1:10" x14ac:dyDescent="0.2">
      <c r="A482" s="35" t="s">
        <v>4556</v>
      </c>
      <c r="B482" s="35">
        <v>94.240080221477399</v>
      </c>
      <c r="C482" s="35">
        <v>-2.6644106362206701</v>
      </c>
      <c r="D482" s="35">
        <v>0.61749674978743097</v>
      </c>
      <c r="E482" s="35">
        <v>-4.31485774967702</v>
      </c>
      <c r="F482" s="40">
        <v>1.59705708068125E-5</v>
      </c>
      <c r="G482" s="35">
        <v>3.7790226748748699E-3</v>
      </c>
      <c r="H482" s="27" t="s">
        <v>10</v>
      </c>
      <c r="I482" s="24" t="s">
        <v>10</v>
      </c>
      <c r="J482" s="34" t="s">
        <v>10</v>
      </c>
    </row>
    <row r="483" spans="1:10" x14ac:dyDescent="0.2">
      <c r="A483" s="35" t="s">
        <v>4557</v>
      </c>
      <c r="B483" s="35">
        <v>7.2201500792413498</v>
      </c>
      <c r="C483" s="35">
        <v>-6.3869132139626803</v>
      </c>
      <c r="D483" s="35">
        <v>1.4805238087304</v>
      </c>
      <c r="E483" s="35">
        <v>-4.3139550855583204</v>
      </c>
      <c r="F483" s="40">
        <v>1.6035953897888499E-5</v>
      </c>
      <c r="G483" s="35">
        <v>3.79017706258216E-3</v>
      </c>
      <c r="H483" s="27" t="s">
        <v>10</v>
      </c>
      <c r="I483" s="24" t="s">
        <v>10</v>
      </c>
      <c r="J483" s="34" t="s">
        <v>10</v>
      </c>
    </row>
    <row r="484" spans="1:10" x14ac:dyDescent="0.2">
      <c r="A484" s="35" t="s">
        <v>4558</v>
      </c>
      <c r="B484" s="35">
        <v>24.539575042657599</v>
      </c>
      <c r="C484" s="35">
        <v>-3.4154719507169702</v>
      </c>
      <c r="D484" s="35">
        <v>0.79224665745364697</v>
      </c>
      <c r="E484" s="35">
        <v>-4.3111219448935296</v>
      </c>
      <c r="F484" s="40">
        <v>1.6242829310385499E-5</v>
      </c>
      <c r="G484" s="35">
        <v>3.8347105070550501E-3</v>
      </c>
      <c r="H484" s="27" t="s">
        <v>10</v>
      </c>
      <c r="I484" s="24" t="s">
        <v>10</v>
      </c>
      <c r="J484" s="34" t="s">
        <v>10</v>
      </c>
    </row>
    <row r="485" spans="1:10" x14ac:dyDescent="0.2">
      <c r="A485" s="35" t="s">
        <v>4559</v>
      </c>
      <c r="B485" s="35">
        <v>16.2236857225042</v>
      </c>
      <c r="C485" s="35">
        <v>-4.8123819225539197</v>
      </c>
      <c r="D485" s="35">
        <v>1.11776104085317</v>
      </c>
      <c r="E485" s="35">
        <v>-4.3053763252302302</v>
      </c>
      <c r="F485" s="40">
        <v>1.6670210282738699E-5</v>
      </c>
      <c r="G485" s="35">
        <v>3.9178011397066302E-3</v>
      </c>
      <c r="H485" s="27" t="s">
        <v>10</v>
      </c>
      <c r="I485" s="24" t="s">
        <v>10</v>
      </c>
      <c r="J485" s="34" t="s">
        <v>10</v>
      </c>
    </row>
    <row r="486" spans="1:10" x14ac:dyDescent="0.2">
      <c r="A486" s="35" t="s">
        <v>4560</v>
      </c>
      <c r="B486" s="35">
        <v>525.13930926950798</v>
      </c>
      <c r="C486" s="35">
        <v>-2.44336134984303</v>
      </c>
      <c r="D486" s="35">
        <v>0.56763398488197803</v>
      </c>
      <c r="E486" s="35">
        <v>-4.3044662844686004</v>
      </c>
      <c r="F486" s="40">
        <v>1.6738878070208599E-5</v>
      </c>
      <c r="G486" s="35">
        <v>3.9294941834511297E-3</v>
      </c>
      <c r="H486" s="27" t="s">
        <v>4981</v>
      </c>
      <c r="I486" s="34" t="s">
        <v>5155</v>
      </c>
      <c r="J486" s="34" t="s">
        <v>5075</v>
      </c>
    </row>
    <row r="487" spans="1:10" x14ac:dyDescent="0.2">
      <c r="A487" s="35" t="s">
        <v>4561</v>
      </c>
      <c r="B487" s="35">
        <v>14.9993406126494</v>
      </c>
      <c r="C487" s="35">
        <v>-5.0373619637254903</v>
      </c>
      <c r="D487" s="35">
        <v>1.1707638659563999</v>
      </c>
      <c r="E487" s="35">
        <v>-4.3026284891449702</v>
      </c>
      <c r="F487" s="40">
        <v>1.6878373002821701E-5</v>
      </c>
      <c r="G487" s="35">
        <v>3.9520741242945598E-3</v>
      </c>
      <c r="H487" s="27" t="s">
        <v>10</v>
      </c>
      <c r="I487" s="24" t="s">
        <v>10</v>
      </c>
      <c r="J487" s="34" t="s">
        <v>10</v>
      </c>
    </row>
    <row r="488" spans="1:10" x14ac:dyDescent="0.2">
      <c r="A488" s="35" t="s">
        <v>4562</v>
      </c>
      <c r="B488" s="35">
        <v>643.412575045636</v>
      </c>
      <c r="C488" s="35">
        <v>-2.7172764278027199</v>
      </c>
      <c r="D488" s="35">
        <v>0.63169916015163396</v>
      </c>
      <c r="E488" s="35">
        <v>-4.3015356030400103</v>
      </c>
      <c r="F488" s="40">
        <v>1.6961851335615301E-5</v>
      </c>
      <c r="G488" s="35">
        <v>3.9573298774109597E-3</v>
      </c>
      <c r="H488" s="27" t="s">
        <v>4979</v>
      </c>
      <c r="I488" s="34" t="s">
        <v>5173</v>
      </c>
      <c r="J488" s="34" t="s">
        <v>5081</v>
      </c>
    </row>
    <row r="489" spans="1:10" x14ac:dyDescent="0.2">
      <c r="A489" s="35" t="s">
        <v>4563</v>
      </c>
      <c r="B489" s="35">
        <v>251.15436860557699</v>
      </c>
      <c r="C489" s="35">
        <v>-2.2684284672347799</v>
      </c>
      <c r="D489" s="35">
        <v>0.52736900832713995</v>
      </c>
      <c r="E489" s="35">
        <v>-4.3014064751935903</v>
      </c>
      <c r="F489" s="40">
        <v>1.69717405070042E-5</v>
      </c>
      <c r="G489" s="35">
        <v>3.9573298774109597E-3</v>
      </c>
      <c r="H489" s="27" t="s">
        <v>10</v>
      </c>
      <c r="I489" s="34" t="s">
        <v>260</v>
      </c>
      <c r="J489" s="34" t="s">
        <v>10</v>
      </c>
    </row>
    <row r="490" spans="1:10" x14ac:dyDescent="0.2">
      <c r="A490" s="35" t="s">
        <v>4564</v>
      </c>
      <c r="B490" s="35">
        <v>34.973642754739998</v>
      </c>
      <c r="C490" s="35">
        <v>-6.7825235088053697</v>
      </c>
      <c r="D490" s="35">
        <v>1.57697478182655</v>
      </c>
      <c r="E490" s="35">
        <v>-4.30097144670217</v>
      </c>
      <c r="F490" s="40">
        <v>1.70050973304299E-5</v>
      </c>
      <c r="G490" s="35">
        <v>3.9606625571533497E-3</v>
      </c>
      <c r="H490" s="27" t="s">
        <v>10</v>
      </c>
      <c r="I490" s="24" t="s">
        <v>10</v>
      </c>
      <c r="J490" s="34" t="s">
        <v>10</v>
      </c>
    </row>
    <row r="491" spans="1:10" x14ac:dyDescent="0.2">
      <c r="A491" s="35" t="s">
        <v>4565</v>
      </c>
      <c r="B491" s="35">
        <v>51.453257007171899</v>
      </c>
      <c r="C491" s="35">
        <v>-2.3517498522239699</v>
      </c>
      <c r="D491" s="35">
        <v>0.54695395419178205</v>
      </c>
      <c r="E491" s="35">
        <v>-4.2997218215545798</v>
      </c>
      <c r="F491" s="40">
        <v>1.71012630915763E-5</v>
      </c>
      <c r="G491" s="35">
        <v>3.9641930326175497E-3</v>
      </c>
      <c r="H491" s="27" t="s">
        <v>10</v>
      </c>
      <c r="I491" s="24" t="s">
        <v>10</v>
      </c>
      <c r="J491" s="34" t="s">
        <v>10</v>
      </c>
    </row>
    <row r="492" spans="1:10" x14ac:dyDescent="0.2">
      <c r="A492" s="35" t="s">
        <v>4566</v>
      </c>
      <c r="B492" s="35">
        <v>11.3961263239843</v>
      </c>
      <c r="C492" s="35">
        <v>-7.0506088415980201</v>
      </c>
      <c r="D492" s="35">
        <v>1.6398058421281601</v>
      </c>
      <c r="E492" s="35">
        <v>-4.2996607649888903</v>
      </c>
      <c r="F492" s="40">
        <v>1.7105974995522899E-5</v>
      </c>
      <c r="G492" s="35">
        <v>3.9641930326175497E-3</v>
      </c>
      <c r="H492" s="27" t="s">
        <v>10</v>
      </c>
      <c r="I492" s="24" t="s">
        <v>10</v>
      </c>
      <c r="J492" s="34" t="s">
        <v>10</v>
      </c>
    </row>
    <row r="493" spans="1:10" x14ac:dyDescent="0.2">
      <c r="A493" s="35" t="s">
        <v>4567</v>
      </c>
      <c r="B493" s="35">
        <v>245.73944478256701</v>
      </c>
      <c r="C493" s="35">
        <v>-2.77129906705155</v>
      </c>
      <c r="D493" s="35">
        <v>0.64455781055615702</v>
      </c>
      <c r="E493" s="35">
        <v>-4.2995353119068396</v>
      </c>
      <c r="F493" s="40">
        <v>1.71156604394479E-5</v>
      </c>
      <c r="G493" s="35">
        <v>3.9641930326175497E-3</v>
      </c>
      <c r="H493" s="27" t="s">
        <v>10</v>
      </c>
      <c r="I493" s="24" t="s">
        <v>10</v>
      </c>
      <c r="J493" s="34" t="s">
        <v>10</v>
      </c>
    </row>
    <row r="494" spans="1:10" x14ac:dyDescent="0.2">
      <c r="A494" s="35" t="s">
        <v>4568</v>
      </c>
      <c r="B494" s="35">
        <v>148.84941901031999</v>
      </c>
      <c r="C494" s="35">
        <v>-2.3868846381063298</v>
      </c>
      <c r="D494" s="35">
        <v>0.55559326251463104</v>
      </c>
      <c r="E494" s="35">
        <v>-4.2961007613793196</v>
      </c>
      <c r="F494" s="40">
        <v>1.7382859498670601E-5</v>
      </c>
      <c r="G494" s="35">
        <v>4.0171227564024499E-3</v>
      </c>
      <c r="H494" s="27" t="s">
        <v>10</v>
      </c>
      <c r="I494" s="24" t="s">
        <v>10</v>
      </c>
      <c r="J494" s="34" t="s">
        <v>10</v>
      </c>
    </row>
    <row r="495" spans="1:10" x14ac:dyDescent="0.2">
      <c r="A495" s="35" t="s">
        <v>4569</v>
      </c>
      <c r="B495" s="35">
        <v>7.3359389533862096</v>
      </c>
      <c r="C495" s="35">
        <v>-6.4190879299354</v>
      </c>
      <c r="D495" s="35">
        <v>1.4953228875009099</v>
      </c>
      <c r="E495" s="35">
        <v>-4.2927771544134101</v>
      </c>
      <c r="F495" s="40">
        <v>1.7645208289334702E-5</v>
      </c>
      <c r="G495" s="35">
        <v>4.0732198815100302E-3</v>
      </c>
      <c r="H495" s="27" t="s">
        <v>10</v>
      </c>
      <c r="I495" s="24" t="s">
        <v>10</v>
      </c>
      <c r="J495" s="34" t="s">
        <v>10</v>
      </c>
    </row>
    <row r="496" spans="1:10" x14ac:dyDescent="0.2">
      <c r="A496" s="35" t="s">
        <v>4570</v>
      </c>
      <c r="B496" s="35">
        <v>7.0230628750791002</v>
      </c>
      <c r="C496" s="35">
        <v>-6.3475005156724604</v>
      </c>
      <c r="D496" s="35">
        <v>1.4817636209648699</v>
      </c>
      <c r="E496" s="35">
        <v>-4.2837470335107799</v>
      </c>
      <c r="F496" s="40">
        <v>1.8377184598907101E-5</v>
      </c>
      <c r="G496" s="35">
        <v>4.2198504904670496E-3</v>
      </c>
      <c r="H496" s="27" t="s">
        <v>10</v>
      </c>
      <c r="I496" s="24" t="s">
        <v>10</v>
      </c>
      <c r="J496" s="34" t="s">
        <v>10</v>
      </c>
    </row>
    <row r="497" spans="1:10" x14ac:dyDescent="0.2">
      <c r="A497" s="35" t="s">
        <v>4571</v>
      </c>
      <c r="B497" s="35">
        <v>95.228232756360299</v>
      </c>
      <c r="C497" s="35">
        <v>-9.1494467677565403</v>
      </c>
      <c r="D497" s="35">
        <v>2.1358801958829599</v>
      </c>
      <c r="E497" s="35">
        <v>-4.2836891251637903</v>
      </c>
      <c r="F497" s="40">
        <v>1.8381970647647601E-5</v>
      </c>
      <c r="G497" s="35">
        <v>4.2198504904670496E-3</v>
      </c>
      <c r="H497" s="27" t="s">
        <v>4990</v>
      </c>
      <c r="I497" s="34" t="s">
        <v>5164</v>
      </c>
      <c r="J497" s="34" t="s">
        <v>5085</v>
      </c>
    </row>
    <row r="498" spans="1:10" x14ac:dyDescent="0.2">
      <c r="A498" s="35" t="s">
        <v>4572</v>
      </c>
      <c r="B498" s="35">
        <v>27.3669583685083</v>
      </c>
      <c r="C498" s="35">
        <v>-4.2631718600320703</v>
      </c>
      <c r="D498" s="35">
        <v>0.99540066389636395</v>
      </c>
      <c r="E498" s="35">
        <v>-4.2828702196605404</v>
      </c>
      <c r="F498" s="40">
        <v>1.8449779362988201E-5</v>
      </c>
      <c r="G498" s="35">
        <v>4.2250940921836604E-3</v>
      </c>
      <c r="H498" s="27" t="s">
        <v>10</v>
      </c>
      <c r="I498" s="24" t="s">
        <v>10</v>
      </c>
      <c r="J498" s="34" t="s">
        <v>10</v>
      </c>
    </row>
    <row r="499" spans="1:10" x14ac:dyDescent="0.2">
      <c r="A499" s="35" t="s">
        <v>4573</v>
      </c>
      <c r="B499" s="35">
        <v>17.644509734935799</v>
      </c>
      <c r="C499" s="35">
        <v>-3.5210766652860102</v>
      </c>
      <c r="D499" s="35">
        <v>0.82223887964368603</v>
      </c>
      <c r="E499" s="35">
        <v>-4.2823037835572197</v>
      </c>
      <c r="F499" s="40">
        <v>1.84968219231386E-5</v>
      </c>
      <c r="G499" s="35">
        <v>4.2250940921836604E-3</v>
      </c>
      <c r="H499" s="27" t="s">
        <v>10</v>
      </c>
      <c r="I499" s="34" t="s">
        <v>5133</v>
      </c>
      <c r="J499" s="34" t="s">
        <v>5017</v>
      </c>
    </row>
    <row r="500" spans="1:10" x14ac:dyDescent="0.2">
      <c r="A500" s="35" t="s">
        <v>4574</v>
      </c>
      <c r="B500" s="35">
        <v>7.2451660761225796</v>
      </c>
      <c r="C500" s="35">
        <v>-6.4028958176919302</v>
      </c>
      <c r="D500" s="35">
        <v>1.4952394933286299</v>
      </c>
      <c r="E500" s="35">
        <v>-4.2821874664627204</v>
      </c>
      <c r="F500" s="40">
        <v>1.8506496196919099E-5</v>
      </c>
      <c r="G500" s="35">
        <v>4.2250940921836604E-3</v>
      </c>
      <c r="H500" s="27" t="s">
        <v>10</v>
      </c>
      <c r="I500" s="24" t="s">
        <v>10</v>
      </c>
      <c r="J500" s="34" t="s">
        <v>10</v>
      </c>
    </row>
    <row r="501" spans="1:10" x14ac:dyDescent="0.2">
      <c r="A501" s="35" t="s">
        <v>4575</v>
      </c>
      <c r="B501" s="35">
        <v>51.898339626293698</v>
      </c>
      <c r="C501" s="35">
        <v>-2.0635093335022199</v>
      </c>
      <c r="D501" s="35">
        <v>0.48218847056770098</v>
      </c>
      <c r="E501" s="35">
        <v>-4.2794663486515097</v>
      </c>
      <c r="F501" s="40">
        <v>1.8734195929862701E-5</v>
      </c>
      <c r="G501" s="35">
        <v>4.2630247640794696E-3</v>
      </c>
      <c r="H501" s="27" t="s">
        <v>10</v>
      </c>
      <c r="I501" s="24" t="s">
        <v>10</v>
      </c>
      <c r="J501" s="34" t="s">
        <v>10</v>
      </c>
    </row>
    <row r="502" spans="1:10" x14ac:dyDescent="0.2">
      <c r="A502" s="35" t="s">
        <v>4576</v>
      </c>
      <c r="B502" s="35">
        <v>111.539231966545</v>
      </c>
      <c r="C502" s="35">
        <v>-2.2290670285052698</v>
      </c>
      <c r="D502" s="35">
        <v>0.52103109780735601</v>
      </c>
      <c r="E502" s="35">
        <v>-4.2781842348485704</v>
      </c>
      <c r="F502" s="40">
        <v>1.8842404176114201E-5</v>
      </c>
      <c r="G502" s="35">
        <v>4.2782759803418396E-3</v>
      </c>
      <c r="H502" s="27" t="s">
        <v>10</v>
      </c>
      <c r="I502" s="24" t="s">
        <v>10</v>
      </c>
      <c r="J502" s="34" t="s">
        <v>10</v>
      </c>
    </row>
    <row r="503" spans="1:10" x14ac:dyDescent="0.2">
      <c r="A503" s="35" t="s">
        <v>4577</v>
      </c>
      <c r="B503" s="35">
        <v>13.145713907997999</v>
      </c>
      <c r="C503" s="35">
        <v>-4.3946572693549504</v>
      </c>
      <c r="D503" s="35">
        <v>1.02792141922708</v>
      </c>
      <c r="E503" s="35">
        <v>-4.2752852379118496</v>
      </c>
      <c r="F503" s="40">
        <v>1.90892737239199E-5</v>
      </c>
      <c r="G503" s="35">
        <v>4.3182369313864502E-3</v>
      </c>
      <c r="H503" s="27" t="s">
        <v>10</v>
      </c>
      <c r="I503" s="24" t="s">
        <v>10</v>
      </c>
      <c r="J503" s="34" t="s">
        <v>10</v>
      </c>
    </row>
    <row r="504" spans="1:10" x14ac:dyDescent="0.2">
      <c r="A504" s="35" t="s">
        <v>4578</v>
      </c>
      <c r="B504" s="35">
        <v>7.9110796329274002</v>
      </c>
      <c r="C504" s="35">
        <v>-6.5173769858594799</v>
      </c>
      <c r="D504" s="35">
        <v>1.5244819489258501</v>
      </c>
      <c r="E504" s="35">
        <v>-4.2751421166066299</v>
      </c>
      <c r="F504" s="40">
        <v>1.91015409419903E-5</v>
      </c>
      <c r="G504" s="35">
        <v>4.3182369313864502E-3</v>
      </c>
      <c r="H504" s="27" t="s">
        <v>10</v>
      </c>
      <c r="I504" s="24" t="s">
        <v>10</v>
      </c>
      <c r="J504" s="34" t="s">
        <v>10</v>
      </c>
    </row>
    <row r="505" spans="1:10" x14ac:dyDescent="0.2">
      <c r="A505" s="35" t="s">
        <v>4579</v>
      </c>
      <c r="B505" s="35">
        <v>12.6068204987057</v>
      </c>
      <c r="C505" s="35">
        <v>-7.2007579978781502</v>
      </c>
      <c r="D505" s="35">
        <v>1.68562591254716</v>
      </c>
      <c r="E505" s="35">
        <v>-4.27186005167483</v>
      </c>
      <c r="F505" s="40">
        <v>1.9384922420917399E-5</v>
      </c>
      <c r="G505" s="35">
        <v>4.3585865178356296E-3</v>
      </c>
      <c r="H505" s="27" t="s">
        <v>10</v>
      </c>
      <c r="I505" s="34" t="s">
        <v>4014</v>
      </c>
      <c r="J505" s="34" t="s">
        <v>10</v>
      </c>
    </row>
    <row r="506" spans="1:10" x14ac:dyDescent="0.2">
      <c r="A506" s="35" t="s">
        <v>4580</v>
      </c>
      <c r="B506" s="35">
        <v>96.379387004966304</v>
      </c>
      <c r="C506" s="35">
        <v>-2.5627067151061702</v>
      </c>
      <c r="D506" s="35">
        <v>0.599954293029624</v>
      </c>
      <c r="E506" s="35">
        <v>-4.2715032542981204</v>
      </c>
      <c r="F506" s="40">
        <v>1.94159693528828E-5</v>
      </c>
      <c r="G506" s="35">
        <v>4.3608477068946003E-3</v>
      </c>
      <c r="H506" s="27" t="s">
        <v>10</v>
      </c>
      <c r="I506" s="34" t="s">
        <v>3912</v>
      </c>
      <c r="J506" s="34" t="s">
        <v>10</v>
      </c>
    </row>
    <row r="507" spans="1:10" x14ac:dyDescent="0.2">
      <c r="A507" s="35" t="s">
        <v>4581</v>
      </c>
      <c r="B507" s="35">
        <v>154.98813037633499</v>
      </c>
      <c r="C507" s="35">
        <v>-6.3201310009454499</v>
      </c>
      <c r="D507" s="35">
        <v>1.47986955972747</v>
      </c>
      <c r="E507" s="35">
        <v>-4.2707351870318497</v>
      </c>
      <c r="F507" s="40">
        <v>1.9482963949403399E-5</v>
      </c>
      <c r="G507" s="35">
        <v>4.3711691773998399E-3</v>
      </c>
      <c r="H507" s="27" t="s">
        <v>10</v>
      </c>
      <c r="I507" s="24" t="s">
        <v>10</v>
      </c>
      <c r="J507" s="34" t="s">
        <v>10</v>
      </c>
    </row>
    <row r="508" spans="1:10" x14ac:dyDescent="0.2">
      <c r="A508" s="35" t="s">
        <v>4582</v>
      </c>
      <c r="B508" s="35">
        <v>18.1780014888285</v>
      </c>
      <c r="C508" s="35">
        <v>-3.0226783002310502</v>
      </c>
      <c r="D508" s="35">
        <v>0.70784202169191601</v>
      </c>
      <c r="E508" s="35">
        <v>-4.2702724726713797</v>
      </c>
      <c r="F508" s="40">
        <v>1.95234303709015E-5</v>
      </c>
      <c r="G508" s="35">
        <v>4.3755229774940898E-3</v>
      </c>
      <c r="H508" s="27" t="s">
        <v>10</v>
      </c>
      <c r="I508" s="24" t="s">
        <v>10</v>
      </c>
      <c r="J508" s="34" t="s">
        <v>10</v>
      </c>
    </row>
    <row r="509" spans="1:10" x14ac:dyDescent="0.2">
      <c r="A509" s="35" t="s">
        <v>4583</v>
      </c>
      <c r="B509" s="35">
        <v>6.9693608558221696</v>
      </c>
      <c r="C509" s="35">
        <v>-6.3458654596498496</v>
      </c>
      <c r="D509" s="35">
        <v>1.4877973659102399</v>
      </c>
      <c r="E509" s="35">
        <v>-4.2652753695174201</v>
      </c>
      <c r="F509" s="40">
        <v>1.9965580007949099E-5</v>
      </c>
      <c r="G509" s="35">
        <v>4.4553910205493803E-3</v>
      </c>
      <c r="H509" s="27" t="s">
        <v>10</v>
      </c>
      <c r="I509" s="24" t="s">
        <v>10</v>
      </c>
      <c r="J509" s="34" t="s">
        <v>10</v>
      </c>
    </row>
    <row r="510" spans="1:10" x14ac:dyDescent="0.2">
      <c r="A510" s="35" t="s">
        <v>4584</v>
      </c>
      <c r="B510" s="35">
        <v>6.6849132635768598</v>
      </c>
      <c r="C510" s="35">
        <v>-6.2807804026526499</v>
      </c>
      <c r="D510" s="35">
        <v>1.4745273513208601</v>
      </c>
      <c r="E510" s="35">
        <v>-4.2595211252110197</v>
      </c>
      <c r="F510" s="40">
        <v>2.04865337255624E-5</v>
      </c>
      <c r="G510" s="35">
        <v>4.55695963671085E-3</v>
      </c>
      <c r="H510" s="27" t="s">
        <v>10</v>
      </c>
      <c r="I510" s="24" t="s">
        <v>10</v>
      </c>
      <c r="J510" s="34" t="s">
        <v>10</v>
      </c>
    </row>
    <row r="511" spans="1:10" x14ac:dyDescent="0.2">
      <c r="A511" s="35" t="s">
        <v>4585</v>
      </c>
      <c r="B511" s="35">
        <v>7.78788145278775</v>
      </c>
      <c r="C511" s="35">
        <v>-6.5080151118876701</v>
      </c>
      <c r="D511" s="35">
        <v>1.5283188123478599</v>
      </c>
      <c r="E511" s="35">
        <v>-4.2582837162684699</v>
      </c>
      <c r="F511" s="40">
        <v>2.0600239594253901E-5</v>
      </c>
      <c r="G511" s="35">
        <v>4.5773512055014096E-3</v>
      </c>
      <c r="H511" s="27" t="s">
        <v>10</v>
      </c>
      <c r="I511" s="34" t="s">
        <v>3894</v>
      </c>
      <c r="J511" s="34" t="s">
        <v>10</v>
      </c>
    </row>
    <row r="512" spans="1:10" x14ac:dyDescent="0.2">
      <c r="A512" s="35" t="s">
        <v>4586</v>
      </c>
      <c r="B512" s="35">
        <v>38.968879388695697</v>
      </c>
      <c r="C512" s="35">
        <v>-3.67915621182153</v>
      </c>
      <c r="D512" s="35">
        <v>0.86482316467675202</v>
      </c>
      <c r="E512" s="35">
        <v>-4.2542294911777798</v>
      </c>
      <c r="F512" s="40">
        <v>2.0977007874966202E-5</v>
      </c>
      <c r="G512" s="35">
        <v>4.6560889402473002E-3</v>
      </c>
      <c r="H512" s="27" t="s">
        <v>10</v>
      </c>
      <c r="I512" s="24" t="s">
        <v>10</v>
      </c>
      <c r="J512" s="34" t="s">
        <v>10</v>
      </c>
    </row>
    <row r="513" spans="1:10" x14ac:dyDescent="0.2">
      <c r="A513" s="35" t="s">
        <v>4587</v>
      </c>
      <c r="B513" s="35">
        <v>23.031594066719599</v>
      </c>
      <c r="C513" s="35">
        <v>-6.2475637587947901</v>
      </c>
      <c r="D513" s="35">
        <v>1.4698578492836201</v>
      </c>
      <c r="E513" s="35">
        <v>-4.2504543972328603</v>
      </c>
      <c r="F513" s="40">
        <v>2.1333726965988899E-5</v>
      </c>
      <c r="G513" s="35">
        <v>4.72013821037912E-3</v>
      </c>
      <c r="H513" s="27" t="s">
        <v>10</v>
      </c>
      <c r="I513" s="24" t="s">
        <v>10</v>
      </c>
      <c r="J513" s="34" t="s">
        <v>10</v>
      </c>
    </row>
    <row r="514" spans="1:10" x14ac:dyDescent="0.2">
      <c r="A514" s="35" t="s">
        <v>4588</v>
      </c>
      <c r="B514" s="35">
        <v>7.7435847257711696</v>
      </c>
      <c r="C514" s="35">
        <v>-6.4862374848182203</v>
      </c>
      <c r="D514" s="35">
        <v>1.52642572341206</v>
      </c>
      <c r="E514" s="35">
        <v>-4.2492978107833297</v>
      </c>
      <c r="F514" s="40">
        <v>2.14441666645319E-5</v>
      </c>
      <c r="G514" s="35">
        <v>4.7349329195708802E-3</v>
      </c>
      <c r="H514" s="27" t="s">
        <v>10</v>
      </c>
      <c r="I514" s="24" t="s">
        <v>10</v>
      </c>
      <c r="J514" s="34" t="s">
        <v>10</v>
      </c>
    </row>
    <row r="515" spans="1:10" x14ac:dyDescent="0.2">
      <c r="A515" s="35" t="s">
        <v>4589</v>
      </c>
      <c r="B515" s="35">
        <v>214.453029744883</v>
      </c>
      <c r="C515" s="35">
        <v>-7.7280738273612899</v>
      </c>
      <c r="D515" s="35">
        <v>1.8186797816062901</v>
      </c>
      <c r="E515" s="35">
        <v>-4.2492768136102104</v>
      </c>
      <c r="F515" s="40">
        <v>2.1446176655866501E-5</v>
      </c>
      <c r="G515" s="35">
        <v>4.7349329195708802E-3</v>
      </c>
      <c r="H515" s="27" t="s">
        <v>4980</v>
      </c>
      <c r="I515" s="34" t="s">
        <v>5154</v>
      </c>
      <c r="J515" s="34" t="s">
        <v>5074</v>
      </c>
    </row>
    <row r="516" spans="1:10" x14ac:dyDescent="0.2">
      <c r="A516" s="35" t="s">
        <v>4590</v>
      </c>
      <c r="B516" s="35">
        <v>13.4076603054559</v>
      </c>
      <c r="C516" s="35">
        <v>-7.2811653001091097</v>
      </c>
      <c r="D516" s="35">
        <v>1.7152190308069899</v>
      </c>
      <c r="E516" s="35">
        <v>-4.2450352808197396</v>
      </c>
      <c r="F516" s="40">
        <v>2.18559029837095E-5</v>
      </c>
      <c r="G516" s="35">
        <v>4.8049682331042804E-3</v>
      </c>
      <c r="H516" s="27" t="s">
        <v>10</v>
      </c>
      <c r="I516" s="24" t="s">
        <v>10</v>
      </c>
      <c r="J516" s="34" t="s">
        <v>10</v>
      </c>
    </row>
    <row r="517" spans="1:10" x14ac:dyDescent="0.2">
      <c r="A517" s="35" t="s">
        <v>4591</v>
      </c>
      <c r="B517" s="35">
        <v>7.0810836581469196</v>
      </c>
      <c r="C517" s="35">
        <v>-6.3629317523752897</v>
      </c>
      <c r="D517" s="35">
        <v>1.50056771732113</v>
      </c>
      <c r="E517" s="35">
        <v>-4.2403496216316299</v>
      </c>
      <c r="F517" s="40">
        <v>2.2317190601024299E-5</v>
      </c>
      <c r="G517" s="35">
        <v>4.8805581584277996E-3</v>
      </c>
      <c r="H517" s="27" t="s">
        <v>10</v>
      </c>
      <c r="I517" s="24" t="s">
        <v>10</v>
      </c>
      <c r="J517" s="34" t="s">
        <v>10</v>
      </c>
    </row>
    <row r="518" spans="1:10" x14ac:dyDescent="0.2">
      <c r="A518" s="35" t="s">
        <v>4592</v>
      </c>
      <c r="B518" s="35">
        <v>347.04042952971002</v>
      </c>
      <c r="C518" s="35">
        <v>-2.9763422768403101</v>
      </c>
      <c r="D518" s="35">
        <v>0.70227472820784198</v>
      </c>
      <c r="E518" s="35">
        <v>-4.2381452119681704</v>
      </c>
      <c r="F518" s="40">
        <v>2.2537398711933401E-5</v>
      </c>
      <c r="G518" s="35">
        <v>4.9234411038606698E-3</v>
      </c>
      <c r="H518" s="27" t="s">
        <v>10</v>
      </c>
      <c r="I518" s="34" t="s">
        <v>5117</v>
      </c>
      <c r="J518" s="34" t="s">
        <v>10</v>
      </c>
    </row>
    <row r="519" spans="1:10" x14ac:dyDescent="0.2">
      <c r="A519" s="35" t="s">
        <v>4593</v>
      </c>
      <c r="B519" s="35">
        <v>306.60759134431999</v>
      </c>
      <c r="C519" s="35">
        <v>-2.6169003187256701</v>
      </c>
      <c r="D519" s="35">
        <v>0.61749735786082705</v>
      </c>
      <c r="E519" s="35">
        <v>-4.2379133860447604</v>
      </c>
      <c r="F519" s="40">
        <v>2.2560676615237899E-5</v>
      </c>
      <c r="G519" s="35">
        <v>4.9234411038606698E-3</v>
      </c>
      <c r="H519" s="27" t="s">
        <v>10</v>
      </c>
      <c r="I519" s="24" t="s">
        <v>10</v>
      </c>
      <c r="J519" s="34" t="s">
        <v>10</v>
      </c>
    </row>
    <row r="520" spans="1:10" x14ac:dyDescent="0.2">
      <c r="A520" s="35" t="s">
        <v>4594</v>
      </c>
      <c r="B520" s="35">
        <v>9.0844551019744504</v>
      </c>
      <c r="C520" s="35">
        <v>-6.7184259681076197</v>
      </c>
      <c r="D520" s="35">
        <v>1.5855042917388</v>
      </c>
      <c r="E520" s="35">
        <v>-4.2374063590453099</v>
      </c>
      <c r="F520" s="40">
        <v>2.26116675448322E-5</v>
      </c>
      <c r="G520" s="35">
        <v>4.9293909784303902E-3</v>
      </c>
      <c r="H520" s="27" t="s">
        <v>10</v>
      </c>
      <c r="I520" s="34" t="s">
        <v>5126</v>
      </c>
      <c r="J520" s="34" t="s">
        <v>10</v>
      </c>
    </row>
    <row r="521" spans="1:10" x14ac:dyDescent="0.2">
      <c r="A521" s="35" t="s">
        <v>4595</v>
      </c>
      <c r="B521" s="35">
        <v>7.0058522305183004</v>
      </c>
      <c r="C521" s="35">
        <v>-6.3520856550291596</v>
      </c>
      <c r="D521" s="35">
        <v>1.4994607078211</v>
      </c>
      <c r="E521" s="35">
        <v>-4.2362468198713303</v>
      </c>
      <c r="F521" s="40">
        <v>2.27286931832708E-5</v>
      </c>
      <c r="G521" s="35">
        <v>4.94452605338598E-3</v>
      </c>
      <c r="H521" s="27" t="s">
        <v>10</v>
      </c>
      <c r="I521" s="34" t="s">
        <v>837</v>
      </c>
      <c r="J521" s="34" t="s">
        <v>5026</v>
      </c>
    </row>
    <row r="522" spans="1:10" x14ac:dyDescent="0.2">
      <c r="A522" s="35" t="s">
        <v>4596</v>
      </c>
      <c r="B522" s="35">
        <v>18.094084612711299</v>
      </c>
      <c r="C522" s="35">
        <v>-2.7542338259464501</v>
      </c>
      <c r="D522" s="35">
        <v>0.65058530548356996</v>
      </c>
      <c r="E522" s="35">
        <v>-4.2334706958978598</v>
      </c>
      <c r="F522" s="40">
        <v>2.3011217887176899E-5</v>
      </c>
      <c r="G522" s="35">
        <v>4.9879689601833796E-3</v>
      </c>
      <c r="H522" s="27" t="s">
        <v>10</v>
      </c>
      <c r="I522" s="24" t="s">
        <v>10</v>
      </c>
      <c r="J522" s="34" t="s">
        <v>10</v>
      </c>
    </row>
    <row r="523" spans="1:10" x14ac:dyDescent="0.2">
      <c r="A523" s="35" t="s">
        <v>4597</v>
      </c>
      <c r="B523" s="35">
        <v>19.990541872052098</v>
      </c>
      <c r="C523" s="35">
        <v>-3.6420549816858401</v>
      </c>
      <c r="D523" s="35">
        <v>0.86051645610128102</v>
      </c>
      <c r="E523" s="35">
        <v>-4.23240596488625</v>
      </c>
      <c r="F523" s="40">
        <v>2.31204591379146E-5</v>
      </c>
      <c r="G523" s="35">
        <v>4.9879689601833796E-3</v>
      </c>
      <c r="H523" s="27" t="s">
        <v>10</v>
      </c>
      <c r="I523" s="24" t="s">
        <v>10</v>
      </c>
      <c r="J523" s="34" t="s">
        <v>10</v>
      </c>
    </row>
    <row r="524" spans="1:10" x14ac:dyDescent="0.2">
      <c r="A524" s="35" t="s">
        <v>4598</v>
      </c>
      <c r="B524" s="35">
        <v>36.574130584107401</v>
      </c>
      <c r="C524" s="35">
        <v>-4.6225788592553201</v>
      </c>
      <c r="D524" s="35">
        <v>1.0924758306296301</v>
      </c>
      <c r="E524" s="35">
        <v>-4.2312870725855696</v>
      </c>
      <c r="F524" s="40">
        <v>2.3235789045959E-5</v>
      </c>
      <c r="G524" s="35">
        <v>5.0076499886226701E-3</v>
      </c>
      <c r="H524" s="27" t="s">
        <v>10</v>
      </c>
      <c r="I524" s="24" t="s">
        <v>10</v>
      </c>
      <c r="J524" s="34" t="s">
        <v>10</v>
      </c>
    </row>
    <row r="525" spans="1:10" x14ac:dyDescent="0.2">
      <c r="A525" s="35" t="s">
        <v>4599</v>
      </c>
      <c r="B525" s="35">
        <v>81.089850800226301</v>
      </c>
      <c r="C525" s="35">
        <v>-3.1900126425013302</v>
      </c>
      <c r="D525" s="35">
        <v>0.75426125064345395</v>
      </c>
      <c r="E525" s="35">
        <v>-4.2293205965173897</v>
      </c>
      <c r="F525" s="40">
        <v>2.3439811448536199E-5</v>
      </c>
      <c r="G525" s="35">
        <v>5.0411609392361197E-3</v>
      </c>
      <c r="H525" s="27" t="s">
        <v>10</v>
      </c>
      <c r="I525" s="24" t="s">
        <v>10</v>
      </c>
      <c r="J525" s="34" t="s">
        <v>10</v>
      </c>
    </row>
    <row r="526" spans="1:10" x14ac:dyDescent="0.2">
      <c r="A526" s="35" t="s">
        <v>4600</v>
      </c>
      <c r="B526" s="35">
        <v>9.3496171197612998</v>
      </c>
      <c r="C526" s="35">
        <v>-6.7685975071293898</v>
      </c>
      <c r="D526" s="35">
        <v>1.6005442365572999</v>
      </c>
      <c r="E526" s="35">
        <v>-4.2289349788221697</v>
      </c>
      <c r="F526" s="40">
        <v>2.34800187883149E-5</v>
      </c>
      <c r="G526" s="35">
        <v>5.0445861255275504E-3</v>
      </c>
      <c r="H526" s="27" t="s">
        <v>10</v>
      </c>
      <c r="I526" s="24" t="s">
        <v>10</v>
      </c>
      <c r="J526" s="34" t="s">
        <v>10</v>
      </c>
    </row>
    <row r="527" spans="1:10" x14ac:dyDescent="0.2">
      <c r="A527" s="35" t="s">
        <v>4601</v>
      </c>
      <c r="B527" s="35">
        <v>11.919556126191001</v>
      </c>
      <c r="C527" s="35">
        <v>-7.11911002119166</v>
      </c>
      <c r="D527" s="35">
        <v>1.68447183123693</v>
      </c>
      <c r="E527" s="35">
        <v>-4.2263158630346496</v>
      </c>
      <c r="F527" s="40">
        <v>2.3754848713714901E-5</v>
      </c>
      <c r="G527" s="35">
        <v>5.0926119767527502E-3</v>
      </c>
      <c r="H527" s="27" t="s">
        <v>10</v>
      </c>
      <c r="I527" s="24" t="s">
        <v>10</v>
      </c>
      <c r="J527" s="34" t="s">
        <v>10</v>
      </c>
    </row>
    <row r="528" spans="1:10" x14ac:dyDescent="0.2">
      <c r="A528" s="35" t="s">
        <v>4602</v>
      </c>
      <c r="B528" s="35">
        <v>25.193099577699599</v>
      </c>
      <c r="C528" s="35">
        <v>-3.9301063450060698</v>
      </c>
      <c r="D528" s="35">
        <v>0.93002172990502796</v>
      </c>
      <c r="E528" s="35">
        <v>-4.2258220626816998</v>
      </c>
      <c r="F528" s="40">
        <v>2.3807006107463599E-5</v>
      </c>
      <c r="G528" s="35">
        <v>5.0926119767527502E-3</v>
      </c>
      <c r="H528" s="27" t="s">
        <v>10</v>
      </c>
      <c r="I528" s="24" t="s">
        <v>10</v>
      </c>
      <c r="J528" s="34" t="s">
        <v>10</v>
      </c>
    </row>
    <row r="529" spans="1:10" x14ac:dyDescent="0.2">
      <c r="A529" s="35" t="s">
        <v>4603</v>
      </c>
      <c r="B529" s="35">
        <v>30.066871959139199</v>
      </c>
      <c r="C529" s="35">
        <v>-4.5284644780286998</v>
      </c>
      <c r="D529" s="35">
        <v>1.0728264176190501</v>
      </c>
      <c r="E529" s="35">
        <v>-4.22105981327232</v>
      </c>
      <c r="F529" s="40">
        <v>2.4315640035415499E-5</v>
      </c>
      <c r="G529" s="35">
        <v>5.1812513961002902E-3</v>
      </c>
      <c r="H529" s="27" t="s">
        <v>4959</v>
      </c>
      <c r="I529" s="34" t="s">
        <v>5131</v>
      </c>
      <c r="J529" s="34" t="s">
        <v>10</v>
      </c>
    </row>
    <row r="530" spans="1:10" x14ac:dyDescent="0.2">
      <c r="A530" s="35" t="s">
        <v>4604</v>
      </c>
      <c r="B530" s="35">
        <v>18.250774585410099</v>
      </c>
      <c r="C530" s="35">
        <v>-4.89117448288465</v>
      </c>
      <c r="D530" s="35">
        <v>1.1590309041460201</v>
      </c>
      <c r="E530" s="35">
        <v>-4.2200552766869599</v>
      </c>
      <c r="F530" s="40">
        <v>2.44242424067849E-5</v>
      </c>
      <c r="G530" s="35">
        <v>5.1990603539590298E-3</v>
      </c>
      <c r="H530" s="27" t="s">
        <v>10</v>
      </c>
      <c r="I530" s="24" t="s">
        <v>10</v>
      </c>
      <c r="J530" s="34" t="s">
        <v>10</v>
      </c>
    </row>
    <row r="531" spans="1:10" x14ac:dyDescent="0.2">
      <c r="A531" s="35" t="s">
        <v>4605</v>
      </c>
      <c r="B531" s="35">
        <v>77.338511643506905</v>
      </c>
      <c r="C531" s="35">
        <v>-2.41160169302184</v>
      </c>
      <c r="D531" s="35">
        <v>0.57161417497935996</v>
      </c>
      <c r="E531" s="35">
        <v>-4.2189326272549499</v>
      </c>
      <c r="F531" s="40">
        <v>2.4546160193534001E-5</v>
      </c>
      <c r="G531" s="35">
        <v>5.2143272568178399E-3</v>
      </c>
      <c r="H531" s="27" t="s">
        <v>10</v>
      </c>
      <c r="I531" s="24" t="s">
        <v>10</v>
      </c>
      <c r="J531" s="34" t="s">
        <v>10</v>
      </c>
    </row>
    <row r="532" spans="1:10" x14ac:dyDescent="0.2">
      <c r="A532" s="35" t="s">
        <v>4606</v>
      </c>
      <c r="B532" s="35">
        <v>13.2206319761735</v>
      </c>
      <c r="C532" s="35">
        <v>-7.2602068278137999</v>
      </c>
      <c r="D532" s="35">
        <v>1.7211017834979701</v>
      </c>
      <c r="E532" s="35">
        <v>-4.2183483263018502</v>
      </c>
      <c r="F532" s="40">
        <v>2.4609843127232901E-5</v>
      </c>
      <c r="G532" s="35">
        <v>5.2214928621896004E-3</v>
      </c>
      <c r="H532" s="27" t="s">
        <v>10</v>
      </c>
      <c r="I532" s="24" t="s">
        <v>10</v>
      </c>
      <c r="J532" s="34" t="s">
        <v>10</v>
      </c>
    </row>
    <row r="533" spans="1:10" x14ac:dyDescent="0.2">
      <c r="A533" s="35" t="s">
        <v>4607</v>
      </c>
      <c r="B533" s="35">
        <v>9.6197611726448198</v>
      </c>
      <c r="C533" s="35">
        <v>-6.8135998405489504</v>
      </c>
      <c r="D533" s="35">
        <v>1.61530056242588</v>
      </c>
      <c r="E533" s="35">
        <v>-4.2181622411597397</v>
      </c>
      <c r="F533" s="40">
        <v>2.4630157516248901E-5</v>
      </c>
      <c r="G533" s="35">
        <v>5.2214928621896004E-3</v>
      </c>
      <c r="H533" s="27" t="s">
        <v>10</v>
      </c>
      <c r="I533" s="24" t="s">
        <v>10</v>
      </c>
      <c r="J533" s="34" t="s">
        <v>10</v>
      </c>
    </row>
    <row r="534" spans="1:10" x14ac:dyDescent="0.2">
      <c r="A534" s="35" t="s">
        <v>4608</v>
      </c>
      <c r="B534" s="35">
        <v>6.5803422309329997</v>
      </c>
      <c r="C534" s="35">
        <v>-6.2608806503422203</v>
      </c>
      <c r="D534" s="35">
        <v>1.48515506051102</v>
      </c>
      <c r="E534" s="35">
        <v>-4.2156410578353603</v>
      </c>
      <c r="F534" s="40">
        <v>2.4906964998263201E-5</v>
      </c>
      <c r="G534" s="35">
        <v>5.2694209981457999E-3</v>
      </c>
      <c r="H534" s="27" t="s">
        <v>10</v>
      </c>
      <c r="I534" s="24" t="s">
        <v>10</v>
      </c>
      <c r="J534" s="34" t="s">
        <v>10</v>
      </c>
    </row>
    <row r="535" spans="1:10" x14ac:dyDescent="0.2">
      <c r="A535" s="35" t="s">
        <v>4609</v>
      </c>
      <c r="B535" s="35">
        <v>6.5803422309329997</v>
      </c>
      <c r="C535" s="35">
        <v>-6.2608806503422203</v>
      </c>
      <c r="D535" s="35">
        <v>1.48515506051102</v>
      </c>
      <c r="E535" s="35">
        <v>-4.2156410578353603</v>
      </c>
      <c r="F535" s="40">
        <v>2.4906964998263201E-5</v>
      </c>
      <c r="G535" s="35">
        <v>5.2694209981457999E-3</v>
      </c>
      <c r="H535" s="27" t="s">
        <v>10</v>
      </c>
      <c r="I535" s="24" t="s">
        <v>10</v>
      </c>
      <c r="J535" s="34" t="s">
        <v>10</v>
      </c>
    </row>
    <row r="536" spans="1:10" x14ac:dyDescent="0.2">
      <c r="A536" s="35" t="s">
        <v>4610</v>
      </c>
      <c r="B536" s="35">
        <v>12.4552906606568</v>
      </c>
      <c r="C536" s="35">
        <v>-5.3477225708327198</v>
      </c>
      <c r="D536" s="35">
        <v>1.26944304676964</v>
      </c>
      <c r="E536" s="35">
        <v>-4.2126526152087598</v>
      </c>
      <c r="F536" s="40">
        <v>2.5238907263123699E-5</v>
      </c>
      <c r="G536" s="35">
        <v>5.3179862245005304E-3</v>
      </c>
      <c r="H536" s="27" t="s">
        <v>10</v>
      </c>
      <c r="I536" s="24" t="s">
        <v>10</v>
      </c>
      <c r="J536" s="34" t="s">
        <v>10</v>
      </c>
    </row>
    <row r="537" spans="1:10" x14ac:dyDescent="0.2">
      <c r="A537" s="35" t="s">
        <v>4611</v>
      </c>
      <c r="B537" s="35">
        <v>6169.59014113588</v>
      </c>
      <c r="C537" s="35">
        <v>-2.0698470377032199</v>
      </c>
      <c r="D537" s="35">
        <v>0.49155101235299697</v>
      </c>
      <c r="E537" s="35">
        <v>-4.2108488960181401</v>
      </c>
      <c r="F537" s="40">
        <v>2.5441287848534301E-5</v>
      </c>
      <c r="G537" s="35">
        <v>5.3551977692604799E-3</v>
      </c>
      <c r="H537" s="27" t="s">
        <v>10</v>
      </c>
      <c r="I537" s="34" t="s">
        <v>5162</v>
      </c>
      <c r="J537" s="34" t="s">
        <v>10</v>
      </c>
    </row>
    <row r="538" spans="1:10" x14ac:dyDescent="0.2">
      <c r="A538" s="35" t="s">
        <v>4612</v>
      </c>
      <c r="B538" s="35">
        <v>19.3564927416407</v>
      </c>
      <c r="C538" s="35">
        <v>-2.8983507511617401</v>
      </c>
      <c r="D538" s="35">
        <v>0.68850313894425696</v>
      </c>
      <c r="E538" s="35">
        <v>-4.2096405771018599</v>
      </c>
      <c r="F538" s="40">
        <v>2.55777257968542E-5</v>
      </c>
      <c r="G538" s="35">
        <v>5.3784676119951799E-3</v>
      </c>
      <c r="H538" s="27" t="s">
        <v>10</v>
      </c>
      <c r="I538" s="24" t="s">
        <v>10</v>
      </c>
      <c r="J538" s="34" t="s">
        <v>10</v>
      </c>
    </row>
    <row r="539" spans="1:10" x14ac:dyDescent="0.2">
      <c r="A539" s="35" t="s">
        <v>4613</v>
      </c>
      <c r="B539" s="35">
        <v>6.8328747486069599</v>
      </c>
      <c r="C539" s="35">
        <v>-6.3083329180422103</v>
      </c>
      <c r="D539" s="35">
        <v>1.4989097936806099</v>
      </c>
      <c r="E539" s="35">
        <v>-4.2086141171657401</v>
      </c>
      <c r="F539" s="40">
        <v>2.5694175489169202E-5</v>
      </c>
      <c r="G539" s="35">
        <v>5.3931713432963501E-3</v>
      </c>
      <c r="H539" s="27" t="s">
        <v>10</v>
      </c>
      <c r="I539" s="24" t="s">
        <v>10</v>
      </c>
      <c r="J539" s="34" t="s">
        <v>10</v>
      </c>
    </row>
    <row r="540" spans="1:10" x14ac:dyDescent="0.2">
      <c r="A540" s="35" t="s">
        <v>4614</v>
      </c>
      <c r="B540" s="35">
        <v>6.7283037159631096</v>
      </c>
      <c r="C540" s="35">
        <v>-6.2885687937665899</v>
      </c>
      <c r="D540" s="35">
        <v>1.49441298359721</v>
      </c>
      <c r="E540" s="35">
        <v>-4.20805283599005</v>
      </c>
      <c r="F540" s="40">
        <v>2.57580647193259E-5</v>
      </c>
      <c r="G540" s="35">
        <v>5.3999924256592103E-3</v>
      </c>
      <c r="H540" s="27" t="s">
        <v>10</v>
      </c>
      <c r="I540" s="24" t="s">
        <v>10</v>
      </c>
      <c r="J540" s="34" t="s">
        <v>10</v>
      </c>
    </row>
    <row r="541" spans="1:10" x14ac:dyDescent="0.2">
      <c r="A541" s="35" t="s">
        <v>4615</v>
      </c>
      <c r="B541" s="35">
        <v>20.194361910623702</v>
      </c>
      <c r="C541" s="35">
        <v>-6.1206695542472103</v>
      </c>
      <c r="D541" s="35">
        <v>1.45468843640965</v>
      </c>
      <c r="E541" s="35">
        <v>-4.2075467165696301</v>
      </c>
      <c r="F541" s="40">
        <v>2.58158045519938E-5</v>
      </c>
      <c r="G541" s="35">
        <v>5.4055971088180802E-3</v>
      </c>
      <c r="H541" s="27" t="s">
        <v>10</v>
      </c>
      <c r="I541" s="34" t="s">
        <v>5130</v>
      </c>
      <c r="J541" s="34" t="s">
        <v>10</v>
      </c>
    </row>
    <row r="542" spans="1:10" x14ac:dyDescent="0.2">
      <c r="A542" s="35" t="s">
        <v>4616</v>
      </c>
      <c r="B542" s="35">
        <v>6.5243174341107402</v>
      </c>
      <c r="C542" s="35">
        <v>-6.2452631343520499</v>
      </c>
      <c r="D542" s="35">
        <v>1.48436531245531</v>
      </c>
      <c r="E542" s="35">
        <v>-4.2073626228988497</v>
      </c>
      <c r="F542" s="40">
        <v>2.5836837102448799E-5</v>
      </c>
      <c r="G542" s="35">
        <v>5.4055971088180802E-3</v>
      </c>
      <c r="H542" s="27" t="s">
        <v>10</v>
      </c>
      <c r="I542" s="24" t="s">
        <v>10</v>
      </c>
      <c r="J542" s="34" t="s">
        <v>10</v>
      </c>
    </row>
    <row r="543" spans="1:10" x14ac:dyDescent="0.2">
      <c r="A543" s="35" t="s">
        <v>4617</v>
      </c>
      <c r="B543" s="35">
        <v>15.6449529827095</v>
      </c>
      <c r="C543" s="35">
        <v>-5.11200325320935</v>
      </c>
      <c r="D543" s="35">
        <v>1.2167969516500201</v>
      </c>
      <c r="E543" s="35">
        <v>-4.2011966304462698</v>
      </c>
      <c r="F543" s="40">
        <v>2.6550785821757802E-5</v>
      </c>
      <c r="G543" s="35">
        <v>5.5382380112300404E-3</v>
      </c>
      <c r="H543" s="27" t="s">
        <v>10</v>
      </c>
      <c r="I543" s="24" t="s">
        <v>10</v>
      </c>
      <c r="J543" s="34" t="s">
        <v>10</v>
      </c>
    </row>
    <row r="544" spans="1:10" x14ac:dyDescent="0.2">
      <c r="A544" s="35" t="s">
        <v>4618</v>
      </c>
      <c r="B544" s="35">
        <v>6.8504121844875296</v>
      </c>
      <c r="C544" s="35">
        <v>-6.31556824057912</v>
      </c>
      <c r="D544" s="35">
        <v>1.5033878616378999</v>
      </c>
      <c r="E544" s="35">
        <v>-4.20089080252282</v>
      </c>
      <c r="F544" s="40">
        <v>2.6586680980751599E-5</v>
      </c>
      <c r="G544" s="35">
        <v>5.5401629827853899E-3</v>
      </c>
      <c r="H544" s="27" t="s">
        <v>10</v>
      </c>
      <c r="I544" s="24" t="s">
        <v>10</v>
      </c>
      <c r="J544" s="34" t="s">
        <v>10</v>
      </c>
    </row>
    <row r="545" spans="1:10" x14ac:dyDescent="0.2">
      <c r="A545" s="35" t="s">
        <v>4619</v>
      </c>
      <c r="B545" s="35">
        <v>9.9280666777346909</v>
      </c>
      <c r="C545" s="35">
        <v>-5.8760572394493504</v>
      </c>
      <c r="D545" s="35">
        <v>1.3994927925721501</v>
      </c>
      <c r="E545" s="35">
        <v>-4.1987048955426696</v>
      </c>
      <c r="F545" s="40">
        <v>2.68445888351928E-5</v>
      </c>
      <c r="G545" s="35">
        <v>5.5883010000443998E-3</v>
      </c>
      <c r="H545" s="27" t="s">
        <v>10</v>
      </c>
      <c r="I545" s="24" t="s">
        <v>10</v>
      </c>
      <c r="J545" s="34" t="s">
        <v>10</v>
      </c>
    </row>
    <row r="546" spans="1:10" x14ac:dyDescent="0.2">
      <c r="A546" s="35" t="s">
        <v>4620</v>
      </c>
      <c r="B546" s="35">
        <v>11.283675839691</v>
      </c>
      <c r="C546" s="35">
        <v>-7.0287238918277302</v>
      </c>
      <c r="D546" s="35">
        <v>1.6745935608382001</v>
      </c>
      <c r="E546" s="35">
        <v>-4.1972715387186801</v>
      </c>
      <c r="F546" s="40">
        <v>2.7014995412944301E-5</v>
      </c>
      <c r="G546" s="35">
        <v>5.6070557093110002E-3</v>
      </c>
      <c r="H546" s="27" t="s">
        <v>4934</v>
      </c>
      <c r="I546" s="34" t="s">
        <v>5104</v>
      </c>
      <c r="J546" s="34" t="s">
        <v>5039</v>
      </c>
    </row>
    <row r="547" spans="1:10" x14ac:dyDescent="0.2">
      <c r="A547" s="35" t="s">
        <v>4621</v>
      </c>
      <c r="B547" s="35">
        <v>33.5684835745435</v>
      </c>
      <c r="C547" s="35">
        <v>-3.2387607122797299</v>
      </c>
      <c r="D547" s="35">
        <v>0.77163693534326105</v>
      </c>
      <c r="E547" s="35">
        <v>-4.1972598302840103</v>
      </c>
      <c r="F547" s="40">
        <v>2.70163916123108E-5</v>
      </c>
      <c r="G547" s="35">
        <v>5.6070557093110002E-3</v>
      </c>
      <c r="H547" s="27" t="s">
        <v>10</v>
      </c>
      <c r="I547" s="24" t="s">
        <v>10</v>
      </c>
      <c r="J547" s="34" t="s">
        <v>10</v>
      </c>
    </row>
    <row r="548" spans="1:10" x14ac:dyDescent="0.2">
      <c r="A548" s="35" t="s">
        <v>4622</v>
      </c>
      <c r="B548" s="35">
        <v>90.942576937644105</v>
      </c>
      <c r="C548" s="35">
        <v>-2.6507388917166499</v>
      </c>
      <c r="D548" s="35">
        <v>0.63168187225160899</v>
      </c>
      <c r="E548" s="35">
        <v>-4.1963193945524804</v>
      </c>
      <c r="F548" s="40">
        <v>2.71287604130164E-5</v>
      </c>
      <c r="G548" s="35">
        <v>5.6193048338650398E-3</v>
      </c>
      <c r="H548" s="27" t="s">
        <v>10</v>
      </c>
      <c r="I548" s="24" t="s">
        <v>10</v>
      </c>
      <c r="J548" s="34" t="s">
        <v>10</v>
      </c>
    </row>
    <row r="549" spans="1:10" x14ac:dyDescent="0.2">
      <c r="A549" s="35" t="s">
        <v>4623</v>
      </c>
      <c r="B549" s="35">
        <v>30.929553188221899</v>
      </c>
      <c r="C549" s="35">
        <v>-4.3701473848770904</v>
      </c>
      <c r="D549" s="35">
        <v>1.04178220195089</v>
      </c>
      <c r="E549" s="35">
        <v>-4.1948762195143399</v>
      </c>
      <c r="F549" s="40">
        <v>2.7302064146671499E-5</v>
      </c>
      <c r="G549" s="35">
        <v>5.6495693614102499E-3</v>
      </c>
      <c r="H549" s="27" t="s">
        <v>10</v>
      </c>
      <c r="I549" s="24" t="s">
        <v>10</v>
      </c>
      <c r="J549" s="34" t="s">
        <v>10</v>
      </c>
    </row>
    <row r="550" spans="1:10" x14ac:dyDescent="0.2">
      <c r="A550" s="35" t="s">
        <v>4624</v>
      </c>
      <c r="B550" s="35">
        <v>7.8714284610414804</v>
      </c>
      <c r="C550" s="35">
        <v>-6.5142711966093803</v>
      </c>
      <c r="D550" s="35">
        <v>1.55343932338738</v>
      </c>
      <c r="E550" s="35">
        <v>-4.1934506861874397</v>
      </c>
      <c r="F550" s="40">
        <v>2.7474282485519498E-5</v>
      </c>
      <c r="G550" s="35">
        <v>5.67954928563343E-3</v>
      </c>
      <c r="H550" s="27" t="s">
        <v>10</v>
      </c>
      <c r="I550" s="34" t="s">
        <v>5149</v>
      </c>
      <c r="J550" s="34" t="s">
        <v>10</v>
      </c>
    </row>
    <row r="551" spans="1:10" x14ac:dyDescent="0.2">
      <c r="A551" s="35" t="s">
        <v>4625</v>
      </c>
      <c r="B551" s="35">
        <v>22.170621528178501</v>
      </c>
      <c r="C551" s="35">
        <v>-2.9571338480249501</v>
      </c>
      <c r="D551" s="35">
        <v>0.70526656117653996</v>
      </c>
      <c r="E551" s="35">
        <v>-4.19293074535081</v>
      </c>
      <c r="F551" s="40">
        <v>2.75373530993474E-5</v>
      </c>
      <c r="G551" s="35">
        <v>5.6824556702836197E-3</v>
      </c>
      <c r="H551" s="27" t="s">
        <v>10</v>
      </c>
      <c r="I551" s="34" t="s">
        <v>5109</v>
      </c>
      <c r="J551" s="34" t="s">
        <v>10</v>
      </c>
    </row>
    <row r="552" spans="1:10" x14ac:dyDescent="0.2">
      <c r="A552" s="35" t="s">
        <v>4626</v>
      </c>
      <c r="B552" s="35">
        <v>116.75149624120399</v>
      </c>
      <c r="C552" s="35">
        <v>-3.4463644633603501</v>
      </c>
      <c r="D552" s="35">
        <v>0.82300653553089897</v>
      </c>
      <c r="E552" s="35">
        <v>-4.1875298853334</v>
      </c>
      <c r="F552" s="40">
        <v>2.8200689653928201E-5</v>
      </c>
      <c r="G552" s="35">
        <v>5.8008539403381302E-3</v>
      </c>
      <c r="H552" s="27" t="s">
        <v>10</v>
      </c>
      <c r="I552" s="24" t="s">
        <v>10</v>
      </c>
      <c r="J552" s="34" t="s">
        <v>10</v>
      </c>
    </row>
    <row r="553" spans="1:10" x14ac:dyDescent="0.2">
      <c r="A553" s="35" t="s">
        <v>4627</v>
      </c>
      <c r="B553" s="35">
        <v>6.4249021849022299</v>
      </c>
      <c r="C553" s="35">
        <v>-6.2213999314453599</v>
      </c>
      <c r="D553" s="35">
        <v>1.4867806092479801</v>
      </c>
      <c r="E553" s="35">
        <v>-4.1844774492937296</v>
      </c>
      <c r="F553" s="40">
        <v>2.8582281755723501E-5</v>
      </c>
      <c r="G553" s="35">
        <v>5.8442039224496003E-3</v>
      </c>
      <c r="H553" s="27" t="s">
        <v>10</v>
      </c>
      <c r="I553" s="24" t="s">
        <v>10</v>
      </c>
      <c r="J553" s="34" t="s">
        <v>10</v>
      </c>
    </row>
    <row r="554" spans="1:10" x14ac:dyDescent="0.2">
      <c r="A554" s="35" t="s">
        <v>4628</v>
      </c>
      <c r="B554" s="35">
        <v>22.438784887813402</v>
      </c>
      <c r="C554" s="35">
        <v>-4.6860934834364896</v>
      </c>
      <c r="D554" s="35">
        <v>1.12029005585018</v>
      </c>
      <c r="E554" s="35">
        <v>-4.1829287504299399</v>
      </c>
      <c r="F554" s="40">
        <v>2.87777602122173E-5</v>
      </c>
      <c r="G554" s="35">
        <v>5.8672741419523201E-3</v>
      </c>
      <c r="H554" s="27" t="s">
        <v>10</v>
      </c>
      <c r="I554" s="24" t="s">
        <v>10</v>
      </c>
      <c r="J554" s="34" t="s">
        <v>10</v>
      </c>
    </row>
    <row r="555" spans="1:10" x14ac:dyDescent="0.2">
      <c r="A555" s="35" t="s">
        <v>4629</v>
      </c>
      <c r="B555" s="35">
        <v>10.754174290772401</v>
      </c>
      <c r="C555" s="35">
        <v>-6.9611047954967296</v>
      </c>
      <c r="D555" s="35">
        <v>1.66465585260413</v>
      </c>
      <c r="E555" s="35">
        <v>-4.1817080597211804</v>
      </c>
      <c r="F555" s="40">
        <v>2.8932732058229899E-5</v>
      </c>
      <c r="G555" s="35">
        <v>5.8873150651220403E-3</v>
      </c>
      <c r="H555" s="27" t="s">
        <v>10</v>
      </c>
      <c r="I555" s="34" t="s">
        <v>3988</v>
      </c>
      <c r="J555" s="34" t="s">
        <v>10</v>
      </c>
    </row>
    <row r="556" spans="1:10" x14ac:dyDescent="0.2">
      <c r="A556" s="35" t="s">
        <v>4630</v>
      </c>
      <c r="B556" s="35">
        <v>1569.9594104405601</v>
      </c>
      <c r="C556" s="35">
        <v>-2.6687201033147501</v>
      </c>
      <c r="D556" s="35">
        <v>0.63843572077079502</v>
      </c>
      <c r="E556" s="35">
        <v>-4.1800920852184804</v>
      </c>
      <c r="F556" s="40">
        <v>2.9139107382272701E-5</v>
      </c>
      <c r="G556" s="35">
        <v>5.9235072341599299E-3</v>
      </c>
      <c r="H556" s="27" t="s">
        <v>10</v>
      </c>
      <c r="I556" s="24" t="s">
        <v>10</v>
      </c>
      <c r="J556" s="34" t="s">
        <v>10</v>
      </c>
    </row>
    <row r="557" spans="1:10" x14ac:dyDescent="0.2">
      <c r="A557" s="35" t="s">
        <v>4631</v>
      </c>
      <c r="B557" s="35">
        <v>6.4809269817244903</v>
      </c>
      <c r="C557" s="35">
        <v>-6.2373018391832202</v>
      </c>
      <c r="D557" s="35">
        <v>1.4923101180320999</v>
      </c>
      <c r="E557" s="35">
        <v>-4.1796284591357598</v>
      </c>
      <c r="F557" s="40">
        <v>2.91985746772705E-5</v>
      </c>
      <c r="G557" s="35">
        <v>5.9297938227282701E-3</v>
      </c>
      <c r="H557" s="27" t="s">
        <v>10</v>
      </c>
      <c r="I557" s="24" t="s">
        <v>10</v>
      </c>
      <c r="J557" s="34" t="s">
        <v>10</v>
      </c>
    </row>
    <row r="558" spans="1:10" x14ac:dyDescent="0.2">
      <c r="A558" s="35" t="s">
        <v>4632</v>
      </c>
      <c r="B558" s="35">
        <v>11.9150587697183</v>
      </c>
      <c r="C558" s="35">
        <v>-7.1193341650808</v>
      </c>
      <c r="D558" s="35">
        <v>1.7038835873634599</v>
      </c>
      <c r="E558" s="35">
        <v>-4.1782984576411497</v>
      </c>
      <c r="F558" s="40">
        <v>2.93698089596997E-5</v>
      </c>
      <c r="G558" s="35">
        <v>5.9525198527432899E-3</v>
      </c>
      <c r="H558" s="27" t="s">
        <v>10</v>
      </c>
      <c r="I558" s="24" t="s">
        <v>10</v>
      </c>
      <c r="J558" s="34" t="s">
        <v>10</v>
      </c>
    </row>
    <row r="559" spans="1:10" x14ac:dyDescent="0.2">
      <c r="A559" s="35" t="s">
        <v>4633</v>
      </c>
      <c r="B559" s="35">
        <v>12.2798060418319</v>
      </c>
      <c r="C559" s="35">
        <v>-4.3010379522762499</v>
      </c>
      <c r="D559" s="35">
        <v>1.0294262588602501</v>
      </c>
      <c r="E559" s="35">
        <v>-4.1780923259508</v>
      </c>
      <c r="F559" s="40">
        <v>2.93964331663808E-5</v>
      </c>
      <c r="G559" s="35">
        <v>5.9525198527432899E-3</v>
      </c>
      <c r="H559" s="27" t="s">
        <v>10</v>
      </c>
      <c r="I559" s="24" t="s">
        <v>10</v>
      </c>
      <c r="J559" s="34" t="s">
        <v>10</v>
      </c>
    </row>
    <row r="560" spans="1:10" x14ac:dyDescent="0.2">
      <c r="A560" s="35" t="s">
        <v>4634</v>
      </c>
      <c r="B560" s="35">
        <v>17.678021216875798</v>
      </c>
      <c r="C560" s="35">
        <v>-5.2877102966357201</v>
      </c>
      <c r="D560" s="35">
        <v>1.2661466434459501</v>
      </c>
      <c r="E560" s="35">
        <v>-4.1762226547824204</v>
      </c>
      <c r="F560" s="40">
        <v>2.9638971996330601E-5</v>
      </c>
      <c r="G560" s="35">
        <v>5.99578799033074E-3</v>
      </c>
      <c r="H560" s="27" t="s">
        <v>10</v>
      </c>
      <c r="I560" s="24" t="s">
        <v>10</v>
      </c>
      <c r="J560" s="34" t="s">
        <v>10</v>
      </c>
    </row>
    <row r="561" spans="1:10" x14ac:dyDescent="0.2">
      <c r="A561" s="35" t="s">
        <v>4635</v>
      </c>
      <c r="B561" s="35">
        <v>10.491151613566</v>
      </c>
      <c r="C561" s="35">
        <v>-6.9339839616720598</v>
      </c>
      <c r="D561" s="35">
        <v>1.6617013517486601</v>
      </c>
      <c r="E561" s="35">
        <v>-4.17282200220588</v>
      </c>
      <c r="F561" s="40">
        <v>3.0084997499526001E-5</v>
      </c>
      <c r="G561" s="35">
        <v>6.0682900393315697E-3</v>
      </c>
      <c r="H561" s="27" t="s">
        <v>4974</v>
      </c>
      <c r="I561" s="34" t="s">
        <v>5146</v>
      </c>
      <c r="J561" s="34" t="s">
        <v>10</v>
      </c>
    </row>
    <row r="562" spans="1:10" x14ac:dyDescent="0.2">
      <c r="A562" s="35" t="s">
        <v>4636</v>
      </c>
      <c r="B562" s="35">
        <v>6.8647898231783104</v>
      </c>
      <c r="C562" s="35">
        <v>-6.3260761970649204</v>
      </c>
      <c r="D562" s="35">
        <v>1.5169814772318699</v>
      </c>
      <c r="E562" s="35">
        <v>-4.1701736586846803</v>
      </c>
      <c r="F562" s="40">
        <v>3.0436761775921099E-5</v>
      </c>
      <c r="G562" s="35">
        <v>6.1273448444944499E-3</v>
      </c>
      <c r="H562" s="27" t="s">
        <v>10</v>
      </c>
      <c r="I562" s="24" t="s">
        <v>10</v>
      </c>
      <c r="J562" s="34" t="s">
        <v>10</v>
      </c>
    </row>
    <row r="563" spans="1:10" x14ac:dyDescent="0.2">
      <c r="A563" s="35" t="s">
        <v>4637</v>
      </c>
      <c r="B563" s="35">
        <v>51.119535713373899</v>
      </c>
      <c r="C563" s="35">
        <v>-2.18921024532722</v>
      </c>
      <c r="D563" s="35">
        <v>0.52509037096745603</v>
      </c>
      <c r="E563" s="35">
        <v>-4.1692066096997697</v>
      </c>
      <c r="F563" s="40">
        <v>3.0566180854243099E-5</v>
      </c>
      <c r="G563" s="35">
        <v>6.1474418872740902E-3</v>
      </c>
      <c r="H563" s="27" t="s">
        <v>10</v>
      </c>
      <c r="I563" s="24" t="s">
        <v>10</v>
      </c>
      <c r="J563" s="34" t="s">
        <v>10</v>
      </c>
    </row>
    <row r="564" spans="1:10" x14ac:dyDescent="0.2">
      <c r="A564" s="35" t="s">
        <v>4638</v>
      </c>
      <c r="B564" s="35">
        <v>93.554269161083099</v>
      </c>
      <c r="C564" s="35">
        <v>-2.80732698471519</v>
      </c>
      <c r="D564" s="35">
        <v>0.67373027796041796</v>
      </c>
      <c r="E564" s="35">
        <v>-4.1668410587302196</v>
      </c>
      <c r="F564" s="40">
        <v>3.0884967687248499E-5</v>
      </c>
      <c r="G564" s="35">
        <v>6.2055486913268803E-3</v>
      </c>
      <c r="H564" s="27" t="s">
        <v>10</v>
      </c>
      <c r="I564" s="24" t="s">
        <v>10</v>
      </c>
      <c r="J564" s="34" t="s">
        <v>10</v>
      </c>
    </row>
    <row r="565" spans="1:10" x14ac:dyDescent="0.2">
      <c r="A565" s="35" t="s">
        <v>4639</v>
      </c>
      <c r="B565" s="35">
        <v>6.3203311522583796</v>
      </c>
      <c r="C565" s="35">
        <v>-6.2007258026256897</v>
      </c>
      <c r="D565" s="35">
        <v>1.4888651434820299</v>
      </c>
      <c r="E565" s="35">
        <v>-4.1647330047125504</v>
      </c>
      <c r="F565" s="40">
        <v>3.1171713654427298E-5</v>
      </c>
      <c r="G565" s="35">
        <v>6.2571116347721698E-3</v>
      </c>
      <c r="H565" s="27" t="s">
        <v>10</v>
      </c>
      <c r="I565" s="24" t="s">
        <v>10</v>
      </c>
      <c r="J565" s="34" t="s">
        <v>10</v>
      </c>
    </row>
    <row r="566" spans="1:10" x14ac:dyDescent="0.2">
      <c r="A566" s="35" t="s">
        <v>4640</v>
      </c>
      <c r="B566" s="35">
        <v>6.9202351366900201</v>
      </c>
      <c r="C566" s="35">
        <v>-6.3322671228812002</v>
      </c>
      <c r="D566" s="35">
        <v>1.52053266606611</v>
      </c>
      <c r="E566" s="35">
        <v>-4.1645058104959398</v>
      </c>
      <c r="F566" s="40">
        <v>3.1202768094258102E-5</v>
      </c>
      <c r="G566" s="35">
        <v>6.25729950597558E-3</v>
      </c>
      <c r="H566" s="27" t="s">
        <v>10</v>
      </c>
      <c r="I566" s="24" t="s">
        <v>10</v>
      </c>
      <c r="J566" s="34" t="s">
        <v>10</v>
      </c>
    </row>
    <row r="567" spans="1:10" x14ac:dyDescent="0.2">
      <c r="A567" s="35" t="s">
        <v>4641</v>
      </c>
      <c r="B567" s="35">
        <v>8.1472336813419002</v>
      </c>
      <c r="C567" s="35">
        <v>-6.5651914557480202</v>
      </c>
      <c r="D567" s="35">
        <v>1.5766788069470301</v>
      </c>
      <c r="E567" s="35">
        <v>-4.1639371486576904</v>
      </c>
      <c r="F567" s="40">
        <v>3.1280625562869801E-5</v>
      </c>
      <c r="G567" s="35">
        <v>6.2647504581531599E-3</v>
      </c>
      <c r="H567" s="27" t="s">
        <v>10</v>
      </c>
      <c r="I567" s="24" t="s">
        <v>10</v>
      </c>
      <c r="J567" s="34" t="s">
        <v>10</v>
      </c>
    </row>
    <row r="568" spans="1:10" x14ac:dyDescent="0.2">
      <c r="A568" s="35" t="s">
        <v>4642</v>
      </c>
      <c r="B568" s="35">
        <v>3329.7666309920301</v>
      </c>
      <c r="C568" s="35">
        <v>-2.5488862584949801</v>
      </c>
      <c r="D568" s="35">
        <v>0.61224349269050404</v>
      </c>
      <c r="E568" s="35">
        <v>-4.1631904445303398</v>
      </c>
      <c r="F568" s="40">
        <v>3.1383139789687402E-5</v>
      </c>
      <c r="G568" s="35">
        <v>6.2686423694598304E-3</v>
      </c>
      <c r="H568" s="27" t="s">
        <v>10</v>
      </c>
      <c r="I568" s="24" t="s">
        <v>10</v>
      </c>
      <c r="J568" s="34" t="s">
        <v>10</v>
      </c>
    </row>
    <row r="569" spans="1:10" x14ac:dyDescent="0.2">
      <c r="A569" s="35" t="s">
        <v>4643</v>
      </c>
      <c r="B569" s="35">
        <v>28.515779180334299</v>
      </c>
      <c r="C569" s="35">
        <v>-5.0587683159432002</v>
      </c>
      <c r="D569" s="35">
        <v>1.21517557156184</v>
      </c>
      <c r="E569" s="35">
        <v>-4.1629937552490901</v>
      </c>
      <c r="F569" s="40">
        <v>3.1410196127224703E-5</v>
      </c>
      <c r="G569" s="35">
        <v>6.2686423694598304E-3</v>
      </c>
      <c r="H569" s="27" t="s">
        <v>10</v>
      </c>
      <c r="I569" s="24" t="s">
        <v>10</v>
      </c>
      <c r="J569" s="34" t="s">
        <v>10</v>
      </c>
    </row>
    <row r="570" spans="1:10" x14ac:dyDescent="0.2">
      <c r="A570" s="35" t="s">
        <v>4644</v>
      </c>
      <c r="B570" s="35">
        <v>603.73613031226205</v>
      </c>
      <c r="C570" s="35">
        <v>-2.1613835891620501</v>
      </c>
      <c r="D570" s="35">
        <v>0.51929558930657405</v>
      </c>
      <c r="E570" s="35">
        <v>-4.1621450936030202</v>
      </c>
      <c r="F570" s="40">
        <v>3.1527191324413802E-5</v>
      </c>
      <c r="G570" s="35">
        <v>6.2805657348963999E-3</v>
      </c>
      <c r="H570" s="27" t="s">
        <v>10</v>
      </c>
      <c r="I570" s="34" t="s">
        <v>3951</v>
      </c>
      <c r="J570" s="34" t="s">
        <v>10</v>
      </c>
    </row>
    <row r="571" spans="1:10" x14ac:dyDescent="0.2">
      <c r="A571" s="35" t="s">
        <v>4645</v>
      </c>
      <c r="B571" s="35">
        <v>23.642455533133099</v>
      </c>
      <c r="C571" s="35">
        <v>-3.92492895228663</v>
      </c>
      <c r="D571" s="35">
        <v>0.94472094347774305</v>
      </c>
      <c r="E571" s="35">
        <v>-4.15459081264573</v>
      </c>
      <c r="F571" s="40">
        <v>3.2587017664998497E-5</v>
      </c>
      <c r="G571" s="35">
        <v>6.4477604209613702E-3</v>
      </c>
      <c r="H571" s="27" t="s">
        <v>10</v>
      </c>
      <c r="I571" s="24" t="s">
        <v>10</v>
      </c>
      <c r="J571" s="34" t="s">
        <v>10</v>
      </c>
    </row>
    <row r="572" spans="1:10" x14ac:dyDescent="0.2">
      <c r="A572" s="35" t="s">
        <v>4646</v>
      </c>
      <c r="B572" s="35">
        <v>6.4406963265280197</v>
      </c>
      <c r="C572" s="35">
        <v>-6.2248835105546299</v>
      </c>
      <c r="D572" s="35">
        <v>1.4987862361975199</v>
      </c>
      <c r="E572" s="35">
        <v>-4.1532830768098101</v>
      </c>
      <c r="F572" s="40">
        <v>3.27738892305327E-5</v>
      </c>
      <c r="G572" s="35">
        <v>6.4724069686107801E-3</v>
      </c>
      <c r="H572" s="27" t="s">
        <v>10</v>
      </c>
      <c r="I572" s="24" t="s">
        <v>10</v>
      </c>
      <c r="J572" s="34" t="s">
        <v>10</v>
      </c>
    </row>
    <row r="573" spans="1:10" x14ac:dyDescent="0.2">
      <c r="A573" s="35" t="s">
        <v>4647</v>
      </c>
      <c r="B573" s="35">
        <v>36.683058924981502</v>
      </c>
      <c r="C573" s="35">
        <v>-6.3043198992493403</v>
      </c>
      <c r="D573" s="35">
        <v>1.51803509362808</v>
      </c>
      <c r="E573" s="35">
        <v>-4.1529474026730897</v>
      </c>
      <c r="F573" s="40">
        <v>3.2822020004478697E-5</v>
      </c>
      <c r="G573" s="35">
        <v>6.4757564938750997E-3</v>
      </c>
      <c r="H573" s="27" t="s">
        <v>5001</v>
      </c>
      <c r="I573" s="34" t="s">
        <v>5180</v>
      </c>
      <c r="J573" s="34" t="s">
        <v>10</v>
      </c>
    </row>
    <row r="574" spans="1:10" x14ac:dyDescent="0.2">
      <c r="A574" s="35" t="s">
        <v>4648</v>
      </c>
      <c r="B574" s="35">
        <v>50.997503141252999</v>
      </c>
      <c r="C574" s="35">
        <v>-2.6727128666127702</v>
      </c>
      <c r="D574" s="35">
        <v>0.64374039925140603</v>
      </c>
      <c r="E574" s="35">
        <v>-4.1518488970411402</v>
      </c>
      <c r="F574" s="40">
        <v>3.2979999549742702E-5</v>
      </c>
      <c r="G574" s="35">
        <v>6.5007521693134299E-3</v>
      </c>
      <c r="H574" s="27" t="s">
        <v>10</v>
      </c>
      <c r="I574" s="24" t="s">
        <v>10</v>
      </c>
      <c r="J574" s="34" t="s">
        <v>10</v>
      </c>
    </row>
    <row r="575" spans="1:10" x14ac:dyDescent="0.2">
      <c r="A575" s="35" t="s">
        <v>4649</v>
      </c>
      <c r="B575" s="35">
        <v>53.482799272467702</v>
      </c>
      <c r="C575" s="35">
        <v>-3.2755753907730698</v>
      </c>
      <c r="D575" s="35">
        <v>0.78908625459737403</v>
      </c>
      <c r="E575" s="35">
        <v>-4.1510992894489203</v>
      </c>
      <c r="F575" s="40">
        <v>3.3088217320435999E-5</v>
      </c>
      <c r="G575" s="35">
        <v>6.5159011162317501E-3</v>
      </c>
      <c r="H575" s="27" t="s">
        <v>10</v>
      </c>
      <c r="I575" s="24" t="s">
        <v>10</v>
      </c>
      <c r="J575" s="34" t="s">
        <v>10</v>
      </c>
    </row>
    <row r="576" spans="1:10" x14ac:dyDescent="0.2">
      <c r="A576" s="35" t="s">
        <v>4650</v>
      </c>
      <c r="B576" s="35">
        <v>86.243740687501997</v>
      </c>
      <c r="C576" s="35">
        <v>-2.82411088889633</v>
      </c>
      <c r="D576" s="35">
        <v>0.68083022835963203</v>
      </c>
      <c r="E576" s="35">
        <v>-4.1480398067821396</v>
      </c>
      <c r="F576" s="40">
        <v>3.3533410211888403E-5</v>
      </c>
      <c r="G576" s="35">
        <v>6.5662273062969704E-3</v>
      </c>
      <c r="H576" s="27" t="s">
        <v>10</v>
      </c>
      <c r="I576" s="34" t="s">
        <v>5103</v>
      </c>
      <c r="J576" s="34" t="s">
        <v>10</v>
      </c>
    </row>
    <row r="577" spans="1:10" x14ac:dyDescent="0.2">
      <c r="A577" s="35" t="s">
        <v>4651</v>
      </c>
      <c r="B577" s="35">
        <v>188.50638044189199</v>
      </c>
      <c r="C577" s="35">
        <v>-2.9222601727899802</v>
      </c>
      <c r="D577" s="35">
        <v>0.70475714969499503</v>
      </c>
      <c r="E577" s="35">
        <v>-4.1464782216891001</v>
      </c>
      <c r="F577" s="40">
        <v>3.37628277322292E-5</v>
      </c>
      <c r="G577" s="35">
        <v>6.6049247065320203E-3</v>
      </c>
      <c r="H577" s="27" t="s">
        <v>10</v>
      </c>
      <c r="I577" s="24" t="s">
        <v>10</v>
      </c>
      <c r="J577" s="34" t="s">
        <v>10</v>
      </c>
    </row>
    <row r="578" spans="1:10" x14ac:dyDescent="0.2">
      <c r="A578" s="35" t="s">
        <v>4652</v>
      </c>
      <c r="B578" s="35">
        <v>45.222508126491299</v>
      </c>
      <c r="C578" s="35">
        <v>-2.0431275309112902</v>
      </c>
      <c r="D578" s="35">
        <v>0.492883266282863</v>
      </c>
      <c r="E578" s="35">
        <v>-4.1452564342867104</v>
      </c>
      <c r="F578" s="40">
        <v>3.3943363177655697E-5</v>
      </c>
      <c r="G578" s="35">
        <v>6.6339956353123602E-3</v>
      </c>
      <c r="H578" s="27" t="s">
        <v>10</v>
      </c>
      <c r="I578" s="24" t="s">
        <v>10</v>
      </c>
      <c r="J578" s="34" t="s">
        <v>10</v>
      </c>
    </row>
    <row r="579" spans="1:10" x14ac:dyDescent="0.2">
      <c r="A579" s="35" t="s">
        <v>4653</v>
      </c>
      <c r="B579" s="35">
        <v>50.908781543276604</v>
      </c>
      <c r="C579" s="35">
        <v>-3.7662509253861298</v>
      </c>
      <c r="D579" s="35">
        <v>0.90990271256900301</v>
      </c>
      <c r="E579" s="35">
        <v>-4.1391797973132398</v>
      </c>
      <c r="F579" s="40">
        <v>3.4854971128654803E-5</v>
      </c>
      <c r="G579" s="35">
        <v>6.8015220829300699E-3</v>
      </c>
      <c r="H579" s="27" t="s">
        <v>10</v>
      </c>
      <c r="I579" s="24" t="s">
        <v>10</v>
      </c>
      <c r="J579" s="34" t="s">
        <v>10</v>
      </c>
    </row>
    <row r="580" spans="1:10" x14ac:dyDescent="0.2">
      <c r="A580" s="35" t="s">
        <v>4654</v>
      </c>
      <c r="B580" s="35">
        <v>30.020749232003698</v>
      </c>
      <c r="C580" s="35">
        <v>-2.97512194779191</v>
      </c>
      <c r="D580" s="35">
        <v>0.71921035940893696</v>
      </c>
      <c r="E580" s="35">
        <v>-4.1366505763862103</v>
      </c>
      <c r="F580" s="40">
        <v>3.5241212997755999E-5</v>
      </c>
      <c r="G580" s="35">
        <v>6.8682677744482199E-3</v>
      </c>
      <c r="H580" s="27" t="s">
        <v>10</v>
      </c>
      <c r="I580" s="24" t="s">
        <v>10</v>
      </c>
      <c r="J580" s="34" t="s">
        <v>10</v>
      </c>
    </row>
    <row r="581" spans="1:10" x14ac:dyDescent="0.2">
      <c r="A581" s="35" t="s">
        <v>4655</v>
      </c>
      <c r="B581" s="35">
        <v>7.8468133548090098</v>
      </c>
      <c r="C581" s="35">
        <v>-6.5187636816918397</v>
      </c>
      <c r="D581" s="35">
        <v>1.57666218374124</v>
      </c>
      <c r="E581" s="35">
        <v>-4.1345341753701099</v>
      </c>
      <c r="F581" s="40">
        <v>3.5567532533762903E-5</v>
      </c>
      <c r="G581" s="35">
        <v>6.9253685933312603E-3</v>
      </c>
      <c r="H581" s="27" t="s">
        <v>4939</v>
      </c>
      <c r="I581" s="34" t="s">
        <v>5113</v>
      </c>
      <c r="J581" s="34" t="s">
        <v>5044</v>
      </c>
    </row>
    <row r="582" spans="1:10" x14ac:dyDescent="0.2">
      <c r="A582" s="35" t="s">
        <v>4656</v>
      </c>
      <c r="B582" s="35">
        <v>9.5326125942979303</v>
      </c>
      <c r="C582" s="35">
        <v>-5.8128727131549702</v>
      </c>
      <c r="D582" s="35">
        <v>1.4067661503070801</v>
      </c>
      <c r="E582" s="35">
        <v>-4.13208173361725</v>
      </c>
      <c r="F582" s="40">
        <v>3.59492535717549E-5</v>
      </c>
      <c r="G582" s="35">
        <v>6.9865978718928901E-3</v>
      </c>
      <c r="H582" s="27" t="s">
        <v>10</v>
      </c>
      <c r="I582" s="24" t="s">
        <v>10</v>
      </c>
      <c r="J582" s="34" t="s">
        <v>10</v>
      </c>
    </row>
    <row r="583" spans="1:10" x14ac:dyDescent="0.2">
      <c r="A583" s="35" t="s">
        <v>4657</v>
      </c>
      <c r="B583" s="35">
        <v>26.671174563952501</v>
      </c>
      <c r="C583" s="35">
        <v>-3.2730644557919399</v>
      </c>
      <c r="D583" s="35">
        <v>0.79267218458861699</v>
      </c>
      <c r="E583" s="35">
        <v>-4.1291526553194302</v>
      </c>
      <c r="F583" s="40">
        <v>3.64102607172842E-5</v>
      </c>
      <c r="G583" s="35">
        <v>7.0563900425187603E-3</v>
      </c>
      <c r="H583" s="27" t="s">
        <v>10</v>
      </c>
      <c r="I583" s="24" t="s">
        <v>10</v>
      </c>
      <c r="J583" s="34" t="s">
        <v>10</v>
      </c>
    </row>
    <row r="584" spans="1:10" x14ac:dyDescent="0.2">
      <c r="A584" s="35" t="s">
        <v>4658</v>
      </c>
      <c r="B584" s="35">
        <v>6.6829172773312999</v>
      </c>
      <c r="C584" s="35">
        <v>-6.2798108480549404</v>
      </c>
      <c r="D584" s="35">
        <v>1.5215011740660001</v>
      </c>
      <c r="E584" s="35">
        <v>-4.1273782466253497</v>
      </c>
      <c r="F584" s="40">
        <v>3.6692258929259497E-5</v>
      </c>
      <c r="G584" s="35">
        <v>7.09779976360078E-3</v>
      </c>
      <c r="H584" s="27" t="s">
        <v>10</v>
      </c>
      <c r="I584" s="24" t="s">
        <v>10</v>
      </c>
      <c r="J584" s="34" t="s">
        <v>10</v>
      </c>
    </row>
    <row r="585" spans="1:10" x14ac:dyDescent="0.2">
      <c r="A585" s="35" t="s">
        <v>4659</v>
      </c>
      <c r="B585" s="35">
        <v>38.308543960083</v>
      </c>
      <c r="C585" s="35">
        <v>-2.4347156524934701</v>
      </c>
      <c r="D585" s="35">
        <v>0.59009076143227002</v>
      </c>
      <c r="E585" s="35">
        <v>-4.1260019841420998</v>
      </c>
      <c r="F585" s="40">
        <v>3.6912408304799498E-5</v>
      </c>
      <c r="G585" s="35">
        <v>7.1276074386537203E-3</v>
      </c>
      <c r="H585" s="27" t="s">
        <v>10</v>
      </c>
      <c r="I585" s="24" t="s">
        <v>10</v>
      </c>
      <c r="J585" s="34" t="s">
        <v>10</v>
      </c>
    </row>
    <row r="586" spans="1:10" x14ac:dyDescent="0.2">
      <c r="A586" s="35" t="s">
        <v>4660</v>
      </c>
      <c r="B586" s="35">
        <v>89.418479894810105</v>
      </c>
      <c r="C586" s="35">
        <v>-2.6008455580155601</v>
      </c>
      <c r="D586" s="35">
        <v>0.63039093485701803</v>
      </c>
      <c r="E586" s="35">
        <v>-4.1257661146498998</v>
      </c>
      <c r="F586" s="40">
        <v>3.6950264060025897E-5</v>
      </c>
      <c r="G586" s="35">
        <v>7.1277985701529703E-3</v>
      </c>
      <c r="H586" s="27" t="s">
        <v>10</v>
      </c>
      <c r="I586" s="24" t="s">
        <v>10</v>
      </c>
      <c r="J586" s="34" t="s">
        <v>10</v>
      </c>
    </row>
    <row r="587" spans="1:10" x14ac:dyDescent="0.2">
      <c r="A587" s="35" t="s">
        <v>4661</v>
      </c>
      <c r="B587" s="35">
        <v>73.116575667519797</v>
      </c>
      <c r="C587" s="35">
        <v>-2.2363574558454098</v>
      </c>
      <c r="D587" s="35">
        <v>0.54210873248442504</v>
      </c>
      <c r="E587" s="35">
        <v>-4.1252931779874196</v>
      </c>
      <c r="F587" s="40">
        <v>3.70262788645642E-5</v>
      </c>
      <c r="G587" s="35">
        <v>7.13583635601706E-3</v>
      </c>
      <c r="H587" s="27" t="s">
        <v>10</v>
      </c>
      <c r="I587" s="24" t="s">
        <v>10</v>
      </c>
      <c r="J587" s="34" t="s">
        <v>10</v>
      </c>
    </row>
    <row r="588" spans="1:10" x14ac:dyDescent="0.2">
      <c r="A588" s="35" t="s">
        <v>4662</v>
      </c>
      <c r="B588" s="35">
        <v>13.121618500198201</v>
      </c>
      <c r="C588" s="35">
        <v>-6.2737679907193398</v>
      </c>
      <c r="D588" s="35">
        <v>1.52104133957887</v>
      </c>
      <c r="E588" s="35">
        <v>-4.1246531750782998</v>
      </c>
      <c r="F588" s="40">
        <v>3.71293825429221E-5</v>
      </c>
      <c r="G588" s="35">
        <v>7.1428091802935301E-3</v>
      </c>
      <c r="H588" s="27" t="s">
        <v>10</v>
      </c>
      <c r="I588" s="24" t="s">
        <v>10</v>
      </c>
      <c r="J588" s="34" t="s">
        <v>10</v>
      </c>
    </row>
    <row r="589" spans="1:10" x14ac:dyDescent="0.2">
      <c r="A589" s="35" t="s">
        <v>4663</v>
      </c>
      <c r="B589" s="35">
        <v>10.537596351619101</v>
      </c>
      <c r="C589" s="35">
        <v>-5.0379809885304603</v>
      </c>
      <c r="D589" s="35">
        <v>1.22143479552913</v>
      </c>
      <c r="E589" s="35">
        <v>-4.1246417794639498</v>
      </c>
      <c r="F589" s="40">
        <v>3.7131220829805201E-5</v>
      </c>
      <c r="G589" s="35">
        <v>7.1428091802935301E-3</v>
      </c>
      <c r="H589" s="27" t="s">
        <v>10</v>
      </c>
      <c r="I589" s="24" t="s">
        <v>10</v>
      </c>
      <c r="J589" s="34" t="s">
        <v>10</v>
      </c>
    </row>
    <row r="590" spans="1:10" x14ac:dyDescent="0.2">
      <c r="A590" s="35" t="s">
        <v>4664</v>
      </c>
      <c r="B590" s="35">
        <v>15.6076769244586</v>
      </c>
      <c r="C590" s="35">
        <v>-4.7173720902471503</v>
      </c>
      <c r="D590" s="35">
        <v>1.14383170903318</v>
      </c>
      <c r="E590" s="35">
        <v>-4.12418370027045</v>
      </c>
      <c r="F590" s="40">
        <v>3.7205187598648198E-5</v>
      </c>
      <c r="G590" s="35">
        <v>7.1438086457899699E-3</v>
      </c>
      <c r="H590" s="27" t="s">
        <v>10</v>
      </c>
      <c r="I590" s="24" t="s">
        <v>10</v>
      </c>
      <c r="J590" s="34" t="s">
        <v>10</v>
      </c>
    </row>
    <row r="591" spans="1:10" x14ac:dyDescent="0.2">
      <c r="A591" s="35" t="s">
        <v>4665</v>
      </c>
      <c r="B591" s="35">
        <v>75.328009421444506</v>
      </c>
      <c r="C591" s="35">
        <v>-3.68080230589602</v>
      </c>
      <c r="D591" s="35">
        <v>0.89283659245221203</v>
      </c>
      <c r="E591" s="35">
        <v>-4.1225934700845404</v>
      </c>
      <c r="F591" s="40">
        <v>3.7463051764165698E-5</v>
      </c>
      <c r="G591" s="35">
        <v>7.1866793927202396E-3</v>
      </c>
      <c r="H591" s="27" t="s">
        <v>10</v>
      </c>
      <c r="I591" s="24" t="s">
        <v>10</v>
      </c>
      <c r="J591" s="34" t="s">
        <v>10</v>
      </c>
    </row>
    <row r="592" spans="1:10" x14ac:dyDescent="0.2">
      <c r="A592" s="35" t="s">
        <v>4666</v>
      </c>
      <c r="B592" s="35">
        <v>9.1447245632786096</v>
      </c>
      <c r="C592" s="35">
        <v>-6.7289741393139799</v>
      </c>
      <c r="D592" s="35">
        <v>1.6331019647563401</v>
      </c>
      <c r="E592" s="35">
        <v>-4.1203637522522598</v>
      </c>
      <c r="F592" s="40">
        <v>3.78274708684368E-5</v>
      </c>
      <c r="G592" s="35">
        <v>7.2432110946939699E-3</v>
      </c>
      <c r="H592" s="27" t="s">
        <v>10</v>
      </c>
      <c r="I592" s="24" t="s">
        <v>10</v>
      </c>
      <c r="J592" s="34" t="s">
        <v>10</v>
      </c>
    </row>
    <row r="593" spans="1:10" x14ac:dyDescent="0.2">
      <c r="A593" s="35" t="s">
        <v>4667</v>
      </c>
      <c r="B593" s="35">
        <v>21.2349730260256</v>
      </c>
      <c r="C593" s="35">
        <v>-4.0040596892545102</v>
      </c>
      <c r="D593" s="35">
        <v>0.97231999049528295</v>
      </c>
      <c r="E593" s="35">
        <v>-4.1180472770233996</v>
      </c>
      <c r="F593" s="40">
        <v>3.8209632054273401E-5</v>
      </c>
      <c r="G593" s="35">
        <v>7.3029257746712196E-3</v>
      </c>
      <c r="H593" s="27" t="s">
        <v>10</v>
      </c>
      <c r="I593" s="24" t="s">
        <v>10</v>
      </c>
      <c r="J593" s="34" t="s">
        <v>10</v>
      </c>
    </row>
    <row r="594" spans="1:10" x14ac:dyDescent="0.2">
      <c r="A594" s="35" t="s">
        <v>4668</v>
      </c>
      <c r="B594" s="35">
        <v>14.569198367041301</v>
      </c>
      <c r="C594" s="35">
        <v>-7.4094953546277598</v>
      </c>
      <c r="D594" s="35">
        <v>1.79953592194691</v>
      </c>
      <c r="E594" s="35">
        <v>-4.1174478732336004</v>
      </c>
      <c r="F594" s="40">
        <v>3.8309114091400697E-5</v>
      </c>
      <c r="G594" s="35">
        <v>7.3084924767429201E-3</v>
      </c>
      <c r="H594" s="27" t="s">
        <v>2782</v>
      </c>
      <c r="I594" s="34" t="s">
        <v>5139</v>
      </c>
      <c r="J594" s="34" t="s">
        <v>10</v>
      </c>
    </row>
    <row r="595" spans="1:10" x14ac:dyDescent="0.2">
      <c r="A595" s="35" t="s">
        <v>4669</v>
      </c>
      <c r="B595" s="35">
        <v>188.24019235666299</v>
      </c>
      <c r="C595" s="35">
        <v>-2.6275213471236398</v>
      </c>
      <c r="D595" s="35">
        <v>0.63832629507646899</v>
      </c>
      <c r="E595" s="35">
        <v>-4.11626681744149</v>
      </c>
      <c r="F595" s="40">
        <v>3.8505851858167899E-5</v>
      </c>
      <c r="G595" s="35">
        <v>7.3323769864182403E-3</v>
      </c>
      <c r="H595" s="27" t="s">
        <v>10</v>
      </c>
      <c r="I595" s="24" t="s">
        <v>10</v>
      </c>
      <c r="J595" s="34" t="s">
        <v>10</v>
      </c>
    </row>
    <row r="596" spans="1:10" x14ac:dyDescent="0.2">
      <c r="A596" s="35" t="s">
        <v>4670</v>
      </c>
      <c r="B596" s="35">
        <v>33.164502946273601</v>
      </c>
      <c r="C596" s="35">
        <v>-4.6676833835974803</v>
      </c>
      <c r="D596" s="35">
        <v>1.13401698381535</v>
      </c>
      <c r="E596" s="35">
        <v>-4.1160612673482699</v>
      </c>
      <c r="F596" s="40">
        <v>3.8540189785944698E-5</v>
      </c>
      <c r="G596" s="35">
        <v>7.3323769864182403E-3</v>
      </c>
      <c r="H596" s="27" t="s">
        <v>4955</v>
      </c>
      <c r="I596" s="34" t="s">
        <v>1005</v>
      </c>
      <c r="J596" s="34" t="s">
        <v>10</v>
      </c>
    </row>
    <row r="597" spans="1:10" x14ac:dyDescent="0.2">
      <c r="A597" s="35" t="s">
        <v>4671</v>
      </c>
      <c r="B597" s="35">
        <v>8.9931719964061507</v>
      </c>
      <c r="C597" s="35">
        <v>-6.7164930439358796</v>
      </c>
      <c r="D597" s="35">
        <v>1.6319999698868699</v>
      </c>
      <c r="E597" s="35">
        <v>-4.1154982646240201</v>
      </c>
      <c r="F597" s="40">
        <v>3.8634390434150799E-5</v>
      </c>
      <c r="G597" s="35">
        <v>7.3435740338860297E-3</v>
      </c>
      <c r="H597" s="27" t="s">
        <v>10</v>
      </c>
      <c r="I597" s="24" t="s">
        <v>10</v>
      </c>
      <c r="J597" s="34" t="s">
        <v>10</v>
      </c>
    </row>
    <row r="598" spans="1:10" x14ac:dyDescent="0.2">
      <c r="A598" s="35" t="s">
        <v>4672</v>
      </c>
      <c r="B598" s="35">
        <v>20.235295311761899</v>
      </c>
      <c r="C598" s="35">
        <v>-4.0833432291086202</v>
      </c>
      <c r="D598" s="35">
        <v>0.99280925088473504</v>
      </c>
      <c r="E598" s="35">
        <v>-4.1129181919586104</v>
      </c>
      <c r="F598" s="40">
        <v>3.9068886336265002E-5</v>
      </c>
      <c r="G598" s="35">
        <v>7.4125986755041702E-3</v>
      </c>
      <c r="H598" s="27" t="s">
        <v>10</v>
      </c>
      <c r="I598" s="24" t="s">
        <v>10</v>
      </c>
      <c r="J598" s="34" t="s">
        <v>10</v>
      </c>
    </row>
    <row r="599" spans="1:10" x14ac:dyDescent="0.2">
      <c r="A599" s="35" t="s">
        <v>4673</v>
      </c>
      <c r="B599" s="35">
        <v>16.2443451899723</v>
      </c>
      <c r="C599" s="35">
        <v>-6.5800700578001301</v>
      </c>
      <c r="D599" s="35">
        <v>1.6004887742788201</v>
      </c>
      <c r="E599" s="35">
        <v>-4.1112878537777204</v>
      </c>
      <c r="F599" s="40">
        <v>3.9345829637950099E-5</v>
      </c>
      <c r="G599" s="35">
        <v>7.45833228308573E-3</v>
      </c>
      <c r="H599" s="27" t="s">
        <v>10</v>
      </c>
      <c r="I599" s="24" t="s">
        <v>10</v>
      </c>
      <c r="J599" s="34" t="s">
        <v>10</v>
      </c>
    </row>
    <row r="600" spans="1:10" x14ac:dyDescent="0.2">
      <c r="A600" s="35" t="s">
        <v>4674</v>
      </c>
      <c r="B600" s="35">
        <v>37.134130798275699</v>
      </c>
      <c r="C600" s="35">
        <v>-5.2281523330485298</v>
      </c>
      <c r="D600" s="35">
        <v>1.27174223411614</v>
      </c>
      <c r="E600" s="35">
        <v>-4.1110157332174397</v>
      </c>
      <c r="F600" s="40">
        <v>3.9392235446945298E-5</v>
      </c>
      <c r="G600" s="35">
        <v>7.4603220305520298E-3</v>
      </c>
      <c r="H600" s="27" t="s">
        <v>4983</v>
      </c>
      <c r="I600" s="34" t="s">
        <v>5158</v>
      </c>
      <c r="J600" s="34" t="s">
        <v>5079</v>
      </c>
    </row>
    <row r="601" spans="1:10" x14ac:dyDescent="0.2">
      <c r="A601" s="35" t="s">
        <v>4675</v>
      </c>
      <c r="B601" s="35">
        <v>18.053334821729202</v>
      </c>
      <c r="C601" s="35">
        <v>-6.7468251269422801</v>
      </c>
      <c r="D601" s="35">
        <v>1.64141174962081</v>
      </c>
      <c r="E601" s="35">
        <v>-4.1103794514087699</v>
      </c>
      <c r="F601" s="40">
        <v>3.95009459493135E-5</v>
      </c>
      <c r="G601" s="35">
        <v>7.4740090581265298E-3</v>
      </c>
      <c r="H601" s="27" t="s">
        <v>10</v>
      </c>
      <c r="I601" s="34" t="s">
        <v>5169</v>
      </c>
      <c r="J601" s="34" t="s">
        <v>10</v>
      </c>
    </row>
    <row r="602" spans="1:10" x14ac:dyDescent="0.2">
      <c r="A602" s="35" t="s">
        <v>4676</v>
      </c>
      <c r="B602" s="35">
        <v>47.086031195980802</v>
      </c>
      <c r="C602" s="35">
        <v>-2.9078731546387102</v>
      </c>
      <c r="D602" s="35">
        <v>0.70748211386802595</v>
      </c>
      <c r="E602" s="35">
        <v>-4.1101719713314804</v>
      </c>
      <c r="F602" s="40">
        <v>3.9536456010324901E-5</v>
      </c>
      <c r="G602" s="35">
        <v>7.4740090581265298E-3</v>
      </c>
      <c r="H602" s="27" t="s">
        <v>10</v>
      </c>
      <c r="I602" s="24" t="s">
        <v>10</v>
      </c>
      <c r="J602" s="34" t="s">
        <v>10</v>
      </c>
    </row>
    <row r="603" spans="1:10" x14ac:dyDescent="0.2">
      <c r="A603" s="35" t="s">
        <v>4677</v>
      </c>
      <c r="B603" s="35">
        <v>6.4682926372884797</v>
      </c>
      <c r="C603" s="35">
        <v>-6.22976297353354</v>
      </c>
      <c r="D603" s="35">
        <v>1.5158686872317899</v>
      </c>
      <c r="E603" s="35">
        <v>-4.1096983043498501</v>
      </c>
      <c r="F603" s="40">
        <v>3.9617637329448199E-5</v>
      </c>
      <c r="G603" s="35">
        <v>7.4757510090979404E-3</v>
      </c>
      <c r="H603" s="27" t="s">
        <v>10</v>
      </c>
      <c r="I603" s="24" t="s">
        <v>10</v>
      </c>
      <c r="J603" s="34" t="s">
        <v>10</v>
      </c>
    </row>
    <row r="604" spans="1:10" x14ac:dyDescent="0.2">
      <c r="A604" s="35" t="s">
        <v>4678</v>
      </c>
      <c r="B604" s="35">
        <v>11.4451730994644</v>
      </c>
      <c r="C604" s="35">
        <v>-7.0590028875683002</v>
      </c>
      <c r="D604" s="35">
        <v>1.71804888571842</v>
      </c>
      <c r="E604" s="35">
        <v>-4.1087322638182702</v>
      </c>
      <c r="F604" s="40">
        <v>3.9783696672056702E-5</v>
      </c>
      <c r="G604" s="35">
        <v>7.50027376206879E-3</v>
      </c>
      <c r="H604" s="27" t="s">
        <v>4985</v>
      </c>
      <c r="I604" s="34" t="s">
        <v>5160</v>
      </c>
      <c r="J604" s="34" t="s">
        <v>5029</v>
      </c>
    </row>
    <row r="605" spans="1:10" x14ac:dyDescent="0.2">
      <c r="A605" s="35" t="s">
        <v>4679</v>
      </c>
      <c r="B605" s="35">
        <v>7.4203970805933803</v>
      </c>
      <c r="C605" s="35">
        <v>-6.4239898718039701</v>
      </c>
      <c r="D605" s="35">
        <v>1.56512120445703</v>
      </c>
      <c r="E605" s="35">
        <v>-4.1044679821027596</v>
      </c>
      <c r="F605" s="40">
        <v>4.0524638926615398E-5</v>
      </c>
      <c r="G605" s="35">
        <v>7.62612036670101E-3</v>
      </c>
      <c r="H605" s="27" t="s">
        <v>4962</v>
      </c>
      <c r="I605" s="34" t="s">
        <v>5136</v>
      </c>
      <c r="J605" s="34" t="s">
        <v>5058</v>
      </c>
    </row>
    <row r="606" spans="1:10" x14ac:dyDescent="0.2">
      <c r="A606" s="35" t="s">
        <v>4680</v>
      </c>
      <c r="B606" s="35">
        <v>6.8509916677980804</v>
      </c>
      <c r="C606" s="35">
        <v>-6.3232856132999604</v>
      </c>
      <c r="D606" s="35">
        <v>1.5409189076541101</v>
      </c>
      <c r="E606" s="35">
        <v>-4.1035810397878203</v>
      </c>
      <c r="F606" s="40">
        <v>4.0680386378730297E-5</v>
      </c>
      <c r="G606" s="35">
        <v>7.64158621383318E-3</v>
      </c>
      <c r="H606" s="27" t="s">
        <v>10</v>
      </c>
      <c r="I606" s="24" t="s">
        <v>10</v>
      </c>
      <c r="J606" s="34" t="s">
        <v>10</v>
      </c>
    </row>
    <row r="607" spans="1:10" x14ac:dyDescent="0.2">
      <c r="A607" s="35" t="s">
        <v>4681</v>
      </c>
      <c r="B607" s="35">
        <v>327.91635675508002</v>
      </c>
      <c r="C607" s="35">
        <v>-11.8969151911935</v>
      </c>
      <c r="D607" s="35">
        <v>2.9012818271294001</v>
      </c>
      <c r="E607" s="35">
        <v>-4.1005720574772999</v>
      </c>
      <c r="F607" s="40">
        <v>4.1213007904735101E-5</v>
      </c>
      <c r="G607" s="35">
        <v>7.7346428818935399E-3</v>
      </c>
      <c r="H607" s="27" t="s">
        <v>10</v>
      </c>
      <c r="I607" s="24" t="s">
        <v>10</v>
      </c>
      <c r="J607" s="34" t="s">
        <v>10</v>
      </c>
    </row>
    <row r="608" spans="1:10" x14ac:dyDescent="0.2">
      <c r="A608" s="35" t="s">
        <v>4682</v>
      </c>
      <c r="B608" s="35">
        <v>13.4901127577713</v>
      </c>
      <c r="C608" s="35">
        <v>-7.2943157502753104</v>
      </c>
      <c r="D608" s="35">
        <v>1.7790456330182101</v>
      </c>
      <c r="E608" s="35">
        <v>-4.1001285267204004</v>
      </c>
      <c r="F608" s="40">
        <v>4.12920748535328E-5</v>
      </c>
      <c r="G608" s="35">
        <v>7.7424876383308302E-3</v>
      </c>
      <c r="H608" s="27" t="s">
        <v>4952</v>
      </c>
      <c r="I608" s="34" t="s">
        <v>5109</v>
      </c>
      <c r="J608" s="34" t="s">
        <v>5053</v>
      </c>
    </row>
    <row r="609" spans="1:10" x14ac:dyDescent="0.2">
      <c r="A609" s="35" t="s">
        <v>4683</v>
      </c>
      <c r="B609" s="35">
        <v>24.206105086012201</v>
      </c>
      <c r="C609" s="35">
        <v>-3.7093176168208601</v>
      </c>
      <c r="D609" s="35">
        <v>0.90489480679924705</v>
      </c>
      <c r="E609" s="35">
        <v>-4.0991699686522596</v>
      </c>
      <c r="F609" s="40">
        <v>4.1463446179217697E-5</v>
      </c>
      <c r="G609" s="35">
        <v>7.7606123643329302E-3</v>
      </c>
      <c r="H609" s="27" t="s">
        <v>10</v>
      </c>
      <c r="I609" s="24" t="s">
        <v>10</v>
      </c>
      <c r="J609" s="34" t="s">
        <v>10</v>
      </c>
    </row>
    <row r="610" spans="1:10" x14ac:dyDescent="0.2">
      <c r="A610" s="35" t="s">
        <v>4684</v>
      </c>
      <c r="B610" s="35">
        <v>11.0202065452581</v>
      </c>
      <c r="C610" s="35">
        <v>-6.01680593520791</v>
      </c>
      <c r="D610" s="35">
        <v>1.46801321307652</v>
      </c>
      <c r="E610" s="35">
        <v>-4.0986047547886102</v>
      </c>
      <c r="F610" s="40">
        <v>4.1564811346466903E-5</v>
      </c>
      <c r="G610" s="35">
        <v>7.7725823097178799E-3</v>
      </c>
      <c r="H610" s="27" t="s">
        <v>10</v>
      </c>
      <c r="I610" s="24" t="s">
        <v>10</v>
      </c>
      <c r="J610" s="34" t="s">
        <v>10</v>
      </c>
    </row>
    <row r="611" spans="1:10" x14ac:dyDescent="0.2">
      <c r="A611" s="35" t="s">
        <v>4685</v>
      </c>
      <c r="B611" s="35">
        <v>835.29748825428305</v>
      </c>
      <c r="C611" s="35">
        <v>-6.3006616247636202</v>
      </c>
      <c r="D611" s="35">
        <v>1.53896233930974</v>
      </c>
      <c r="E611" s="35">
        <v>-4.0940973432719696</v>
      </c>
      <c r="F611" s="40">
        <v>4.2381623912189897E-5</v>
      </c>
      <c r="G611" s="35">
        <v>7.8976931212515807E-3</v>
      </c>
      <c r="H611" s="27" t="s">
        <v>10</v>
      </c>
      <c r="I611" s="24" t="s">
        <v>10</v>
      </c>
      <c r="J611" s="34" t="s">
        <v>10</v>
      </c>
    </row>
    <row r="612" spans="1:10" x14ac:dyDescent="0.2">
      <c r="A612" s="35" t="s">
        <v>4686</v>
      </c>
      <c r="B612" s="35">
        <v>33.821481223235097</v>
      </c>
      <c r="C612" s="35">
        <v>-5.2987639777073197</v>
      </c>
      <c r="D612" s="35">
        <v>1.29576411778872</v>
      </c>
      <c r="E612" s="35">
        <v>-4.0892967361605104</v>
      </c>
      <c r="F612" s="40">
        <v>4.3268304115997799E-5</v>
      </c>
      <c r="G612" s="35">
        <v>8.0189561016264302E-3</v>
      </c>
      <c r="H612" s="27" t="s">
        <v>10</v>
      </c>
      <c r="I612" s="24" t="s">
        <v>10</v>
      </c>
      <c r="J612" s="34" t="s">
        <v>10</v>
      </c>
    </row>
    <row r="613" spans="1:10" x14ac:dyDescent="0.2">
      <c r="A613" s="35" t="s">
        <v>4687</v>
      </c>
      <c r="B613" s="35">
        <v>6.81708060698117</v>
      </c>
      <c r="C613" s="35">
        <v>-6.3055859515303201</v>
      </c>
      <c r="D613" s="35">
        <v>1.5422750971603001</v>
      </c>
      <c r="E613" s="35">
        <v>-4.0884962502088102</v>
      </c>
      <c r="F613" s="40">
        <v>4.3417856400815702E-5</v>
      </c>
      <c r="G613" s="35">
        <v>8.0395010467093301E-3</v>
      </c>
      <c r="H613" s="27" t="s">
        <v>10</v>
      </c>
      <c r="I613" s="24" t="s">
        <v>10</v>
      </c>
      <c r="J613" s="34" t="s">
        <v>10</v>
      </c>
    </row>
    <row r="614" spans="1:10" x14ac:dyDescent="0.2">
      <c r="A614" s="35" t="s">
        <v>4688</v>
      </c>
      <c r="B614" s="35">
        <v>11.4807505343499</v>
      </c>
      <c r="C614" s="35">
        <v>-5.2184910956636097</v>
      </c>
      <c r="D614" s="35">
        <v>1.27718525732302</v>
      </c>
      <c r="E614" s="35">
        <v>-4.0859312035918398</v>
      </c>
      <c r="F614" s="40">
        <v>4.3900385939448602E-5</v>
      </c>
      <c r="G614" s="35">
        <v>8.1143848587509598E-3</v>
      </c>
      <c r="H614" s="27" t="s">
        <v>10</v>
      </c>
      <c r="I614" s="24" t="s">
        <v>10</v>
      </c>
      <c r="J614" s="34" t="s">
        <v>10</v>
      </c>
    </row>
    <row r="615" spans="1:10" x14ac:dyDescent="0.2">
      <c r="A615" s="35" t="s">
        <v>4689</v>
      </c>
      <c r="B615" s="35">
        <v>6.4665493430337104</v>
      </c>
      <c r="C615" s="35">
        <v>-6.2256865536528903</v>
      </c>
      <c r="D615" s="35">
        <v>1.5246699586758801</v>
      </c>
      <c r="E615" s="35">
        <v>-4.0833011224669704</v>
      </c>
      <c r="F615" s="40">
        <v>4.4400428800995899E-5</v>
      </c>
      <c r="G615" s="35">
        <v>8.1995159875375197E-3</v>
      </c>
      <c r="H615" s="27" t="s">
        <v>10</v>
      </c>
      <c r="I615" s="24" t="s">
        <v>10</v>
      </c>
      <c r="J615" s="34" t="s">
        <v>10</v>
      </c>
    </row>
    <row r="616" spans="1:10" x14ac:dyDescent="0.2">
      <c r="A616" s="35" t="s">
        <v>4690</v>
      </c>
      <c r="B616" s="35">
        <v>38.037306628430002</v>
      </c>
      <c r="C616" s="35">
        <v>-3.3427970955132502</v>
      </c>
      <c r="D616" s="35">
        <v>0.81968941738088996</v>
      </c>
      <c r="E616" s="35">
        <v>-4.0781264520826799</v>
      </c>
      <c r="F616" s="40">
        <v>4.5400073390317301E-5</v>
      </c>
      <c r="G616" s="35">
        <v>8.3692436976741495E-3</v>
      </c>
      <c r="H616" s="27" t="s">
        <v>10</v>
      </c>
      <c r="I616" s="24" t="s">
        <v>10</v>
      </c>
      <c r="J616" s="34" t="s">
        <v>10</v>
      </c>
    </row>
    <row r="617" spans="1:10" x14ac:dyDescent="0.2">
      <c r="A617" s="35" t="s">
        <v>4691</v>
      </c>
      <c r="B617" s="35">
        <v>23.668218370824501</v>
      </c>
      <c r="C617" s="35">
        <v>-6.1719153293258699</v>
      </c>
      <c r="D617" s="35">
        <v>1.5135180476302099</v>
      </c>
      <c r="E617" s="35">
        <v>-4.0778604120311304</v>
      </c>
      <c r="F617" s="40">
        <v>4.5452039700301502E-5</v>
      </c>
      <c r="G617" s="35">
        <v>8.3713953545885098E-3</v>
      </c>
      <c r="H617" s="27" t="s">
        <v>10</v>
      </c>
      <c r="I617" s="24" t="s">
        <v>10</v>
      </c>
      <c r="J617" s="34" t="s">
        <v>10</v>
      </c>
    </row>
    <row r="618" spans="1:10" x14ac:dyDescent="0.2">
      <c r="A618" s="35" t="s">
        <v>4692</v>
      </c>
      <c r="B618" s="35">
        <v>1030.4729073859901</v>
      </c>
      <c r="C618" s="35">
        <v>-6.2768243792656797</v>
      </c>
      <c r="D618" s="35">
        <v>1.5411915686492801</v>
      </c>
      <c r="E618" s="35">
        <v>-4.0727087449399599</v>
      </c>
      <c r="F618" s="40">
        <v>4.6469520082060302E-5</v>
      </c>
      <c r="G618" s="35">
        <v>8.5288579089308498E-3</v>
      </c>
      <c r="H618" s="27" t="s">
        <v>10</v>
      </c>
      <c r="I618" s="24" t="s">
        <v>10</v>
      </c>
      <c r="J618" s="34" t="s">
        <v>10</v>
      </c>
    </row>
    <row r="619" spans="1:10" x14ac:dyDescent="0.2">
      <c r="A619" s="35" t="s">
        <v>4693</v>
      </c>
      <c r="B619" s="35">
        <v>1015.12640221432</v>
      </c>
      <c r="C619" s="35">
        <v>-2.5267548550510002</v>
      </c>
      <c r="D619" s="35">
        <v>0.62041264997473</v>
      </c>
      <c r="E619" s="35">
        <v>-4.0727004118209402</v>
      </c>
      <c r="F619" s="40">
        <v>4.6471183277064101E-5</v>
      </c>
      <c r="G619" s="35">
        <v>8.5288579089308498E-3</v>
      </c>
      <c r="H619" s="27" t="s">
        <v>4979</v>
      </c>
      <c r="I619" s="34" t="s">
        <v>5153</v>
      </c>
      <c r="J619" s="34" t="s">
        <v>10</v>
      </c>
    </row>
    <row r="620" spans="1:10" x14ac:dyDescent="0.2">
      <c r="A620" s="35" t="s">
        <v>4694</v>
      </c>
      <c r="B620" s="35">
        <v>54.626506160295797</v>
      </c>
      <c r="C620" s="35">
        <v>-2.2017672256502001</v>
      </c>
      <c r="D620" s="35">
        <v>0.54089606893582398</v>
      </c>
      <c r="E620" s="35">
        <v>-4.07059202700811</v>
      </c>
      <c r="F620" s="40">
        <v>4.68938114571045E-5</v>
      </c>
      <c r="G620" s="35">
        <v>8.5958056382461102E-3</v>
      </c>
      <c r="H620" s="27" t="s">
        <v>10</v>
      </c>
      <c r="I620" s="24" t="s">
        <v>10</v>
      </c>
      <c r="J620" s="34" t="s">
        <v>10</v>
      </c>
    </row>
    <row r="621" spans="1:10" x14ac:dyDescent="0.2">
      <c r="A621" s="35" t="s">
        <v>4695</v>
      </c>
      <c r="B621" s="35">
        <v>13.717965758529999</v>
      </c>
      <c r="C621" s="35">
        <v>-7.3120792352289401</v>
      </c>
      <c r="D621" s="35">
        <v>1.7963729382031499</v>
      </c>
      <c r="E621" s="35">
        <v>-4.0704683753157402</v>
      </c>
      <c r="F621" s="40">
        <v>4.6918710380307103E-5</v>
      </c>
      <c r="G621" s="35">
        <v>8.5958056382461102E-3</v>
      </c>
      <c r="H621" s="27" t="s">
        <v>10</v>
      </c>
      <c r="I621" s="24" t="s">
        <v>10</v>
      </c>
      <c r="J621" s="34" t="s">
        <v>10</v>
      </c>
    </row>
    <row r="622" spans="1:10" x14ac:dyDescent="0.2">
      <c r="A622" s="35" t="s">
        <v>4696</v>
      </c>
      <c r="B622" s="35">
        <v>11.146376497295901</v>
      </c>
      <c r="C622" s="35">
        <v>-5.0304265291072197</v>
      </c>
      <c r="D622" s="35">
        <v>1.23690640966835</v>
      </c>
      <c r="E622" s="35">
        <v>-4.0669419204125798</v>
      </c>
      <c r="F622" s="40">
        <v>4.76341087618029E-5</v>
      </c>
      <c r="G622" s="35">
        <v>8.6885618085312706E-3</v>
      </c>
      <c r="H622" s="27" t="s">
        <v>10</v>
      </c>
      <c r="I622" s="24" t="s">
        <v>10</v>
      </c>
      <c r="J622" s="34" t="s">
        <v>10</v>
      </c>
    </row>
    <row r="623" spans="1:10" x14ac:dyDescent="0.2">
      <c r="A623" s="35" t="s">
        <v>4697</v>
      </c>
      <c r="B623" s="35">
        <v>68.176561242310697</v>
      </c>
      <c r="C623" s="35">
        <v>-8.6658803099254698</v>
      </c>
      <c r="D623" s="35">
        <v>2.1312033491131501</v>
      </c>
      <c r="E623" s="35">
        <v>-4.06619120298003</v>
      </c>
      <c r="F623" s="40">
        <v>4.7787733339178399E-5</v>
      </c>
      <c r="G623" s="35">
        <v>8.7013044063228295E-3</v>
      </c>
      <c r="H623" s="27" t="s">
        <v>10</v>
      </c>
      <c r="I623" s="24" t="s">
        <v>10</v>
      </c>
      <c r="J623" s="34" t="s">
        <v>10</v>
      </c>
    </row>
    <row r="624" spans="1:10" x14ac:dyDescent="0.2">
      <c r="A624" s="35" t="s">
        <v>4698</v>
      </c>
      <c r="B624" s="35">
        <v>14.6378316896883</v>
      </c>
      <c r="C624" s="35">
        <v>-4.2487118138999502</v>
      </c>
      <c r="D624" s="35">
        <v>1.04515724177289</v>
      </c>
      <c r="E624" s="35">
        <v>-4.0651412477350402</v>
      </c>
      <c r="F624" s="40">
        <v>4.8003381141066198E-5</v>
      </c>
      <c r="G624" s="35">
        <v>8.7252759863021504E-3</v>
      </c>
      <c r="H624" s="27" t="s">
        <v>10</v>
      </c>
      <c r="I624" s="24" t="s">
        <v>10</v>
      </c>
      <c r="J624" s="34" t="s">
        <v>10</v>
      </c>
    </row>
    <row r="625" spans="1:10" x14ac:dyDescent="0.2">
      <c r="A625" s="35" t="s">
        <v>4699</v>
      </c>
      <c r="B625" s="35">
        <v>6.0482652124582899</v>
      </c>
      <c r="C625" s="35">
        <v>-6.1402726964212704</v>
      </c>
      <c r="D625" s="35">
        <v>1.5112675115246601</v>
      </c>
      <c r="E625" s="35">
        <v>-4.0629952338660198</v>
      </c>
      <c r="F625" s="40">
        <v>4.8447019159801701E-5</v>
      </c>
      <c r="G625" s="35">
        <v>8.7752039342316995E-3</v>
      </c>
      <c r="H625" s="27" t="s">
        <v>10</v>
      </c>
      <c r="I625" s="24" t="s">
        <v>10</v>
      </c>
      <c r="J625" s="34" t="s">
        <v>10</v>
      </c>
    </row>
    <row r="626" spans="1:10" x14ac:dyDescent="0.2">
      <c r="A626" s="35" t="s">
        <v>4700</v>
      </c>
      <c r="B626" s="35">
        <v>9.7492048478350508</v>
      </c>
      <c r="C626" s="35">
        <v>-6.8185038698506402</v>
      </c>
      <c r="D626" s="35">
        <v>1.67908955934432</v>
      </c>
      <c r="E626" s="35">
        <v>-4.0608339393839499</v>
      </c>
      <c r="F626" s="40">
        <v>4.8897742856964198E-5</v>
      </c>
      <c r="G626" s="35">
        <v>8.8406270806085201E-3</v>
      </c>
      <c r="H626" s="27" t="s">
        <v>10</v>
      </c>
      <c r="I626" s="24" t="s">
        <v>10</v>
      </c>
      <c r="J626" s="34" t="s">
        <v>10</v>
      </c>
    </row>
    <row r="627" spans="1:10" x14ac:dyDescent="0.2">
      <c r="A627" s="35" t="s">
        <v>4701</v>
      </c>
      <c r="B627" s="35">
        <v>11.526115126742599</v>
      </c>
      <c r="C627" s="35">
        <v>-6.0977299565485001</v>
      </c>
      <c r="D627" s="35">
        <v>1.5018196938395201</v>
      </c>
      <c r="E627" s="35">
        <v>-4.0602277234487198</v>
      </c>
      <c r="F627" s="40">
        <v>4.9024877295589402E-5</v>
      </c>
      <c r="G627" s="35">
        <v>8.8490116484991003E-3</v>
      </c>
      <c r="H627" s="27" t="s">
        <v>10</v>
      </c>
      <c r="I627" s="24" t="s">
        <v>10</v>
      </c>
      <c r="J627" s="34" t="s">
        <v>10</v>
      </c>
    </row>
    <row r="628" spans="1:10" x14ac:dyDescent="0.2">
      <c r="A628" s="35" t="s">
        <v>4702</v>
      </c>
      <c r="B628" s="35">
        <v>30.370165413971101</v>
      </c>
      <c r="C628" s="35">
        <v>-5.1746770056507003</v>
      </c>
      <c r="D628" s="35">
        <v>1.2753698869355501</v>
      </c>
      <c r="E628" s="35">
        <v>-4.0573931207395599</v>
      </c>
      <c r="F628" s="40">
        <v>4.9623514145742801E-5</v>
      </c>
      <c r="G628" s="35">
        <v>8.9102268273196505E-3</v>
      </c>
      <c r="H628" s="27" t="s">
        <v>10</v>
      </c>
      <c r="I628" s="24" t="s">
        <v>10</v>
      </c>
      <c r="J628" s="34" t="s">
        <v>10</v>
      </c>
    </row>
    <row r="629" spans="1:10" x14ac:dyDescent="0.2">
      <c r="A629" s="35" t="s">
        <v>4703</v>
      </c>
      <c r="B629" s="35">
        <v>8.4419928404578908</v>
      </c>
      <c r="C629" s="35">
        <v>-6.6153023124654098</v>
      </c>
      <c r="D629" s="35">
        <v>1.6308109900191301</v>
      </c>
      <c r="E629" s="35">
        <v>-4.0564494309593897</v>
      </c>
      <c r="F629" s="40">
        <v>4.9824343762382E-5</v>
      </c>
      <c r="G629" s="35">
        <v>8.9312393120771702E-3</v>
      </c>
      <c r="H629" s="27" t="s">
        <v>10</v>
      </c>
      <c r="I629" s="24" t="s">
        <v>10</v>
      </c>
      <c r="J629" s="34" t="s">
        <v>10</v>
      </c>
    </row>
    <row r="630" spans="1:10" x14ac:dyDescent="0.2">
      <c r="A630" s="35" t="s">
        <v>4704</v>
      </c>
      <c r="B630" s="35">
        <v>130.94110613825899</v>
      </c>
      <c r="C630" s="35">
        <v>-10.5725699506123</v>
      </c>
      <c r="D630" s="35">
        <v>2.60715474640087</v>
      </c>
      <c r="E630" s="35">
        <v>-4.05521381698094</v>
      </c>
      <c r="F630" s="40">
        <v>5.0088463645352002E-5</v>
      </c>
      <c r="G630" s="35">
        <v>8.9583225180299396E-3</v>
      </c>
      <c r="H630" s="27" t="s">
        <v>10</v>
      </c>
      <c r="I630" s="24" t="s">
        <v>10</v>
      </c>
      <c r="J630" s="34" t="s">
        <v>10</v>
      </c>
    </row>
    <row r="631" spans="1:10" x14ac:dyDescent="0.2">
      <c r="A631" s="35" t="s">
        <v>4705</v>
      </c>
      <c r="B631" s="35">
        <v>526.95443894676396</v>
      </c>
      <c r="C631" s="35">
        <v>-2.4546557613102502</v>
      </c>
      <c r="D631" s="35">
        <v>0.60564429000983899</v>
      </c>
      <c r="E631" s="35">
        <v>-4.0529660756322503</v>
      </c>
      <c r="F631" s="40">
        <v>5.0572338193640698E-5</v>
      </c>
      <c r="G631" s="35">
        <v>9.0262512083945992E-3</v>
      </c>
      <c r="H631" s="27" t="s">
        <v>10</v>
      </c>
      <c r="I631" s="24" t="s">
        <v>10</v>
      </c>
      <c r="J631" s="34" t="s">
        <v>10</v>
      </c>
    </row>
    <row r="632" spans="1:10" x14ac:dyDescent="0.2">
      <c r="A632" s="35" t="s">
        <v>4706</v>
      </c>
      <c r="B632" s="35">
        <v>6.9188186337550199</v>
      </c>
      <c r="C632" s="35">
        <v>-6.33824789353553</v>
      </c>
      <c r="D632" s="35">
        <v>1.5639303713116499</v>
      </c>
      <c r="E632" s="35">
        <v>-4.0527685949469197</v>
      </c>
      <c r="F632" s="40">
        <v>5.0615061214981498E-5</v>
      </c>
      <c r="G632" s="35">
        <v>9.0262512083945992E-3</v>
      </c>
      <c r="H632" s="27" t="s">
        <v>10</v>
      </c>
      <c r="I632" s="34" t="s">
        <v>86</v>
      </c>
      <c r="J632" s="34" t="s">
        <v>10</v>
      </c>
    </row>
    <row r="633" spans="1:10" x14ac:dyDescent="0.2">
      <c r="A633" s="35" t="s">
        <v>4707</v>
      </c>
      <c r="B633" s="35">
        <v>18.164662460312801</v>
      </c>
      <c r="C633" s="35">
        <v>-5.9648713858290998</v>
      </c>
      <c r="D633" s="35">
        <v>1.47340967720029</v>
      </c>
      <c r="E633" s="35">
        <v>-4.0483454657114004</v>
      </c>
      <c r="F633" s="40">
        <v>5.1580973525336697E-5</v>
      </c>
      <c r="G633" s="35">
        <v>9.1748773422344696E-3</v>
      </c>
      <c r="H633" s="27" t="s">
        <v>10</v>
      </c>
      <c r="I633" s="24" t="s">
        <v>10</v>
      </c>
      <c r="J633" s="34" t="s">
        <v>10</v>
      </c>
    </row>
    <row r="634" spans="1:10" x14ac:dyDescent="0.2">
      <c r="A634" s="35" t="s">
        <v>4708</v>
      </c>
      <c r="B634" s="35">
        <v>49.0507443278373</v>
      </c>
      <c r="C634" s="35">
        <v>-3.2830266052846002</v>
      </c>
      <c r="D634" s="35">
        <v>0.81148731643565097</v>
      </c>
      <c r="E634" s="35">
        <v>-4.0456905965022996</v>
      </c>
      <c r="F634" s="40">
        <v>5.2169099778407699E-5</v>
      </c>
      <c r="G634" s="35">
        <v>9.2573327880335794E-3</v>
      </c>
      <c r="H634" s="27" t="s">
        <v>10</v>
      </c>
      <c r="I634" s="24" t="s">
        <v>10</v>
      </c>
      <c r="J634" s="34" t="s">
        <v>10</v>
      </c>
    </row>
    <row r="635" spans="1:10" x14ac:dyDescent="0.2">
      <c r="A635" s="35" t="s">
        <v>4709</v>
      </c>
      <c r="B635" s="35">
        <v>103.08521148772</v>
      </c>
      <c r="C635" s="35">
        <v>-6.6972077790932296</v>
      </c>
      <c r="D635" s="35">
        <v>1.65567973933641</v>
      </c>
      <c r="E635" s="35">
        <v>-4.0449898733298699</v>
      </c>
      <c r="F635" s="40">
        <v>5.2325385884011801E-5</v>
      </c>
      <c r="G635" s="35">
        <v>9.2661492088370895E-3</v>
      </c>
      <c r="H635" s="27" t="s">
        <v>10</v>
      </c>
      <c r="I635" s="24" t="s">
        <v>10</v>
      </c>
      <c r="J635" s="34" t="s">
        <v>10</v>
      </c>
    </row>
    <row r="636" spans="1:10" x14ac:dyDescent="0.2">
      <c r="A636" s="35" t="s">
        <v>4710</v>
      </c>
      <c r="B636" s="35">
        <v>24.8699594641147</v>
      </c>
      <c r="C636" s="35">
        <v>-5.3847525156480298</v>
      </c>
      <c r="D636" s="35">
        <v>1.3312688319849</v>
      </c>
      <c r="E636" s="35">
        <v>-4.04482730029775</v>
      </c>
      <c r="F636" s="40">
        <v>5.23617087890349E-5</v>
      </c>
      <c r="G636" s="35">
        <v>9.2661492088370895E-3</v>
      </c>
      <c r="H636" s="27" t="s">
        <v>10</v>
      </c>
      <c r="I636" s="34" t="s">
        <v>5121</v>
      </c>
      <c r="J636" s="34" t="s">
        <v>5012</v>
      </c>
    </row>
    <row r="637" spans="1:10" x14ac:dyDescent="0.2">
      <c r="A637" s="35" t="s">
        <v>4711</v>
      </c>
      <c r="B637" s="35">
        <v>25.860352850645501</v>
      </c>
      <c r="C637" s="35">
        <v>-4.7386698596672003</v>
      </c>
      <c r="D637" s="35">
        <v>1.1722288594627299</v>
      </c>
      <c r="E637" s="35">
        <v>-4.04244429013555</v>
      </c>
      <c r="F637" s="40">
        <v>5.2896882869471103E-5</v>
      </c>
      <c r="G637" s="35">
        <v>9.3449360522362603E-3</v>
      </c>
      <c r="H637" s="27" t="s">
        <v>3839</v>
      </c>
      <c r="I637" s="34" t="s">
        <v>898</v>
      </c>
      <c r="J637" s="34" t="s">
        <v>10</v>
      </c>
    </row>
    <row r="638" spans="1:10" x14ac:dyDescent="0.2">
      <c r="A638" s="35" t="s">
        <v>4712</v>
      </c>
      <c r="B638" s="35">
        <v>33.253263925599697</v>
      </c>
      <c r="C638" s="35">
        <v>-2.4214898991092899</v>
      </c>
      <c r="D638" s="35">
        <v>0.59916190679193104</v>
      </c>
      <c r="E638" s="35">
        <v>-4.0414617011861997</v>
      </c>
      <c r="F638" s="40">
        <v>5.3119057435670197E-5</v>
      </c>
      <c r="G638" s="35">
        <v>9.3682537322624E-3</v>
      </c>
      <c r="H638" s="27" t="s">
        <v>3864</v>
      </c>
      <c r="I638" s="34" t="s">
        <v>3996</v>
      </c>
      <c r="J638" s="34" t="s">
        <v>4092</v>
      </c>
    </row>
    <row r="639" spans="1:10" x14ac:dyDescent="0.2">
      <c r="A639" s="35" t="s">
        <v>4713</v>
      </c>
      <c r="B639" s="35">
        <v>10.417510437211099</v>
      </c>
      <c r="C639" s="35">
        <v>-6.9238583393157596</v>
      </c>
      <c r="D639" s="35">
        <v>1.71354128617521</v>
      </c>
      <c r="E639" s="35">
        <v>-4.0406720253414399</v>
      </c>
      <c r="F639" s="40">
        <v>5.3298252716609097E-5</v>
      </c>
      <c r="G639" s="35">
        <v>9.3814908621972105E-3</v>
      </c>
      <c r="H639" s="27" t="s">
        <v>4967</v>
      </c>
      <c r="I639" s="34" t="s">
        <v>5140</v>
      </c>
      <c r="J639" s="34" t="s">
        <v>5022</v>
      </c>
    </row>
    <row r="640" spans="1:10" x14ac:dyDescent="0.2">
      <c r="A640" s="35" t="s">
        <v>4714</v>
      </c>
      <c r="B640" s="35">
        <v>39.766818869420703</v>
      </c>
      <c r="C640" s="35">
        <v>-4.9354431742038001</v>
      </c>
      <c r="D640" s="35">
        <v>1.22145048339801</v>
      </c>
      <c r="E640" s="35">
        <v>-4.0406412222897803</v>
      </c>
      <c r="F640" s="40">
        <v>5.3305254218737999E-5</v>
      </c>
      <c r="G640" s="35">
        <v>9.3814908621972105E-3</v>
      </c>
      <c r="H640" s="27" t="s">
        <v>10</v>
      </c>
      <c r="I640" s="24" t="s">
        <v>10</v>
      </c>
      <c r="J640" s="34" t="s">
        <v>10</v>
      </c>
    </row>
    <row r="641" spans="1:10" x14ac:dyDescent="0.2">
      <c r="A641" s="35" t="s">
        <v>4715</v>
      </c>
      <c r="B641" s="35">
        <v>164.57675012594601</v>
      </c>
      <c r="C641" s="35">
        <v>-5.1475061639370097</v>
      </c>
      <c r="D641" s="35">
        <v>1.27481572167641</v>
      </c>
      <c r="E641" s="35">
        <v>-4.0378433340686604</v>
      </c>
      <c r="F641" s="40">
        <v>5.3944858731025399E-5</v>
      </c>
      <c r="G641" s="35">
        <v>9.4591498512728196E-3</v>
      </c>
      <c r="H641" s="27" t="s">
        <v>4982</v>
      </c>
      <c r="I641" s="34" t="s">
        <v>5157</v>
      </c>
      <c r="J641" s="34" t="s">
        <v>5078</v>
      </c>
    </row>
    <row r="642" spans="1:10" x14ac:dyDescent="0.2">
      <c r="A642" s="35" t="s">
        <v>4716</v>
      </c>
      <c r="B642" s="35">
        <v>461.14686960201698</v>
      </c>
      <c r="C642" s="35">
        <v>-8.4970674453572705</v>
      </c>
      <c r="D642" s="35">
        <v>2.1060586703066599</v>
      </c>
      <c r="E642" s="35">
        <v>-4.0345824953300298</v>
      </c>
      <c r="F642" s="40">
        <v>5.4699470253900598E-5</v>
      </c>
      <c r="G642" s="35">
        <v>9.5702588627991601E-3</v>
      </c>
      <c r="H642" s="27" t="s">
        <v>10</v>
      </c>
      <c r="I642" s="24" t="s">
        <v>10</v>
      </c>
      <c r="J642" s="34" t="s">
        <v>10</v>
      </c>
    </row>
    <row r="643" spans="1:10" x14ac:dyDescent="0.2">
      <c r="A643" s="35" t="s">
        <v>4717</v>
      </c>
      <c r="B643" s="35">
        <v>19.509048586748001</v>
      </c>
      <c r="C643" s="35">
        <v>-4.19352104347369</v>
      </c>
      <c r="D643" s="35">
        <v>1.03942238858888</v>
      </c>
      <c r="E643" s="35">
        <v>-4.0344725007961397</v>
      </c>
      <c r="F643" s="40">
        <v>5.4725098331722798E-5</v>
      </c>
      <c r="G643" s="35">
        <v>9.5702588627991601E-3</v>
      </c>
      <c r="H643" s="27" t="s">
        <v>10</v>
      </c>
      <c r="I643" s="24" t="s">
        <v>10</v>
      </c>
      <c r="J643" s="34" t="s">
        <v>10</v>
      </c>
    </row>
    <row r="644" spans="1:10" x14ac:dyDescent="0.2">
      <c r="A644" s="35" t="s">
        <v>4718</v>
      </c>
      <c r="B644" s="35">
        <v>6.4527511876534804</v>
      </c>
      <c r="C644" s="35">
        <v>-6.2236360089733704</v>
      </c>
      <c r="D644" s="35">
        <v>1.54362976395703</v>
      </c>
      <c r="E644" s="35">
        <v>-4.0318191280656102</v>
      </c>
      <c r="F644" s="40">
        <v>5.5346776573489503E-5</v>
      </c>
      <c r="G644" s="35">
        <v>9.6627100115982203E-3</v>
      </c>
      <c r="H644" s="27" t="s">
        <v>10</v>
      </c>
      <c r="I644" s="24" t="s">
        <v>10</v>
      </c>
      <c r="J644" s="34" t="s">
        <v>10</v>
      </c>
    </row>
    <row r="645" spans="1:10" x14ac:dyDescent="0.2">
      <c r="A645" s="35" t="s">
        <v>4719</v>
      </c>
      <c r="B645" s="35">
        <v>29.690446308713302</v>
      </c>
      <c r="C645" s="35">
        <v>-2.5679021452759598</v>
      </c>
      <c r="D645" s="35">
        <v>0.63718080377014397</v>
      </c>
      <c r="E645" s="35">
        <v>-4.0300996672873799</v>
      </c>
      <c r="F645" s="40">
        <v>5.57532079062317E-5</v>
      </c>
      <c r="G645" s="35">
        <v>9.7041876123580006E-3</v>
      </c>
      <c r="H645" s="27" t="s">
        <v>4993</v>
      </c>
      <c r="I645" s="34" t="s">
        <v>5167</v>
      </c>
      <c r="J645" s="34" t="s">
        <v>5091</v>
      </c>
    </row>
    <row r="646" spans="1:10" x14ac:dyDescent="0.2">
      <c r="A646" s="35" t="s">
        <v>4720</v>
      </c>
      <c r="B646" s="35">
        <v>6.8466729039871899</v>
      </c>
      <c r="C646" s="35">
        <v>-6.3114291182281796</v>
      </c>
      <c r="D646" s="35">
        <v>1.56667457873177</v>
      </c>
      <c r="E646" s="35">
        <v>-4.0285514323831899</v>
      </c>
      <c r="F646" s="40">
        <v>5.6121583865184899E-5</v>
      </c>
      <c r="G646" s="35">
        <v>9.7488259009158498E-3</v>
      </c>
      <c r="H646" s="27" t="s">
        <v>4959</v>
      </c>
      <c r="I646" s="34" t="s">
        <v>5131</v>
      </c>
      <c r="J646" s="34" t="s">
        <v>10</v>
      </c>
    </row>
    <row r="647" spans="1:10" x14ac:dyDescent="0.2">
      <c r="A647" s="35" t="s">
        <v>4721</v>
      </c>
      <c r="B647" s="35">
        <v>5.9399548993140998</v>
      </c>
      <c r="C647" s="35">
        <v>-6.1122330751163503</v>
      </c>
      <c r="D647" s="35">
        <v>1.51846526179034</v>
      </c>
      <c r="E647" s="35">
        <v>-4.0252702705294503</v>
      </c>
      <c r="F647" s="40">
        <v>5.6909914911801898E-5</v>
      </c>
      <c r="G647" s="35">
        <v>9.86103109459242E-3</v>
      </c>
      <c r="H647" s="27" t="s">
        <v>10</v>
      </c>
      <c r="I647" s="24" t="s">
        <v>10</v>
      </c>
      <c r="J647" s="34" t="s">
        <v>10</v>
      </c>
    </row>
    <row r="648" spans="1:10" x14ac:dyDescent="0.2">
      <c r="A648" s="35" t="s">
        <v>4722</v>
      </c>
      <c r="B648" s="35">
        <v>12.2245527528487</v>
      </c>
      <c r="C648" s="35">
        <v>-7.1506192859017403</v>
      </c>
      <c r="D648" s="35">
        <v>1.7768465286502899</v>
      </c>
      <c r="E648" s="35">
        <v>-4.0243314043185396</v>
      </c>
      <c r="F648" s="40">
        <v>5.7137409530208897E-5</v>
      </c>
      <c r="G648" s="35">
        <v>9.8921997119650606E-3</v>
      </c>
      <c r="H648" s="27" t="s">
        <v>10</v>
      </c>
      <c r="I648" s="34" t="s">
        <v>5172</v>
      </c>
      <c r="J648" s="34" t="s">
        <v>10</v>
      </c>
    </row>
    <row r="649" spans="1:10" x14ac:dyDescent="0.2">
      <c r="A649" s="35" t="s">
        <v>4723</v>
      </c>
      <c r="B649" s="35">
        <v>47.644328997909099</v>
      </c>
      <c r="C649" s="35">
        <v>-3.0922043118151201</v>
      </c>
      <c r="D649" s="35">
        <v>0.76854112877543601</v>
      </c>
      <c r="E649" s="35">
        <v>-4.0234727798395298</v>
      </c>
      <c r="F649" s="40">
        <v>5.7346214787740602E-5</v>
      </c>
      <c r="G649" s="35">
        <v>9.9200834300098607E-3</v>
      </c>
      <c r="H649" s="27" t="s">
        <v>10</v>
      </c>
      <c r="I649" s="34" t="s">
        <v>5174</v>
      </c>
      <c r="J649" s="34" t="s">
        <v>10</v>
      </c>
    </row>
    <row r="650" spans="1:10" x14ac:dyDescent="0.2">
      <c r="A650" s="35" t="s">
        <v>4724</v>
      </c>
      <c r="B650" s="35">
        <v>7.1523972126134003</v>
      </c>
      <c r="C650" s="35">
        <v>-6.3838752805981702</v>
      </c>
      <c r="D650" s="35">
        <v>1.58691136270858</v>
      </c>
      <c r="E650" s="35">
        <v>-4.0228304054121997</v>
      </c>
      <c r="F650" s="40">
        <v>5.75029035093938E-5</v>
      </c>
      <c r="G650" s="35">
        <v>9.9389128298649106E-3</v>
      </c>
      <c r="H650" s="27" t="s">
        <v>10</v>
      </c>
      <c r="I650" s="24" t="s">
        <v>10</v>
      </c>
      <c r="J650" s="34" t="s">
        <v>10</v>
      </c>
    </row>
    <row r="651" spans="1:10" x14ac:dyDescent="0.2">
      <c r="A651" s="35" t="s">
        <v>4725</v>
      </c>
      <c r="B651" s="35">
        <v>35.661158257399798</v>
      </c>
      <c r="C651" s="35">
        <v>-4.26596615612603</v>
      </c>
      <c r="D651" s="35">
        <v>1.0606063979170799</v>
      </c>
      <c r="E651" s="35">
        <v>-4.0221953822869096</v>
      </c>
      <c r="F651" s="40">
        <v>5.7658197588952703E-5</v>
      </c>
      <c r="G651" s="35">
        <v>9.9545365420540596E-3</v>
      </c>
      <c r="H651" s="27" t="s">
        <v>10</v>
      </c>
      <c r="I651" s="24" t="s">
        <v>10</v>
      </c>
      <c r="J651" s="34" t="s">
        <v>10</v>
      </c>
    </row>
    <row r="652" spans="1:10" x14ac:dyDescent="0.2">
      <c r="A652" s="35" t="s">
        <v>2506</v>
      </c>
      <c r="B652" s="35">
        <v>776.08542652304197</v>
      </c>
      <c r="C652" s="35">
        <v>13.027415045480801</v>
      </c>
      <c r="D652" s="35">
        <v>1.2044041546522599</v>
      </c>
      <c r="E652" s="35">
        <v>10.8164813241135</v>
      </c>
      <c r="F652" s="40">
        <v>2.8760824734217499E-27</v>
      </c>
      <c r="G652" s="40">
        <v>1.99174463449403E-22</v>
      </c>
      <c r="H652" s="27" t="s">
        <v>10</v>
      </c>
      <c r="I652" s="24" t="s">
        <v>2507</v>
      </c>
      <c r="J652" s="34" t="s">
        <v>10</v>
      </c>
    </row>
    <row r="653" spans="1:10" x14ac:dyDescent="0.2">
      <c r="A653" s="45" t="s">
        <v>2508</v>
      </c>
      <c r="B653" s="45">
        <v>155.18234853217101</v>
      </c>
      <c r="C653" s="45">
        <v>7.0436989927500901</v>
      </c>
      <c r="D653" s="45">
        <v>0.72032169695885095</v>
      </c>
      <c r="E653" s="45">
        <v>9.7785462002437296</v>
      </c>
      <c r="F653" s="46">
        <v>1.39195494389312E-22</v>
      </c>
      <c r="G653" s="46">
        <v>3.05207733600749E-18</v>
      </c>
      <c r="H653" s="50" t="s">
        <v>164</v>
      </c>
      <c r="I653" s="47" t="s">
        <v>2509</v>
      </c>
      <c r="J653" s="50" t="s">
        <v>10</v>
      </c>
    </row>
    <row r="654" spans="1:10" x14ac:dyDescent="0.2">
      <c r="A654" s="35" t="s">
        <v>2510</v>
      </c>
      <c r="B654" s="35">
        <v>382.64872813951001</v>
      </c>
      <c r="C654" s="35">
        <v>12.0084439457308</v>
      </c>
      <c r="D654" s="35">
        <v>1.2287258265915899</v>
      </c>
      <c r="E654" s="35">
        <v>9.7730866283175803</v>
      </c>
      <c r="F654" s="40">
        <v>1.4690682030879899E-22</v>
      </c>
      <c r="G654" s="40">
        <v>3.05207733600749E-18</v>
      </c>
      <c r="H654" s="27" t="s">
        <v>4971</v>
      </c>
      <c r="I654" s="34" t="s">
        <v>5143</v>
      </c>
      <c r="J654" s="34" t="s">
        <v>10</v>
      </c>
    </row>
    <row r="655" spans="1:10" x14ac:dyDescent="0.2">
      <c r="A655" s="35" t="s">
        <v>2511</v>
      </c>
      <c r="B655" s="35">
        <v>152.46350530490699</v>
      </c>
      <c r="C655" s="35">
        <v>6.2684912916301103</v>
      </c>
      <c r="D655" s="35">
        <v>0.64995316113096302</v>
      </c>
      <c r="E655" s="35">
        <v>9.6445277390797095</v>
      </c>
      <c r="F655" s="40">
        <v>5.1849298886800398E-22</v>
      </c>
      <c r="G655" s="40">
        <v>8.9766691162717595E-18</v>
      </c>
      <c r="H655" s="27" t="s">
        <v>10</v>
      </c>
      <c r="I655" s="24" t="s">
        <v>10</v>
      </c>
      <c r="J655" s="34" t="s">
        <v>10</v>
      </c>
    </row>
    <row r="656" spans="1:10" x14ac:dyDescent="0.2">
      <c r="A656" s="35" t="s">
        <v>2512</v>
      </c>
      <c r="B656" s="35">
        <v>357.76705290655502</v>
      </c>
      <c r="C656" s="35">
        <v>10.070191382180999</v>
      </c>
      <c r="D656" s="35">
        <v>1.10828347603299</v>
      </c>
      <c r="E656" s="35">
        <v>9.0862956995681703</v>
      </c>
      <c r="F656" s="40">
        <v>1.0247079113909199E-19</v>
      </c>
      <c r="G656" s="40">
        <v>1.3305576052433199E-15</v>
      </c>
      <c r="H656" s="27" t="s">
        <v>10</v>
      </c>
      <c r="I656" s="24" t="s">
        <v>2513</v>
      </c>
      <c r="J656" s="34" t="s">
        <v>10</v>
      </c>
    </row>
    <row r="657" spans="1:10" x14ac:dyDescent="0.2">
      <c r="A657" s="35" t="s">
        <v>2514</v>
      </c>
      <c r="B657" s="35">
        <v>216.94413021294099</v>
      </c>
      <c r="C657" s="35">
        <v>11.1897903506921</v>
      </c>
      <c r="D657" s="35">
        <v>1.2335038654096</v>
      </c>
      <c r="E657" s="35">
        <v>9.0715486708072905</v>
      </c>
      <c r="F657" s="40">
        <v>1.1733722112288301E-19</v>
      </c>
      <c r="G657" s="40">
        <v>1.4339712771532799E-15</v>
      </c>
      <c r="H657" s="27" t="s">
        <v>10</v>
      </c>
      <c r="I657" s="24" t="s">
        <v>2515</v>
      </c>
      <c r="J657" s="34" t="s">
        <v>10</v>
      </c>
    </row>
    <row r="658" spans="1:10" x14ac:dyDescent="0.2">
      <c r="A658" s="35" t="s">
        <v>2516</v>
      </c>
      <c r="B658" s="35">
        <v>232.615043639107</v>
      </c>
      <c r="C658" s="35">
        <v>11.291009566722</v>
      </c>
      <c r="D658" s="35">
        <v>1.2616660472388599</v>
      </c>
      <c r="E658" s="35">
        <v>8.9492854241677495</v>
      </c>
      <c r="F658" s="40">
        <v>3.57790915812508E-19</v>
      </c>
      <c r="G658" s="40">
        <v>3.91227418450228E-15</v>
      </c>
      <c r="H658" s="27" t="s">
        <v>4973</v>
      </c>
      <c r="I658" s="24" t="s">
        <v>2517</v>
      </c>
      <c r="J658" s="34" t="s">
        <v>10</v>
      </c>
    </row>
    <row r="659" spans="1:10" x14ac:dyDescent="0.2">
      <c r="A659" s="35" t="s">
        <v>2518</v>
      </c>
      <c r="B659" s="35">
        <v>154.74630363843499</v>
      </c>
      <c r="C659" s="35">
        <v>10.7037237881178</v>
      </c>
      <c r="D659" s="35">
        <v>1.2228797568158101</v>
      </c>
      <c r="E659" s="35">
        <v>8.7528832891866699</v>
      </c>
      <c r="F659" s="40">
        <v>2.0796973748007199E-18</v>
      </c>
      <c r="G659" s="40">
        <v>2.16034803899549E-14</v>
      </c>
      <c r="H659" s="27" t="s">
        <v>10</v>
      </c>
      <c r="I659" s="24" t="s">
        <v>2519</v>
      </c>
      <c r="J659" s="34" t="s">
        <v>10</v>
      </c>
    </row>
    <row r="660" spans="1:10" x14ac:dyDescent="0.2">
      <c r="A660" s="35" t="s">
        <v>2520</v>
      </c>
      <c r="B660" s="35">
        <v>156.725628946016</v>
      </c>
      <c r="C660" s="35">
        <v>10.7189709152047</v>
      </c>
      <c r="D660" s="35">
        <v>1.23555408704574</v>
      </c>
      <c r="E660" s="35">
        <v>8.6754364115569604</v>
      </c>
      <c r="F660" s="40">
        <v>4.1196754500564297E-18</v>
      </c>
      <c r="G660" s="40">
        <v>3.8903967854632899E-14</v>
      </c>
      <c r="H660" s="27" t="s">
        <v>10</v>
      </c>
      <c r="I660" s="24" t="s">
        <v>2521</v>
      </c>
      <c r="J660" s="34" t="s">
        <v>10</v>
      </c>
    </row>
    <row r="661" spans="1:10" x14ac:dyDescent="0.2">
      <c r="A661" s="35" t="s">
        <v>2522</v>
      </c>
      <c r="B661" s="35">
        <v>143.86496674204</v>
      </c>
      <c r="C661" s="35">
        <v>10.5983390468979</v>
      </c>
      <c r="D661" s="35">
        <v>1.29546996208034</v>
      </c>
      <c r="E661" s="35">
        <v>8.1810766417759808</v>
      </c>
      <c r="F661" s="40">
        <v>2.8131889790328498E-16</v>
      </c>
      <c r="G661" s="40">
        <v>2.0153685845791301E-12</v>
      </c>
      <c r="H661" s="27" t="s">
        <v>10</v>
      </c>
      <c r="I661" s="24" t="s">
        <v>10</v>
      </c>
      <c r="J661" s="34" t="s">
        <v>10</v>
      </c>
    </row>
    <row r="662" spans="1:10" x14ac:dyDescent="0.2">
      <c r="A662" s="35" t="s">
        <v>2523</v>
      </c>
      <c r="B662" s="35">
        <v>172.94922743966899</v>
      </c>
      <c r="C662" s="35">
        <v>5.3492656241366703</v>
      </c>
      <c r="D662" s="35">
        <v>0.66059532926450404</v>
      </c>
      <c r="E662" s="35">
        <v>8.0976437270491406</v>
      </c>
      <c r="F662" s="40">
        <v>5.60338842611403E-16</v>
      </c>
      <c r="G662" s="40">
        <v>3.7552824705024097E-12</v>
      </c>
      <c r="H662" s="27" t="s">
        <v>10</v>
      </c>
      <c r="I662" s="24" t="s">
        <v>10</v>
      </c>
      <c r="J662" s="34" t="s">
        <v>10</v>
      </c>
    </row>
    <row r="663" spans="1:10" x14ac:dyDescent="0.2">
      <c r="A663" s="35" t="s">
        <v>2524</v>
      </c>
      <c r="B663" s="35">
        <v>136.14798971493099</v>
      </c>
      <c r="C663" s="35">
        <v>8.6517053902439507</v>
      </c>
      <c r="D663" s="35">
        <v>1.0861110722879399</v>
      </c>
      <c r="E663" s="35">
        <v>7.9657648384144801</v>
      </c>
      <c r="F663" s="40">
        <v>1.64204950341834E-15</v>
      </c>
      <c r="G663" s="40">
        <v>8.7473240162097498E-12</v>
      </c>
      <c r="H663" s="27" t="s">
        <v>10</v>
      </c>
      <c r="I663" s="24" t="s">
        <v>10</v>
      </c>
      <c r="J663" s="34" t="s">
        <v>10</v>
      </c>
    </row>
    <row r="664" spans="1:10" x14ac:dyDescent="0.2">
      <c r="A664" s="35" t="s">
        <v>2525</v>
      </c>
      <c r="B664" s="35">
        <v>87.713143397649404</v>
      </c>
      <c r="C664" s="35">
        <v>9.8809591936615799</v>
      </c>
      <c r="D664" s="35">
        <v>1.26121728465148</v>
      </c>
      <c r="E664" s="35">
        <v>7.8344622404949398</v>
      </c>
      <c r="F664" s="40">
        <v>4.7085354576953498E-15</v>
      </c>
      <c r="G664" s="40">
        <v>2.1837444506686202E-11</v>
      </c>
      <c r="H664" s="27" t="s">
        <v>10</v>
      </c>
      <c r="I664" s="24" t="s">
        <v>10</v>
      </c>
      <c r="J664" s="34" t="s">
        <v>10</v>
      </c>
    </row>
    <row r="665" spans="1:10" x14ac:dyDescent="0.2">
      <c r="A665" s="35" t="s">
        <v>2526</v>
      </c>
      <c r="B665" s="35">
        <v>83.102831118691995</v>
      </c>
      <c r="C665" s="35">
        <v>9.8086850626093707</v>
      </c>
      <c r="D665" s="35">
        <v>1.2520834532413201</v>
      </c>
      <c r="E665" s="35">
        <v>7.8338908139207799</v>
      </c>
      <c r="F665" s="40">
        <v>4.7299957777435004E-15</v>
      </c>
      <c r="G665" s="40">
        <v>2.1837444506686202E-11</v>
      </c>
      <c r="H665" s="27" t="s">
        <v>10</v>
      </c>
      <c r="I665" s="24" t="s">
        <v>2527</v>
      </c>
      <c r="J665" s="34" t="s">
        <v>10</v>
      </c>
    </row>
    <row r="666" spans="1:10" x14ac:dyDescent="0.2">
      <c r="A666" s="35" t="s">
        <v>2528</v>
      </c>
      <c r="B666" s="35">
        <v>188.98273908649401</v>
      </c>
      <c r="C666" s="35">
        <v>10.028858972433101</v>
      </c>
      <c r="D666" s="35">
        <v>1.28125946921483</v>
      </c>
      <c r="E666" s="35">
        <v>7.82734427600285</v>
      </c>
      <c r="F666" s="40">
        <v>4.9828324033411203E-15</v>
      </c>
      <c r="G666" s="40">
        <v>2.2504637582359499E-11</v>
      </c>
      <c r="H666" s="27" t="s">
        <v>10</v>
      </c>
      <c r="I666" s="24" t="s">
        <v>10</v>
      </c>
      <c r="J666" s="34" t="s">
        <v>10</v>
      </c>
    </row>
    <row r="667" spans="1:10" x14ac:dyDescent="0.2">
      <c r="A667" s="35" t="s">
        <v>2529</v>
      </c>
      <c r="B667" s="35">
        <v>62.491104666595703</v>
      </c>
      <c r="C667" s="35">
        <v>4.2403489829726704</v>
      </c>
      <c r="D667" s="35">
        <v>0.54886711463878901</v>
      </c>
      <c r="E667" s="35">
        <v>7.7256386288751404</v>
      </c>
      <c r="F667" s="40">
        <v>1.11293945993767E-14</v>
      </c>
      <c r="G667" s="40">
        <v>4.6243970087762297E-11</v>
      </c>
      <c r="H667" s="27" t="s">
        <v>10</v>
      </c>
      <c r="I667" s="24" t="s">
        <v>10</v>
      </c>
      <c r="J667" s="34" t="s">
        <v>10</v>
      </c>
    </row>
    <row r="668" spans="1:10" x14ac:dyDescent="0.2">
      <c r="A668" s="35" t="s">
        <v>2530</v>
      </c>
      <c r="B668" s="35">
        <v>108.76699743761699</v>
      </c>
      <c r="C668" s="35">
        <v>3.2127262292180601</v>
      </c>
      <c r="D668" s="35">
        <v>0.42660381599938502</v>
      </c>
      <c r="E668" s="35">
        <v>7.5309364537486596</v>
      </c>
      <c r="F668" s="40">
        <v>5.0377702635151098E-14</v>
      </c>
      <c r="G668" s="40">
        <v>1.9029581797579001E-10</v>
      </c>
      <c r="H668" s="27" t="s">
        <v>10</v>
      </c>
      <c r="I668" s="24" t="s">
        <v>2531</v>
      </c>
      <c r="J668" s="34" t="s">
        <v>10</v>
      </c>
    </row>
    <row r="669" spans="1:10" x14ac:dyDescent="0.2">
      <c r="A669" s="35" t="s">
        <v>2532</v>
      </c>
      <c r="B669" s="35">
        <v>71.257322238179896</v>
      </c>
      <c r="C669" s="35">
        <v>9.5837635529313907</v>
      </c>
      <c r="D669" s="35">
        <v>1.27406609373466</v>
      </c>
      <c r="E669" s="35">
        <v>7.5221871142011203</v>
      </c>
      <c r="F669" s="40">
        <v>5.3867415046769203E-14</v>
      </c>
      <c r="G669" s="40">
        <v>1.99697346054668E-10</v>
      </c>
      <c r="H669" s="27" t="s">
        <v>10</v>
      </c>
      <c r="I669" s="24" t="s">
        <v>2533</v>
      </c>
      <c r="J669" s="34" t="s">
        <v>10</v>
      </c>
    </row>
    <row r="670" spans="1:10" x14ac:dyDescent="0.2">
      <c r="A670" s="45" t="s">
        <v>2534</v>
      </c>
      <c r="B670" s="45">
        <v>116.869199632966</v>
      </c>
      <c r="C670" s="45">
        <v>8.4307568597649798</v>
      </c>
      <c r="D670" s="45">
        <v>1.1211158327450299</v>
      </c>
      <c r="E670" s="45">
        <v>7.5199694924675402</v>
      </c>
      <c r="F670" s="46">
        <v>5.47890252272669E-14</v>
      </c>
      <c r="G670" s="46">
        <v>1.99697346054668E-10</v>
      </c>
      <c r="H670" s="50" t="s">
        <v>164</v>
      </c>
      <c r="I670" s="47" t="s">
        <v>2509</v>
      </c>
      <c r="J670" s="50" t="s">
        <v>10</v>
      </c>
    </row>
    <row r="671" spans="1:10" x14ac:dyDescent="0.2">
      <c r="A671" s="35" t="s">
        <v>2535</v>
      </c>
      <c r="B671" s="35">
        <v>186.27460410871001</v>
      </c>
      <c r="C671" s="35">
        <v>3.3379710101337001</v>
      </c>
      <c r="D671" s="35">
        <v>0.44418091637324902</v>
      </c>
      <c r="E671" s="35">
        <v>7.5148906382298897</v>
      </c>
      <c r="F671" s="40">
        <v>5.6958527392284597E-14</v>
      </c>
      <c r="G671" s="40">
        <v>2.0402544511916399E-10</v>
      </c>
      <c r="H671" s="27" t="s">
        <v>10</v>
      </c>
      <c r="I671" s="24" t="s">
        <v>10</v>
      </c>
      <c r="J671" s="34" t="s">
        <v>10</v>
      </c>
    </row>
    <row r="672" spans="1:10" x14ac:dyDescent="0.2">
      <c r="A672" s="35" t="s">
        <v>2536</v>
      </c>
      <c r="B672" s="35">
        <v>117.721621010989</v>
      </c>
      <c r="C672" s="35">
        <v>3.13436816629667</v>
      </c>
      <c r="D672" s="35">
        <v>0.419995790842073</v>
      </c>
      <c r="E672" s="35">
        <v>7.4628561396113096</v>
      </c>
      <c r="F672" s="40">
        <v>8.4666774788478498E-14</v>
      </c>
      <c r="G672" s="40">
        <v>2.9316717438258599E-10</v>
      </c>
      <c r="H672" s="27" t="s">
        <v>10</v>
      </c>
      <c r="I672" s="24" t="s">
        <v>2537</v>
      </c>
      <c r="J672" s="34" t="s">
        <v>10</v>
      </c>
    </row>
    <row r="673" spans="1:10" x14ac:dyDescent="0.2">
      <c r="A673" s="35" t="s">
        <v>2538</v>
      </c>
      <c r="B673" s="35">
        <v>51.466696699551299</v>
      </c>
      <c r="C673" s="35">
        <v>4.46984246873635</v>
      </c>
      <c r="D673" s="35">
        <v>0.60456398408645995</v>
      </c>
      <c r="E673" s="35">
        <v>7.3934977709441396</v>
      </c>
      <c r="F673" s="40">
        <v>1.4301584837559301E-13</v>
      </c>
      <c r="G673" s="40">
        <v>4.6425625929874398E-10</v>
      </c>
      <c r="H673" s="27" t="s">
        <v>10</v>
      </c>
      <c r="I673" s="24" t="s">
        <v>2539</v>
      </c>
      <c r="J673" s="34" t="s">
        <v>10</v>
      </c>
    </row>
    <row r="674" spans="1:10" x14ac:dyDescent="0.2">
      <c r="A674" s="35" t="s">
        <v>2540</v>
      </c>
      <c r="B674" s="35">
        <v>54.318254431697603</v>
      </c>
      <c r="C674" s="35">
        <v>9.1930803941261701</v>
      </c>
      <c r="D674" s="35">
        <v>1.2690593171907201</v>
      </c>
      <c r="E674" s="35">
        <v>7.2440115836954302</v>
      </c>
      <c r="F674" s="40">
        <v>4.35604191160903E-13</v>
      </c>
      <c r="G674" s="40">
        <v>1.2569358935947899E-9</v>
      </c>
      <c r="H674" s="27" t="s">
        <v>2541</v>
      </c>
      <c r="I674" s="24" t="s">
        <v>2542</v>
      </c>
      <c r="J674" s="34" t="s">
        <v>5090</v>
      </c>
    </row>
    <row r="675" spans="1:10" x14ac:dyDescent="0.2">
      <c r="A675" s="35" t="s">
        <v>2543</v>
      </c>
      <c r="B675" s="35">
        <v>62.973735565735097</v>
      </c>
      <c r="C675" s="35">
        <v>3.3561724696974902</v>
      </c>
      <c r="D675" s="35">
        <v>0.46351185271046003</v>
      </c>
      <c r="E675" s="35">
        <v>7.2407478904190397</v>
      </c>
      <c r="F675" s="40">
        <v>4.4621719399451299E-13</v>
      </c>
      <c r="G675" s="40">
        <v>1.26992190897978E-9</v>
      </c>
      <c r="H675" s="27" t="s">
        <v>4958</v>
      </c>
      <c r="I675" s="24" t="s">
        <v>2544</v>
      </c>
      <c r="J675" s="34" t="s">
        <v>10</v>
      </c>
    </row>
    <row r="676" spans="1:10" x14ac:dyDescent="0.2">
      <c r="A676" s="35" t="s">
        <v>2545</v>
      </c>
      <c r="B676" s="35">
        <v>74.642872479947101</v>
      </c>
      <c r="C676" s="35">
        <v>7.7829385214886404</v>
      </c>
      <c r="D676" s="35">
        <v>1.08084760133486</v>
      </c>
      <c r="E676" s="35">
        <v>7.2007732744899799</v>
      </c>
      <c r="F676" s="40">
        <v>5.9872032030126504E-13</v>
      </c>
      <c r="G676" s="40">
        <v>1.6154251800585701E-9</v>
      </c>
      <c r="H676" s="27" t="s">
        <v>10</v>
      </c>
      <c r="I676" s="24" t="s">
        <v>2546</v>
      </c>
      <c r="J676" s="34" t="s">
        <v>10</v>
      </c>
    </row>
    <row r="677" spans="1:10" x14ac:dyDescent="0.2">
      <c r="A677" s="35" t="s">
        <v>2547</v>
      </c>
      <c r="B677" s="35">
        <v>64.950724442341794</v>
      </c>
      <c r="C677" s="35">
        <v>9.4519694583211802</v>
      </c>
      <c r="D677" s="35">
        <v>1.3234496884131099</v>
      </c>
      <c r="E677" s="35">
        <v>7.1419182316288898</v>
      </c>
      <c r="F677" s="40">
        <v>9.2037346970158691E-13</v>
      </c>
      <c r="G677" s="40">
        <v>2.3901638821415399E-9</v>
      </c>
      <c r="H677" s="27" t="s">
        <v>4947</v>
      </c>
      <c r="I677" s="24" t="s">
        <v>2548</v>
      </c>
      <c r="J677" s="34" t="s">
        <v>5048</v>
      </c>
    </row>
    <row r="678" spans="1:10" x14ac:dyDescent="0.2">
      <c r="A678" s="35" t="s">
        <v>2549</v>
      </c>
      <c r="B678" s="35">
        <v>43.2322537570954</v>
      </c>
      <c r="C678" s="35">
        <v>3.6488634317390201</v>
      </c>
      <c r="D678" s="35">
        <v>0.517637173326987</v>
      </c>
      <c r="E678" s="35">
        <v>7.0490753364694498</v>
      </c>
      <c r="F678" s="40">
        <v>1.8011062325534101E-12</v>
      </c>
      <c r="G678" s="40">
        <v>4.50832080060681E-9</v>
      </c>
      <c r="H678" s="27" t="s">
        <v>10</v>
      </c>
      <c r="I678" s="24" t="s">
        <v>2550</v>
      </c>
      <c r="J678" s="34" t="s">
        <v>10</v>
      </c>
    </row>
    <row r="679" spans="1:10" x14ac:dyDescent="0.2">
      <c r="A679" s="35" t="s">
        <v>2551</v>
      </c>
      <c r="B679" s="35">
        <v>98.700649945117107</v>
      </c>
      <c r="C679" s="35">
        <v>9.0898422384581608</v>
      </c>
      <c r="D679" s="35">
        <v>1.2961333994447199</v>
      </c>
      <c r="E679" s="35">
        <v>7.01304529483797</v>
      </c>
      <c r="F679" s="40">
        <v>2.33185916208063E-12</v>
      </c>
      <c r="G679" s="40">
        <v>5.6995027303202698E-9</v>
      </c>
      <c r="H679" s="27" t="s">
        <v>10</v>
      </c>
      <c r="I679" s="24" t="s">
        <v>10</v>
      </c>
      <c r="J679" s="34" t="s">
        <v>10</v>
      </c>
    </row>
    <row r="680" spans="1:10" x14ac:dyDescent="0.2">
      <c r="A680" s="35" t="s">
        <v>2552</v>
      </c>
      <c r="B680" s="35">
        <v>44.079375397377703</v>
      </c>
      <c r="C680" s="35">
        <v>8.88288288132612</v>
      </c>
      <c r="D680" s="35">
        <v>1.27224973847246</v>
      </c>
      <c r="E680" s="35">
        <v>6.9820276732707001</v>
      </c>
      <c r="F680" s="40">
        <v>2.9094979807756199E-12</v>
      </c>
      <c r="G680" s="40">
        <v>6.94788117809217E-9</v>
      </c>
      <c r="H680" s="27" t="s">
        <v>10</v>
      </c>
      <c r="I680" s="24" t="s">
        <v>10</v>
      </c>
      <c r="J680" s="34" t="s">
        <v>10</v>
      </c>
    </row>
    <row r="681" spans="1:10" x14ac:dyDescent="0.2">
      <c r="A681" s="35" t="s">
        <v>2553</v>
      </c>
      <c r="B681" s="35">
        <v>41.969878572168703</v>
      </c>
      <c r="C681" s="35">
        <v>8.8216475439555104</v>
      </c>
      <c r="D681" s="35">
        <v>1.2791293291127199</v>
      </c>
      <c r="E681" s="35">
        <v>6.8966032934877397</v>
      </c>
      <c r="F681" s="40">
        <v>5.3260642849424602E-12</v>
      </c>
      <c r="G681" s="40">
        <v>1.2027410995462001E-8</v>
      </c>
      <c r="H681" s="27" t="s">
        <v>10</v>
      </c>
      <c r="I681" s="34" t="s">
        <v>5112</v>
      </c>
      <c r="J681" s="34" t="s">
        <v>10</v>
      </c>
    </row>
    <row r="682" spans="1:10" x14ac:dyDescent="0.2">
      <c r="A682" s="35" t="s">
        <v>2554</v>
      </c>
      <c r="B682" s="35">
        <v>48.071015035044802</v>
      </c>
      <c r="C682" s="35">
        <v>9.0173459115154593</v>
      </c>
      <c r="D682" s="35">
        <v>1.30828618260123</v>
      </c>
      <c r="E682" s="35">
        <v>6.8924873100673398</v>
      </c>
      <c r="F682" s="40">
        <v>5.4825184265432701E-12</v>
      </c>
      <c r="G682" s="40">
        <v>1.22475924540314E-8</v>
      </c>
      <c r="H682" s="27" t="s">
        <v>10</v>
      </c>
      <c r="I682" s="24" t="s">
        <v>10</v>
      </c>
      <c r="J682" s="34" t="s">
        <v>10</v>
      </c>
    </row>
    <row r="683" spans="1:10" x14ac:dyDescent="0.2">
      <c r="A683" s="35" t="s">
        <v>2555</v>
      </c>
      <c r="B683" s="35">
        <v>69.832151836547396</v>
      </c>
      <c r="C683" s="35">
        <v>4.3464673745380997</v>
      </c>
      <c r="D683" s="35">
        <v>0.63131883284659795</v>
      </c>
      <c r="E683" s="35">
        <v>6.8847421435853704</v>
      </c>
      <c r="F683" s="40">
        <v>5.7892301854567497E-12</v>
      </c>
      <c r="G683" s="40">
        <v>1.2795184110742E-8</v>
      </c>
      <c r="H683" s="27" t="s">
        <v>4963</v>
      </c>
      <c r="I683" s="24" t="s">
        <v>2281</v>
      </c>
      <c r="J683" s="34" t="s">
        <v>5060</v>
      </c>
    </row>
    <row r="684" spans="1:10" x14ac:dyDescent="0.2">
      <c r="A684" s="35" t="s">
        <v>2556</v>
      </c>
      <c r="B684" s="35">
        <v>117.02800230645801</v>
      </c>
      <c r="C684" s="35">
        <v>3.8604218384042999</v>
      </c>
      <c r="D684" s="35">
        <v>0.56497250150935296</v>
      </c>
      <c r="E684" s="35">
        <v>6.8329375820787499</v>
      </c>
      <c r="F684" s="40">
        <v>8.3193160414404799E-12</v>
      </c>
      <c r="G684" s="40">
        <v>1.7818431170159899E-8</v>
      </c>
      <c r="H684" s="27" t="s">
        <v>10</v>
      </c>
      <c r="I684" s="24" t="s">
        <v>10</v>
      </c>
      <c r="J684" s="34" t="s">
        <v>10</v>
      </c>
    </row>
    <row r="685" spans="1:10" x14ac:dyDescent="0.2">
      <c r="A685" s="35" t="s">
        <v>2557</v>
      </c>
      <c r="B685" s="35">
        <v>49.090185568808401</v>
      </c>
      <c r="C685" s="35">
        <v>9.0364557927823608</v>
      </c>
      <c r="D685" s="35">
        <v>1.3266636648344301</v>
      </c>
      <c r="E685" s="35">
        <v>6.81141425088334</v>
      </c>
      <c r="F685" s="40">
        <v>9.66438969753494E-12</v>
      </c>
      <c r="G685" s="40">
        <v>2.0488111693888501E-8</v>
      </c>
      <c r="H685" s="27" t="s">
        <v>10</v>
      </c>
      <c r="I685" s="24" t="s">
        <v>2558</v>
      </c>
      <c r="J685" s="34" t="s">
        <v>10</v>
      </c>
    </row>
    <row r="686" spans="1:10" x14ac:dyDescent="0.2">
      <c r="A686" s="35" t="s">
        <v>2559</v>
      </c>
      <c r="B686" s="35">
        <v>42.650306450551803</v>
      </c>
      <c r="C686" s="35">
        <v>8.8357910567267002</v>
      </c>
      <c r="D686" s="35">
        <v>1.3010643169838101</v>
      </c>
      <c r="E686" s="35">
        <v>6.79120235747473</v>
      </c>
      <c r="F686" s="40">
        <v>1.11202814534336E-11</v>
      </c>
      <c r="G686" s="40">
        <v>2.3336416097369099E-8</v>
      </c>
      <c r="H686" s="27" t="s">
        <v>10</v>
      </c>
      <c r="I686" s="24" t="s">
        <v>2560</v>
      </c>
      <c r="J686" s="34" t="s">
        <v>10</v>
      </c>
    </row>
    <row r="687" spans="1:10" x14ac:dyDescent="0.2">
      <c r="A687" s="35" t="s">
        <v>2561</v>
      </c>
      <c r="B687" s="35">
        <v>37.369083139020702</v>
      </c>
      <c r="C687" s="35">
        <v>8.6553949529742802</v>
      </c>
      <c r="D687" s="35">
        <v>1.27797769886447</v>
      </c>
      <c r="E687" s="35">
        <v>6.7727276936560896</v>
      </c>
      <c r="F687" s="40">
        <v>1.2637668412106999E-11</v>
      </c>
      <c r="G687" s="40">
        <v>2.5740700378683399E-8</v>
      </c>
      <c r="H687" s="27" t="s">
        <v>10</v>
      </c>
      <c r="I687" s="24" t="s">
        <v>10</v>
      </c>
      <c r="J687" s="34" t="s">
        <v>10</v>
      </c>
    </row>
    <row r="688" spans="1:10" x14ac:dyDescent="0.2">
      <c r="A688" s="35" t="s">
        <v>2562</v>
      </c>
      <c r="B688" s="35">
        <v>49.548878893474999</v>
      </c>
      <c r="C688" s="35">
        <v>5.3758588184016798</v>
      </c>
      <c r="D688" s="35">
        <v>0.80072570181436997</v>
      </c>
      <c r="E688" s="35">
        <v>6.7137333124445497</v>
      </c>
      <c r="F688" s="40">
        <v>1.8970689552963299E-11</v>
      </c>
      <c r="G688" s="40">
        <v>3.7617857769218999E-8</v>
      </c>
      <c r="H688" s="27" t="s">
        <v>10</v>
      </c>
      <c r="I688" s="24" t="s">
        <v>10</v>
      </c>
      <c r="J688" s="34" t="s">
        <v>10</v>
      </c>
    </row>
    <row r="689" spans="1:10" x14ac:dyDescent="0.2">
      <c r="A689" s="35" t="s">
        <v>2563</v>
      </c>
      <c r="B689" s="35">
        <v>61.833715493499</v>
      </c>
      <c r="C689" s="35">
        <v>9.3710808611956899</v>
      </c>
      <c r="D689" s="35">
        <v>1.3976593873208401</v>
      </c>
      <c r="E689" s="35">
        <v>6.70483877989688</v>
      </c>
      <c r="F689" s="40">
        <v>2.0162885225696201E-11</v>
      </c>
      <c r="G689" s="40">
        <v>3.9518494178771097E-8</v>
      </c>
      <c r="H689" s="27" t="s">
        <v>10</v>
      </c>
      <c r="I689" s="24" t="s">
        <v>2564</v>
      </c>
      <c r="J689" s="34" t="s">
        <v>10</v>
      </c>
    </row>
    <row r="690" spans="1:10" x14ac:dyDescent="0.2">
      <c r="A690" s="35" t="s">
        <v>2565</v>
      </c>
      <c r="B690" s="35">
        <v>36.080945593191998</v>
      </c>
      <c r="C690" s="35">
        <v>8.59263725894305</v>
      </c>
      <c r="D690" s="35">
        <v>1.28707948663377</v>
      </c>
      <c r="E690" s="35">
        <v>6.6760735045325497</v>
      </c>
      <c r="F690" s="40">
        <v>2.4542890772421199E-11</v>
      </c>
      <c r="G690" s="40">
        <v>4.7653577713225603E-8</v>
      </c>
      <c r="H690" s="27" t="s">
        <v>10</v>
      </c>
      <c r="I690" s="24" t="s">
        <v>2266</v>
      </c>
      <c r="J690" s="34" t="s">
        <v>10</v>
      </c>
    </row>
    <row r="691" spans="1:10" x14ac:dyDescent="0.2">
      <c r="A691" s="35" t="s">
        <v>2566</v>
      </c>
      <c r="B691" s="35">
        <v>94.155268397313193</v>
      </c>
      <c r="C691" s="35">
        <v>6.1411171896146701</v>
      </c>
      <c r="D691" s="35">
        <v>0.92234899149509797</v>
      </c>
      <c r="E691" s="35">
        <v>6.6581275051432698</v>
      </c>
      <c r="F691" s="40">
        <v>2.7733813447253799E-11</v>
      </c>
      <c r="G691" s="40">
        <v>5.33506124680338E-8</v>
      </c>
      <c r="H691" s="27" t="s">
        <v>10</v>
      </c>
      <c r="I691" s="24" t="s">
        <v>2567</v>
      </c>
      <c r="J691" s="34" t="s">
        <v>10</v>
      </c>
    </row>
    <row r="692" spans="1:10" x14ac:dyDescent="0.2">
      <c r="A692" s="45" t="s">
        <v>2568</v>
      </c>
      <c r="B692" s="45">
        <v>80.018396848510207</v>
      </c>
      <c r="C692" s="45">
        <v>7.9135842617508496</v>
      </c>
      <c r="D692" s="45">
        <v>1.1889120120604699</v>
      </c>
      <c r="E692" s="45">
        <v>6.65615636941547</v>
      </c>
      <c r="F692" s="46">
        <v>2.81081208070867E-11</v>
      </c>
      <c r="G692" s="46">
        <v>5.3574594003643199E-8</v>
      </c>
      <c r="H692" s="50" t="s">
        <v>174</v>
      </c>
      <c r="I692" s="47" t="s">
        <v>2569</v>
      </c>
      <c r="J692" s="50" t="s">
        <v>3069</v>
      </c>
    </row>
    <row r="693" spans="1:10" x14ac:dyDescent="0.2">
      <c r="A693" s="35" t="s">
        <v>2570</v>
      </c>
      <c r="B693" s="35">
        <v>40.816023334997098</v>
      </c>
      <c r="C693" s="35">
        <v>8.7840948932261398</v>
      </c>
      <c r="D693" s="35">
        <v>1.3199696447476199</v>
      </c>
      <c r="E693" s="35">
        <v>6.6547703791367798</v>
      </c>
      <c r="F693" s="40">
        <v>2.8374268596099401E-11</v>
      </c>
      <c r="G693" s="40">
        <v>5.3590223149556598E-8</v>
      </c>
      <c r="H693" s="27" t="s">
        <v>10</v>
      </c>
      <c r="I693" s="24" t="s">
        <v>10</v>
      </c>
      <c r="J693" s="34" t="s">
        <v>10</v>
      </c>
    </row>
    <row r="694" spans="1:10" x14ac:dyDescent="0.2">
      <c r="A694" s="35" t="s">
        <v>2571</v>
      </c>
      <c r="B694" s="35">
        <v>37.819425056826702</v>
      </c>
      <c r="C694" s="35">
        <v>8.6604663673959994</v>
      </c>
      <c r="D694" s="35">
        <v>1.30562261366135</v>
      </c>
      <c r="E694" s="35">
        <v>6.6332080011309804</v>
      </c>
      <c r="F694" s="40">
        <v>3.2846842032041197E-11</v>
      </c>
      <c r="G694" s="40">
        <v>6.1478635254132903E-8</v>
      </c>
      <c r="H694" s="27" t="s">
        <v>10</v>
      </c>
      <c r="I694" s="24" t="s">
        <v>2572</v>
      </c>
      <c r="J694" s="34" t="s">
        <v>10</v>
      </c>
    </row>
    <row r="695" spans="1:10" x14ac:dyDescent="0.2">
      <c r="A695" s="35" t="s">
        <v>2573</v>
      </c>
      <c r="B695" s="35">
        <v>34.432820344069299</v>
      </c>
      <c r="C695" s="35">
        <v>8.5370125735465994</v>
      </c>
      <c r="D695" s="35">
        <v>1.2893947082080599</v>
      </c>
      <c r="E695" s="35">
        <v>6.62094587421638</v>
      </c>
      <c r="F695" s="40">
        <v>3.5690764870319099E-11</v>
      </c>
      <c r="G695" s="40">
        <v>6.6205094164267998E-8</v>
      </c>
      <c r="H695" s="27" t="s">
        <v>10</v>
      </c>
      <c r="I695" s="24" t="s">
        <v>10</v>
      </c>
      <c r="J695" s="34" t="s">
        <v>10</v>
      </c>
    </row>
    <row r="696" spans="1:10" x14ac:dyDescent="0.2">
      <c r="A696" s="35" t="s">
        <v>2574</v>
      </c>
      <c r="B696" s="35">
        <v>35.017685385875303</v>
      </c>
      <c r="C696" s="35">
        <v>8.5607249555687801</v>
      </c>
      <c r="D696" s="35">
        <v>1.29520226079861</v>
      </c>
      <c r="E696" s="35">
        <v>6.6095660999620902</v>
      </c>
      <c r="F696" s="40">
        <v>3.8544808794827698E-11</v>
      </c>
      <c r="G696" s="40">
        <v>7.0866507044055104E-8</v>
      </c>
      <c r="H696" s="27" t="s">
        <v>5000</v>
      </c>
      <c r="I696" s="24" t="s">
        <v>2548</v>
      </c>
      <c r="J696" s="34" t="s">
        <v>5100</v>
      </c>
    </row>
    <row r="697" spans="1:10" x14ac:dyDescent="0.2">
      <c r="A697" s="35" t="s">
        <v>2575</v>
      </c>
      <c r="B697" s="35">
        <v>30.855707394486402</v>
      </c>
      <c r="C697" s="35">
        <v>8.3809504005369906</v>
      </c>
      <c r="D697" s="35">
        <v>1.2889963598682801</v>
      </c>
      <c r="E697" s="35">
        <v>6.5019193703490297</v>
      </c>
      <c r="F697" s="40">
        <v>7.9301604726883899E-11</v>
      </c>
      <c r="G697" s="40">
        <v>1.3180307353310801E-7</v>
      </c>
      <c r="H697" s="27" t="s">
        <v>10</v>
      </c>
      <c r="I697" s="24" t="s">
        <v>2576</v>
      </c>
      <c r="J697" s="34" t="s">
        <v>10</v>
      </c>
    </row>
    <row r="698" spans="1:10" x14ac:dyDescent="0.2">
      <c r="A698" s="35" t="s">
        <v>2577</v>
      </c>
      <c r="B698" s="35">
        <v>1048.7496498093201</v>
      </c>
      <c r="C698" s="35">
        <v>10.405002582938399</v>
      </c>
      <c r="D698" s="35">
        <v>1.61290983755189</v>
      </c>
      <c r="E698" s="35">
        <v>6.4510751566444098</v>
      </c>
      <c r="F698" s="40">
        <v>1.11059402547559E-10</v>
      </c>
      <c r="G698" s="40">
        <v>1.8167919083205301E-7</v>
      </c>
      <c r="H698" s="27" t="s">
        <v>10</v>
      </c>
      <c r="I698" s="24" t="s">
        <v>2578</v>
      </c>
      <c r="J698" s="34" t="s">
        <v>10</v>
      </c>
    </row>
    <row r="699" spans="1:10" x14ac:dyDescent="0.2">
      <c r="A699" s="35" t="s">
        <v>2579</v>
      </c>
      <c r="B699" s="35">
        <v>30.189411449853701</v>
      </c>
      <c r="C699" s="35">
        <v>8.3512153977207308</v>
      </c>
      <c r="D699" s="35">
        <v>1.3045696285903501</v>
      </c>
      <c r="E699" s="35">
        <v>6.4015099038788899</v>
      </c>
      <c r="F699" s="40">
        <v>1.5384783180299099E-10</v>
      </c>
      <c r="G699" s="40">
        <v>2.4032188078242298E-7</v>
      </c>
      <c r="H699" s="27" t="s">
        <v>10</v>
      </c>
      <c r="I699" s="24" t="s">
        <v>2581</v>
      </c>
      <c r="J699" s="34" t="s">
        <v>10</v>
      </c>
    </row>
    <row r="700" spans="1:10" x14ac:dyDescent="0.2">
      <c r="A700" s="35" t="s">
        <v>2582</v>
      </c>
      <c r="B700" s="35">
        <v>52.392993371960003</v>
      </c>
      <c r="C700" s="35">
        <v>9.1431511185659193</v>
      </c>
      <c r="D700" s="35">
        <v>1.43376296689231</v>
      </c>
      <c r="E700" s="35">
        <v>6.3770311618410496</v>
      </c>
      <c r="F700" s="40">
        <v>1.8055373437564501E-10</v>
      </c>
      <c r="G700" s="40">
        <v>2.6986418445285298E-7</v>
      </c>
      <c r="H700" s="27" t="s">
        <v>10</v>
      </c>
      <c r="I700" s="24" t="s">
        <v>10</v>
      </c>
      <c r="J700" s="34" t="s">
        <v>10</v>
      </c>
    </row>
    <row r="701" spans="1:10" x14ac:dyDescent="0.2">
      <c r="A701" s="35" t="s">
        <v>2583</v>
      </c>
      <c r="B701" s="35">
        <v>32.703560341192699</v>
      </c>
      <c r="C701" s="35">
        <v>8.4670056646059297</v>
      </c>
      <c r="D701" s="35">
        <v>1.3369478993128501</v>
      </c>
      <c r="E701" s="35">
        <v>6.3330857312821998</v>
      </c>
      <c r="F701" s="40">
        <v>2.4030594642354899E-10</v>
      </c>
      <c r="G701" s="40">
        <v>3.5158452257162502E-7</v>
      </c>
      <c r="H701" s="27" t="s">
        <v>10</v>
      </c>
      <c r="I701" s="24" t="s">
        <v>2581</v>
      </c>
      <c r="J701" s="34" t="s">
        <v>10</v>
      </c>
    </row>
    <row r="702" spans="1:10" x14ac:dyDescent="0.2">
      <c r="A702" s="35" t="s">
        <v>2584</v>
      </c>
      <c r="B702" s="35">
        <v>32.186349401469997</v>
      </c>
      <c r="C702" s="35">
        <v>4.71094921649473</v>
      </c>
      <c r="D702" s="35">
        <v>0.75567012329333905</v>
      </c>
      <c r="E702" s="35">
        <v>6.2341345400339598</v>
      </c>
      <c r="F702" s="40">
        <v>4.54282536459342E-10</v>
      </c>
      <c r="G702" s="40">
        <v>6.3770218003139995E-7</v>
      </c>
      <c r="H702" s="27" t="s">
        <v>10</v>
      </c>
      <c r="I702" s="24" t="s">
        <v>10</v>
      </c>
      <c r="J702" s="34" t="s">
        <v>10</v>
      </c>
    </row>
    <row r="703" spans="1:10" x14ac:dyDescent="0.2">
      <c r="A703" s="35" t="s">
        <v>2585</v>
      </c>
      <c r="B703" s="35">
        <v>26.210087890654499</v>
      </c>
      <c r="C703" s="35">
        <v>8.1465824563301705</v>
      </c>
      <c r="D703" s="35">
        <v>1.3093071276972099</v>
      </c>
      <c r="E703" s="35">
        <v>6.2220561425173297</v>
      </c>
      <c r="F703" s="40">
        <v>4.9068137686420095E-10</v>
      </c>
      <c r="G703" s="40">
        <v>6.7067105349867796E-7</v>
      </c>
      <c r="H703" s="27" t="s">
        <v>10</v>
      </c>
      <c r="I703" s="24" t="s">
        <v>2181</v>
      </c>
      <c r="J703" s="34" t="s">
        <v>10</v>
      </c>
    </row>
    <row r="704" spans="1:10" x14ac:dyDescent="0.2">
      <c r="A704" s="35" t="s">
        <v>2586</v>
      </c>
      <c r="B704" s="35">
        <v>40.467419555900101</v>
      </c>
      <c r="C704" s="35">
        <v>7.8020038016872899</v>
      </c>
      <c r="D704" s="35">
        <v>1.25617967313631</v>
      </c>
      <c r="E704" s="35">
        <v>6.2108979858016697</v>
      </c>
      <c r="F704" s="40">
        <v>5.2682667929563102E-10</v>
      </c>
      <c r="G704" s="40">
        <v>7.1195712231583997E-7</v>
      </c>
      <c r="H704" s="27" t="s">
        <v>10</v>
      </c>
      <c r="I704" s="24" t="s">
        <v>2587</v>
      </c>
      <c r="J704" s="34" t="s">
        <v>10</v>
      </c>
    </row>
    <row r="705" spans="1:10" x14ac:dyDescent="0.2">
      <c r="A705" s="35" t="s">
        <v>2588</v>
      </c>
      <c r="B705" s="35">
        <v>25.645824686668298</v>
      </c>
      <c r="C705" s="35">
        <v>8.1003053258842304</v>
      </c>
      <c r="D705" s="35">
        <v>1.3042656268819</v>
      </c>
      <c r="E705" s="35">
        <v>6.21062547301013</v>
      </c>
      <c r="F705" s="40">
        <v>5.2774118117714704E-10</v>
      </c>
      <c r="G705" s="40">
        <v>7.1195712231583997E-7</v>
      </c>
      <c r="H705" s="27" t="s">
        <v>10</v>
      </c>
      <c r="I705" s="24" t="s">
        <v>10</v>
      </c>
      <c r="J705" s="34" t="s">
        <v>10</v>
      </c>
    </row>
    <row r="706" spans="1:10" x14ac:dyDescent="0.2">
      <c r="A706" s="35" t="s">
        <v>2589</v>
      </c>
      <c r="B706" s="35">
        <v>26.9834774412532</v>
      </c>
      <c r="C706" s="35">
        <v>8.1871099295383303</v>
      </c>
      <c r="D706" s="35">
        <v>1.3280929140095701</v>
      </c>
      <c r="E706" s="35">
        <v>6.1645611110303102</v>
      </c>
      <c r="F706" s="40">
        <v>7.0678897835245402E-10</v>
      </c>
      <c r="G706" s="40">
        <v>9.1774781866620205E-7</v>
      </c>
      <c r="H706" s="27" t="s">
        <v>10</v>
      </c>
      <c r="I706" s="24" t="s">
        <v>10</v>
      </c>
      <c r="J706" s="34" t="s">
        <v>10</v>
      </c>
    </row>
    <row r="707" spans="1:10" x14ac:dyDescent="0.2">
      <c r="A707" s="35" t="s">
        <v>2590</v>
      </c>
      <c r="B707" s="35">
        <v>24.757876933137599</v>
      </c>
      <c r="C707" s="35">
        <v>8.0614158364578508</v>
      </c>
      <c r="D707" s="35">
        <v>1.3081939526075399</v>
      </c>
      <c r="E707" s="35">
        <v>6.1622482051606697</v>
      </c>
      <c r="F707" s="40">
        <v>7.1719317163566802E-10</v>
      </c>
      <c r="G707" s="40">
        <v>9.2547319606422197E-7</v>
      </c>
      <c r="H707" s="27" t="s">
        <v>10</v>
      </c>
      <c r="I707" s="24" t="s">
        <v>2591</v>
      </c>
      <c r="J707" s="34" t="s">
        <v>5025</v>
      </c>
    </row>
    <row r="708" spans="1:10" x14ac:dyDescent="0.2">
      <c r="A708" s="35" t="s">
        <v>2592</v>
      </c>
      <c r="B708" s="35">
        <v>24.8100549333275</v>
      </c>
      <c r="C708" s="35">
        <v>8.0606492044151903</v>
      </c>
      <c r="D708" s="35">
        <v>1.3159586550317901</v>
      </c>
      <c r="E708" s="35">
        <v>6.1253058168612897</v>
      </c>
      <c r="F708" s="40">
        <v>9.0509594077001604E-10</v>
      </c>
      <c r="G708" s="40">
        <v>1.11928043018223E-6</v>
      </c>
      <c r="H708" s="27" t="s">
        <v>10</v>
      </c>
      <c r="I708" s="24" t="s">
        <v>2593</v>
      </c>
      <c r="J708" s="34" t="s">
        <v>10</v>
      </c>
    </row>
    <row r="709" spans="1:10" x14ac:dyDescent="0.2">
      <c r="A709" s="35" t="s">
        <v>2594</v>
      </c>
      <c r="B709" s="35">
        <v>42.512187469293899</v>
      </c>
      <c r="C709" s="35">
        <v>8.8407804378969193</v>
      </c>
      <c r="D709" s="35">
        <v>1.4466276159599201</v>
      </c>
      <c r="E709" s="35">
        <v>6.1113035174781896</v>
      </c>
      <c r="F709" s="40">
        <v>9.8820615926018196E-10</v>
      </c>
      <c r="G709" s="40">
        <v>1.20061847265063E-6</v>
      </c>
      <c r="H709" s="27" t="s">
        <v>10</v>
      </c>
      <c r="I709" s="24" t="s">
        <v>10</v>
      </c>
      <c r="J709" s="34" t="s">
        <v>10</v>
      </c>
    </row>
    <row r="710" spans="1:10" x14ac:dyDescent="0.2">
      <c r="A710" s="35" t="s">
        <v>2595</v>
      </c>
      <c r="B710" s="35">
        <v>26.852772145012999</v>
      </c>
      <c r="C710" s="35">
        <v>8.1804834010458407</v>
      </c>
      <c r="D710" s="35">
        <v>1.34600427030883</v>
      </c>
      <c r="E710" s="35">
        <v>6.0776058304546696</v>
      </c>
      <c r="F710" s="40">
        <v>1.21990169255634E-9</v>
      </c>
      <c r="G710" s="40">
        <v>1.4318751188629099E-6</v>
      </c>
      <c r="H710" s="27" t="s">
        <v>10</v>
      </c>
      <c r="I710" s="24" t="s">
        <v>10</v>
      </c>
      <c r="J710" s="34" t="s">
        <v>10</v>
      </c>
    </row>
    <row r="711" spans="1:10" x14ac:dyDescent="0.2">
      <c r="A711" s="35" t="s">
        <v>2596</v>
      </c>
      <c r="B711" s="35">
        <v>82.107304975849701</v>
      </c>
      <c r="C711" s="35">
        <v>4.0685544566955896</v>
      </c>
      <c r="D711" s="35">
        <v>0.67188439151207902</v>
      </c>
      <c r="E711" s="35">
        <v>6.0554382689844699</v>
      </c>
      <c r="F711" s="40">
        <v>1.4003586985084301E-9</v>
      </c>
      <c r="G711" s="40">
        <v>1.61629400981843E-6</v>
      </c>
      <c r="H711" s="27" t="s">
        <v>10</v>
      </c>
      <c r="I711" s="24" t="s">
        <v>2597</v>
      </c>
      <c r="J711" s="34" t="s">
        <v>10</v>
      </c>
    </row>
    <row r="712" spans="1:10" x14ac:dyDescent="0.2">
      <c r="A712" s="35" t="s">
        <v>2598</v>
      </c>
      <c r="B712" s="35">
        <v>27.173280840913002</v>
      </c>
      <c r="C712" s="35">
        <v>8.1819004015025794</v>
      </c>
      <c r="D712" s="35">
        <v>1.35148915068715</v>
      </c>
      <c r="E712" s="35">
        <v>6.0539889627249801</v>
      </c>
      <c r="F712" s="40">
        <v>1.41302296189533E-9</v>
      </c>
      <c r="G712" s="40">
        <v>1.6219005440415799E-6</v>
      </c>
      <c r="H712" s="27" t="s">
        <v>10</v>
      </c>
      <c r="I712" s="24" t="s">
        <v>10</v>
      </c>
      <c r="J712" s="34" t="s">
        <v>10</v>
      </c>
    </row>
    <row r="713" spans="1:10" x14ac:dyDescent="0.2">
      <c r="A713" s="35" t="s">
        <v>2599</v>
      </c>
      <c r="B713" s="35">
        <v>24.9345745234688</v>
      </c>
      <c r="C713" s="35">
        <v>8.0598269968281695</v>
      </c>
      <c r="D713" s="35">
        <v>1.3368333721050301</v>
      </c>
      <c r="E713" s="35">
        <v>6.0290438322442998</v>
      </c>
      <c r="F713" s="40">
        <v>1.6493255533410501E-9</v>
      </c>
      <c r="G713" s="40">
        <v>1.8622678242387101E-6</v>
      </c>
      <c r="H713" s="27" t="s">
        <v>10</v>
      </c>
      <c r="I713" s="24" t="s">
        <v>10</v>
      </c>
      <c r="J713" s="34" t="s">
        <v>10</v>
      </c>
    </row>
    <row r="714" spans="1:10" x14ac:dyDescent="0.2">
      <c r="A714" s="35" t="s">
        <v>2600</v>
      </c>
      <c r="B714" s="35">
        <v>20.6715031506</v>
      </c>
      <c r="C714" s="35">
        <v>7.7958889438415504</v>
      </c>
      <c r="D714" s="35">
        <v>1.30160437483098</v>
      </c>
      <c r="E714" s="35">
        <v>5.9894458674156796</v>
      </c>
      <c r="F714" s="40">
        <v>2.1055719742379202E-9</v>
      </c>
      <c r="G714" s="40">
        <v>2.2902890632448901E-6</v>
      </c>
      <c r="H714" s="27" t="s">
        <v>10</v>
      </c>
      <c r="I714" s="24" t="s">
        <v>10</v>
      </c>
      <c r="J714" s="34" t="s">
        <v>10</v>
      </c>
    </row>
    <row r="715" spans="1:10" x14ac:dyDescent="0.2">
      <c r="A715" s="35" t="s">
        <v>2601</v>
      </c>
      <c r="B715" s="35">
        <v>22.6408105012631</v>
      </c>
      <c r="C715" s="35">
        <v>7.92001630650471</v>
      </c>
      <c r="D715" s="35">
        <v>1.32567454243455</v>
      </c>
      <c r="E715" s="35">
        <v>5.9743293342269999</v>
      </c>
      <c r="F715" s="40">
        <v>2.3103865495043299E-9</v>
      </c>
      <c r="G715" s="40">
        <v>2.4742096287568101E-6</v>
      </c>
      <c r="H715" s="27" t="s">
        <v>10</v>
      </c>
      <c r="I715" s="24" t="s">
        <v>10</v>
      </c>
      <c r="J715" s="34" t="s">
        <v>10</v>
      </c>
    </row>
    <row r="716" spans="1:10" x14ac:dyDescent="0.2">
      <c r="A716" s="35" t="s">
        <v>2602</v>
      </c>
      <c r="B716" s="35">
        <v>38.640220997629697</v>
      </c>
      <c r="C716" s="35">
        <v>8.7053920671028493</v>
      </c>
      <c r="D716" s="35">
        <v>1.4648940117185201</v>
      </c>
      <c r="E716" s="35">
        <v>5.9426770793405197</v>
      </c>
      <c r="F716" s="40">
        <v>2.8040448076209701E-9</v>
      </c>
      <c r="G716" s="40">
        <v>2.8982941942890701E-6</v>
      </c>
      <c r="H716" s="27" t="s">
        <v>2603</v>
      </c>
      <c r="I716" s="24" t="s">
        <v>2604</v>
      </c>
      <c r="J716" s="34" t="s">
        <v>5052</v>
      </c>
    </row>
    <row r="717" spans="1:10" x14ac:dyDescent="0.2">
      <c r="A717" s="35" t="s">
        <v>2605</v>
      </c>
      <c r="B717" s="35">
        <v>20.720233050277301</v>
      </c>
      <c r="C717" s="35">
        <v>7.7974016745447496</v>
      </c>
      <c r="D717" s="35">
        <v>1.3145273838773699</v>
      </c>
      <c r="E717" s="35">
        <v>5.9317149039111499</v>
      </c>
      <c r="F717" s="40">
        <v>2.9978684331662199E-9</v>
      </c>
      <c r="G717" s="40">
        <v>3.0530644813768702E-6</v>
      </c>
      <c r="H717" s="27" t="s">
        <v>10</v>
      </c>
      <c r="I717" s="24" t="s">
        <v>10</v>
      </c>
      <c r="J717" s="34" t="s">
        <v>10</v>
      </c>
    </row>
    <row r="718" spans="1:10" x14ac:dyDescent="0.2">
      <c r="A718" s="35" t="s">
        <v>2606</v>
      </c>
      <c r="B718" s="35">
        <v>19.3753879455945</v>
      </c>
      <c r="C718" s="35">
        <v>7.7009362187884998</v>
      </c>
      <c r="D718" s="35">
        <v>1.3094625613902899</v>
      </c>
      <c r="E718" s="35">
        <v>5.8809899922699698</v>
      </c>
      <c r="F718" s="40">
        <v>4.0781982682842398E-9</v>
      </c>
      <c r="G718" s="40">
        <v>3.9772113822701796E-6</v>
      </c>
      <c r="H718" s="27" t="s">
        <v>4968</v>
      </c>
      <c r="I718" s="24" t="s">
        <v>2339</v>
      </c>
      <c r="J718" s="34" t="s">
        <v>10</v>
      </c>
    </row>
    <row r="719" spans="1:10" x14ac:dyDescent="0.2">
      <c r="A719" s="35" t="s">
        <v>2607</v>
      </c>
      <c r="B719" s="35">
        <v>278.81439590400799</v>
      </c>
      <c r="C719" s="35">
        <v>3.7180057170745502</v>
      </c>
      <c r="D719" s="35">
        <v>0.63271887231898205</v>
      </c>
      <c r="E719" s="35">
        <v>5.8762364767904902</v>
      </c>
      <c r="F719" s="40">
        <v>4.19698666643974E-9</v>
      </c>
      <c r="G719" s="40">
        <v>4.0368016753372897E-6</v>
      </c>
      <c r="H719" s="27" t="s">
        <v>10</v>
      </c>
      <c r="I719" s="24" t="s">
        <v>10</v>
      </c>
      <c r="J719" s="34" t="s">
        <v>10</v>
      </c>
    </row>
    <row r="720" spans="1:10" x14ac:dyDescent="0.2">
      <c r="A720" s="35" t="s">
        <v>2608</v>
      </c>
      <c r="B720" s="35">
        <v>21.5132297457993</v>
      </c>
      <c r="C720" s="35">
        <v>7.85363429248061</v>
      </c>
      <c r="D720" s="35">
        <v>1.3504809079778901</v>
      </c>
      <c r="E720" s="35">
        <v>5.8154352616802596</v>
      </c>
      <c r="F720" s="40">
        <v>6.0476315429582601E-9</v>
      </c>
      <c r="G720" s="40">
        <v>5.6243677891529003E-6</v>
      </c>
      <c r="H720" s="27" t="s">
        <v>10</v>
      </c>
      <c r="I720" s="24" t="s">
        <v>2609</v>
      </c>
      <c r="J720" s="34" t="s">
        <v>10</v>
      </c>
    </row>
    <row r="721" spans="1:10" x14ac:dyDescent="0.2">
      <c r="A721" s="35" t="s">
        <v>2610</v>
      </c>
      <c r="B721" s="35">
        <v>57.409955808389398</v>
      </c>
      <c r="C721" s="35">
        <v>5.79136219503948</v>
      </c>
      <c r="D721" s="35">
        <v>0.99750397298292104</v>
      </c>
      <c r="E721" s="35">
        <v>5.8058537628888596</v>
      </c>
      <c r="F721" s="40">
        <v>6.4038837810805199E-9</v>
      </c>
      <c r="G721" s="40">
        <v>5.9130901280985099E-6</v>
      </c>
      <c r="H721" s="27" t="s">
        <v>10</v>
      </c>
      <c r="I721" s="24" t="s">
        <v>10</v>
      </c>
      <c r="J721" s="34" t="s">
        <v>10</v>
      </c>
    </row>
    <row r="722" spans="1:10" x14ac:dyDescent="0.2">
      <c r="A722" s="35" t="s">
        <v>2611</v>
      </c>
      <c r="B722" s="35">
        <v>64.711391768450895</v>
      </c>
      <c r="C722" s="35">
        <v>2.9530282579182701</v>
      </c>
      <c r="D722" s="35">
        <v>0.50983267761274897</v>
      </c>
      <c r="E722" s="35">
        <v>5.7921517933012696</v>
      </c>
      <c r="F722" s="40">
        <v>6.9490292573609298E-9</v>
      </c>
      <c r="G722" s="40">
        <v>6.3320286069836699E-6</v>
      </c>
      <c r="H722" s="27" t="s">
        <v>10</v>
      </c>
      <c r="I722" s="24" t="s">
        <v>2612</v>
      </c>
      <c r="J722" s="34" t="s">
        <v>10</v>
      </c>
    </row>
    <row r="723" spans="1:10" x14ac:dyDescent="0.2">
      <c r="A723" s="35" t="s">
        <v>2613</v>
      </c>
      <c r="B723" s="35">
        <v>108.513528693523</v>
      </c>
      <c r="C723" s="35">
        <v>5.3013537945587297</v>
      </c>
      <c r="D723" s="35">
        <v>0.91625406886584704</v>
      </c>
      <c r="E723" s="35">
        <v>5.7858993206118301</v>
      </c>
      <c r="F723" s="40">
        <v>7.2125404937149003E-9</v>
      </c>
      <c r="G723" s="40">
        <v>6.5009731124017502E-6</v>
      </c>
      <c r="H723" s="27" t="s">
        <v>10</v>
      </c>
      <c r="I723" s="24" t="s">
        <v>2614</v>
      </c>
      <c r="J723" s="34" t="s">
        <v>10</v>
      </c>
    </row>
    <row r="724" spans="1:10" x14ac:dyDescent="0.2">
      <c r="A724" s="35" t="s">
        <v>2615</v>
      </c>
      <c r="B724" s="35">
        <v>30.120585592888801</v>
      </c>
      <c r="C724" s="35">
        <v>5.88885874192776</v>
      </c>
      <c r="D724" s="35">
        <v>1.0180710735673699</v>
      </c>
      <c r="E724" s="35">
        <v>5.7843296944808804</v>
      </c>
      <c r="F724" s="40">
        <v>7.2802035505980996E-9</v>
      </c>
      <c r="G724" s="40">
        <v>6.5009731124017502E-6</v>
      </c>
      <c r="H724" s="27" t="s">
        <v>2411</v>
      </c>
      <c r="I724" s="34" t="s">
        <v>5137</v>
      </c>
      <c r="J724" s="34" t="s">
        <v>5061</v>
      </c>
    </row>
    <row r="725" spans="1:10" x14ac:dyDescent="0.2">
      <c r="A725" s="45" t="s">
        <v>2616</v>
      </c>
      <c r="B725" s="45">
        <v>18.910611651623299</v>
      </c>
      <c r="C725" s="45">
        <v>7.6727954825784899</v>
      </c>
      <c r="D725" s="45">
        <v>1.32653619393216</v>
      </c>
      <c r="E725" s="45">
        <v>5.7840830259101796</v>
      </c>
      <c r="F725" s="46">
        <v>7.2908928511793101E-9</v>
      </c>
      <c r="G725" s="46">
        <v>6.5009731124017502E-6</v>
      </c>
      <c r="H725" s="50" t="s">
        <v>4944</v>
      </c>
      <c r="I725" s="47" t="s">
        <v>2617</v>
      </c>
      <c r="J725" s="50" t="s">
        <v>5047</v>
      </c>
    </row>
    <row r="726" spans="1:10" x14ac:dyDescent="0.2">
      <c r="A726" s="35" t="s">
        <v>2618</v>
      </c>
      <c r="B726" s="35">
        <v>20.983564507739999</v>
      </c>
      <c r="C726" s="35">
        <v>7.8198181544999903</v>
      </c>
      <c r="D726" s="35">
        <v>1.355760354089</v>
      </c>
      <c r="E726" s="35">
        <v>5.7678468992807304</v>
      </c>
      <c r="F726" s="40">
        <v>8.0290694457440202E-9</v>
      </c>
      <c r="G726" s="40">
        <v>7.0774185958301897E-6</v>
      </c>
      <c r="H726" s="27" t="s">
        <v>263</v>
      </c>
      <c r="I726" s="24" t="s">
        <v>2620</v>
      </c>
      <c r="J726" s="34" t="s">
        <v>10</v>
      </c>
    </row>
    <row r="727" spans="1:10" x14ac:dyDescent="0.2">
      <c r="A727" s="35" t="s">
        <v>2621</v>
      </c>
      <c r="B727" s="35">
        <v>19.699517036539</v>
      </c>
      <c r="C727" s="35">
        <v>7.7368188041306496</v>
      </c>
      <c r="D727" s="35">
        <v>1.34264942655465</v>
      </c>
      <c r="E727" s="35">
        <v>5.7623521457749298</v>
      </c>
      <c r="F727" s="40">
        <v>8.2949700349948101E-9</v>
      </c>
      <c r="G727" s="40">
        <v>7.2714337324488702E-6</v>
      </c>
      <c r="H727" s="27" t="s">
        <v>2622</v>
      </c>
      <c r="I727" s="24" t="s">
        <v>2623</v>
      </c>
      <c r="J727" s="34" t="s">
        <v>5032</v>
      </c>
    </row>
    <row r="728" spans="1:10" x14ac:dyDescent="0.2">
      <c r="A728" s="35" t="s">
        <v>2624</v>
      </c>
      <c r="B728" s="35">
        <v>56.130165855340003</v>
      </c>
      <c r="C728" s="35">
        <v>2.6439601526286598</v>
      </c>
      <c r="D728" s="35">
        <v>0.45925028149067099</v>
      </c>
      <c r="E728" s="35">
        <v>5.7571225521009701</v>
      </c>
      <c r="F728" s="40">
        <v>8.5559797338668199E-9</v>
      </c>
      <c r="G728" s="40">
        <v>7.45529321882927E-6</v>
      </c>
      <c r="H728" s="27" t="s">
        <v>10</v>
      </c>
      <c r="I728" s="24" t="s">
        <v>10</v>
      </c>
      <c r="J728" s="34" t="s">
        <v>10</v>
      </c>
    </row>
    <row r="729" spans="1:10" x14ac:dyDescent="0.2">
      <c r="A729" s="35" t="s">
        <v>2625</v>
      </c>
      <c r="B729" s="35">
        <v>18.527222877851202</v>
      </c>
      <c r="C729" s="35">
        <v>7.6439832796778999</v>
      </c>
      <c r="D729" s="35">
        <v>1.32783692595417</v>
      </c>
      <c r="E729" s="35">
        <v>5.7567184119277401</v>
      </c>
      <c r="F729" s="40">
        <v>8.5764795206886697E-9</v>
      </c>
      <c r="G729" s="40">
        <v>7.45529321882927E-6</v>
      </c>
      <c r="H729" s="27" t="s">
        <v>263</v>
      </c>
      <c r="I729" s="34" t="s">
        <v>3908</v>
      </c>
      <c r="J729" s="34" t="s">
        <v>10</v>
      </c>
    </row>
    <row r="730" spans="1:10" x14ac:dyDescent="0.2">
      <c r="A730" s="35" t="s">
        <v>2626</v>
      </c>
      <c r="B730" s="35">
        <v>34.547848065435701</v>
      </c>
      <c r="C730" s="35">
        <v>5.14746901474519</v>
      </c>
      <c r="D730" s="35">
        <v>0.89528050654467695</v>
      </c>
      <c r="E730" s="35">
        <v>5.7495600285231001</v>
      </c>
      <c r="F730" s="40">
        <v>8.9475981426904599E-9</v>
      </c>
      <c r="G730" s="40">
        <v>7.7133493764846408E-6</v>
      </c>
      <c r="H730" s="27" t="s">
        <v>10</v>
      </c>
      <c r="I730" s="24" t="s">
        <v>2627</v>
      </c>
      <c r="J730" s="34" t="s">
        <v>10</v>
      </c>
    </row>
    <row r="731" spans="1:10" x14ac:dyDescent="0.2">
      <c r="A731" s="35" t="s">
        <v>2628</v>
      </c>
      <c r="B731" s="35">
        <v>58.724547070687102</v>
      </c>
      <c r="C731" s="35">
        <v>3.1100835291146498</v>
      </c>
      <c r="D731" s="35">
        <v>0.54144057982230298</v>
      </c>
      <c r="E731" s="35">
        <v>5.7440902012467596</v>
      </c>
      <c r="F731" s="40">
        <v>9.2416517231542403E-9</v>
      </c>
      <c r="G731" s="40">
        <v>7.8688876860476708E-6</v>
      </c>
      <c r="H731" s="27" t="s">
        <v>10</v>
      </c>
      <c r="I731" s="24" t="s">
        <v>10</v>
      </c>
      <c r="J731" s="34" t="s">
        <v>10</v>
      </c>
    </row>
    <row r="732" spans="1:10" x14ac:dyDescent="0.2">
      <c r="A732" s="35" t="s">
        <v>2629</v>
      </c>
      <c r="B732" s="35">
        <v>21.4766543451817</v>
      </c>
      <c r="C732" s="35">
        <v>7.8611754992834397</v>
      </c>
      <c r="D732" s="35">
        <v>1.3740498224373501</v>
      </c>
      <c r="E732" s="35">
        <v>5.7211720935555004</v>
      </c>
      <c r="F732" s="40">
        <v>1.0579167242557799E-8</v>
      </c>
      <c r="G732" s="40">
        <v>8.7894342474707999E-6</v>
      </c>
      <c r="H732" s="27" t="s">
        <v>10</v>
      </c>
      <c r="I732" s="24" t="s">
        <v>10</v>
      </c>
      <c r="J732" s="34" t="s">
        <v>10</v>
      </c>
    </row>
    <row r="733" spans="1:10" x14ac:dyDescent="0.2">
      <c r="A733" s="35" t="s">
        <v>2630</v>
      </c>
      <c r="B733" s="35">
        <v>19.222783676223202</v>
      </c>
      <c r="C733" s="35">
        <v>7.6848571672692003</v>
      </c>
      <c r="D733" s="35">
        <v>1.3433809342051299</v>
      </c>
      <c r="E733" s="35">
        <v>5.7205346388337004</v>
      </c>
      <c r="F733" s="40">
        <v>1.06189375811778E-8</v>
      </c>
      <c r="G733" s="40">
        <v>8.7894342474707999E-6</v>
      </c>
      <c r="H733" s="27" t="s">
        <v>10</v>
      </c>
      <c r="I733" s="24" t="s">
        <v>10</v>
      </c>
      <c r="J733" s="34" t="s">
        <v>10</v>
      </c>
    </row>
    <row r="734" spans="1:10" x14ac:dyDescent="0.2">
      <c r="A734" s="35" t="s">
        <v>2631</v>
      </c>
      <c r="B734" s="35">
        <v>18.784467345572601</v>
      </c>
      <c r="C734" s="35">
        <v>7.6514496086259696</v>
      </c>
      <c r="D734" s="35">
        <v>1.3440680155775899</v>
      </c>
      <c r="E734" s="35">
        <v>5.6927547712962001</v>
      </c>
      <c r="F734" s="40">
        <v>1.25005867940574E-8</v>
      </c>
      <c r="G734" s="40">
        <v>1.00661701937449E-5</v>
      </c>
      <c r="H734" s="27" t="s">
        <v>10</v>
      </c>
      <c r="I734" s="24" t="s">
        <v>10</v>
      </c>
      <c r="J734" s="34" t="s">
        <v>10</v>
      </c>
    </row>
    <row r="735" spans="1:10" x14ac:dyDescent="0.2">
      <c r="A735" s="35" t="s">
        <v>2632</v>
      </c>
      <c r="B735" s="35">
        <v>33.796791475393</v>
      </c>
      <c r="C735" s="35">
        <v>8.5076618985021604</v>
      </c>
      <c r="D735" s="35">
        <v>1.4970783283289999</v>
      </c>
      <c r="E735" s="35">
        <v>5.6828435343113899</v>
      </c>
      <c r="F735" s="40">
        <v>1.32473456842274E-8</v>
      </c>
      <c r="G735" s="40">
        <v>1.0585444422970601E-5</v>
      </c>
      <c r="H735" s="27" t="s">
        <v>10</v>
      </c>
      <c r="I735" s="24" t="s">
        <v>2633</v>
      </c>
      <c r="J735" s="34" t="s">
        <v>10</v>
      </c>
    </row>
    <row r="736" spans="1:10" x14ac:dyDescent="0.2">
      <c r="A736" s="35" t="s">
        <v>2634</v>
      </c>
      <c r="B736" s="35">
        <v>19.3063957397979</v>
      </c>
      <c r="C736" s="35">
        <v>7.70519303358597</v>
      </c>
      <c r="D736" s="35">
        <v>1.3617349670954499</v>
      </c>
      <c r="E736" s="35">
        <v>5.6583646743102696</v>
      </c>
      <c r="F736" s="40">
        <v>1.5282214532750699E-8</v>
      </c>
      <c r="G736" s="40">
        <v>1.2118212833840201E-5</v>
      </c>
      <c r="H736" s="27" t="s">
        <v>10</v>
      </c>
      <c r="I736" s="24" t="s">
        <v>10</v>
      </c>
      <c r="J736" s="34" t="s">
        <v>10</v>
      </c>
    </row>
    <row r="737" spans="1:10" x14ac:dyDescent="0.2">
      <c r="A737" s="35" t="s">
        <v>2635</v>
      </c>
      <c r="B737" s="35">
        <v>36.918567690704201</v>
      </c>
      <c r="C737" s="35">
        <v>8.6378317061808598</v>
      </c>
      <c r="D737" s="35">
        <v>1.5311882928854701</v>
      </c>
      <c r="E737" s="35">
        <v>5.64126028543697</v>
      </c>
      <c r="F737" s="40">
        <v>1.6880994234543501E-8</v>
      </c>
      <c r="G737" s="40">
        <v>1.3234444672422E-5</v>
      </c>
      <c r="H737" s="27" t="s">
        <v>10</v>
      </c>
      <c r="I737" s="24" t="s">
        <v>2636</v>
      </c>
      <c r="J737" s="34" t="s">
        <v>10</v>
      </c>
    </row>
    <row r="738" spans="1:10" x14ac:dyDescent="0.2">
      <c r="A738" s="35" t="s">
        <v>2637</v>
      </c>
      <c r="B738" s="35">
        <v>32.6021850971118</v>
      </c>
      <c r="C738" s="35">
        <v>3.5322158473277998</v>
      </c>
      <c r="D738" s="35">
        <v>0.62697931797647399</v>
      </c>
      <c r="E738" s="35">
        <v>5.6337039293859696</v>
      </c>
      <c r="F738" s="40">
        <v>1.7637972490601801E-8</v>
      </c>
      <c r="G738" s="40">
        <v>1.37243243923501E-5</v>
      </c>
      <c r="H738" s="27" t="s">
        <v>10</v>
      </c>
      <c r="I738" s="24" t="s">
        <v>10</v>
      </c>
      <c r="J738" s="34" t="s">
        <v>10</v>
      </c>
    </row>
    <row r="739" spans="1:10" x14ac:dyDescent="0.2">
      <c r="A739" s="35" t="s">
        <v>2638</v>
      </c>
      <c r="B739" s="35">
        <v>161.17721484954501</v>
      </c>
      <c r="C739" s="35">
        <v>2.8657857578924002</v>
      </c>
      <c r="D739" s="35">
        <v>0.51331507709675295</v>
      </c>
      <c r="E739" s="35">
        <v>5.58289807909195</v>
      </c>
      <c r="F739" s="40">
        <v>2.3654337969824501E-8</v>
      </c>
      <c r="G739" s="40">
        <v>1.7805545794416101E-5</v>
      </c>
      <c r="H739" s="27" t="s">
        <v>10</v>
      </c>
      <c r="I739" s="24" t="s">
        <v>10</v>
      </c>
      <c r="J739" s="34" t="s">
        <v>10</v>
      </c>
    </row>
    <row r="740" spans="1:10" x14ac:dyDescent="0.2">
      <c r="A740" s="35" t="s">
        <v>2639</v>
      </c>
      <c r="B740" s="35">
        <v>27.4916536076711</v>
      </c>
      <c r="C740" s="35">
        <v>6.3150725080676597</v>
      </c>
      <c r="D740" s="35">
        <v>1.1316766156665601</v>
      </c>
      <c r="E740" s="35">
        <v>5.5802801088613601</v>
      </c>
      <c r="F740" s="40">
        <v>2.4013155499319601E-8</v>
      </c>
      <c r="G740" s="40">
        <v>1.8010386765041999E-5</v>
      </c>
      <c r="H740" s="27" t="s">
        <v>10</v>
      </c>
      <c r="I740" s="24" t="s">
        <v>10</v>
      </c>
      <c r="J740" s="34" t="s">
        <v>10</v>
      </c>
    </row>
    <row r="741" spans="1:10" x14ac:dyDescent="0.2">
      <c r="A741" s="35" t="s">
        <v>2640</v>
      </c>
      <c r="B741" s="35">
        <v>50.039314137516499</v>
      </c>
      <c r="C741" s="35">
        <v>8.1063697573476308</v>
      </c>
      <c r="D741" s="35">
        <v>1.45294440304234</v>
      </c>
      <c r="E741" s="35">
        <v>5.5792704389607497</v>
      </c>
      <c r="F741" s="40">
        <v>2.4152947157304601E-8</v>
      </c>
      <c r="G741" s="40">
        <v>1.8050070825946001E-5</v>
      </c>
      <c r="H741" s="27" t="s">
        <v>10</v>
      </c>
      <c r="I741" s="24" t="s">
        <v>10</v>
      </c>
      <c r="J741" s="34" t="s">
        <v>10</v>
      </c>
    </row>
    <row r="742" spans="1:10" x14ac:dyDescent="0.2">
      <c r="A742" s="35" t="s">
        <v>2641</v>
      </c>
      <c r="B742" s="35">
        <v>60.8658218908731</v>
      </c>
      <c r="C742" s="35">
        <v>6.2014365915462504</v>
      </c>
      <c r="D742" s="35">
        <v>1.11234352400104</v>
      </c>
      <c r="E742" s="35">
        <v>5.5751091796174501</v>
      </c>
      <c r="F742" s="40">
        <v>2.47374670861499E-8</v>
      </c>
      <c r="G742" s="40">
        <v>1.83145669558855E-5</v>
      </c>
      <c r="H742" s="27" t="s">
        <v>263</v>
      </c>
      <c r="I742" s="24" t="s">
        <v>2642</v>
      </c>
      <c r="J742" s="34" t="s">
        <v>10</v>
      </c>
    </row>
    <row r="743" spans="1:10" x14ac:dyDescent="0.2">
      <c r="A743" s="35" t="s">
        <v>2643</v>
      </c>
      <c r="B743" s="35">
        <v>24.608012822928199</v>
      </c>
      <c r="C743" s="35">
        <v>4.1392937464556399</v>
      </c>
      <c r="D743" s="35">
        <v>0.74249139380644802</v>
      </c>
      <c r="E743" s="35">
        <v>5.5748710099320897</v>
      </c>
      <c r="F743" s="40">
        <v>2.4771334231520701E-8</v>
      </c>
      <c r="G743" s="40">
        <v>1.83145669558855E-5</v>
      </c>
      <c r="H743" s="27" t="s">
        <v>1420</v>
      </c>
      <c r="I743" s="24" t="s">
        <v>2644</v>
      </c>
      <c r="J743" s="34" t="s">
        <v>5084</v>
      </c>
    </row>
    <row r="744" spans="1:10" x14ac:dyDescent="0.2">
      <c r="A744" s="35" t="s">
        <v>2645</v>
      </c>
      <c r="B744" s="35">
        <v>19.1380782033944</v>
      </c>
      <c r="C744" s="35">
        <v>7.6907958275038597</v>
      </c>
      <c r="D744" s="35">
        <v>1.3824917344125001</v>
      </c>
      <c r="E744" s="35">
        <v>5.5629958834959199</v>
      </c>
      <c r="F744" s="40">
        <v>2.65182148222562E-8</v>
      </c>
      <c r="G744" s="40">
        <v>1.93309411881146E-5</v>
      </c>
      <c r="H744" s="27" t="s">
        <v>263</v>
      </c>
      <c r="I744" s="24" t="s">
        <v>1970</v>
      </c>
      <c r="J744" s="34" t="s">
        <v>10</v>
      </c>
    </row>
    <row r="745" spans="1:10" x14ac:dyDescent="0.2">
      <c r="A745" s="35" t="s">
        <v>2646</v>
      </c>
      <c r="B745" s="35">
        <v>56.1392763854385</v>
      </c>
      <c r="C745" s="35">
        <v>4.4607029201302604</v>
      </c>
      <c r="D745" s="35">
        <v>0.80669060966371897</v>
      </c>
      <c r="E745" s="35">
        <v>5.5296328811733302</v>
      </c>
      <c r="F745" s="40">
        <v>3.2090164416185202E-8</v>
      </c>
      <c r="G745" s="40">
        <v>2.2989393787755099E-5</v>
      </c>
      <c r="H745" s="27" t="s">
        <v>2603</v>
      </c>
      <c r="I745" s="24" t="s">
        <v>2647</v>
      </c>
      <c r="J745" s="34" t="s">
        <v>10</v>
      </c>
    </row>
    <row r="746" spans="1:10" x14ac:dyDescent="0.2">
      <c r="A746" s="35" t="s">
        <v>2648</v>
      </c>
      <c r="B746" s="35">
        <v>18.182219702218902</v>
      </c>
      <c r="C746" s="35">
        <v>7.62254730162147</v>
      </c>
      <c r="D746" s="35">
        <v>1.37871342111151</v>
      </c>
      <c r="E746" s="35">
        <v>5.5287394645627002</v>
      </c>
      <c r="F746" s="40">
        <v>3.22539934361925E-8</v>
      </c>
      <c r="G746" s="40">
        <v>2.3027356221063899E-5</v>
      </c>
      <c r="H746" s="27" t="s">
        <v>10</v>
      </c>
      <c r="I746" s="24" t="s">
        <v>10</v>
      </c>
      <c r="J746" s="34" t="s">
        <v>10</v>
      </c>
    </row>
    <row r="747" spans="1:10" x14ac:dyDescent="0.2">
      <c r="A747" s="35" t="s">
        <v>2649</v>
      </c>
      <c r="B747" s="35">
        <v>35.1805837381008</v>
      </c>
      <c r="C747" s="35">
        <v>5.3352166845500797</v>
      </c>
      <c r="D747" s="35">
        <v>0.96637177062832502</v>
      </c>
      <c r="E747" s="35">
        <v>5.5208738983353998</v>
      </c>
      <c r="F747" s="40">
        <v>3.3731779999566799E-8</v>
      </c>
      <c r="G747" s="40">
        <v>2.3836665597244899E-5</v>
      </c>
      <c r="H747" s="27" t="s">
        <v>10</v>
      </c>
      <c r="I747" s="24" t="s">
        <v>10</v>
      </c>
      <c r="J747" s="34" t="s">
        <v>10</v>
      </c>
    </row>
    <row r="748" spans="1:10" x14ac:dyDescent="0.2">
      <c r="A748" s="35" t="s">
        <v>2650</v>
      </c>
      <c r="B748" s="35">
        <v>28.461722065135</v>
      </c>
      <c r="C748" s="35">
        <v>8.2627382296069207</v>
      </c>
      <c r="D748" s="35">
        <v>1.5009380929246099</v>
      </c>
      <c r="E748" s="35">
        <v>5.5050493211927201</v>
      </c>
      <c r="F748" s="40">
        <v>3.6906493078752102E-8</v>
      </c>
      <c r="G748" s="40">
        <v>2.5730018040500699E-5</v>
      </c>
      <c r="H748" s="27" t="s">
        <v>1125</v>
      </c>
      <c r="I748" s="24" t="s">
        <v>2134</v>
      </c>
      <c r="J748" s="34" t="s">
        <v>10</v>
      </c>
    </row>
    <row r="749" spans="1:10" x14ac:dyDescent="0.2">
      <c r="A749" s="35" t="s">
        <v>2651</v>
      </c>
      <c r="B749" s="35">
        <v>28.856094180837399</v>
      </c>
      <c r="C749" s="35">
        <v>6.4028839612715203</v>
      </c>
      <c r="D749" s="35">
        <v>1.1635341657254701</v>
      </c>
      <c r="E749" s="35">
        <v>5.5029617091469802</v>
      </c>
      <c r="F749" s="40">
        <v>3.7346355632013898E-8</v>
      </c>
      <c r="G749" s="40">
        <v>2.5912869260552101E-5</v>
      </c>
      <c r="H749" s="27" t="s">
        <v>10</v>
      </c>
      <c r="I749" s="24" t="s">
        <v>10</v>
      </c>
      <c r="J749" s="34" t="s">
        <v>10</v>
      </c>
    </row>
    <row r="750" spans="1:10" x14ac:dyDescent="0.2">
      <c r="A750" s="35" t="s">
        <v>2652</v>
      </c>
      <c r="B750" s="35">
        <v>79.249667477538097</v>
      </c>
      <c r="C750" s="35">
        <v>2.6597508613982201</v>
      </c>
      <c r="D750" s="35">
        <v>0.48418959583633497</v>
      </c>
      <c r="E750" s="35">
        <v>5.4932011845567699</v>
      </c>
      <c r="F750" s="40">
        <v>3.9471270152380099E-8</v>
      </c>
      <c r="G750" s="40">
        <v>2.7064003966263699E-5</v>
      </c>
      <c r="H750" s="27" t="s">
        <v>10</v>
      </c>
      <c r="I750" s="24" t="s">
        <v>10</v>
      </c>
      <c r="J750" s="34" t="s">
        <v>10</v>
      </c>
    </row>
    <row r="751" spans="1:10" x14ac:dyDescent="0.2">
      <c r="A751" s="35" t="s">
        <v>2653</v>
      </c>
      <c r="B751" s="35">
        <v>14.9765265089613</v>
      </c>
      <c r="C751" s="35">
        <v>7.3302908245305103</v>
      </c>
      <c r="D751" s="35">
        <v>1.3363073655134801</v>
      </c>
      <c r="E751" s="35">
        <v>5.4854826170278903</v>
      </c>
      <c r="F751" s="40">
        <v>4.1234210493747401E-8</v>
      </c>
      <c r="G751" s="40">
        <v>2.8058450205561299E-5</v>
      </c>
      <c r="H751" s="27" t="s">
        <v>10</v>
      </c>
      <c r="I751" s="24" t="s">
        <v>10</v>
      </c>
      <c r="J751" s="34" t="s">
        <v>10</v>
      </c>
    </row>
    <row r="752" spans="1:10" x14ac:dyDescent="0.2">
      <c r="A752" s="35" t="s">
        <v>2654</v>
      </c>
      <c r="B752" s="35">
        <v>30.5829933623416</v>
      </c>
      <c r="C752" s="35">
        <v>3.1297580860713698</v>
      </c>
      <c r="D752" s="35">
        <v>0.57085379446183204</v>
      </c>
      <c r="E752" s="35">
        <v>5.4825913682888299</v>
      </c>
      <c r="F752" s="40">
        <v>4.1914040136312298E-8</v>
      </c>
      <c r="G752" s="40">
        <v>2.83644733633866E-5</v>
      </c>
      <c r="H752" s="27" t="s">
        <v>10</v>
      </c>
      <c r="I752" s="24" t="s">
        <v>2655</v>
      </c>
      <c r="J752" s="34" t="s">
        <v>10</v>
      </c>
    </row>
    <row r="753" spans="1:10" x14ac:dyDescent="0.2">
      <c r="A753" s="35" t="s">
        <v>2656</v>
      </c>
      <c r="B753" s="35">
        <v>21.741122594526001</v>
      </c>
      <c r="C753" s="35">
        <v>7.8654440655949101</v>
      </c>
      <c r="D753" s="35">
        <v>1.4382514737849801</v>
      </c>
      <c r="E753" s="35">
        <v>5.4687543930657396</v>
      </c>
      <c r="F753" s="40">
        <v>4.5320923934959902E-8</v>
      </c>
      <c r="G753" s="40">
        <v>3.04715012072218E-5</v>
      </c>
      <c r="H753" s="27" t="s">
        <v>2657</v>
      </c>
      <c r="I753" s="24" t="s">
        <v>2658</v>
      </c>
      <c r="J753" s="34" t="s">
        <v>5073</v>
      </c>
    </row>
    <row r="754" spans="1:10" x14ac:dyDescent="0.2">
      <c r="A754" s="35" t="s">
        <v>2659</v>
      </c>
      <c r="B754" s="35">
        <v>17.078590168729701</v>
      </c>
      <c r="C754" s="35">
        <v>7.5229360369079297</v>
      </c>
      <c r="D754" s="35">
        <v>1.3786225540166199</v>
      </c>
      <c r="E754" s="35">
        <v>5.4568496757795097</v>
      </c>
      <c r="F754" s="40">
        <v>4.84656324782029E-8</v>
      </c>
      <c r="G754" s="40">
        <v>3.2272519042120202E-5</v>
      </c>
      <c r="H754" s="27" t="s">
        <v>2660</v>
      </c>
      <c r="I754" s="24" t="s">
        <v>2661</v>
      </c>
      <c r="J754" s="34" t="s">
        <v>10</v>
      </c>
    </row>
    <row r="755" spans="1:10" x14ac:dyDescent="0.2">
      <c r="A755" s="35" t="s">
        <v>2662</v>
      </c>
      <c r="B755" s="35">
        <v>21.3135636752877</v>
      </c>
      <c r="C755" s="35">
        <v>7.8514700457649198</v>
      </c>
      <c r="D755" s="35">
        <v>1.43966536910257</v>
      </c>
      <c r="E755" s="35">
        <v>5.4536770934895902</v>
      </c>
      <c r="F755" s="40">
        <v>4.9338761299602101E-8</v>
      </c>
      <c r="G755" s="40">
        <v>3.2748957484217697E-5</v>
      </c>
      <c r="H755" s="27" t="s">
        <v>10</v>
      </c>
      <c r="I755" s="24" t="s">
        <v>10</v>
      </c>
      <c r="J755" s="34" t="s">
        <v>10</v>
      </c>
    </row>
    <row r="756" spans="1:10" x14ac:dyDescent="0.2">
      <c r="A756" s="35" t="s">
        <v>2663</v>
      </c>
      <c r="B756" s="35">
        <v>18.3134500117724</v>
      </c>
      <c r="C756" s="35">
        <v>7.61798323439751</v>
      </c>
      <c r="D756" s="35">
        <v>1.39865121855585</v>
      </c>
      <c r="E756" s="35">
        <v>5.4466639955194003</v>
      </c>
      <c r="F756" s="40">
        <v>5.1323283313097103E-8</v>
      </c>
      <c r="G756" s="40">
        <v>3.3636340845412598E-5</v>
      </c>
      <c r="H756" s="27" t="s">
        <v>10</v>
      </c>
      <c r="I756" s="24" t="s">
        <v>5190</v>
      </c>
      <c r="J756" s="34" t="s">
        <v>10</v>
      </c>
    </row>
    <row r="757" spans="1:10" x14ac:dyDescent="0.2">
      <c r="A757" s="35" t="s">
        <v>2664</v>
      </c>
      <c r="B757" s="35">
        <v>15.7625836208306</v>
      </c>
      <c r="C757" s="35">
        <v>7.4122196261873796</v>
      </c>
      <c r="D757" s="35">
        <v>1.36241769705765</v>
      </c>
      <c r="E757" s="35">
        <v>5.4404898308317504</v>
      </c>
      <c r="F757" s="40">
        <v>5.3134272989641398E-8</v>
      </c>
      <c r="G757" s="40">
        <v>3.4713723330930598E-5</v>
      </c>
      <c r="H757" s="27" t="s">
        <v>10</v>
      </c>
      <c r="I757" s="24" t="s">
        <v>2665</v>
      </c>
      <c r="J757" s="34" t="s">
        <v>10</v>
      </c>
    </row>
    <row r="758" spans="1:10" x14ac:dyDescent="0.2">
      <c r="A758" s="35" t="s">
        <v>2666</v>
      </c>
      <c r="B758" s="35">
        <v>24.7371106412633</v>
      </c>
      <c r="C758" s="35">
        <v>7.09301836528876</v>
      </c>
      <c r="D758" s="35">
        <v>1.3063580593095501</v>
      </c>
      <c r="E758" s="35">
        <v>5.4296127426485299</v>
      </c>
      <c r="F758" s="40">
        <v>5.64764661342969E-8</v>
      </c>
      <c r="G758" s="40">
        <v>3.6552413390021797E-5</v>
      </c>
      <c r="H758" s="27" t="s">
        <v>10</v>
      </c>
      <c r="I758" s="24" t="s">
        <v>10</v>
      </c>
      <c r="J758" s="34" t="s">
        <v>10</v>
      </c>
    </row>
    <row r="759" spans="1:10" x14ac:dyDescent="0.2">
      <c r="A759" s="35" t="s">
        <v>2667</v>
      </c>
      <c r="B759" s="35">
        <v>16.939407338182701</v>
      </c>
      <c r="C759" s="35">
        <v>7.4966443287017297</v>
      </c>
      <c r="D759" s="35">
        <v>1.3813970221951499</v>
      </c>
      <c r="E759" s="35">
        <v>5.4268571657907296</v>
      </c>
      <c r="F759" s="40">
        <v>5.7354989880557399E-8</v>
      </c>
      <c r="G759" s="40">
        <v>3.6825702330818097E-5</v>
      </c>
      <c r="H759" s="27" t="s">
        <v>10</v>
      </c>
      <c r="I759" s="24" t="s">
        <v>10</v>
      </c>
      <c r="J759" s="34" t="s">
        <v>10</v>
      </c>
    </row>
    <row r="760" spans="1:10" x14ac:dyDescent="0.2">
      <c r="A760" s="35" t="s">
        <v>2668</v>
      </c>
      <c r="B760" s="35">
        <v>84.0772360230403</v>
      </c>
      <c r="C760" s="35">
        <v>9.8213120223583896</v>
      </c>
      <c r="D760" s="35">
        <v>1.81153688900986</v>
      </c>
      <c r="E760" s="35">
        <v>5.4215357589137803</v>
      </c>
      <c r="F760" s="40">
        <v>5.9089173606333301E-8</v>
      </c>
      <c r="G760" s="40">
        <v>3.76568415698079E-5</v>
      </c>
      <c r="H760" s="27" t="s">
        <v>10</v>
      </c>
      <c r="I760" s="24" t="s">
        <v>2669</v>
      </c>
      <c r="J760" s="34" t="s">
        <v>10</v>
      </c>
    </row>
    <row r="761" spans="1:10" x14ac:dyDescent="0.2">
      <c r="A761" s="35" t="s">
        <v>2670</v>
      </c>
      <c r="B761" s="35">
        <v>62.860228684435803</v>
      </c>
      <c r="C761" s="35">
        <v>2.8898509177951999</v>
      </c>
      <c r="D761" s="35">
        <v>0.53353120261669496</v>
      </c>
      <c r="E761" s="35">
        <v>5.4164609372834702</v>
      </c>
      <c r="F761" s="40">
        <v>6.0790264032671194E-8</v>
      </c>
      <c r="G761" s="40">
        <v>3.8622452887986699E-5</v>
      </c>
      <c r="H761" s="27" t="s">
        <v>10</v>
      </c>
      <c r="I761" s="24" t="s">
        <v>10</v>
      </c>
      <c r="J761" s="34" t="s">
        <v>10</v>
      </c>
    </row>
    <row r="762" spans="1:10" x14ac:dyDescent="0.2">
      <c r="A762" s="35" t="s">
        <v>2671</v>
      </c>
      <c r="B762" s="35">
        <v>24.473858108578501</v>
      </c>
      <c r="C762" s="35">
        <v>8.0337329348598594</v>
      </c>
      <c r="D762" s="35">
        <v>1.4865201818637299</v>
      </c>
      <c r="E762" s="35">
        <v>5.4043887414885399</v>
      </c>
      <c r="F762" s="40">
        <v>6.5029772566043294E-8</v>
      </c>
      <c r="G762" s="40">
        <v>4.1064818933832502E-5</v>
      </c>
      <c r="H762" s="27" t="s">
        <v>10</v>
      </c>
      <c r="I762" s="24" t="s">
        <v>10</v>
      </c>
      <c r="J762" s="34" t="s">
        <v>10</v>
      </c>
    </row>
    <row r="763" spans="1:10" x14ac:dyDescent="0.2">
      <c r="A763" s="35" t="s">
        <v>2672</v>
      </c>
      <c r="B763" s="35">
        <v>45.403283959021202</v>
      </c>
      <c r="C763" s="35">
        <v>7.9699255940417899</v>
      </c>
      <c r="D763" s="35">
        <v>1.47631911573467</v>
      </c>
      <c r="E763" s="35">
        <v>5.3985114119962301</v>
      </c>
      <c r="F763" s="40">
        <v>6.7196094531952201E-8</v>
      </c>
      <c r="G763" s="40">
        <v>4.2176410318973599E-5</v>
      </c>
      <c r="H763" s="27" t="s">
        <v>10</v>
      </c>
      <c r="I763" s="24" t="s">
        <v>2673</v>
      </c>
      <c r="J763" s="34" t="s">
        <v>10</v>
      </c>
    </row>
    <row r="764" spans="1:10" x14ac:dyDescent="0.2">
      <c r="A764" s="35" t="s">
        <v>2674</v>
      </c>
      <c r="B764" s="35">
        <v>28.399597988457799</v>
      </c>
      <c r="C764" s="35">
        <v>6.3973826139141901</v>
      </c>
      <c r="D764" s="35">
        <v>1.1860884034508801</v>
      </c>
      <c r="E764" s="35">
        <v>5.39368110783417</v>
      </c>
      <c r="F764" s="40">
        <v>6.9028681397201605E-8</v>
      </c>
      <c r="G764" s="40">
        <v>4.31467819865092E-5</v>
      </c>
      <c r="H764" s="27" t="s">
        <v>3881</v>
      </c>
      <c r="I764" s="24" t="s">
        <v>2675</v>
      </c>
      <c r="J764" s="34" t="s">
        <v>10</v>
      </c>
    </row>
    <row r="765" spans="1:10" x14ac:dyDescent="0.2">
      <c r="A765" s="35" t="s">
        <v>2676</v>
      </c>
      <c r="B765" s="35">
        <v>41.622644181751198</v>
      </c>
      <c r="C765" s="35">
        <v>2.7601579045316802</v>
      </c>
      <c r="D765" s="35">
        <v>0.51178653456037804</v>
      </c>
      <c r="E765" s="35">
        <v>5.39318195798693</v>
      </c>
      <c r="F765" s="40">
        <v>6.9220792524493397E-8</v>
      </c>
      <c r="G765" s="40">
        <v>4.31467819865092E-5</v>
      </c>
      <c r="H765" s="27" t="s">
        <v>10</v>
      </c>
      <c r="I765" s="24" t="s">
        <v>10</v>
      </c>
      <c r="J765" s="34" t="s">
        <v>10</v>
      </c>
    </row>
    <row r="766" spans="1:10" x14ac:dyDescent="0.2">
      <c r="A766" s="35" t="s">
        <v>2677</v>
      </c>
      <c r="B766" s="35">
        <v>50.792227725564203</v>
      </c>
      <c r="C766" s="35">
        <v>4.1103981574003097</v>
      </c>
      <c r="D766" s="35">
        <v>0.76246066827126402</v>
      </c>
      <c r="E766" s="35">
        <v>5.3909641879886898</v>
      </c>
      <c r="F766" s="40">
        <v>7.0080641196788596E-8</v>
      </c>
      <c r="G766" s="40">
        <v>4.33323621800001E-5</v>
      </c>
      <c r="H766" s="27" t="s">
        <v>10</v>
      </c>
      <c r="I766" s="24" t="s">
        <v>2678</v>
      </c>
      <c r="J766" s="34" t="s">
        <v>10</v>
      </c>
    </row>
    <row r="767" spans="1:10" x14ac:dyDescent="0.2">
      <c r="A767" s="35" t="s">
        <v>2679</v>
      </c>
      <c r="B767" s="35">
        <v>19.086654080758301</v>
      </c>
      <c r="C767" s="35">
        <v>7.6792842810726301</v>
      </c>
      <c r="D767" s="35">
        <v>1.4251320958437299</v>
      </c>
      <c r="E767" s="35">
        <v>5.3884719202301099</v>
      </c>
      <c r="F767" s="40">
        <v>7.1059262193643907E-8</v>
      </c>
      <c r="G767" s="40">
        <v>4.3548637393223302E-5</v>
      </c>
      <c r="H767" s="27" t="s">
        <v>10</v>
      </c>
      <c r="I767" s="24" t="s">
        <v>10</v>
      </c>
      <c r="J767" s="34" t="s">
        <v>10</v>
      </c>
    </row>
    <row r="768" spans="1:10" x14ac:dyDescent="0.2">
      <c r="A768" s="35" t="s">
        <v>2680</v>
      </c>
      <c r="B768" s="35">
        <v>108.06150271417999</v>
      </c>
      <c r="C768" s="35">
        <v>3.9485459535367098</v>
      </c>
      <c r="D768" s="35">
        <v>0.733423371542266</v>
      </c>
      <c r="E768" s="35">
        <v>5.3837198359708403</v>
      </c>
      <c r="F768" s="40">
        <v>7.2962039330150796E-8</v>
      </c>
      <c r="G768" s="40">
        <v>4.4583239538455298E-5</v>
      </c>
      <c r="H768" s="27" t="s">
        <v>10</v>
      </c>
      <c r="I768" s="24" t="s">
        <v>10</v>
      </c>
      <c r="J768" s="34" t="s">
        <v>10</v>
      </c>
    </row>
    <row r="769" spans="1:10" x14ac:dyDescent="0.2">
      <c r="A769" s="35" t="s">
        <v>2681</v>
      </c>
      <c r="B769" s="35">
        <v>14.9570495119209</v>
      </c>
      <c r="C769" s="35">
        <v>7.3331789476395999</v>
      </c>
      <c r="D769" s="35">
        <v>1.3625687752087901</v>
      </c>
      <c r="E769" s="35">
        <v>5.3818780241136404</v>
      </c>
      <c r="F769" s="40">
        <v>7.3712709276669994E-8</v>
      </c>
      <c r="G769" s="40">
        <v>4.4909846417841198E-5</v>
      </c>
      <c r="H769" s="27" t="s">
        <v>10</v>
      </c>
      <c r="I769" s="24" t="s">
        <v>2036</v>
      </c>
      <c r="J769" s="34" t="s">
        <v>10</v>
      </c>
    </row>
    <row r="770" spans="1:10" x14ac:dyDescent="0.2">
      <c r="A770" s="35" t="s">
        <v>2682</v>
      </c>
      <c r="B770" s="35">
        <v>16.357465383575999</v>
      </c>
      <c r="C770" s="35">
        <v>7.4595196538945201</v>
      </c>
      <c r="D770" s="35">
        <v>1.40582887554712</v>
      </c>
      <c r="E770" s="35">
        <v>5.3061363183277903</v>
      </c>
      <c r="F770" s="40">
        <v>1.11973232485626E-7</v>
      </c>
      <c r="G770" s="40">
        <v>6.6276669197389302E-5</v>
      </c>
      <c r="H770" s="27" t="s">
        <v>10</v>
      </c>
      <c r="I770" s="24" t="s">
        <v>10</v>
      </c>
      <c r="J770" s="34" t="s">
        <v>10</v>
      </c>
    </row>
    <row r="771" spans="1:10" x14ac:dyDescent="0.2">
      <c r="A771" s="35" t="s">
        <v>2683</v>
      </c>
      <c r="B771" s="35">
        <v>24.477794133118699</v>
      </c>
      <c r="C771" s="35">
        <v>8.0483412758409401</v>
      </c>
      <c r="D771" s="35">
        <v>1.5176303155873401</v>
      </c>
      <c r="E771" s="35">
        <v>5.3032291152711704</v>
      </c>
      <c r="F771" s="40">
        <v>1.13771980490218E-7</v>
      </c>
      <c r="G771" s="40">
        <v>6.7150032894107203E-5</v>
      </c>
      <c r="H771" s="27" t="s">
        <v>10</v>
      </c>
      <c r="I771" s="24" t="s">
        <v>2684</v>
      </c>
      <c r="J771" s="34" t="s">
        <v>10</v>
      </c>
    </row>
    <row r="772" spans="1:10" x14ac:dyDescent="0.2">
      <c r="A772" s="35" t="s">
        <v>2685</v>
      </c>
      <c r="B772" s="35">
        <v>15.9388234826808</v>
      </c>
      <c r="C772" s="35">
        <v>7.4079080743243804</v>
      </c>
      <c r="D772" s="35">
        <v>1.3983552035108899</v>
      </c>
      <c r="E772" s="35">
        <v>5.2975868046438501</v>
      </c>
      <c r="F772" s="40">
        <v>1.17343126450524E-7</v>
      </c>
      <c r="G772" s="40">
        <v>6.90615823763599E-5</v>
      </c>
      <c r="H772" s="27" t="s">
        <v>4942</v>
      </c>
      <c r="I772" s="24" t="s">
        <v>2686</v>
      </c>
      <c r="J772" s="34" t="s">
        <v>5045</v>
      </c>
    </row>
    <row r="773" spans="1:10" x14ac:dyDescent="0.2">
      <c r="A773" s="35" t="s">
        <v>2687</v>
      </c>
      <c r="B773" s="35">
        <v>99.386015167308003</v>
      </c>
      <c r="C773" s="35">
        <v>10.061021445122901</v>
      </c>
      <c r="D773" s="35">
        <v>1.89968346101888</v>
      </c>
      <c r="E773" s="35">
        <v>5.2961567816813</v>
      </c>
      <c r="F773" s="40">
        <v>1.18265307799424E-7</v>
      </c>
      <c r="G773" s="40">
        <v>6.90834573768076E-5</v>
      </c>
      <c r="H773" s="27" t="s">
        <v>10</v>
      </c>
      <c r="I773" s="24" t="s">
        <v>2688</v>
      </c>
      <c r="J773" s="34" t="s">
        <v>10</v>
      </c>
    </row>
    <row r="774" spans="1:10" x14ac:dyDescent="0.2">
      <c r="A774" s="35" t="s">
        <v>2689</v>
      </c>
      <c r="B774" s="35">
        <v>27.793884000147202</v>
      </c>
      <c r="C774" s="35">
        <v>6.3462474370465403</v>
      </c>
      <c r="D774" s="35">
        <v>1.1983832924126601</v>
      </c>
      <c r="E774" s="35">
        <v>5.2956741613694103</v>
      </c>
      <c r="F774" s="40">
        <v>1.1857811573186199E-7</v>
      </c>
      <c r="G774" s="40">
        <v>6.90834573768076E-5</v>
      </c>
      <c r="H774" s="27" t="s">
        <v>10</v>
      </c>
      <c r="I774" s="24" t="s">
        <v>2690</v>
      </c>
      <c r="J774" s="34" t="s">
        <v>10</v>
      </c>
    </row>
    <row r="775" spans="1:10" x14ac:dyDescent="0.2">
      <c r="A775" s="35" t="s">
        <v>2691</v>
      </c>
      <c r="B775" s="35">
        <v>83.770163554679499</v>
      </c>
      <c r="C775" s="35">
        <v>4.0681796439920204</v>
      </c>
      <c r="D775" s="35">
        <v>0.76823762372375204</v>
      </c>
      <c r="E775" s="35">
        <v>5.29547046169517</v>
      </c>
      <c r="F775" s="40">
        <v>1.1871038277364E-7</v>
      </c>
      <c r="G775" s="40">
        <v>6.90834573768076E-5</v>
      </c>
      <c r="H775" s="27" t="s">
        <v>4938</v>
      </c>
      <c r="I775" s="24" t="s">
        <v>2693</v>
      </c>
      <c r="J775" s="34" t="s">
        <v>10</v>
      </c>
    </row>
    <row r="776" spans="1:10" x14ac:dyDescent="0.2">
      <c r="A776" s="35" t="s">
        <v>2694</v>
      </c>
      <c r="B776" s="35">
        <v>112.016743755825</v>
      </c>
      <c r="C776" s="35">
        <v>4.7753288842682799</v>
      </c>
      <c r="D776" s="35">
        <v>0.902784114791785</v>
      </c>
      <c r="E776" s="35">
        <v>5.28955794195564</v>
      </c>
      <c r="F776" s="40">
        <v>1.2261233637960601E-7</v>
      </c>
      <c r="G776" s="40">
        <v>7.1154884237098706E-5</v>
      </c>
      <c r="H776" s="27" t="s">
        <v>10</v>
      </c>
      <c r="I776" s="24" t="s">
        <v>2695</v>
      </c>
      <c r="J776" s="34" t="s">
        <v>10</v>
      </c>
    </row>
    <row r="777" spans="1:10" x14ac:dyDescent="0.2">
      <c r="A777" s="35" t="s">
        <v>2696</v>
      </c>
      <c r="B777" s="35">
        <v>13.7875049099219</v>
      </c>
      <c r="C777" s="35">
        <v>7.2155615922953</v>
      </c>
      <c r="D777" s="35">
        <v>1.3649880477309999</v>
      </c>
      <c r="E777" s="35">
        <v>5.2861719956373303</v>
      </c>
      <c r="F777" s="40">
        <v>1.2490246401059099E-7</v>
      </c>
      <c r="G777" s="40">
        <v>7.2281995300791906E-5</v>
      </c>
      <c r="H777" s="27" t="s">
        <v>10</v>
      </c>
      <c r="I777" s="24" t="s">
        <v>2697</v>
      </c>
      <c r="J777" s="34" t="s">
        <v>10</v>
      </c>
    </row>
    <row r="778" spans="1:10" x14ac:dyDescent="0.2">
      <c r="A778" s="35" t="s">
        <v>2698</v>
      </c>
      <c r="B778" s="35">
        <v>14.06696398027</v>
      </c>
      <c r="C778" s="35">
        <v>7.2431123671199904</v>
      </c>
      <c r="D778" s="35">
        <v>1.37242970861986</v>
      </c>
      <c r="E778" s="35">
        <v>5.2775834868831302</v>
      </c>
      <c r="F778" s="40">
        <v>1.3089857298885199E-7</v>
      </c>
      <c r="G778" s="40">
        <v>7.5124209751027603E-5</v>
      </c>
      <c r="H778" s="27" t="s">
        <v>2699</v>
      </c>
      <c r="I778" s="24" t="s">
        <v>2700</v>
      </c>
      <c r="J778" s="34" t="s">
        <v>5020</v>
      </c>
    </row>
    <row r="779" spans="1:10" x14ac:dyDescent="0.2">
      <c r="A779" s="35" t="s">
        <v>2701</v>
      </c>
      <c r="B779" s="35">
        <v>832.596956922907</v>
      </c>
      <c r="C779" s="35">
        <v>2.2675186767892499</v>
      </c>
      <c r="D779" s="35">
        <v>0.42999328771109702</v>
      </c>
      <c r="E779" s="35">
        <v>5.2733815656972496</v>
      </c>
      <c r="F779" s="40">
        <v>1.3393269728295501E-7</v>
      </c>
      <c r="G779" s="40">
        <v>7.6443190815158094E-5</v>
      </c>
      <c r="H779" s="27" t="s">
        <v>2764</v>
      </c>
      <c r="I779" s="24" t="s">
        <v>2702</v>
      </c>
      <c r="J779" s="34" t="s">
        <v>5033</v>
      </c>
    </row>
    <row r="780" spans="1:10" x14ac:dyDescent="0.2">
      <c r="A780" s="35" t="s">
        <v>2703</v>
      </c>
      <c r="B780" s="35">
        <v>51.166923333051798</v>
      </c>
      <c r="C780" s="35">
        <v>4.8646632125290399</v>
      </c>
      <c r="D780" s="35">
        <v>0.92387504031975798</v>
      </c>
      <c r="E780" s="35">
        <v>5.2654991207959796</v>
      </c>
      <c r="F780" s="40">
        <v>1.3980898873430701E-7</v>
      </c>
      <c r="G780" s="40">
        <v>7.9578510310916899E-5</v>
      </c>
      <c r="H780" s="27" t="s">
        <v>4963</v>
      </c>
      <c r="I780" s="24" t="s">
        <v>2704</v>
      </c>
      <c r="J780" s="34" t="s">
        <v>5060</v>
      </c>
    </row>
    <row r="781" spans="1:10" x14ac:dyDescent="0.2">
      <c r="A781" s="35" t="s">
        <v>2705</v>
      </c>
      <c r="B781" s="35">
        <v>38.271195643813499</v>
      </c>
      <c r="C781" s="35">
        <v>5.0855766566228198</v>
      </c>
      <c r="D781" s="35">
        <v>0.96664465765483698</v>
      </c>
      <c r="E781" s="35">
        <v>5.2610611524620197</v>
      </c>
      <c r="F781" s="40">
        <v>1.4322638491086599E-7</v>
      </c>
      <c r="G781" s="40">
        <v>8.1300931211863002E-5</v>
      </c>
      <c r="H781" s="27" t="s">
        <v>10</v>
      </c>
      <c r="I781" s="24" t="s">
        <v>2706</v>
      </c>
      <c r="J781" s="34" t="s">
        <v>10</v>
      </c>
    </row>
    <row r="782" spans="1:10" x14ac:dyDescent="0.2">
      <c r="A782" s="35" t="s">
        <v>2707</v>
      </c>
      <c r="B782" s="35">
        <v>179.56875470423299</v>
      </c>
      <c r="C782" s="35">
        <v>4.1107738409310599</v>
      </c>
      <c r="D782" s="35">
        <v>0.78295889821846998</v>
      </c>
      <c r="E782" s="35">
        <v>5.2503060509110302</v>
      </c>
      <c r="F782" s="40">
        <v>1.5184670878221099E-7</v>
      </c>
      <c r="G782" s="40">
        <v>8.5725719646079094E-5</v>
      </c>
      <c r="H782" s="27" t="s">
        <v>2603</v>
      </c>
      <c r="I782" s="24" t="s">
        <v>2708</v>
      </c>
      <c r="J782" s="34" t="s">
        <v>5013</v>
      </c>
    </row>
    <row r="783" spans="1:10" x14ac:dyDescent="0.2">
      <c r="A783" s="35" t="s">
        <v>2709</v>
      </c>
      <c r="B783" s="35">
        <v>43.281939518859701</v>
      </c>
      <c r="C783" s="35">
        <v>3.56034879913727</v>
      </c>
      <c r="D783" s="35">
        <v>0.67903317283368902</v>
      </c>
      <c r="E783" s="35">
        <v>5.2432619518123103</v>
      </c>
      <c r="F783" s="40">
        <v>1.57762309984834E-7</v>
      </c>
      <c r="G783" s="40">
        <v>8.8404239138156898E-5</v>
      </c>
      <c r="H783" s="27" t="s">
        <v>2710</v>
      </c>
      <c r="I783" s="24" t="s">
        <v>2711</v>
      </c>
      <c r="J783" s="34" t="s">
        <v>10</v>
      </c>
    </row>
    <row r="784" spans="1:10" x14ac:dyDescent="0.2">
      <c r="A784" s="35" t="s">
        <v>2712</v>
      </c>
      <c r="B784" s="35">
        <v>13.728900388290301</v>
      </c>
      <c r="C784" s="35">
        <v>7.21334724265785</v>
      </c>
      <c r="D784" s="35">
        <v>1.3757689085887499</v>
      </c>
      <c r="E784" s="35">
        <v>5.2431387260068396</v>
      </c>
      <c r="F784" s="40">
        <v>1.5786775217204901E-7</v>
      </c>
      <c r="G784" s="40">
        <v>8.8404239138156898E-5</v>
      </c>
      <c r="H784" s="27" t="s">
        <v>10</v>
      </c>
      <c r="I784" s="24" t="s">
        <v>10</v>
      </c>
      <c r="J784" s="34" t="s">
        <v>10</v>
      </c>
    </row>
    <row r="785" spans="1:10" x14ac:dyDescent="0.2">
      <c r="A785" s="35" t="s">
        <v>2713</v>
      </c>
      <c r="B785" s="35">
        <v>30.029394424284501</v>
      </c>
      <c r="C785" s="35">
        <v>3.7880675440551901</v>
      </c>
      <c r="D785" s="35">
        <v>0.72255555586332598</v>
      </c>
      <c r="E785" s="35">
        <v>5.2425969371021104</v>
      </c>
      <c r="F785" s="40">
        <v>1.58332160615282E-7</v>
      </c>
      <c r="G785" s="40">
        <v>8.8425957959108897E-5</v>
      </c>
      <c r="H785" s="27" t="s">
        <v>10</v>
      </c>
      <c r="I785" s="24" t="s">
        <v>2714</v>
      </c>
      <c r="J785" s="34" t="s">
        <v>10</v>
      </c>
    </row>
    <row r="786" spans="1:10" x14ac:dyDescent="0.2">
      <c r="A786" s="35" t="s">
        <v>2715</v>
      </c>
      <c r="B786" s="35">
        <v>29.545750111461398</v>
      </c>
      <c r="C786" s="35">
        <v>8.3044312049248692</v>
      </c>
      <c r="D786" s="35">
        <v>1.58916812387134</v>
      </c>
      <c r="E786" s="35">
        <v>5.2256467268514202</v>
      </c>
      <c r="F786" s="40">
        <v>1.7354743376336501E-7</v>
      </c>
      <c r="G786" s="40">
        <v>9.5562335645264706E-5</v>
      </c>
      <c r="H786" s="27" t="s">
        <v>10</v>
      </c>
      <c r="I786" s="24" t="s">
        <v>2716</v>
      </c>
      <c r="J786" s="34" t="s">
        <v>10</v>
      </c>
    </row>
    <row r="787" spans="1:10" x14ac:dyDescent="0.2">
      <c r="A787" s="35" t="s">
        <v>2717</v>
      </c>
      <c r="B787" s="35">
        <v>22.925737138665699</v>
      </c>
      <c r="C787" s="35">
        <v>3.6555348353107702</v>
      </c>
      <c r="D787" s="35">
        <v>0.69988750028093105</v>
      </c>
      <c r="E787" s="35">
        <v>5.2230320356392399</v>
      </c>
      <c r="F787" s="40">
        <v>1.7601692392573E-7</v>
      </c>
      <c r="G787" s="40">
        <v>9.6486997485788599E-5</v>
      </c>
      <c r="H787" s="27" t="s">
        <v>10</v>
      </c>
      <c r="I787" s="24" t="s">
        <v>2718</v>
      </c>
      <c r="J787" s="34" t="s">
        <v>10</v>
      </c>
    </row>
    <row r="788" spans="1:10" x14ac:dyDescent="0.2">
      <c r="A788" s="35" t="s">
        <v>2719</v>
      </c>
      <c r="B788" s="35">
        <v>47.946819939160498</v>
      </c>
      <c r="C788" s="35">
        <v>2.6852707071288302</v>
      </c>
      <c r="D788" s="35">
        <v>0.51418715448907804</v>
      </c>
      <c r="E788" s="35">
        <v>5.2223605426258697</v>
      </c>
      <c r="F788" s="40">
        <v>1.7665658920994999E-7</v>
      </c>
      <c r="G788" s="40">
        <v>9.6582806178690405E-5</v>
      </c>
      <c r="H788" s="27" t="s">
        <v>10</v>
      </c>
      <c r="I788" s="24" t="s">
        <v>10</v>
      </c>
      <c r="J788" s="34" t="s">
        <v>10</v>
      </c>
    </row>
    <row r="789" spans="1:10" x14ac:dyDescent="0.2">
      <c r="A789" s="35" t="s">
        <v>2720</v>
      </c>
      <c r="B789" s="35">
        <v>24.5151906961223</v>
      </c>
      <c r="C789" s="35">
        <v>8.0378438614394501</v>
      </c>
      <c r="D789" s="35">
        <v>1.54041648835866</v>
      </c>
      <c r="E789" s="35">
        <v>5.2179679470997504</v>
      </c>
      <c r="F789" s="40">
        <v>1.8089675862919201E-7</v>
      </c>
      <c r="G789" s="40">
        <v>9.8079181673755406E-5</v>
      </c>
      <c r="H789" s="27" t="s">
        <v>10</v>
      </c>
      <c r="I789" s="24" t="s">
        <v>10</v>
      </c>
      <c r="J789" s="34" t="s">
        <v>10</v>
      </c>
    </row>
    <row r="790" spans="1:10" x14ac:dyDescent="0.2">
      <c r="A790" s="35" t="s">
        <v>2721</v>
      </c>
      <c r="B790" s="35">
        <v>36.934144284945504</v>
      </c>
      <c r="C790" s="35">
        <v>4.9287345679321</v>
      </c>
      <c r="D790" s="35">
        <v>0.94472832277407504</v>
      </c>
      <c r="E790" s="35">
        <v>5.2170919926053401</v>
      </c>
      <c r="F790" s="40">
        <v>1.81754004430177E-7</v>
      </c>
      <c r="G790" s="40">
        <v>9.8079181673755406E-5</v>
      </c>
      <c r="H790" s="27" t="s">
        <v>10</v>
      </c>
      <c r="I790" s="34" t="s">
        <v>260</v>
      </c>
      <c r="J790" s="34" t="s">
        <v>10</v>
      </c>
    </row>
    <row r="791" spans="1:10" x14ac:dyDescent="0.2">
      <c r="A791" s="35" t="s">
        <v>2722</v>
      </c>
      <c r="B791" s="35">
        <v>22.890906001514299</v>
      </c>
      <c r="C791" s="35">
        <v>7.9445575148150702</v>
      </c>
      <c r="D791" s="35">
        <v>1.52578279990528</v>
      </c>
      <c r="E791" s="35">
        <v>5.2068731639315002</v>
      </c>
      <c r="F791" s="40">
        <v>1.9204926668808E-7</v>
      </c>
      <c r="G791" s="35">
        <v>1.0336628873069599E-4</v>
      </c>
      <c r="H791" s="27" t="s">
        <v>10</v>
      </c>
      <c r="I791" s="24" t="s">
        <v>2723</v>
      </c>
      <c r="J791" s="34" t="s">
        <v>10</v>
      </c>
    </row>
    <row r="792" spans="1:10" x14ac:dyDescent="0.2">
      <c r="A792" s="35" t="s">
        <v>2724</v>
      </c>
      <c r="B792" s="35">
        <v>99.979886499854501</v>
      </c>
      <c r="C792" s="35">
        <v>10.0711228629547</v>
      </c>
      <c r="D792" s="35">
        <v>1.9379497586133501</v>
      </c>
      <c r="E792" s="35">
        <v>5.1967925474811301</v>
      </c>
      <c r="F792" s="40">
        <v>2.02756413305398E-7</v>
      </c>
      <c r="G792" s="35">
        <v>1.0800990103250301E-4</v>
      </c>
      <c r="H792" s="27" t="s">
        <v>10</v>
      </c>
      <c r="I792" s="24" t="s">
        <v>2725</v>
      </c>
      <c r="J792" s="34" t="s">
        <v>10</v>
      </c>
    </row>
    <row r="793" spans="1:10" x14ac:dyDescent="0.2">
      <c r="A793" s="35" t="s">
        <v>2726</v>
      </c>
      <c r="B793" s="35">
        <v>75.045513862872596</v>
      </c>
      <c r="C793" s="35">
        <v>2.4485756398063101</v>
      </c>
      <c r="D793" s="35">
        <v>0.471245752317766</v>
      </c>
      <c r="E793" s="35">
        <v>5.1959633116336503</v>
      </c>
      <c r="F793" s="40">
        <v>2.03662425501968E-7</v>
      </c>
      <c r="G793" s="35">
        <v>1.08215066170299E-4</v>
      </c>
      <c r="H793" s="27" t="s">
        <v>10</v>
      </c>
      <c r="I793" s="24" t="s">
        <v>2727</v>
      </c>
      <c r="J793" s="34" t="s">
        <v>10</v>
      </c>
    </row>
    <row r="794" spans="1:10" x14ac:dyDescent="0.2">
      <c r="A794" s="35" t="s">
        <v>2728</v>
      </c>
      <c r="B794" s="35">
        <v>46.4374708931648</v>
      </c>
      <c r="C794" s="35">
        <v>6.4823348057269596</v>
      </c>
      <c r="D794" s="35">
        <v>1.2492475264712899</v>
      </c>
      <c r="E794" s="35">
        <v>5.1889915075816804</v>
      </c>
      <c r="F794" s="40">
        <v>2.1143603797046401E-7</v>
      </c>
      <c r="G794" s="35">
        <v>1.11207862036941E-4</v>
      </c>
      <c r="H794" s="27" t="s">
        <v>10</v>
      </c>
      <c r="I794" s="24" t="s">
        <v>2729</v>
      </c>
      <c r="J794" s="34" t="s">
        <v>10</v>
      </c>
    </row>
    <row r="795" spans="1:10" x14ac:dyDescent="0.2">
      <c r="A795" s="35" t="s">
        <v>2730</v>
      </c>
      <c r="B795" s="35">
        <v>22.086268665273401</v>
      </c>
      <c r="C795" s="35">
        <v>5.0150786583234996</v>
      </c>
      <c r="D795" s="35">
        <v>0.96761213666828205</v>
      </c>
      <c r="E795" s="35">
        <v>5.1829431114739899</v>
      </c>
      <c r="F795" s="40">
        <v>2.18411672799078E-7</v>
      </c>
      <c r="G795" s="35">
        <v>1.14010893201119E-4</v>
      </c>
      <c r="H795" s="27" t="s">
        <v>10</v>
      </c>
      <c r="I795" s="24" t="s">
        <v>2731</v>
      </c>
      <c r="J795" s="34" t="s">
        <v>10</v>
      </c>
    </row>
    <row r="796" spans="1:10" x14ac:dyDescent="0.2">
      <c r="A796" s="35" t="s">
        <v>2732</v>
      </c>
      <c r="B796" s="35">
        <v>27.425545550809701</v>
      </c>
      <c r="C796" s="35">
        <v>8.2084023874299596</v>
      </c>
      <c r="D796" s="35">
        <v>1.58406410323721</v>
      </c>
      <c r="E796" s="35">
        <v>5.1818625083765202</v>
      </c>
      <c r="F796" s="40">
        <v>2.1968113117022701E-7</v>
      </c>
      <c r="G796" s="35">
        <v>1.14386148088726E-4</v>
      </c>
      <c r="H796" s="27" t="s">
        <v>10</v>
      </c>
      <c r="I796" s="24" t="s">
        <v>2733</v>
      </c>
      <c r="J796" s="34" t="s">
        <v>10</v>
      </c>
    </row>
    <row r="797" spans="1:10" x14ac:dyDescent="0.2">
      <c r="A797" s="35" t="s">
        <v>2734</v>
      </c>
      <c r="B797" s="35">
        <v>74.628863187340798</v>
      </c>
      <c r="C797" s="35">
        <v>9.6496365026795505</v>
      </c>
      <c r="D797" s="35">
        <v>1.86497990123519</v>
      </c>
      <c r="E797" s="35">
        <v>5.1741235904411198</v>
      </c>
      <c r="F797" s="40">
        <v>2.28983224669477E-7</v>
      </c>
      <c r="G797" s="35">
        <v>1.18339897573214E-4</v>
      </c>
      <c r="H797" s="27" t="s">
        <v>2580</v>
      </c>
      <c r="I797" s="24" t="s">
        <v>2735</v>
      </c>
      <c r="J797" s="34" t="s">
        <v>5087</v>
      </c>
    </row>
    <row r="798" spans="1:10" x14ac:dyDescent="0.2">
      <c r="A798" s="35" t="s">
        <v>2736</v>
      </c>
      <c r="B798" s="35">
        <v>34.765278453565102</v>
      </c>
      <c r="C798" s="35">
        <v>5.5627692744336503</v>
      </c>
      <c r="D798" s="35">
        <v>1.0754327753933199</v>
      </c>
      <c r="E798" s="35">
        <v>5.1725867034312598</v>
      </c>
      <c r="F798" s="40">
        <v>2.30875308828529E-7</v>
      </c>
      <c r="G798" s="35">
        <v>1.1902166417116601E-4</v>
      </c>
      <c r="H798" s="27" t="s">
        <v>10</v>
      </c>
      <c r="I798" s="24" t="s">
        <v>10</v>
      </c>
      <c r="J798" s="34" t="s">
        <v>10</v>
      </c>
    </row>
    <row r="799" spans="1:10" x14ac:dyDescent="0.2">
      <c r="A799" s="35" t="s">
        <v>2737</v>
      </c>
      <c r="B799" s="35">
        <v>16.3896967071422</v>
      </c>
      <c r="C799" s="35">
        <v>7.4676900075992103</v>
      </c>
      <c r="D799" s="35">
        <v>1.4474067953123599</v>
      </c>
      <c r="E799" s="35">
        <v>5.1593581236349202</v>
      </c>
      <c r="F799" s="40">
        <v>2.4779791939545999E-7</v>
      </c>
      <c r="G799" s="35">
        <v>1.2680173532493401E-4</v>
      </c>
      <c r="H799" s="27" t="s">
        <v>10</v>
      </c>
      <c r="I799" s="24" t="s">
        <v>10</v>
      </c>
      <c r="J799" s="34" t="s">
        <v>10</v>
      </c>
    </row>
    <row r="800" spans="1:10" x14ac:dyDescent="0.2">
      <c r="A800" s="35" t="s">
        <v>2738</v>
      </c>
      <c r="B800" s="35">
        <v>94.060368497390101</v>
      </c>
      <c r="C800" s="35">
        <v>2.23840015150006</v>
      </c>
      <c r="D800" s="35">
        <v>0.43403784493396602</v>
      </c>
      <c r="E800" s="35">
        <v>5.1571543302649303</v>
      </c>
      <c r="F800" s="40">
        <v>2.5073113961492302E-7</v>
      </c>
      <c r="G800" s="35">
        <v>1.27872455904732E-4</v>
      </c>
      <c r="H800" s="27" t="s">
        <v>10</v>
      </c>
      <c r="I800" s="24" t="s">
        <v>2739</v>
      </c>
      <c r="J800" s="34" t="s">
        <v>10</v>
      </c>
    </row>
    <row r="801" spans="1:10" x14ac:dyDescent="0.2">
      <c r="A801" s="35" t="s">
        <v>2740</v>
      </c>
      <c r="B801" s="35">
        <v>14.0704120807825</v>
      </c>
      <c r="C801" s="35">
        <v>7.2392542901299803</v>
      </c>
      <c r="D801" s="35">
        <v>1.4038096831957501</v>
      </c>
      <c r="E801" s="35">
        <v>5.1568630540073901</v>
      </c>
      <c r="F801" s="40">
        <v>2.5112132505983301E-7</v>
      </c>
      <c r="G801" s="35">
        <v>1.27872455904732E-4</v>
      </c>
      <c r="H801" s="27" t="s">
        <v>10</v>
      </c>
      <c r="I801" s="24" t="s">
        <v>2741</v>
      </c>
      <c r="J801" s="34" t="s">
        <v>10</v>
      </c>
    </row>
    <row r="802" spans="1:10" x14ac:dyDescent="0.2">
      <c r="A802" s="35" t="s">
        <v>2742</v>
      </c>
      <c r="B802" s="35">
        <v>27.425193409160201</v>
      </c>
      <c r="C802" s="35">
        <v>4.2422866832273698</v>
      </c>
      <c r="D802" s="35">
        <v>0.82446117604191305</v>
      </c>
      <c r="E802" s="35">
        <v>5.1455263225295997</v>
      </c>
      <c r="F802" s="40">
        <v>2.6677178976566599E-7</v>
      </c>
      <c r="G802" s="35">
        <v>1.3419719117325801E-4</v>
      </c>
      <c r="H802" s="27" t="s">
        <v>4994</v>
      </c>
      <c r="I802" s="24" t="s">
        <v>2743</v>
      </c>
      <c r="J802" s="34" t="s">
        <v>10</v>
      </c>
    </row>
    <row r="803" spans="1:10" x14ac:dyDescent="0.2">
      <c r="A803" s="35" t="s">
        <v>2744</v>
      </c>
      <c r="B803" s="35">
        <v>44.353165463396103</v>
      </c>
      <c r="C803" s="35">
        <v>2.7164622664874098</v>
      </c>
      <c r="D803" s="35">
        <v>0.52945026106327697</v>
      </c>
      <c r="E803" s="35">
        <v>5.1307223100278199</v>
      </c>
      <c r="F803" s="40">
        <v>2.8863244927974798E-7</v>
      </c>
      <c r="G803" s="35">
        <v>1.4449427260858599E-4</v>
      </c>
      <c r="H803" s="27" t="s">
        <v>4945</v>
      </c>
      <c r="I803" s="24" t="s">
        <v>2745</v>
      </c>
      <c r="J803" s="34" t="s">
        <v>10</v>
      </c>
    </row>
    <row r="804" spans="1:10" x14ac:dyDescent="0.2">
      <c r="A804" s="35" t="s">
        <v>2746</v>
      </c>
      <c r="B804" s="35">
        <v>93.421676358132302</v>
      </c>
      <c r="C804" s="35">
        <v>2.2459593617696201</v>
      </c>
      <c r="D804" s="35">
        <v>0.438349624007556</v>
      </c>
      <c r="E804" s="35">
        <v>5.1236712404044598</v>
      </c>
      <c r="F804" s="40">
        <v>2.9964325941451502E-7</v>
      </c>
      <c r="G804" s="35">
        <v>1.4928701439549601E-4</v>
      </c>
      <c r="H804" s="27" t="s">
        <v>10</v>
      </c>
      <c r="I804" s="24" t="s">
        <v>2747</v>
      </c>
      <c r="J804" s="34" t="s">
        <v>10</v>
      </c>
    </row>
    <row r="805" spans="1:10" x14ac:dyDescent="0.2">
      <c r="A805" s="35" t="s">
        <v>2748</v>
      </c>
      <c r="B805" s="35">
        <v>15.181067963179601</v>
      </c>
      <c r="C805" s="35">
        <v>7.3590440946995797</v>
      </c>
      <c r="D805" s="35">
        <v>1.43870210515139</v>
      </c>
      <c r="E805" s="35">
        <v>5.1150575705352299</v>
      </c>
      <c r="F805" s="40">
        <v>3.13645279853505E-7</v>
      </c>
      <c r="G805" s="35">
        <v>1.54778358102719E-4</v>
      </c>
      <c r="H805" s="27" t="s">
        <v>10</v>
      </c>
      <c r="I805" s="34" t="s">
        <v>5112</v>
      </c>
      <c r="J805" s="34" t="s">
        <v>10</v>
      </c>
    </row>
    <row r="806" spans="1:10" x14ac:dyDescent="0.2">
      <c r="A806" s="35" t="s">
        <v>2749</v>
      </c>
      <c r="B806" s="35">
        <v>11.890081420729301</v>
      </c>
      <c r="C806" s="35">
        <v>7.0052251460143804</v>
      </c>
      <c r="D806" s="35">
        <v>1.3723491748368</v>
      </c>
      <c r="E806" s="35">
        <v>5.1045501206698596</v>
      </c>
      <c r="F806" s="40">
        <v>3.3158238645298298E-7</v>
      </c>
      <c r="G806" s="35">
        <v>1.62856336359163E-4</v>
      </c>
      <c r="H806" s="27" t="s">
        <v>10</v>
      </c>
      <c r="I806" s="24" t="s">
        <v>2750</v>
      </c>
      <c r="J806" s="34" t="s">
        <v>3070</v>
      </c>
    </row>
    <row r="807" spans="1:10" x14ac:dyDescent="0.2">
      <c r="A807" s="35" t="s">
        <v>2751</v>
      </c>
      <c r="B807" s="35">
        <v>31.078616343494001</v>
      </c>
      <c r="C807" s="35">
        <v>4.0429049057087996</v>
      </c>
      <c r="D807" s="35">
        <v>0.79294756729285298</v>
      </c>
      <c r="E807" s="35">
        <v>5.0985778536548096</v>
      </c>
      <c r="F807" s="40">
        <v>3.42214780998494E-7</v>
      </c>
      <c r="G807" s="35">
        <v>1.67287468332054E-4</v>
      </c>
      <c r="H807" s="27" t="s">
        <v>10</v>
      </c>
      <c r="I807" s="24" t="s">
        <v>2752</v>
      </c>
      <c r="J807" s="34" t="s">
        <v>10</v>
      </c>
    </row>
    <row r="808" spans="1:10" x14ac:dyDescent="0.2">
      <c r="A808" s="35" t="s">
        <v>2753</v>
      </c>
      <c r="B808" s="35">
        <v>19.4443487198659</v>
      </c>
      <c r="C808" s="35">
        <v>7.6981103289028798</v>
      </c>
      <c r="D808" s="35">
        <v>1.5108855429479</v>
      </c>
      <c r="E808" s="35">
        <v>5.0950982785122596</v>
      </c>
      <c r="F808" s="40">
        <v>3.4856038868656501E-7</v>
      </c>
      <c r="G808" s="35">
        <v>1.6998946505156299E-4</v>
      </c>
      <c r="H808" s="27" t="s">
        <v>10</v>
      </c>
      <c r="I808" s="24" t="s">
        <v>2754</v>
      </c>
      <c r="J808" s="34" t="s">
        <v>10</v>
      </c>
    </row>
    <row r="809" spans="1:10" x14ac:dyDescent="0.2">
      <c r="A809" s="35" t="s">
        <v>2755</v>
      </c>
      <c r="B809" s="35">
        <v>22.568403519237702</v>
      </c>
      <c r="C809" s="35">
        <v>5.4440714830172396</v>
      </c>
      <c r="D809" s="35">
        <v>1.0687338365293599</v>
      </c>
      <c r="E809" s="35">
        <v>5.0939450936600803</v>
      </c>
      <c r="F809" s="40">
        <v>3.5068836732743899E-7</v>
      </c>
      <c r="G809" s="35">
        <v>1.7062672703156801E-4</v>
      </c>
      <c r="H809" s="27" t="s">
        <v>10</v>
      </c>
      <c r="I809" s="24" t="s">
        <v>2756</v>
      </c>
      <c r="J809" s="34" t="s">
        <v>10</v>
      </c>
    </row>
    <row r="810" spans="1:10" x14ac:dyDescent="0.2">
      <c r="A810" s="45" t="s">
        <v>2757</v>
      </c>
      <c r="B810" s="45">
        <v>43.734145245625101</v>
      </c>
      <c r="C810" s="45">
        <v>2.2352191925958298</v>
      </c>
      <c r="D810" s="45">
        <v>0.43919018277578198</v>
      </c>
      <c r="E810" s="45">
        <v>5.0894106477260896</v>
      </c>
      <c r="F810" s="46">
        <v>3.5917805056999E-7</v>
      </c>
      <c r="G810" s="45">
        <v>1.7434905391172599E-4</v>
      </c>
      <c r="H810" s="50" t="s">
        <v>4948</v>
      </c>
      <c r="I810" s="47" t="s">
        <v>2758</v>
      </c>
      <c r="J810" s="50" t="s">
        <v>10</v>
      </c>
    </row>
    <row r="811" spans="1:10" x14ac:dyDescent="0.2">
      <c r="A811" s="35" t="s">
        <v>2759</v>
      </c>
      <c r="B811" s="35">
        <v>11.8836982819152</v>
      </c>
      <c r="C811" s="35">
        <v>7.0029785168247098</v>
      </c>
      <c r="D811" s="35">
        <v>1.37880277160658</v>
      </c>
      <c r="E811" s="35">
        <v>5.0790284593530801</v>
      </c>
      <c r="F811" s="40">
        <v>3.7936988433374902E-7</v>
      </c>
      <c r="G811" s="35">
        <v>1.82868607168544E-4</v>
      </c>
      <c r="H811" s="27" t="s">
        <v>10</v>
      </c>
      <c r="I811" s="24" t="s">
        <v>2760</v>
      </c>
      <c r="J811" s="34" t="s">
        <v>10</v>
      </c>
    </row>
    <row r="812" spans="1:10" x14ac:dyDescent="0.2">
      <c r="A812" s="35" t="s">
        <v>2761</v>
      </c>
      <c r="B812" s="35">
        <v>14.3534179680007</v>
      </c>
      <c r="C812" s="35">
        <v>7.2582097006783197</v>
      </c>
      <c r="D812" s="35">
        <v>1.43163279252452</v>
      </c>
      <c r="E812" s="35">
        <v>5.0698822621122597</v>
      </c>
      <c r="F812" s="40">
        <v>3.9806187373187302E-7</v>
      </c>
      <c r="G812" s="35">
        <v>1.90552402394099E-4</v>
      </c>
      <c r="H812" s="27" t="s">
        <v>10</v>
      </c>
      <c r="I812" s="24" t="s">
        <v>2762</v>
      </c>
      <c r="J812" s="34" t="s">
        <v>10</v>
      </c>
    </row>
    <row r="813" spans="1:10" x14ac:dyDescent="0.2">
      <c r="A813" s="35" t="s">
        <v>2763</v>
      </c>
      <c r="B813" s="35">
        <v>2255.19924869243</v>
      </c>
      <c r="C813" s="35">
        <v>10.6751756492692</v>
      </c>
      <c r="D813" s="35">
        <v>2.1075252105257798</v>
      </c>
      <c r="E813" s="35">
        <v>5.0652659317920996</v>
      </c>
      <c r="F813" s="40">
        <v>4.07830614715422E-7</v>
      </c>
      <c r="G813" s="35">
        <v>1.9433315869453501E-4</v>
      </c>
      <c r="H813" s="27" t="s">
        <v>2764</v>
      </c>
      <c r="I813" s="24" t="s">
        <v>2765</v>
      </c>
      <c r="J813" s="34" t="s">
        <v>10</v>
      </c>
    </row>
    <row r="814" spans="1:10" x14ac:dyDescent="0.2">
      <c r="A814" s="35" t="s">
        <v>2766</v>
      </c>
      <c r="B814" s="35">
        <v>164.380709809449</v>
      </c>
      <c r="C814" s="35">
        <v>3.1270658669404301</v>
      </c>
      <c r="D814" s="35">
        <v>0.61877308757236704</v>
      </c>
      <c r="E814" s="35">
        <v>5.0536552570649897</v>
      </c>
      <c r="F814" s="40">
        <v>4.33433665735033E-7</v>
      </c>
      <c r="G814" s="35">
        <v>2.04655556041926E-4</v>
      </c>
      <c r="H814" s="27" t="s">
        <v>10</v>
      </c>
      <c r="I814" s="24" t="s">
        <v>2767</v>
      </c>
      <c r="J814" s="34" t="s">
        <v>10</v>
      </c>
    </row>
    <row r="815" spans="1:10" x14ac:dyDescent="0.2">
      <c r="A815" s="35" t="s">
        <v>2768</v>
      </c>
      <c r="B815" s="35">
        <v>11.9746762260982</v>
      </c>
      <c r="C815" s="35">
        <v>7.0147675410102002</v>
      </c>
      <c r="D815" s="35">
        <v>1.3960174808452099</v>
      </c>
      <c r="E815" s="35">
        <v>5.0248421937833898</v>
      </c>
      <c r="F815" s="40">
        <v>5.0384666268748203E-7</v>
      </c>
      <c r="G815" s="35">
        <v>2.34177107949218E-4</v>
      </c>
      <c r="H815" s="27" t="s">
        <v>10</v>
      </c>
      <c r="I815" s="24" t="s">
        <v>2769</v>
      </c>
      <c r="J815" s="34" t="s">
        <v>10</v>
      </c>
    </row>
    <row r="816" spans="1:10" x14ac:dyDescent="0.2">
      <c r="A816" s="35" t="s">
        <v>2770</v>
      </c>
      <c r="B816" s="35">
        <v>19.403734467725499</v>
      </c>
      <c r="C816" s="35">
        <v>6.7206870966430303</v>
      </c>
      <c r="D816" s="35">
        <v>1.33935453375402</v>
      </c>
      <c r="E816" s="35">
        <v>5.0178551886526099</v>
      </c>
      <c r="F816" s="40">
        <v>5.2251537777045901E-7</v>
      </c>
      <c r="G816" s="35">
        <v>2.417721711004E-4</v>
      </c>
      <c r="H816" s="27" t="s">
        <v>10</v>
      </c>
      <c r="I816" s="24" t="s">
        <v>10</v>
      </c>
      <c r="J816" s="34" t="s">
        <v>10</v>
      </c>
    </row>
    <row r="817" spans="1:10" x14ac:dyDescent="0.2">
      <c r="A817" s="35" t="s">
        <v>2771</v>
      </c>
      <c r="B817" s="35">
        <v>11.838231001137601</v>
      </c>
      <c r="C817" s="35">
        <v>6.9981320491672996</v>
      </c>
      <c r="D817" s="35">
        <v>1.3952152130802</v>
      </c>
      <c r="E817" s="35">
        <v>5.0158083022314397</v>
      </c>
      <c r="F817" s="40">
        <v>5.2810964778989996E-7</v>
      </c>
      <c r="G817" s="35">
        <v>2.42412602319019E-4</v>
      </c>
      <c r="H817" s="27" t="s">
        <v>2772</v>
      </c>
      <c r="I817" s="24" t="s">
        <v>2773</v>
      </c>
      <c r="J817" s="34" t="s">
        <v>5036</v>
      </c>
    </row>
    <row r="818" spans="1:10" x14ac:dyDescent="0.2">
      <c r="A818" s="35" t="s">
        <v>2774</v>
      </c>
      <c r="B818" s="35">
        <v>27.3699297970172</v>
      </c>
      <c r="C818" s="35">
        <v>7.2293211278317902</v>
      </c>
      <c r="D818" s="35">
        <v>1.4423149705348799</v>
      </c>
      <c r="E818" s="35">
        <v>5.0123040220200998</v>
      </c>
      <c r="F818" s="40">
        <v>5.3782140366588202E-7</v>
      </c>
      <c r="G818" s="35">
        <v>2.4605953361090402E-4</v>
      </c>
      <c r="H818" s="27" t="s">
        <v>10</v>
      </c>
      <c r="I818" s="24" t="s">
        <v>10</v>
      </c>
      <c r="J818" s="34" t="s">
        <v>10</v>
      </c>
    </row>
    <row r="819" spans="1:10" x14ac:dyDescent="0.2">
      <c r="A819" s="35" t="s">
        <v>2775</v>
      </c>
      <c r="B819" s="35">
        <v>58.082664046367</v>
      </c>
      <c r="C819" s="35">
        <v>3.7225393193646399</v>
      </c>
      <c r="D819" s="35">
        <v>0.742767941307383</v>
      </c>
      <c r="E819" s="35">
        <v>5.0117124236843198</v>
      </c>
      <c r="F819" s="40">
        <v>5.3947785735097903E-7</v>
      </c>
      <c r="G819" s="35">
        <v>2.4605953361090402E-4</v>
      </c>
      <c r="H819" s="27" t="s">
        <v>10</v>
      </c>
      <c r="I819" s="24" t="s">
        <v>10</v>
      </c>
      <c r="J819" s="34" t="s">
        <v>10</v>
      </c>
    </row>
    <row r="820" spans="1:10" x14ac:dyDescent="0.2">
      <c r="A820" s="35" t="s">
        <v>2776</v>
      </c>
      <c r="B820" s="35">
        <v>12.052288065186801</v>
      </c>
      <c r="C820" s="35">
        <v>7.0284266527861199</v>
      </c>
      <c r="D820" s="35">
        <v>1.4051002020808001</v>
      </c>
      <c r="E820" s="35">
        <v>5.0020821592494</v>
      </c>
      <c r="F820" s="40">
        <v>5.6714409059512196E-7</v>
      </c>
      <c r="G820" s="35">
        <v>2.56146929751479E-4</v>
      </c>
      <c r="H820" s="27" t="s">
        <v>10</v>
      </c>
      <c r="I820" s="24" t="s">
        <v>2777</v>
      </c>
      <c r="J820" s="34" t="s">
        <v>10</v>
      </c>
    </row>
    <row r="821" spans="1:10" x14ac:dyDescent="0.2">
      <c r="A821" s="35" t="s">
        <v>2778</v>
      </c>
      <c r="B821" s="35">
        <v>11.4289940426134</v>
      </c>
      <c r="C821" s="35">
        <v>6.93630386552534</v>
      </c>
      <c r="D821" s="35">
        <v>1.3876226486490399</v>
      </c>
      <c r="E821" s="35">
        <v>4.9986960592480898</v>
      </c>
      <c r="F821" s="40">
        <v>5.7719299755026105E-7</v>
      </c>
      <c r="G821" s="35">
        <v>2.5908584565193801E-4</v>
      </c>
      <c r="H821" s="27" t="s">
        <v>10</v>
      </c>
      <c r="I821" s="24" t="s">
        <v>10</v>
      </c>
      <c r="J821" s="34" t="s">
        <v>10</v>
      </c>
    </row>
    <row r="822" spans="1:10" x14ac:dyDescent="0.2">
      <c r="A822" s="35" t="s">
        <v>2779</v>
      </c>
      <c r="B822" s="35">
        <v>27.4641107180537</v>
      </c>
      <c r="C822" s="35">
        <v>2.9696944546835198</v>
      </c>
      <c r="D822" s="35">
        <v>0.59410174289323803</v>
      </c>
      <c r="E822" s="35">
        <v>4.99862942704274</v>
      </c>
      <c r="F822" s="40">
        <v>5.7739245334357299E-7</v>
      </c>
      <c r="G822" s="35">
        <v>2.5908584565193801E-4</v>
      </c>
      <c r="H822" s="27" t="s">
        <v>4975</v>
      </c>
      <c r="I822" s="24" t="s">
        <v>2780</v>
      </c>
      <c r="J822" s="34" t="s">
        <v>5067</v>
      </c>
    </row>
    <row r="823" spans="1:10" x14ac:dyDescent="0.2">
      <c r="A823" s="35" t="s">
        <v>2781</v>
      </c>
      <c r="B823" s="35">
        <v>11.2211346357654</v>
      </c>
      <c r="C823" s="35">
        <v>6.9083630970831003</v>
      </c>
      <c r="D823" s="35">
        <v>1.3839601141698901</v>
      </c>
      <c r="E823" s="35">
        <v>4.9917356911884703</v>
      </c>
      <c r="F823" s="40">
        <v>5.9839104529636696E-7</v>
      </c>
      <c r="G823" s="35">
        <v>2.6564636866106698E-4</v>
      </c>
      <c r="H823" s="27" t="s">
        <v>10</v>
      </c>
      <c r="I823" s="24" t="s">
        <v>2783</v>
      </c>
      <c r="J823" s="34" t="s">
        <v>10</v>
      </c>
    </row>
    <row r="824" spans="1:10" x14ac:dyDescent="0.2">
      <c r="A824" s="35" t="s">
        <v>2784</v>
      </c>
      <c r="B824" s="35">
        <v>11.750843256452301</v>
      </c>
      <c r="C824" s="35">
        <v>6.97387134186362</v>
      </c>
      <c r="D824" s="35">
        <v>1.39897040976938</v>
      </c>
      <c r="E824" s="35">
        <v>4.9850027514258004</v>
      </c>
      <c r="F824" s="40">
        <v>6.1960931176889497E-7</v>
      </c>
      <c r="G824" s="35">
        <v>2.7388840888480602E-4</v>
      </c>
      <c r="H824" s="27" t="s">
        <v>10</v>
      </c>
      <c r="I824" s="24" t="s">
        <v>10</v>
      </c>
      <c r="J824" s="34" t="s">
        <v>10</v>
      </c>
    </row>
    <row r="825" spans="1:10" x14ac:dyDescent="0.2">
      <c r="A825" s="35" t="s">
        <v>2785</v>
      </c>
      <c r="B825" s="35">
        <v>52.835568279670099</v>
      </c>
      <c r="C825" s="35">
        <v>2.7765921129353202</v>
      </c>
      <c r="D825" s="35">
        <v>0.557633035504005</v>
      </c>
      <c r="E825" s="35">
        <v>4.97924609223654</v>
      </c>
      <c r="F825" s="40">
        <v>6.3832435263697695E-7</v>
      </c>
      <c r="G825" s="35">
        <v>2.8037148880855799E-4</v>
      </c>
      <c r="H825" s="27" t="s">
        <v>10</v>
      </c>
      <c r="I825" s="24" t="s">
        <v>2531</v>
      </c>
      <c r="J825" s="34" t="s">
        <v>10</v>
      </c>
    </row>
    <row r="826" spans="1:10" x14ac:dyDescent="0.2">
      <c r="A826" s="35" t="s">
        <v>2786</v>
      </c>
      <c r="B826" s="35">
        <v>24.972052804338901</v>
      </c>
      <c r="C826" s="35">
        <v>3.5573615742064302</v>
      </c>
      <c r="D826" s="35">
        <v>0.71517283622610395</v>
      </c>
      <c r="E826" s="35">
        <v>4.9741284819740601</v>
      </c>
      <c r="F826" s="40">
        <v>6.55418301768731E-7</v>
      </c>
      <c r="G826" s="35">
        <v>2.8727233059549497E-4</v>
      </c>
      <c r="H826" s="27" t="s">
        <v>10</v>
      </c>
      <c r="I826" s="24" t="s">
        <v>10</v>
      </c>
      <c r="J826" s="34" t="s">
        <v>10</v>
      </c>
    </row>
    <row r="827" spans="1:10" x14ac:dyDescent="0.2">
      <c r="A827" s="35" t="s">
        <v>2787</v>
      </c>
      <c r="B827" s="35">
        <v>143.04875497369301</v>
      </c>
      <c r="C827" s="35">
        <v>3.3114076295494002</v>
      </c>
      <c r="D827" s="35">
        <v>0.66593280790613496</v>
      </c>
      <c r="E827" s="35">
        <v>4.9725852071492298</v>
      </c>
      <c r="F827" s="40">
        <v>6.6065917995559496E-7</v>
      </c>
      <c r="G827" s="35">
        <v>2.8895980755969401E-4</v>
      </c>
      <c r="H827" s="27" t="s">
        <v>10</v>
      </c>
      <c r="I827" s="24" t="s">
        <v>10</v>
      </c>
      <c r="J827" s="34" t="s">
        <v>10</v>
      </c>
    </row>
    <row r="828" spans="1:10" x14ac:dyDescent="0.2">
      <c r="A828" s="35" t="s">
        <v>2788</v>
      </c>
      <c r="B828" s="35">
        <v>12.108285129114799</v>
      </c>
      <c r="C828" s="35">
        <v>7.0154984620433796</v>
      </c>
      <c r="D828" s="35">
        <v>1.41112576342264</v>
      </c>
      <c r="E828" s="35">
        <v>4.9715614609909302</v>
      </c>
      <c r="F828" s="40">
        <v>6.64158022545233E-7</v>
      </c>
      <c r="G828" s="35">
        <v>2.8987986162165401E-4</v>
      </c>
      <c r="H828" s="27" t="s">
        <v>10</v>
      </c>
      <c r="I828" s="24" t="s">
        <v>10</v>
      </c>
      <c r="J828" s="34" t="s">
        <v>10</v>
      </c>
    </row>
    <row r="829" spans="1:10" x14ac:dyDescent="0.2">
      <c r="A829" s="35" t="s">
        <v>2789</v>
      </c>
      <c r="B829" s="35">
        <v>12.407221196503199</v>
      </c>
      <c r="C829" s="35">
        <v>7.0450681555897603</v>
      </c>
      <c r="D829" s="35">
        <v>1.4185795454751899</v>
      </c>
      <c r="E829" s="35">
        <v>4.9662834756508802</v>
      </c>
      <c r="F829" s="40">
        <v>6.8248173374406502E-7</v>
      </c>
      <c r="G829" s="35">
        <v>2.9547447396239201E-4</v>
      </c>
      <c r="H829" s="27" t="s">
        <v>10</v>
      </c>
      <c r="I829" s="24" t="s">
        <v>2790</v>
      </c>
      <c r="J829" s="34" t="s">
        <v>10</v>
      </c>
    </row>
    <row r="830" spans="1:10" x14ac:dyDescent="0.2">
      <c r="A830" s="35" t="s">
        <v>2791</v>
      </c>
      <c r="B830" s="35">
        <v>13.2711743454316</v>
      </c>
      <c r="C830" s="35">
        <v>7.1476611117644699</v>
      </c>
      <c r="D830" s="35">
        <v>1.43925253580151</v>
      </c>
      <c r="E830" s="35">
        <v>4.96623138328117</v>
      </c>
      <c r="F830" s="40">
        <v>6.8266498922749801E-7</v>
      </c>
      <c r="G830" s="35">
        <v>2.9547447396239201E-4</v>
      </c>
      <c r="H830" s="27" t="s">
        <v>4962</v>
      </c>
      <c r="I830" s="24" t="s">
        <v>2792</v>
      </c>
      <c r="J830" s="34" t="s">
        <v>5058</v>
      </c>
    </row>
    <row r="831" spans="1:10" x14ac:dyDescent="0.2">
      <c r="A831" s="35" t="s">
        <v>2793</v>
      </c>
      <c r="B831" s="35">
        <v>120.329097177405</v>
      </c>
      <c r="C831" s="35">
        <v>4.0129260405374803</v>
      </c>
      <c r="D831" s="35">
        <v>0.80906926614487196</v>
      </c>
      <c r="E831" s="35">
        <v>4.9599289065306396</v>
      </c>
      <c r="F831" s="40">
        <v>7.0518983026084898E-7</v>
      </c>
      <c r="G831" s="35">
        <v>3.0395729953459102E-4</v>
      </c>
      <c r="H831" s="27" t="s">
        <v>10</v>
      </c>
      <c r="I831" s="24" t="s">
        <v>2794</v>
      </c>
      <c r="J831" s="34" t="s">
        <v>10</v>
      </c>
    </row>
    <row r="832" spans="1:10" x14ac:dyDescent="0.2">
      <c r="A832" s="35" t="s">
        <v>2795</v>
      </c>
      <c r="B832" s="35">
        <v>99.786907324815004</v>
      </c>
      <c r="C832" s="35">
        <v>10.0681393276663</v>
      </c>
      <c r="D832" s="35">
        <v>2.0341984232848702</v>
      </c>
      <c r="E832" s="35">
        <v>4.9494381730018198</v>
      </c>
      <c r="F832" s="40">
        <v>7.4428015729941199E-7</v>
      </c>
      <c r="G832" s="35">
        <v>3.1948071975185298E-4</v>
      </c>
      <c r="H832" s="27" t="s">
        <v>10</v>
      </c>
      <c r="I832" s="24" t="s">
        <v>10</v>
      </c>
      <c r="J832" s="34" t="s">
        <v>10</v>
      </c>
    </row>
    <row r="833" spans="1:10" x14ac:dyDescent="0.2">
      <c r="A833" s="35" t="s">
        <v>2796</v>
      </c>
      <c r="B833" s="35">
        <v>13.5145157436431</v>
      </c>
      <c r="C833" s="35">
        <v>7.1913741146071501</v>
      </c>
      <c r="D833" s="35">
        <v>1.4548123887573601</v>
      </c>
      <c r="E833" s="35">
        <v>4.9431625480930297</v>
      </c>
      <c r="F833" s="40">
        <v>7.6865342999712304E-7</v>
      </c>
      <c r="G833" s="35">
        <v>3.28585107000992E-4</v>
      </c>
      <c r="H833" s="27" t="s">
        <v>10</v>
      </c>
      <c r="I833" s="24" t="s">
        <v>2797</v>
      </c>
      <c r="J833" s="34" t="s">
        <v>10</v>
      </c>
    </row>
    <row r="834" spans="1:10" x14ac:dyDescent="0.2">
      <c r="A834" s="35" t="s">
        <v>2798</v>
      </c>
      <c r="B834" s="35">
        <v>44.7402135983832</v>
      </c>
      <c r="C834" s="35">
        <v>3.5926067569174802</v>
      </c>
      <c r="D834" s="35">
        <v>0.72772044365967803</v>
      </c>
      <c r="E834" s="35">
        <v>4.93679515014089</v>
      </c>
      <c r="F834" s="40">
        <v>7.9416811394015396E-7</v>
      </c>
      <c r="G834" s="35">
        <v>3.3672079730561399E-4</v>
      </c>
      <c r="H834" s="27" t="s">
        <v>10</v>
      </c>
      <c r="I834" s="24" t="s">
        <v>10</v>
      </c>
      <c r="J834" s="34" t="s">
        <v>10</v>
      </c>
    </row>
    <row r="835" spans="1:10" x14ac:dyDescent="0.2">
      <c r="A835" s="35" t="s">
        <v>2799</v>
      </c>
      <c r="B835" s="35">
        <v>33.443409730586303</v>
      </c>
      <c r="C835" s="35">
        <v>3.3995864356284802</v>
      </c>
      <c r="D835" s="35">
        <v>0.68963700855992005</v>
      </c>
      <c r="E835" s="35">
        <v>4.9295301635963504</v>
      </c>
      <c r="F835" s="40">
        <v>8.2427608843376797E-7</v>
      </c>
      <c r="G835" s="35">
        <v>3.4806565656228902E-4</v>
      </c>
      <c r="H835" s="27" t="s">
        <v>10</v>
      </c>
      <c r="I835" s="24" t="s">
        <v>2800</v>
      </c>
      <c r="J835" s="34" t="s">
        <v>10</v>
      </c>
    </row>
    <row r="836" spans="1:10" x14ac:dyDescent="0.2">
      <c r="A836" s="35" t="s">
        <v>2801</v>
      </c>
      <c r="B836" s="35">
        <v>11.357765342338899</v>
      </c>
      <c r="C836" s="35">
        <v>6.9236107955031398</v>
      </c>
      <c r="D836" s="35">
        <v>1.4063714943277099</v>
      </c>
      <c r="E836" s="35">
        <v>4.9230312356500399</v>
      </c>
      <c r="F836" s="40">
        <v>8.5213844691198299E-7</v>
      </c>
      <c r="G836" s="35">
        <v>3.5765025288211297E-4</v>
      </c>
      <c r="H836" s="27" t="s">
        <v>10</v>
      </c>
      <c r="I836" s="24" t="s">
        <v>10</v>
      </c>
      <c r="J836" s="34" t="s">
        <v>10</v>
      </c>
    </row>
    <row r="837" spans="1:10" x14ac:dyDescent="0.2">
      <c r="A837" s="35" t="s">
        <v>2802</v>
      </c>
      <c r="B837" s="35">
        <v>31.783352555925301</v>
      </c>
      <c r="C837" s="35">
        <v>4.5031310428607698</v>
      </c>
      <c r="D837" s="35">
        <v>0.91715685068408703</v>
      </c>
      <c r="E837" s="35">
        <v>4.9098810519727198</v>
      </c>
      <c r="F837" s="40">
        <v>9.1131653712738499E-7</v>
      </c>
      <c r="G837" s="35">
        <v>3.7750420821481997E-4</v>
      </c>
      <c r="H837" s="27" t="s">
        <v>10</v>
      </c>
      <c r="I837" s="24" t="s">
        <v>2803</v>
      </c>
      <c r="J837" s="34" t="s">
        <v>10</v>
      </c>
    </row>
    <row r="838" spans="1:10" x14ac:dyDescent="0.2">
      <c r="A838" s="35" t="s">
        <v>2804</v>
      </c>
      <c r="B838" s="35">
        <v>14.872869052405401</v>
      </c>
      <c r="C838" s="35">
        <v>7.3224256030228503</v>
      </c>
      <c r="D838" s="35">
        <v>1.49189704374673</v>
      </c>
      <c r="E838" s="35">
        <v>4.9081306472954802</v>
      </c>
      <c r="F838" s="40">
        <v>9.1948597370051402E-7</v>
      </c>
      <c r="G838" s="35">
        <v>3.7977878320501798E-4</v>
      </c>
      <c r="H838" s="27" t="s">
        <v>10</v>
      </c>
      <c r="I838" s="24" t="s">
        <v>2805</v>
      </c>
      <c r="J838" s="34" t="s">
        <v>10</v>
      </c>
    </row>
    <row r="839" spans="1:10" x14ac:dyDescent="0.2">
      <c r="A839" s="35" t="s">
        <v>2806</v>
      </c>
      <c r="B839" s="35">
        <v>10.5745879350411</v>
      </c>
      <c r="C839" s="35">
        <v>6.8293690467142198</v>
      </c>
      <c r="D839" s="35">
        <v>1.39159850936645</v>
      </c>
      <c r="E839" s="35">
        <v>4.9075714013400402</v>
      </c>
      <c r="F839" s="40">
        <v>9.2211089983646904E-7</v>
      </c>
      <c r="G839" s="35">
        <v>3.8010728592544703E-4</v>
      </c>
      <c r="H839" s="27" t="s">
        <v>10</v>
      </c>
      <c r="I839" s="24" t="s">
        <v>10</v>
      </c>
      <c r="J839" s="34" t="s">
        <v>10</v>
      </c>
    </row>
    <row r="840" spans="1:10" x14ac:dyDescent="0.2">
      <c r="A840" s="35" t="s">
        <v>2807</v>
      </c>
      <c r="B840" s="35">
        <v>25.928395412755702</v>
      </c>
      <c r="C840" s="35">
        <v>3.1836178366941499</v>
      </c>
      <c r="D840" s="35">
        <v>0.64965360818929196</v>
      </c>
      <c r="E840" s="35">
        <v>4.90048511477909</v>
      </c>
      <c r="F840" s="40">
        <v>9.5600301172220999E-7</v>
      </c>
      <c r="G840" s="35">
        <v>3.9329774594724698E-4</v>
      </c>
      <c r="H840" s="27" t="s">
        <v>10</v>
      </c>
      <c r="I840" s="24" t="s">
        <v>2808</v>
      </c>
      <c r="J840" s="34" t="s">
        <v>10</v>
      </c>
    </row>
    <row r="841" spans="1:10" x14ac:dyDescent="0.2">
      <c r="A841" s="35" t="s">
        <v>2809</v>
      </c>
      <c r="B841" s="35">
        <v>31.6759717280781</v>
      </c>
      <c r="C841" s="35">
        <v>3.2680658356396499</v>
      </c>
      <c r="D841" s="35">
        <v>0.66795112782503996</v>
      </c>
      <c r="E841" s="35">
        <v>4.8926720825833598</v>
      </c>
      <c r="F841" s="40">
        <v>9.9476072513849299E-7</v>
      </c>
      <c r="G841" s="35">
        <v>4.0674339402990798E-4</v>
      </c>
      <c r="H841" s="27" t="s">
        <v>10</v>
      </c>
      <c r="I841" s="24" t="s">
        <v>10</v>
      </c>
      <c r="J841" s="34" t="s">
        <v>10</v>
      </c>
    </row>
    <row r="842" spans="1:10" x14ac:dyDescent="0.2">
      <c r="A842" s="35" t="s">
        <v>2810</v>
      </c>
      <c r="B842" s="35">
        <v>140.36742494785</v>
      </c>
      <c r="C842" s="35">
        <v>2.8439439509717501</v>
      </c>
      <c r="D842" s="35">
        <v>0.58265301402780201</v>
      </c>
      <c r="E842" s="35">
        <v>4.8810250397778701</v>
      </c>
      <c r="F842" s="40">
        <v>1.05535839328245E-6</v>
      </c>
      <c r="G842" s="35">
        <v>4.2740163421985903E-4</v>
      </c>
      <c r="H842" s="27" t="s">
        <v>10</v>
      </c>
      <c r="I842" s="34" t="s">
        <v>5124</v>
      </c>
      <c r="J842" s="34" t="s">
        <v>5014</v>
      </c>
    </row>
    <row r="843" spans="1:10" x14ac:dyDescent="0.2">
      <c r="A843" s="35" t="s">
        <v>2811</v>
      </c>
      <c r="B843" s="35">
        <v>21.3996781868662</v>
      </c>
      <c r="C843" s="35">
        <v>7.8416881716183697</v>
      </c>
      <c r="D843" s="35">
        <v>1.61101973835946</v>
      </c>
      <c r="E843" s="35">
        <v>4.8675307849448002</v>
      </c>
      <c r="F843" s="40">
        <v>1.13001233439765E-6</v>
      </c>
      <c r="G843" s="35">
        <v>4.5497450105642999E-4</v>
      </c>
      <c r="H843" s="27" t="s">
        <v>2812</v>
      </c>
      <c r="I843" s="24" t="s">
        <v>2813</v>
      </c>
      <c r="J843" s="34" t="s">
        <v>10</v>
      </c>
    </row>
    <row r="844" spans="1:10" x14ac:dyDescent="0.2">
      <c r="A844" s="35" t="s">
        <v>2814</v>
      </c>
      <c r="B844" s="35">
        <v>23.0773782614636</v>
      </c>
      <c r="C844" s="35">
        <v>7.9621882614560802</v>
      </c>
      <c r="D844" s="35">
        <v>1.64072298398692</v>
      </c>
      <c r="E844" s="35">
        <v>4.85285349151882</v>
      </c>
      <c r="F844" s="40">
        <v>1.2169759716381601E-6</v>
      </c>
      <c r="G844" s="35">
        <v>4.8715618490107501E-4</v>
      </c>
      <c r="H844" s="27" t="s">
        <v>10</v>
      </c>
      <c r="I844" s="24" t="s">
        <v>10</v>
      </c>
      <c r="J844" s="34" t="s">
        <v>10</v>
      </c>
    </row>
    <row r="845" spans="1:10" x14ac:dyDescent="0.2">
      <c r="A845" s="35" t="s">
        <v>2815</v>
      </c>
      <c r="B845" s="35">
        <v>9.9897228932352107</v>
      </c>
      <c r="C845" s="35">
        <v>6.7489625475315602</v>
      </c>
      <c r="D845" s="35">
        <v>1.3918381140573199</v>
      </c>
      <c r="E845" s="35">
        <v>4.8489565556283001</v>
      </c>
      <c r="F845" s="40">
        <v>1.2411259688201299E-6</v>
      </c>
      <c r="G845" s="35">
        <v>4.9586801303498802E-4</v>
      </c>
      <c r="H845" s="27" t="s">
        <v>10</v>
      </c>
      <c r="I845" s="24" t="s">
        <v>10</v>
      </c>
      <c r="J845" s="34" t="s">
        <v>10</v>
      </c>
    </row>
    <row r="846" spans="1:10" x14ac:dyDescent="0.2">
      <c r="A846" s="35" t="s">
        <v>2816</v>
      </c>
      <c r="B846" s="35">
        <v>27.577754144669399</v>
      </c>
      <c r="C846" s="35">
        <v>5.33196628438197</v>
      </c>
      <c r="D846" s="35">
        <v>1.1005775076636899</v>
      </c>
      <c r="E846" s="35">
        <v>4.8446985762054</v>
      </c>
      <c r="F846" s="40">
        <v>1.2680403888417999E-6</v>
      </c>
      <c r="G846" s="35">
        <v>5.0322939062888102E-4</v>
      </c>
      <c r="H846" s="27" t="s">
        <v>10</v>
      </c>
      <c r="I846" s="24" t="s">
        <v>2817</v>
      </c>
      <c r="J846" s="34" t="s">
        <v>10</v>
      </c>
    </row>
    <row r="847" spans="1:10" x14ac:dyDescent="0.2">
      <c r="A847" s="35" t="s">
        <v>2818</v>
      </c>
      <c r="B847" s="35">
        <v>18.2707790299308</v>
      </c>
      <c r="C847" s="35">
        <v>5.7499667531960297</v>
      </c>
      <c r="D847" s="35">
        <v>1.1893967805147501</v>
      </c>
      <c r="E847" s="35">
        <v>4.8343554038439098</v>
      </c>
      <c r="F847" s="40">
        <v>1.33577755611225E-6</v>
      </c>
      <c r="G847" s="35">
        <v>5.2559810974935105E-4</v>
      </c>
      <c r="H847" s="27" t="s">
        <v>10</v>
      </c>
      <c r="I847" s="24" t="s">
        <v>10</v>
      </c>
      <c r="J847" s="34" t="s">
        <v>10</v>
      </c>
    </row>
    <row r="848" spans="1:10" x14ac:dyDescent="0.2">
      <c r="A848" s="35" t="s">
        <v>2819</v>
      </c>
      <c r="B848" s="35">
        <v>12.3352820013026</v>
      </c>
      <c r="C848" s="35">
        <v>7.0591238844254596</v>
      </c>
      <c r="D848" s="35">
        <v>1.46090300122051</v>
      </c>
      <c r="E848" s="35">
        <v>4.8320277790708204</v>
      </c>
      <c r="F848" s="40">
        <v>1.35149391457064E-6</v>
      </c>
      <c r="G848" s="35">
        <v>5.2778377766078601E-4</v>
      </c>
      <c r="H848" s="27" t="s">
        <v>10</v>
      </c>
      <c r="I848" s="24" t="s">
        <v>2820</v>
      </c>
      <c r="J848" s="34" t="s">
        <v>10</v>
      </c>
    </row>
    <row r="849" spans="1:10" x14ac:dyDescent="0.2">
      <c r="A849" s="35" t="s">
        <v>2821</v>
      </c>
      <c r="B849" s="35">
        <v>37.296775397525003</v>
      </c>
      <c r="C849" s="35">
        <v>2.3597140939755001</v>
      </c>
      <c r="D849" s="35">
        <v>0.48844086732543002</v>
      </c>
      <c r="E849" s="35">
        <v>4.83111519086569</v>
      </c>
      <c r="F849" s="40">
        <v>1.35770420671154E-6</v>
      </c>
      <c r="G849" s="35">
        <v>5.2921424984908496E-4</v>
      </c>
      <c r="H849" s="27" t="s">
        <v>10</v>
      </c>
      <c r="I849" s="24" t="s">
        <v>10</v>
      </c>
      <c r="J849" s="34" t="s">
        <v>10</v>
      </c>
    </row>
    <row r="850" spans="1:10" x14ac:dyDescent="0.2">
      <c r="A850" s="35" t="s">
        <v>2822</v>
      </c>
      <c r="B850" s="35">
        <v>39.509407434500801</v>
      </c>
      <c r="C850" s="35">
        <v>5.6342325795400603</v>
      </c>
      <c r="D850" s="35">
        <v>1.1679649307264699</v>
      </c>
      <c r="E850" s="35">
        <v>4.8239741034310004</v>
      </c>
      <c r="F850" s="40">
        <v>1.4072569689232799E-6</v>
      </c>
      <c r="G850" s="35">
        <v>5.4647865202920698E-4</v>
      </c>
      <c r="H850" s="27" t="s">
        <v>10</v>
      </c>
      <c r="I850" s="24" t="s">
        <v>10</v>
      </c>
      <c r="J850" s="34" t="s">
        <v>10</v>
      </c>
    </row>
    <row r="851" spans="1:10" x14ac:dyDescent="0.2">
      <c r="A851" s="35" t="s">
        <v>2823</v>
      </c>
      <c r="B851" s="35">
        <v>12.972664574998801</v>
      </c>
      <c r="C851" s="35">
        <v>7.1082750231226797</v>
      </c>
      <c r="D851" s="35">
        <v>1.4741960637515501</v>
      </c>
      <c r="E851" s="35">
        <v>4.8217975871089003</v>
      </c>
      <c r="F851" s="40">
        <v>1.4227027398909999E-6</v>
      </c>
      <c r="G851" s="35">
        <v>5.50419051077831E-4</v>
      </c>
      <c r="H851" s="27" t="s">
        <v>10</v>
      </c>
      <c r="I851" s="24" t="s">
        <v>2824</v>
      </c>
      <c r="J851" s="34" t="s">
        <v>10</v>
      </c>
    </row>
    <row r="852" spans="1:10" x14ac:dyDescent="0.2">
      <c r="A852" s="35" t="s">
        <v>2825</v>
      </c>
      <c r="B852" s="35">
        <v>10.314791343346201</v>
      </c>
      <c r="C852" s="35">
        <v>6.7839189717143897</v>
      </c>
      <c r="D852" s="35">
        <v>1.4093943103464099</v>
      </c>
      <c r="E852" s="35">
        <v>4.81335771111989</v>
      </c>
      <c r="F852" s="40">
        <v>1.48415284416238E-6</v>
      </c>
      <c r="G852" s="35">
        <v>5.73125758906692E-4</v>
      </c>
      <c r="H852" s="27" t="s">
        <v>10</v>
      </c>
      <c r="I852" s="24" t="s">
        <v>2826</v>
      </c>
      <c r="J852" s="34" t="s">
        <v>10</v>
      </c>
    </row>
    <row r="853" spans="1:10" x14ac:dyDescent="0.2">
      <c r="A853" s="35" t="s">
        <v>2827</v>
      </c>
      <c r="B853" s="35">
        <v>10.3081240065617</v>
      </c>
      <c r="C853" s="35">
        <v>6.7973945993490199</v>
      </c>
      <c r="D853" s="35">
        <v>1.4123670831099</v>
      </c>
      <c r="E853" s="35">
        <v>4.8127676442173897</v>
      </c>
      <c r="F853" s="40">
        <v>1.4885432163438E-6</v>
      </c>
      <c r="G853" s="35">
        <v>5.7375470214234296E-4</v>
      </c>
      <c r="H853" s="27" t="s">
        <v>10</v>
      </c>
      <c r="I853" s="24" t="s">
        <v>10</v>
      </c>
      <c r="J853" s="34" t="s">
        <v>10</v>
      </c>
    </row>
    <row r="854" spans="1:10" x14ac:dyDescent="0.2">
      <c r="A854" s="35" t="s">
        <v>2828</v>
      </c>
      <c r="B854" s="35">
        <v>18.207925787985801</v>
      </c>
      <c r="C854" s="35">
        <v>7.6227903494661398</v>
      </c>
      <c r="D854" s="35">
        <v>1.5844246858875199</v>
      </c>
      <c r="E854" s="35">
        <v>4.8110777478806002</v>
      </c>
      <c r="F854" s="40">
        <v>1.50118603062773E-6</v>
      </c>
      <c r="G854" s="35">
        <v>5.7739283348938995E-4</v>
      </c>
      <c r="H854" s="27" t="s">
        <v>10</v>
      </c>
      <c r="I854" s="24" t="s">
        <v>1936</v>
      </c>
      <c r="J854" s="34" t="s">
        <v>10</v>
      </c>
    </row>
    <row r="855" spans="1:10" x14ac:dyDescent="0.2">
      <c r="A855" s="35" t="s">
        <v>2829</v>
      </c>
      <c r="B855" s="35">
        <v>24.9873605372252</v>
      </c>
      <c r="C855" s="35">
        <v>5.61114537025811</v>
      </c>
      <c r="D855" s="35">
        <v>1.1715249637512899</v>
      </c>
      <c r="E855" s="35">
        <v>4.7896080270376196</v>
      </c>
      <c r="F855" s="40">
        <v>1.67107417029305E-6</v>
      </c>
      <c r="G855" s="35">
        <v>6.3585290352271705E-4</v>
      </c>
      <c r="H855" s="27" t="s">
        <v>10</v>
      </c>
      <c r="I855" s="24" t="s">
        <v>2830</v>
      </c>
      <c r="J855" s="34" t="s">
        <v>10</v>
      </c>
    </row>
    <row r="856" spans="1:10" x14ac:dyDescent="0.2">
      <c r="A856" s="35" t="s">
        <v>2831</v>
      </c>
      <c r="B856" s="35">
        <v>10.7399584820407</v>
      </c>
      <c r="C856" s="35">
        <v>6.8642412452336101</v>
      </c>
      <c r="D856" s="35">
        <v>1.4346754923957199</v>
      </c>
      <c r="E856" s="35">
        <v>4.7845253380408801</v>
      </c>
      <c r="F856" s="40">
        <v>1.7139187668507901E-6</v>
      </c>
      <c r="G856" s="35">
        <v>6.4735128289711004E-4</v>
      </c>
      <c r="H856" s="27" t="s">
        <v>10</v>
      </c>
      <c r="I856" s="24" t="s">
        <v>2832</v>
      </c>
      <c r="J856" s="34" t="s">
        <v>10</v>
      </c>
    </row>
    <row r="857" spans="1:10" x14ac:dyDescent="0.2">
      <c r="A857" s="35" t="s">
        <v>2833</v>
      </c>
      <c r="B857" s="35">
        <v>10.3307215235165</v>
      </c>
      <c r="C857" s="35">
        <v>6.7978194488336001</v>
      </c>
      <c r="D857" s="35">
        <v>1.4209820315153201</v>
      </c>
      <c r="E857" s="35">
        <v>4.7838883941301402</v>
      </c>
      <c r="F857" s="40">
        <v>1.7193617551354099E-6</v>
      </c>
      <c r="G857" s="35">
        <v>6.4735128289711004E-4</v>
      </c>
      <c r="H857" s="27" t="s">
        <v>10</v>
      </c>
      <c r="I857" s="24" t="s">
        <v>10</v>
      </c>
      <c r="J857" s="34" t="s">
        <v>10</v>
      </c>
    </row>
    <row r="858" spans="1:10" x14ac:dyDescent="0.2">
      <c r="A858" s="35" t="s">
        <v>2834</v>
      </c>
      <c r="B858" s="35">
        <v>9.6485387813411094</v>
      </c>
      <c r="C858" s="35">
        <v>6.7025966201608798</v>
      </c>
      <c r="D858" s="35">
        <v>1.4018948227729999</v>
      </c>
      <c r="E858" s="35">
        <v>4.7810980619094501</v>
      </c>
      <c r="F858" s="40">
        <v>1.7434028878680299E-6</v>
      </c>
      <c r="G858" s="35">
        <v>6.5311995718622196E-4</v>
      </c>
      <c r="H858" s="27" t="s">
        <v>10</v>
      </c>
      <c r="I858" s="24" t="s">
        <v>10</v>
      </c>
      <c r="J858" s="34" t="s">
        <v>10</v>
      </c>
    </row>
    <row r="859" spans="1:10" x14ac:dyDescent="0.2">
      <c r="A859" s="35" t="s">
        <v>2835</v>
      </c>
      <c r="B859" s="35">
        <v>20.064939927997798</v>
      </c>
      <c r="C859" s="35">
        <v>5.8675148595068602</v>
      </c>
      <c r="D859" s="35">
        <v>1.22842388236365</v>
      </c>
      <c r="E859" s="35">
        <v>4.7764578202574297</v>
      </c>
      <c r="F859" s="40">
        <v>1.78409954424689E-6</v>
      </c>
      <c r="G859" s="35">
        <v>6.6664997286790696E-4</v>
      </c>
      <c r="H859" s="27" t="s">
        <v>10</v>
      </c>
      <c r="I859" s="24" t="s">
        <v>10</v>
      </c>
      <c r="J859" s="34" t="s">
        <v>10</v>
      </c>
    </row>
    <row r="860" spans="1:10" x14ac:dyDescent="0.2">
      <c r="A860" s="35" t="s">
        <v>2836</v>
      </c>
      <c r="B860" s="35">
        <v>10.200746202625201</v>
      </c>
      <c r="C860" s="35">
        <v>6.7883139342451297</v>
      </c>
      <c r="D860" s="35">
        <v>1.4245994344886399</v>
      </c>
      <c r="E860" s="35">
        <v>4.7650685307774303</v>
      </c>
      <c r="F860" s="40">
        <v>1.8878947277435501E-6</v>
      </c>
      <c r="G860" s="35">
        <v>7.0290583701987299E-4</v>
      </c>
      <c r="H860" s="27" t="s">
        <v>10</v>
      </c>
      <c r="I860" s="24" t="s">
        <v>2837</v>
      </c>
      <c r="J860" s="34" t="s">
        <v>10</v>
      </c>
    </row>
    <row r="861" spans="1:10" x14ac:dyDescent="0.2">
      <c r="A861" s="35" t="s">
        <v>2838</v>
      </c>
      <c r="B861" s="35">
        <v>21.267250777974599</v>
      </c>
      <c r="C861" s="35">
        <v>3.74072531736714</v>
      </c>
      <c r="D861" s="35">
        <v>0.78612193459512703</v>
      </c>
      <c r="E861" s="35">
        <v>4.75845432209407</v>
      </c>
      <c r="F861" s="40">
        <v>1.9508102517711799E-6</v>
      </c>
      <c r="G861" s="35">
        <v>7.2373666904816604E-4</v>
      </c>
      <c r="H861" s="27" t="s">
        <v>10</v>
      </c>
      <c r="I861" s="24" t="s">
        <v>2839</v>
      </c>
      <c r="J861" s="34" t="s">
        <v>10</v>
      </c>
    </row>
    <row r="862" spans="1:10" x14ac:dyDescent="0.2">
      <c r="A862" s="35" t="s">
        <v>2840</v>
      </c>
      <c r="B862" s="35">
        <v>39.7535589415155</v>
      </c>
      <c r="C862" s="35">
        <v>4.5015221433313801</v>
      </c>
      <c r="D862" s="35">
        <v>0.94852452814327004</v>
      </c>
      <c r="E862" s="35">
        <v>4.7458152211868203</v>
      </c>
      <c r="F862" s="40">
        <v>2.0766822708465999E-6</v>
      </c>
      <c r="G862" s="35">
        <v>7.6361628648142696E-4</v>
      </c>
      <c r="H862" s="27" t="s">
        <v>10</v>
      </c>
      <c r="I862" s="24" t="s">
        <v>2841</v>
      </c>
      <c r="J862" s="34" t="s">
        <v>10</v>
      </c>
    </row>
    <row r="863" spans="1:10" x14ac:dyDescent="0.2">
      <c r="A863" s="35" t="s">
        <v>2842</v>
      </c>
      <c r="B863" s="35">
        <v>14.9261886709577</v>
      </c>
      <c r="C863" s="35">
        <v>6.3561348824632899</v>
      </c>
      <c r="D863" s="35">
        <v>1.3406170186775299</v>
      </c>
      <c r="E863" s="35">
        <v>4.7412010991277604</v>
      </c>
      <c r="F863" s="40">
        <v>2.12454920993198E-6</v>
      </c>
      <c r="G863" s="35">
        <v>7.7709127756800899E-4</v>
      </c>
      <c r="H863" s="27" t="s">
        <v>2843</v>
      </c>
      <c r="I863" s="24" t="s">
        <v>2844</v>
      </c>
      <c r="J863" s="34" t="s">
        <v>5035</v>
      </c>
    </row>
    <row r="864" spans="1:10" x14ac:dyDescent="0.2">
      <c r="A864" s="35" t="s">
        <v>2845</v>
      </c>
      <c r="B864" s="35">
        <v>9.8045477685972902</v>
      </c>
      <c r="C864" s="35">
        <v>6.7262403082374904</v>
      </c>
      <c r="D864" s="35">
        <v>1.41936642102431</v>
      </c>
      <c r="E864" s="35">
        <v>4.7389033646317902</v>
      </c>
      <c r="F864" s="40">
        <v>2.1487794146368601E-6</v>
      </c>
      <c r="G864" s="35">
        <v>7.8457261171756601E-4</v>
      </c>
      <c r="H864" s="27" t="s">
        <v>10</v>
      </c>
      <c r="I864" s="24" t="s">
        <v>10</v>
      </c>
      <c r="J864" s="34" t="s">
        <v>10</v>
      </c>
    </row>
    <row r="865" spans="1:10" x14ac:dyDescent="0.2">
      <c r="A865" s="35" t="s">
        <v>2846</v>
      </c>
      <c r="B865" s="35">
        <v>10.068033276147499</v>
      </c>
      <c r="C865" s="35">
        <v>6.7469337279627304</v>
      </c>
      <c r="D865" s="35">
        <v>1.4275382133277801</v>
      </c>
      <c r="E865" s="35">
        <v>4.7262718888867603</v>
      </c>
      <c r="F865" s="40">
        <v>2.28679414253384E-6</v>
      </c>
      <c r="G865" s="35">
        <v>8.1631478329254395E-4</v>
      </c>
      <c r="H865" s="27" t="s">
        <v>2411</v>
      </c>
      <c r="I865" s="24" t="s">
        <v>2847</v>
      </c>
      <c r="J865" s="34" t="s">
        <v>5061</v>
      </c>
    </row>
    <row r="866" spans="1:10" x14ac:dyDescent="0.2">
      <c r="A866" s="35" t="s">
        <v>2848</v>
      </c>
      <c r="B866" s="35">
        <v>10.1002645997137</v>
      </c>
      <c r="C866" s="35">
        <v>6.7666980015434799</v>
      </c>
      <c r="D866" s="35">
        <v>1.4330883311720499</v>
      </c>
      <c r="E866" s="35">
        <v>4.7217591926167799</v>
      </c>
      <c r="F866" s="40">
        <v>2.3381341692247698E-6</v>
      </c>
      <c r="G866" s="35">
        <v>8.2894437280112902E-4</v>
      </c>
      <c r="H866" s="27" t="s">
        <v>2843</v>
      </c>
      <c r="I866" s="24" t="s">
        <v>2849</v>
      </c>
      <c r="J866" s="34" t="s">
        <v>10</v>
      </c>
    </row>
    <row r="867" spans="1:10" x14ac:dyDescent="0.2">
      <c r="A867" s="35" t="s">
        <v>2850</v>
      </c>
      <c r="B867" s="35">
        <v>181.542473945296</v>
      </c>
      <c r="C867" s="35">
        <v>3.3482764903312301</v>
      </c>
      <c r="D867" s="35">
        <v>0.70945019282986899</v>
      </c>
      <c r="E867" s="35">
        <v>4.71953707838962</v>
      </c>
      <c r="F867" s="40">
        <v>2.3638195829657402E-6</v>
      </c>
      <c r="G867" s="35">
        <v>8.3662300047466695E-4</v>
      </c>
      <c r="H867" s="27" t="s">
        <v>10</v>
      </c>
      <c r="I867" s="24" t="s">
        <v>10</v>
      </c>
      <c r="J867" s="34" t="s">
        <v>10</v>
      </c>
    </row>
    <row r="868" spans="1:10" x14ac:dyDescent="0.2">
      <c r="A868" s="35" t="s">
        <v>2851</v>
      </c>
      <c r="B868" s="35">
        <v>10.763112443834</v>
      </c>
      <c r="C868" s="35">
        <v>6.8555266710229903</v>
      </c>
      <c r="D868" s="35">
        <v>1.4541128881016201</v>
      </c>
      <c r="E868" s="35">
        <v>4.7145766515920604</v>
      </c>
      <c r="F868" s="40">
        <v>2.4221381224007301E-6</v>
      </c>
      <c r="G868" s="35">
        <v>8.5290462331777297E-4</v>
      </c>
      <c r="H868" s="27" t="s">
        <v>10</v>
      </c>
      <c r="I868" s="24" t="s">
        <v>10</v>
      </c>
      <c r="J868" s="34" t="s">
        <v>10</v>
      </c>
    </row>
    <row r="869" spans="1:10" x14ac:dyDescent="0.2">
      <c r="A869" s="35" t="s">
        <v>2852</v>
      </c>
      <c r="B869" s="35">
        <v>11.159168778876699</v>
      </c>
      <c r="C869" s="35">
        <v>6.9168772748824097</v>
      </c>
      <c r="D869" s="35">
        <v>1.4676380852075399</v>
      </c>
      <c r="E869" s="35">
        <v>4.7129311678391801</v>
      </c>
      <c r="F869" s="40">
        <v>2.4417869575034201E-6</v>
      </c>
      <c r="G869" s="35">
        <v>8.5836868213719198E-4</v>
      </c>
      <c r="H869" s="27" t="s">
        <v>10</v>
      </c>
      <c r="I869" s="24" t="s">
        <v>2853</v>
      </c>
      <c r="J869" s="34" t="s">
        <v>10</v>
      </c>
    </row>
    <row r="870" spans="1:10" x14ac:dyDescent="0.2">
      <c r="A870" s="35" t="s">
        <v>2854</v>
      </c>
      <c r="B870" s="35">
        <v>10.597130118266</v>
      </c>
      <c r="C870" s="35">
        <v>6.8428386114586397</v>
      </c>
      <c r="D870" s="35">
        <v>1.45821820116441</v>
      </c>
      <c r="E870" s="35">
        <v>4.6926026612440497</v>
      </c>
      <c r="F870" s="40">
        <v>2.69751092262926E-6</v>
      </c>
      <c r="G870" s="35">
        <v>9.3559946451045805E-4</v>
      </c>
      <c r="H870" s="27" t="s">
        <v>10</v>
      </c>
      <c r="I870" s="24" t="s">
        <v>2855</v>
      </c>
      <c r="J870" s="34" t="s">
        <v>10</v>
      </c>
    </row>
    <row r="871" spans="1:10" x14ac:dyDescent="0.2">
      <c r="A871" s="35" t="s">
        <v>2856</v>
      </c>
      <c r="B871" s="35">
        <v>65.615427923363598</v>
      </c>
      <c r="C871" s="35">
        <v>2.6922517915465898</v>
      </c>
      <c r="D871" s="35">
        <v>0.57449007899211801</v>
      </c>
      <c r="E871" s="35">
        <v>4.6863329585601603</v>
      </c>
      <c r="F871" s="40">
        <v>2.7814363261197298E-6</v>
      </c>
      <c r="G871" s="35">
        <v>9.6149764620520899E-4</v>
      </c>
      <c r="H871" s="27" t="s">
        <v>10</v>
      </c>
      <c r="I871" s="24" t="s">
        <v>10</v>
      </c>
      <c r="J871" s="34" t="s">
        <v>10</v>
      </c>
    </row>
    <row r="872" spans="1:10" x14ac:dyDescent="0.2">
      <c r="A872" s="35" t="s">
        <v>4726</v>
      </c>
      <c r="B872" s="35">
        <v>16.6977887744859</v>
      </c>
      <c r="C872" s="35">
        <v>3.5143275797773201</v>
      </c>
      <c r="D872" s="35">
        <v>0.75237714842778503</v>
      </c>
      <c r="E872" s="35">
        <v>4.6709653358306804</v>
      </c>
      <c r="F872" s="40">
        <v>2.9978753164188201E-6</v>
      </c>
      <c r="G872" s="35">
        <v>1.02946542849241E-3</v>
      </c>
      <c r="H872" s="27" t="s">
        <v>10</v>
      </c>
      <c r="I872" s="24" t="s">
        <v>10</v>
      </c>
      <c r="J872" s="34" t="s">
        <v>10</v>
      </c>
    </row>
    <row r="873" spans="1:10" x14ac:dyDescent="0.2">
      <c r="A873" s="35" t="s">
        <v>4727</v>
      </c>
      <c r="B873" s="35">
        <v>182.85688304189301</v>
      </c>
      <c r="C873" s="35">
        <v>6.0230168163328104</v>
      </c>
      <c r="D873" s="35">
        <v>1.29023233126542</v>
      </c>
      <c r="E873" s="35">
        <v>4.66816453934742</v>
      </c>
      <c r="F873" s="40">
        <v>3.0390248045223599E-6</v>
      </c>
      <c r="G873" s="35">
        <v>1.0401685728711699E-3</v>
      </c>
      <c r="H873" s="27" t="s">
        <v>10</v>
      </c>
      <c r="I873" s="24" t="s">
        <v>10</v>
      </c>
      <c r="J873" s="34" t="s">
        <v>10</v>
      </c>
    </row>
    <row r="874" spans="1:10" x14ac:dyDescent="0.2">
      <c r="A874" s="35" t="s">
        <v>4728</v>
      </c>
      <c r="B874" s="35">
        <v>62.522869886434002</v>
      </c>
      <c r="C874" s="35">
        <v>9.3945260259460799</v>
      </c>
      <c r="D874" s="35">
        <v>2.0124677111328402</v>
      </c>
      <c r="E874" s="35">
        <v>4.6681623630412501</v>
      </c>
      <c r="F874" s="40">
        <v>3.0390569886443601E-6</v>
      </c>
      <c r="G874" s="35">
        <v>1.0401685728711699E-3</v>
      </c>
      <c r="H874" s="27" t="s">
        <v>10</v>
      </c>
      <c r="I874" s="24" t="s">
        <v>10</v>
      </c>
      <c r="J874" s="34" t="s">
        <v>10</v>
      </c>
    </row>
    <row r="875" spans="1:10" x14ac:dyDescent="0.2">
      <c r="A875" s="35" t="s">
        <v>4729</v>
      </c>
      <c r="B875" s="35">
        <v>10.5027040735705</v>
      </c>
      <c r="C875" s="35">
        <v>6.8339215864371301</v>
      </c>
      <c r="D875" s="35">
        <v>1.4675270568832099</v>
      </c>
      <c r="E875" s="35">
        <v>4.6567601969474302</v>
      </c>
      <c r="F875" s="40">
        <v>3.2122423191700599E-6</v>
      </c>
      <c r="G875" s="35">
        <v>1.09046178964297E-3</v>
      </c>
      <c r="H875" s="27" t="s">
        <v>10</v>
      </c>
      <c r="I875" s="24" t="s">
        <v>10</v>
      </c>
      <c r="J875" s="34" t="s">
        <v>10</v>
      </c>
    </row>
    <row r="876" spans="1:10" x14ac:dyDescent="0.2">
      <c r="A876" s="35" t="s">
        <v>4730</v>
      </c>
      <c r="B876" s="35">
        <v>91.801557487831204</v>
      </c>
      <c r="C876" s="35">
        <v>2.38459851003249</v>
      </c>
      <c r="D876" s="35">
        <v>0.51315208068099905</v>
      </c>
      <c r="E876" s="35">
        <v>4.6469625668630403</v>
      </c>
      <c r="F876" s="40">
        <v>3.3685826325617801E-6</v>
      </c>
      <c r="G876" s="35">
        <v>1.12571967409165E-3</v>
      </c>
      <c r="H876" s="27" t="s">
        <v>10</v>
      </c>
      <c r="I876" s="24" t="s">
        <v>10</v>
      </c>
      <c r="J876" s="34" t="s">
        <v>10</v>
      </c>
    </row>
    <row r="877" spans="1:10" x14ac:dyDescent="0.2">
      <c r="A877" s="35" t="s">
        <v>4731</v>
      </c>
      <c r="B877" s="35">
        <v>227.500003390503</v>
      </c>
      <c r="C877" s="35">
        <v>3.1361572179919301</v>
      </c>
      <c r="D877" s="35">
        <v>0.67556556724738803</v>
      </c>
      <c r="E877" s="35">
        <v>4.6422691890149101</v>
      </c>
      <c r="F877" s="40">
        <v>3.4460349359727601E-6</v>
      </c>
      <c r="G877" s="35">
        <v>1.14366523028428E-3</v>
      </c>
      <c r="H877" s="27" t="s">
        <v>10</v>
      </c>
      <c r="I877" s="24" t="s">
        <v>10</v>
      </c>
      <c r="J877" s="34" t="s">
        <v>10</v>
      </c>
    </row>
    <row r="878" spans="1:10" x14ac:dyDescent="0.2">
      <c r="A878" s="35" t="s">
        <v>4732</v>
      </c>
      <c r="B878" s="35">
        <v>18.0478868863127</v>
      </c>
      <c r="C878" s="35">
        <v>6.6361072233952401</v>
      </c>
      <c r="D878" s="35">
        <v>1.4302629252423</v>
      </c>
      <c r="E878" s="35">
        <v>4.6397813341005403</v>
      </c>
      <c r="F878" s="40">
        <v>3.4877802673609999E-6</v>
      </c>
      <c r="G878" s="35">
        <v>1.1519988509155099E-3</v>
      </c>
      <c r="H878" s="27" t="s">
        <v>10</v>
      </c>
      <c r="I878" s="24" t="s">
        <v>10</v>
      </c>
      <c r="J878" s="34" t="s">
        <v>10</v>
      </c>
    </row>
    <row r="879" spans="1:10" x14ac:dyDescent="0.2">
      <c r="A879" s="35" t="s">
        <v>4733</v>
      </c>
      <c r="B879" s="35">
        <v>37.542694758558802</v>
      </c>
      <c r="C879" s="35">
        <v>3.8193158368947699</v>
      </c>
      <c r="D879" s="35">
        <v>0.82359661819506702</v>
      </c>
      <c r="E879" s="35">
        <v>4.6373622141199302</v>
      </c>
      <c r="F879" s="40">
        <v>3.5288369652138201E-6</v>
      </c>
      <c r="G879" s="35">
        <v>1.1600269818749401E-3</v>
      </c>
      <c r="H879" s="27" t="s">
        <v>10</v>
      </c>
      <c r="I879" s="24" t="s">
        <v>10</v>
      </c>
      <c r="J879" s="34" t="s">
        <v>10</v>
      </c>
    </row>
    <row r="880" spans="1:10" x14ac:dyDescent="0.2">
      <c r="A880" s="35" t="s">
        <v>4734</v>
      </c>
      <c r="B880" s="35">
        <v>54.0795698181986</v>
      </c>
      <c r="C880" s="35">
        <v>2.8266608424703898</v>
      </c>
      <c r="D880" s="35">
        <v>0.61032059722972498</v>
      </c>
      <c r="E880" s="35">
        <v>4.6314360932610503</v>
      </c>
      <c r="F880" s="40">
        <v>3.6313808914632702E-6</v>
      </c>
      <c r="G880" s="35">
        <v>1.18474459625711E-3</v>
      </c>
      <c r="H880" s="27" t="s">
        <v>10</v>
      </c>
      <c r="I880" s="24" t="s">
        <v>10</v>
      </c>
      <c r="J880" s="34" t="s">
        <v>10</v>
      </c>
    </row>
    <row r="881" spans="1:10" x14ac:dyDescent="0.2">
      <c r="A881" s="35" t="s">
        <v>4735</v>
      </c>
      <c r="B881" s="35">
        <v>18.275403945333</v>
      </c>
      <c r="C881" s="35">
        <v>7.6097116599965702</v>
      </c>
      <c r="D881" s="35">
        <v>1.64308007364805</v>
      </c>
      <c r="E881" s="35">
        <v>4.6313699387158396</v>
      </c>
      <c r="F881" s="40">
        <v>3.6325415767332002E-6</v>
      </c>
      <c r="G881" s="35">
        <v>1.18474459625711E-3</v>
      </c>
      <c r="H881" s="27" t="s">
        <v>10</v>
      </c>
      <c r="I881" s="24" t="s">
        <v>10</v>
      </c>
      <c r="J881" s="34" t="s">
        <v>10</v>
      </c>
    </row>
    <row r="882" spans="1:10" x14ac:dyDescent="0.2">
      <c r="A882" s="35" t="s">
        <v>4736</v>
      </c>
      <c r="B882" s="35">
        <v>10.0838647399602</v>
      </c>
      <c r="C882" s="35">
        <v>6.7707448364749396</v>
      </c>
      <c r="D882" s="35">
        <v>1.4637437281441099</v>
      </c>
      <c r="E882" s="35">
        <v>4.6256354212083401</v>
      </c>
      <c r="F882" s="40">
        <v>3.7345170448084002E-6</v>
      </c>
      <c r="G882" s="35">
        <v>1.2104030002515001E-3</v>
      </c>
      <c r="H882" s="27" t="s">
        <v>10</v>
      </c>
      <c r="I882" s="24" t="s">
        <v>10</v>
      </c>
      <c r="J882" s="34" t="s">
        <v>10</v>
      </c>
    </row>
    <row r="883" spans="1:10" x14ac:dyDescent="0.2">
      <c r="A883" s="35" t="s">
        <v>4737</v>
      </c>
      <c r="B883" s="35">
        <v>41.136586529392602</v>
      </c>
      <c r="C883" s="35">
        <v>2.4669045490587198</v>
      </c>
      <c r="D883" s="35">
        <v>0.53345081901438096</v>
      </c>
      <c r="E883" s="35">
        <v>4.6244273344947597</v>
      </c>
      <c r="F883" s="40">
        <v>3.7563473838614498E-6</v>
      </c>
      <c r="G883" s="35">
        <v>1.2155820982578201E-3</v>
      </c>
      <c r="H883" s="27" t="s">
        <v>10</v>
      </c>
      <c r="I883" s="24" t="s">
        <v>10</v>
      </c>
      <c r="J883" s="34" t="s">
        <v>10</v>
      </c>
    </row>
    <row r="884" spans="1:10" x14ac:dyDescent="0.2">
      <c r="A884" s="45" t="s">
        <v>4738</v>
      </c>
      <c r="B884" s="45">
        <v>10.4320437692369</v>
      </c>
      <c r="C884" s="45">
        <v>6.7961934263579904</v>
      </c>
      <c r="D884" s="45">
        <v>1.4707643619631301</v>
      </c>
      <c r="E884" s="45">
        <v>4.6208581076078197</v>
      </c>
      <c r="F884" s="46">
        <v>3.8215608620355496E-6</v>
      </c>
      <c r="G884" s="45">
        <v>1.23284502865382E-3</v>
      </c>
      <c r="H884" s="50" t="s">
        <v>429</v>
      </c>
      <c r="I884" s="50" t="s">
        <v>802</v>
      </c>
      <c r="J884" s="50" t="s">
        <v>5005</v>
      </c>
    </row>
    <row r="885" spans="1:10" x14ac:dyDescent="0.2">
      <c r="A885" s="35" t="s">
        <v>4739</v>
      </c>
      <c r="B885" s="35">
        <v>10.6681733369276</v>
      </c>
      <c r="C885" s="35">
        <v>6.8573442765096697</v>
      </c>
      <c r="D885" s="35">
        <v>1.48496654215952</v>
      </c>
      <c r="E885" s="35">
        <v>4.6178442960319703</v>
      </c>
      <c r="F885" s="40">
        <v>3.8774701053894598E-6</v>
      </c>
      <c r="G885" s="35">
        <v>1.24773934569744E-3</v>
      </c>
      <c r="H885" s="27" t="s">
        <v>10</v>
      </c>
      <c r="I885" s="24" t="s">
        <v>10</v>
      </c>
      <c r="J885" s="34" t="s">
        <v>10</v>
      </c>
    </row>
    <row r="886" spans="1:10" x14ac:dyDescent="0.2">
      <c r="A886" s="35" t="s">
        <v>4740</v>
      </c>
      <c r="B886" s="35">
        <v>12.0560084125673</v>
      </c>
      <c r="C886" s="35">
        <v>7.0240566588244002</v>
      </c>
      <c r="D886" s="35">
        <v>1.52118615258457</v>
      </c>
      <c r="E886" s="35">
        <v>4.6174865889294301</v>
      </c>
      <c r="F886" s="40">
        <v>3.8841577482047004E-6</v>
      </c>
      <c r="G886" s="35">
        <v>1.24773934569744E-3</v>
      </c>
      <c r="H886" s="27" t="s">
        <v>10</v>
      </c>
      <c r="I886" s="24" t="s">
        <v>10</v>
      </c>
      <c r="J886" s="34" t="s">
        <v>10</v>
      </c>
    </row>
    <row r="887" spans="1:10" x14ac:dyDescent="0.2">
      <c r="A887" s="35" t="s">
        <v>4741</v>
      </c>
      <c r="B887" s="35">
        <v>26.9218892668294</v>
      </c>
      <c r="C887" s="35">
        <v>5.2951072967451598</v>
      </c>
      <c r="D887" s="35">
        <v>1.1473299294626</v>
      </c>
      <c r="E887" s="35">
        <v>4.6151566003558804</v>
      </c>
      <c r="F887" s="40">
        <v>3.9279902078410699E-6</v>
      </c>
      <c r="G887" s="35">
        <v>1.2574168468724601E-3</v>
      </c>
      <c r="H887" s="27" t="s">
        <v>10</v>
      </c>
      <c r="I887" s="24" t="s">
        <v>10</v>
      </c>
      <c r="J887" s="34" t="s">
        <v>10</v>
      </c>
    </row>
    <row r="888" spans="1:10" x14ac:dyDescent="0.2">
      <c r="A888" s="35" t="s">
        <v>4742</v>
      </c>
      <c r="B888" s="35">
        <v>20.161497704275899</v>
      </c>
      <c r="C888" s="35">
        <v>4.1972239008172698</v>
      </c>
      <c r="D888" s="35">
        <v>0.90974728374234404</v>
      </c>
      <c r="E888" s="35">
        <v>4.6136152048198902</v>
      </c>
      <c r="F888" s="40">
        <v>3.9572475566508704E-6</v>
      </c>
      <c r="G888" s="35">
        <v>1.26285515194125E-3</v>
      </c>
      <c r="H888" s="27" t="s">
        <v>10</v>
      </c>
      <c r="I888" s="24" t="s">
        <v>10</v>
      </c>
      <c r="J888" s="34" t="s">
        <v>10</v>
      </c>
    </row>
    <row r="889" spans="1:10" x14ac:dyDescent="0.2">
      <c r="A889" s="35" t="s">
        <v>4743</v>
      </c>
      <c r="B889" s="35">
        <v>16.730656932511199</v>
      </c>
      <c r="C889" s="35">
        <v>4.2151725377921796</v>
      </c>
      <c r="D889" s="35">
        <v>0.91549485074382597</v>
      </c>
      <c r="E889" s="35">
        <v>4.6042558670509299</v>
      </c>
      <c r="F889" s="40">
        <v>4.13943284471527E-6</v>
      </c>
      <c r="G889" s="35">
        <v>1.3049954629539701E-3</v>
      </c>
      <c r="H889" s="27" t="s">
        <v>10</v>
      </c>
      <c r="I889" s="24" t="s">
        <v>10</v>
      </c>
      <c r="J889" s="34" t="s">
        <v>10</v>
      </c>
    </row>
    <row r="890" spans="1:10" x14ac:dyDescent="0.2">
      <c r="A890" s="35" t="s">
        <v>4744</v>
      </c>
      <c r="B890" s="35">
        <v>9.8009141864719709</v>
      </c>
      <c r="C890" s="35">
        <v>6.7344706620801702</v>
      </c>
      <c r="D890" s="35">
        <v>1.4631247845202699</v>
      </c>
      <c r="E890" s="35">
        <v>4.6027999343120003</v>
      </c>
      <c r="F890" s="40">
        <v>4.1684861767151201E-6</v>
      </c>
      <c r="G890" s="35">
        <v>1.31092801765857E-3</v>
      </c>
      <c r="H890" s="27" t="s">
        <v>10</v>
      </c>
      <c r="I890" s="24" t="s">
        <v>10</v>
      </c>
      <c r="J890" s="34" t="s">
        <v>10</v>
      </c>
    </row>
    <row r="891" spans="1:10" x14ac:dyDescent="0.2">
      <c r="A891" s="35" t="s">
        <v>4745</v>
      </c>
      <c r="B891" s="35">
        <v>52.603174842988103</v>
      </c>
      <c r="C891" s="35">
        <v>3.3384550553739301</v>
      </c>
      <c r="D891" s="35">
        <v>0.72532837908432402</v>
      </c>
      <c r="E891" s="35">
        <v>4.6026808706816196</v>
      </c>
      <c r="F891" s="40">
        <v>4.1708707313979598E-6</v>
      </c>
      <c r="G891" s="35">
        <v>1.31092801765857E-3</v>
      </c>
      <c r="H891" s="27" t="s">
        <v>10</v>
      </c>
      <c r="I891" s="34" t="s">
        <v>5171</v>
      </c>
      <c r="J891" s="34" t="s">
        <v>10</v>
      </c>
    </row>
    <row r="892" spans="1:10" x14ac:dyDescent="0.2">
      <c r="A892" s="35" t="s">
        <v>4746</v>
      </c>
      <c r="B892" s="35">
        <v>9.9569231737281498</v>
      </c>
      <c r="C892" s="35">
        <v>6.7573805354170897</v>
      </c>
      <c r="D892" s="35">
        <v>1.4683626026440799</v>
      </c>
      <c r="E892" s="35">
        <v>4.6019835449697899</v>
      </c>
      <c r="F892" s="40">
        <v>4.1848627359997102E-6</v>
      </c>
      <c r="G892" s="35">
        <v>1.3133388860730401E-3</v>
      </c>
      <c r="H892" s="27" t="s">
        <v>4995</v>
      </c>
      <c r="I892" s="34" t="s">
        <v>5170</v>
      </c>
      <c r="J892" s="34" t="s">
        <v>5094</v>
      </c>
    </row>
    <row r="893" spans="1:10" x14ac:dyDescent="0.2">
      <c r="A893" s="35" t="s">
        <v>4747</v>
      </c>
      <c r="B893" s="35">
        <v>41.531467683614899</v>
      </c>
      <c r="C893" s="35">
        <v>2.6003794972252798</v>
      </c>
      <c r="D893" s="35">
        <v>0.56515213510223195</v>
      </c>
      <c r="E893" s="35">
        <v>4.6012026421078502</v>
      </c>
      <c r="F893" s="40">
        <v>4.20058512433651E-6</v>
      </c>
      <c r="G893" s="35">
        <v>1.3162847105454799E-3</v>
      </c>
      <c r="H893" s="27" t="s">
        <v>10</v>
      </c>
      <c r="I893" s="24" t="s">
        <v>10</v>
      </c>
      <c r="J893" s="34" t="s">
        <v>10</v>
      </c>
    </row>
    <row r="894" spans="1:10" x14ac:dyDescent="0.2">
      <c r="A894" s="35" t="s">
        <v>4748</v>
      </c>
      <c r="B894" s="35">
        <v>19.309743657091602</v>
      </c>
      <c r="C894" s="35">
        <v>6.7114740904043799</v>
      </c>
      <c r="D894" s="35">
        <v>1.46195724103017</v>
      </c>
      <c r="E894" s="35">
        <v>4.5907458180344003</v>
      </c>
      <c r="F894" s="40">
        <v>4.4166494374640401E-6</v>
      </c>
      <c r="G894" s="35">
        <v>1.3798277000447801E-3</v>
      </c>
      <c r="H894" s="27" t="s">
        <v>10</v>
      </c>
      <c r="I894" s="24" t="s">
        <v>10</v>
      </c>
      <c r="J894" s="34" t="s">
        <v>10</v>
      </c>
    </row>
    <row r="895" spans="1:10" x14ac:dyDescent="0.2">
      <c r="A895" s="35" t="s">
        <v>4749</v>
      </c>
      <c r="B895" s="35">
        <v>16.821118454863601</v>
      </c>
      <c r="C895" s="35">
        <v>4.9851319680701502</v>
      </c>
      <c r="D895" s="35">
        <v>1.08603267910648</v>
      </c>
      <c r="E895" s="35">
        <v>4.5902228026615104</v>
      </c>
      <c r="F895" s="40">
        <v>4.42773121294721E-6</v>
      </c>
      <c r="G895" s="35">
        <v>1.38121280161721E-3</v>
      </c>
      <c r="H895" s="27" t="s">
        <v>10</v>
      </c>
      <c r="I895" s="24" t="s">
        <v>10</v>
      </c>
      <c r="J895" s="34" t="s">
        <v>10</v>
      </c>
    </row>
    <row r="896" spans="1:10" x14ac:dyDescent="0.2">
      <c r="A896" s="35" t="s">
        <v>4750</v>
      </c>
      <c r="B896" s="35">
        <v>14.3520523118785</v>
      </c>
      <c r="C896" s="35">
        <v>7.2810704391022503</v>
      </c>
      <c r="D896" s="35">
        <v>1.58987801907688</v>
      </c>
      <c r="E896" s="35">
        <v>4.5796409232261697</v>
      </c>
      <c r="F896" s="40">
        <v>4.6577487546807501E-6</v>
      </c>
      <c r="G896" s="35">
        <v>1.44213897209755E-3</v>
      </c>
      <c r="H896" s="27" t="s">
        <v>10</v>
      </c>
      <c r="I896" s="24" t="s">
        <v>10</v>
      </c>
      <c r="J896" s="34" t="s">
        <v>10</v>
      </c>
    </row>
    <row r="897" spans="1:10" x14ac:dyDescent="0.2">
      <c r="A897" s="35" t="s">
        <v>4751</v>
      </c>
      <c r="B897" s="35">
        <v>94.877064094462199</v>
      </c>
      <c r="C897" s="35">
        <v>2.1673135765868001</v>
      </c>
      <c r="D897" s="35">
        <v>0.47333412119587898</v>
      </c>
      <c r="E897" s="35">
        <v>4.5788238783865403</v>
      </c>
      <c r="F897" s="40">
        <v>4.6759770261835098E-6</v>
      </c>
      <c r="G897" s="35">
        <v>1.4441983392729299E-3</v>
      </c>
      <c r="H897" s="27" t="s">
        <v>10</v>
      </c>
      <c r="I897" s="24" t="s">
        <v>10</v>
      </c>
      <c r="J897" s="34" t="s">
        <v>10</v>
      </c>
    </row>
    <row r="898" spans="1:10" x14ac:dyDescent="0.2">
      <c r="A898" s="35" t="s">
        <v>4752</v>
      </c>
      <c r="B898" s="35">
        <v>17.2235996932523</v>
      </c>
      <c r="C898" s="35">
        <v>7.5419794563266302</v>
      </c>
      <c r="D898" s="35">
        <v>1.6472911443073901</v>
      </c>
      <c r="E898" s="35">
        <v>4.5784131617472497</v>
      </c>
      <c r="F898" s="40">
        <v>4.68516590404969E-6</v>
      </c>
      <c r="G898" s="35">
        <v>1.4441983392729299E-3</v>
      </c>
      <c r="H898" s="27" t="s">
        <v>10</v>
      </c>
      <c r="I898" s="24" t="s">
        <v>10</v>
      </c>
      <c r="J898" s="34" t="s">
        <v>10</v>
      </c>
    </row>
    <row r="899" spans="1:10" x14ac:dyDescent="0.2">
      <c r="A899" s="35" t="s">
        <v>4753</v>
      </c>
      <c r="B899" s="35">
        <v>8.7617158685898406</v>
      </c>
      <c r="C899" s="35">
        <v>6.5564391343633002</v>
      </c>
      <c r="D899" s="35">
        <v>1.4336270245164799</v>
      </c>
      <c r="E899" s="35">
        <v>4.5733227835702897</v>
      </c>
      <c r="F899" s="40">
        <v>4.8004972213740997E-6</v>
      </c>
      <c r="G899" s="35">
        <v>1.4710636482739999E-3</v>
      </c>
      <c r="H899" s="27" t="s">
        <v>10</v>
      </c>
      <c r="I899" s="24" t="s">
        <v>10</v>
      </c>
      <c r="J899" s="34" t="s">
        <v>10</v>
      </c>
    </row>
    <row r="900" spans="1:10" x14ac:dyDescent="0.2">
      <c r="A900" s="35" t="s">
        <v>4754</v>
      </c>
      <c r="B900" s="35">
        <v>16.541644348456199</v>
      </c>
      <c r="C900" s="35">
        <v>6.4897423321141501</v>
      </c>
      <c r="D900" s="35">
        <v>1.41904633808592</v>
      </c>
      <c r="E900" s="35">
        <v>4.5733124831341501</v>
      </c>
      <c r="F900" s="40">
        <v>4.8007333291446399E-6</v>
      </c>
      <c r="G900" s="35">
        <v>1.4710636482739999E-3</v>
      </c>
      <c r="H900" s="27" t="s">
        <v>10</v>
      </c>
      <c r="I900" s="24" t="s">
        <v>10</v>
      </c>
      <c r="J900" s="34" t="s">
        <v>10</v>
      </c>
    </row>
    <row r="901" spans="1:10" x14ac:dyDescent="0.2">
      <c r="A901" s="35" t="s">
        <v>4755</v>
      </c>
      <c r="B901" s="35">
        <v>78.108596761149798</v>
      </c>
      <c r="C901" s="35">
        <v>2.2824122839779202</v>
      </c>
      <c r="D901" s="35">
        <v>0.499765270423496</v>
      </c>
      <c r="E901" s="35">
        <v>4.5669685731540097</v>
      </c>
      <c r="F901" s="40">
        <v>4.9482816354901103E-6</v>
      </c>
      <c r="G901" s="35">
        <v>1.5029754378112299E-3</v>
      </c>
      <c r="H901" s="27" t="s">
        <v>10</v>
      </c>
      <c r="I901" s="24" t="s">
        <v>10</v>
      </c>
      <c r="J901" s="34" t="s">
        <v>10</v>
      </c>
    </row>
    <row r="902" spans="1:10" x14ac:dyDescent="0.2">
      <c r="A902" s="35" t="s">
        <v>4756</v>
      </c>
      <c r="B902" s="35">
        <v>18.585066823204698</v>
      </c>
      <c r="C902" s="35">
        <v>4.4027952201662304</v>
      </c>
      <c r="D902" s="35">
        <v>0.96523677953797604</v>
      </c>
      <c r="E902" s="35">
        <v>4.5613628836995703</v>
      </c>
      <c r="F902" s="40">
        <v>5.0822659622791198E-6</v>
      </c>
      <c r="G902" s="35">
        <v>1.5391709143721E-3</v>
      </c>
      <c r="H902" s="27" t="s">
        <v>10</v>
      </c>
      <c r="I902" s="24" t="s">
        <v>10</v>
      </c>
      <c r="J902" s="34" t="s">
        <v>10</v>
      </c>
    </row>
    <row r="903" spans="1:10" x14ac:dyDescent="0.2">
      <c r="A903" s="35" t="s">
        <v>4757</v>
      </c>
      <c r="B903" s="35">
        <v>9.5477729804591895</v>
      </c>
      <c r="C903" s="35">
        <v>6.6937443395864298</v>
      </c>
      <c r="D903" s="35">
        <v>1.46861383574143</v>
      </c>
      <c r="E903" s="35">
        <v>4.5578655032941997</v>
      </c>
      <c r="F903" s="40">
        <v>5.1676110358495298E-6</v>
      </c>
      <c r="G903" s="35">
        <v>1.55820348093462E-3</v>
      </c>
      <c r="H903" s="27" t="s">
        <v>4999</v>
      </c>
      <c r="I903" s="34" t="s">
        <v>5178</v>
      </c>
      <c r="J903" s="34" t="s">
        <v>5099</v>
      </c>
    </row>
    <row r="904" spans="1:10" x14ac:dyDescent="0.2">
      <c r="A904" s="35" t="s">
        <v>4758</v>
      </c>
      <c r="B904" s="35">
        <v>8.4466641394182709</v>
      </c>
      <c r="C904" s="35">
        <v>6.5053531082758598</v>
      </c>
      <c r="D904" s="35">
        <v>1.42767158092476</v>
      </c>
      <c r="E904" s="35">
        <v>4.5566173587780403</v>
      </c>
      <c r="F904" s="40">
        <v>5.1983999230465698E-6</v>
      </c>
      <c r="G904" s="35">
        <v>1.56521561509053E-3</v>
      </c>
      <c r="H904" s="27" t="s">
        <v>10</v>
      </c>
      <c r="I904" s="24" t="s">
        <v>10</v>
      </c>
      <c r="J904" s="34" t="s">
        <v>10</v>
      </c>
    </row>
    <row r="905" spans="1:10" x14ac:dyDescent="0.2">
      <c r="A905" s="35" t="s">
        <v>4759</v>
      </c>
      <c r="B905" s="35">
        <v>20.196601223656401</v>
      </c>
      <c r="C905" s="35">
        <v>5.2676377814726001</v>
      </c>
      <c r="D905" s="35">
        <v>1.15793632854382</v>
      </c>
      <c r="E905" s="35">
        <v>4.5491601322302504</v>
      </c>
      <c r="F905" s="40">
        <v>5.38604466832473E-6</v>
      </c>
      <c r="G905" s="35">
        <v>1.6100476203057101E-3</v>
      </c>
      <c r="H905" s="27" t="s">
        <v>4954</v>
      </c>
      <c r="I905" s="34" t="s">
        <v>5128</v>
      </c>
      <c r="J905" s="34" t="s">
        <v>5016</v>
      </c>
    </row>
    <row r="906" spans="1:10" x14ac:dyDescent="0.2">
      <c r="A906" s="35" t="s">
        <v>4760</v>
      </c>
      <c r="B906" s="35">
        <v>8.5507359418274493</v>
      </c>
      <c r="C906" s="35">
        <v>6.5134054503727299</v>
      </c>
      <c r="D906" s="35">
        <v>1.4328795330800099</v>
      </c>
      <c r="E906" s="35">
        <v>4.5456755435483096</v>
      </c>
      <c r="F906" s="40">
        <v>5.4759335875604897E-6</v>
      </c>
      <c r="G906" s="35">
        <v>1.6231077546567301E-3</v>
      </c>
      <c r="H906" s="27" t="s">
        <v>10</v>
      </c>
      <c r="I906" s="24" t="s">
        <v>10</v>
      </c>
      <c r="J906" s="34" t="s">
        <v>10</v>
      </c>
    </row>
    <row r="907" spans="1:10" x14ac:dyDescent="0.2">
      <c r="A907" s="35" t="s">
        <v>4761</v>
      </c>
      <c r="B907" s="35">
        <v>34.198838973055501</v>
      </c>
      <c r="C907" s="35">
        <v>2.4265933584959001</v>
      </c>
      <c r="D907" s="35">
        <v>0.53382763833684499</v>
      </c>
      <c r="E907" s="35">
        <v>4.5456495397203804</v>
      </c>
      <c r="F907" s="40">
        <v>5.4766097538187602E-6</v>
      </c>
      <c r="G907" s="35">
        <v>1.6231077546567301E-3</v>
      </c>
      <c r="H907" s="27" t="s">
        <v>10</v>
      </c>
      <c r="I907" s="24" t="s">
        <v>10</v>
      </c>
      <c r="J907" s="34" t="s">
        <v>10</v>
      </c>
    </row>
    <row r="908" spans="1:10" x14ac:dyDescent="0.2">
      <c r="A908" s="45" t="s">
        <v>4762</v>
      </c>
      <c r="B908" s="45">
        <v>15.161018402516</v>
      </c>
      <c r="C908" s="45">
        <v>4.8897173632216004</v>
      </c>
      <c r="D908" s="45">
        <v>1.0760876274928499</v>
      </c>
      <c r="E908" s="45">
        <v>4.5439769385826203</v>
      </c>
      <c r="F908" s="46">
        <v>5.52026999124956E-6</v>
      </c>
      <c r="G908" s="45">
        <v>1.6337168266410899E-3</v>
      </c>
      <c r="H908" s="50" t="s">
        <v>508</v>
      </c>
      <c r="I908" s="50" t="s">
        <v>509</v>
      </c>
      <c r="J908" s="49" t="s">
        <v>3083</v>
      </c>
    </row>
    <row r="909" spans="1:10" x14ac:dyDescent="0.2">
      <c r="A909" s="35" t="s">
        <v>4763</v>
      </c>
      <c r="B909" s="35">
        <v>10.0705420174935</v>
      </c>
      <c r="C909" s="35">
        <v>6.7745091572893203</v>
      </c>
      <c r="D909" s="35">
        <v>1.4912470370142601</v>
      </c>
      <c r="E909" s="35">
        <v>4.5428483605594199</v>
      </c>
      <c r="F909" s="40">
        <v>5.54991754000512E-6</v>
      </c>
      <c r="G909" s="35">
        <v>1.6343447820180001E-3</v>
      </c>
      <c r="H909" s="27" t="s">
        <v>10</v>
      </c>
      <c r="I909" s="24" t="s">
        <v>10</v>
      </c>
      <c r="J909" s="34" t="s">
        <v>10</v>
      </c>
    </row>
    <row r="910" spans="1:10" x14ac:dyDescent="0.2">
      <c r="A910" s="35" t="s">
        <v>4764</v>
      </c>
      <c r="B910" s="35">
        <v>10.282362587064799</v>
      </c>
      <c r="C910" s="35">
        <v>6.7882957059822999</v>
      </c>
      <c r="D910" s="35">
        <v>1.49433102140759</v>
      </c>
      <c r="E910" s="35">
        <v>4.54269877874051</v>
      </c>
      <c r="F910" s="40">
        <v>5.5538584498387996E-6</v>
      </c>
      <c r="G910" s="35">
        <v>1.6343447820180001E-3</v>
      </c>
      <c r="H910" s="27" t="s">
        <v>10</v>
      </c>
      <c r="I910" s="24" t="s">
        <v>10</v>
      </c>
      <c r="J910" s="34" t="s">
        <v>10</v>
      </c>
    </row>
    <row r="911" spans="1:10" x14ac:dyDescent="0.2">
      <c r="A911" s="35" t="s">
        <v>4765</v>
      </c>
      <c r="B911" s="35">
        <v>9.0996807442119003</v>
      </c>
      <c r="C911" s="35">
        <v>6.6156165198463404</v>
      </c>
      <c r="D911" s="35">
        <v>1.45764705888792</v>
      </c>
      <c r="E911" s="35">
        <v>4.5385585485237998</v>
      </c>
      <c r="F911" s="40">
        <v>5.6640070406955399E-6</v>
      </c>
      <c r="G911" s="35">
        <v>1.6620500660264701E-3</v>
      </c>
      <c r="H911" s="27" t="s">
        <v>10</v>
      </c>
      <c r="I911" s="24" t="s">
        <v>10</v>
      </c>
      <c r="J911" s="34" t="s">
        <v>10</v>
      </c>
    </row>
    <row r="912" spans="1:10" x14ac:dyDescent="0.2">
      <c r="A912" s="35" t="s">
        <v>4766</v>
      </c>
      <c r="B912" s="35">
        <v>28.1080844788405</v>
      </c>
      <c r="C912" s="35">
        <v>4.9297488495941399</v>
      </c>
      <c r="D912" s="35">
        <v>1.0869961302657201</v>
      </c>
      <c r="E912" s="35">
        <v>4.5352036795099497</v>
      </c>
      <c r="F912" s="40">
        <v>5.7547922151547196E-6</v>
      </c>
      <c r="G912" s="35">
        <v>1.6839332555657501E-3</v>
      </c>
      <c r="H912" s="27" t="s">
        <v>242</v>
      </c>
      <c r="I912" s="34" t="s">
        <v>243</v>
      </c>
      <c r="J912" s="34" t="s">
        <v>3053</v>
      </c>
    </row>
    <row r="913" spans="1:10" x14ac:dyDescent="0.2">
      <c r="A913" s="35" t="s">
        <v>4767</v>
      </c>
      <c r="B913" s="35">
        <v>91.029700552563398</v>
      </c>
      <c r="C913" s="35">
        <v>2.0986375758515998</v>
      </c>
      <c r="D913" s="35">
        <v>0.46347942126228098</v>
      </c>
      <c r="E913" s="35">
        <v>4.52800594713782</v>
      </c>
      <c r="F913" s="40">
        <v>5.95429063402986E-6</v>
      </c>
      <c r="G913" s="35">
        <v>1.7349784080834599E-3</v>
      </c>
      <c r="H913" s="27" t="s">
        <v>10</v>
      </c>
      <c r="I913" s="24" t="s">
        <v>10</v>
      </c>
      <c r="J913" s="34" t="s">
        <v>10</v>
      </c>
    </row>
    <row r="914" spans="1:10" x14ac:dyDescent="0.2">
      <c r="A914" s="35" t="s">
        <v>4768</v>
      </c>
      <c r="B914" s="35">
        <v>11.6266512469091</v>
      </c>
      <c r="C914" s="35">
        <v>6.9707579948002998</v>
      </c>
      <c r="D914" s="35">
        <v>1.54085222669692</v>
      </c>
      <c r="E914" s="35">
        <v>4.5239626967624904</v>
      </c>
      <c r="F914" s="40">
        <v>6.0692425998933304E-6</v>
      </c>
      <c r="G914" s="35">
        <v>1.76106363908302E-3</v>
      </c>
      <c r="H914" s="27" t="s">
        <v>10</v>
      </c>
      <c r="I914" s="24" t="s">
        <v>10</v>
      </c>
      <c r="J914" s="34" t="s">
        <v>10</v>
      </c>
    </row>
    <row r="915" spans="1:10" x14ac:dyDescent="0.2">
      <c r="A915" s="35" t="s">
        <v>4769</v>
      </c>
      <c r="B915" s="35">
        <v>10.860189328860599</v>
      </c>
      <c r="C915" s="35">
        <v>6.8796034042926797</v>
      </c>
      <c r="D915" s="35">
        <v>1.5223035268673999</v>
      </c>
      <c r="E915" s="35">
        <v>4.5192061128896803</v>
      </c>
      <c r="F915" s="40">
        <v>6.2071944218352901E-6</v>
      </c>
      <c r="G915" s="35">
        <v>1.7960750477755E-3</v>
      </c>
      <c r="H915" s="27" t="s">
        <v>10</v>
      </c>
      <c r="I915" s="24" t="s">
        <v>10</v>
      </c>
      <c r="J915" s="34" t="s">
        <v>10</v>
      </c>
    </row>
    <row r="916" spans="1:10" x14ac:dyDescent="0.2">
      <c r="A916" s="35" t="s">
        <v>4770</v>
      </c>
      <c r="B916" s="35">
        <v>253.816602631157</v>
      </c>
      <c r="C916" s="35">
        <v>2.6104756112160001</v>
      </c>
      <c r="D916" s="35">
        <v>0.57780999125448096</v>
      </c>
      <c r="E916" s="35">
        <v>4.5178789753157496</v>
      </c>
      <c r="F916" s="40">
        <v>6.2462166599514297E-6</v>
      </c>
      <c r="G916" s="35">
        <v>1.8023458172289799E-3</v>
      </c>
      <c r="H916" s="27" t="s">
        <v>10</v>
      </c>
      <c r="I916" s="24" t="s">
        <v>10</v>
      </c>
      <c r="J916" s="34" t="s">
        <v>10</v>
      </c>
    </row>
    <row r="917" spans="1:10" x14ac:dyDescent="0.2">
      <c r="A917" s="35" t="s">
        <v>4771</v>
      </c>
      <c r="B917" s="35">
        <v>25.322890245034198</v>
      </c>
      <c r="C917" s="35">
        <v>3.6250633296890702</v>
      </c>
      <c r="D917" s="35">
        <v>0.80326038642096298</v>
      </c>
      <c r="E917" s="35">
        <v>4.5129367649275398</v>
      </c>
      <c r="F917" s="40">
        <v>6.39360892451793E-6</v>
      </c>
      <c r="G917" s="35">
        <v>1.83722076863368E-3</v>
      </c>
      <c r="H917" s="27" t="s">
        <v>10</v>
      </c>
      <c r="I917" s="24" t="s">
        <v>10</v>
      </c>
      <c r="J917" s="34" t="s">
        <v>10</v>
      </c>
    </row>
    <row r="918" spans="1:10" x14ac:dyDescent="0.2">
      <c r="A918" s="35" t="s">
        <v>4772</v>
      </c>
      <c r="B918" s="35">
        <v>62.081285415256602</v>
      </c>
      <c r="C918" s="35">
        <v>2.6026969647762899</v>
      </c>
      <c r="D918" s="35">
        <v>0.57851400814806597</v>
      </c>
      <c r="E918" s="35">
        <v>4.4989350786993496</v>
      </c>
      <c r="F918" s="40">
        <v>6.8294707953514497E-6</v>
      </c>
      <c r="G918" s="35">
        <v>1.9463148622208999E-3</v>
      </c>
      <c r="H918" s="27" t="s">
        <v>10</v>
      </c>
      <c r="I918" s="24" t="s">
        <v>10</v>
      </c>
      <c r="J918" s="34" t="s">
        <v>10</v>
      </c>
    </row>
    <row r="919" spans="1:10" x14ac:dyDescent="0.2">
      <c r="A919" s="35" t="s">
        <v>4773</v>
      </c>
      <c r="B919" s="35">
        <v>9.5217393140942708</v>
      </c>
      <c r="C919" s="35">
        <v>6.6804091257166496</v>
      </c>
      <c r="D919" s="35">
        <v>1.48544332812653</v>
      </c>
      <c r="E919" s="35">
        <v>4.4972494064395496</v>
      </c>
      <c r="F919" s="40">
        <v>6.8838221219953596E-6</v>
      </c>
      <c r="G919" s="35">
        <v>1.9564368656323802E-3</v>
      </c>
      <c r="H919" s="27" t="s">
        <v>10</v>
      </c>
      <c r="I919" s="24" t="s">
        <v>10</v>
      </c>
      <c r="J919" s="34" t="s">
        <v>10</v>
      </c>
    </row>
    <row r="920" spans="1:10" x14ac:dyDescent="0.2">
      <c r="A920" s="35" t="s">
        <v>4774</v>
      </c>
      <c r="B920" s="35">
        <v>63.0523996095203</v>
      </c>
      <c r="C920" s="35">
        <v>2.9694705296697901</v>
      </c>
      <c r="D920" s="35">
        <v>0.66047136370823301</v>
      </c>
      <c r="E920" s="35">
        <v>4.4959867949423602</v>
      </c>
      <c r="F920" s="40">
        <v>6.9248034071606901E-6</v>
      </c>
      <c r="G920" s="35">
        <v>1.9573734104191502E-3</v>
      </c>
      <c r="H920" s="27" t="s">
        <v>10</v>
      </c>
      <c r="I920" s="24" t="s">
        <v>10</v>
      </c>
      <c r="J920" s="34" t="s">
        <v>10</v>
      </c>
    </row>
    <row r="921" spans="1:10" x14ac:dyDescent="0.2">
      <c r="A921" s="35" t="s">
        <v>4775</v>
      </c>
      <c r="B921" s="35">
        <v>238.11341447694801</v>
      </c>
      <c r="C921" s="35">
        <v>2.1242753216321901</v>
      </c>
      <c r="D921" s="35">
        <v>0.47269609807361701</v>
      </c>
      <c r="E921" s="35">
        <v>4.4939556943441401</v>
      </c>
      <c r="F921" s="40">
        <v>6.9912180179372899E-6</v>
      </c>
      <c r="G921" s="35">
        <v>1.9734612643132901E-3</v>
      </c>
      <c r="H921" s="27" t="s">
        <v>10</v>
      </c>
      <c r="I921" s="24" t="s">
        <v>10</v>
      </c>
      <c r="J921" s="34" t="s">
        <v>10</v>
      </c>
    </row>
    <row r="922" spans="1:10" x14ac:dyDescent="0.2">
      <c r="A922" s="35" t="s">
        <v>4776</v>
      </c>
      <c r="B922" s="35">
        <v>52.051912816154797</v>
      </c>
      <c r="C922" s="35">
        <v>3.3347197911288999</v>
      </c>
      <c r="D922" s="35">
        <v>0.74247324360984801</v>
      </c>
      <c r="E922" s="35">
        <v>4.4913669547413599</v>
      </c>
      <c r="F922" s="40">
        <v>7.0767502074821998E-6</v>
      </c>
      <c r="G922" s="35">
        <v>1.9921914852380402E-3</v>
      </c>
      <c r="H922" s="27" t="s">
        <v>10</v>
      </c>
      <c r="I922" s="24" t="s">
        <v>10</v>
      </c>
      <c r="J922" s="34" t="s">
        <v>10</v>
      </c>
    </row>
    <row r="923" spans="1:10" x14ac:dyDescent="0.2">
      <c r="A923" s="35" t="s">
        <v>4777</v>
      </c>
      <c r="B923" s="35">
        <v>10.0610936924949</v>
      </c>
      <c r="C923" s="35">
        <v>6.7564480557777804</v>
      </c>
      <c r="D923" s="35">
        <v>1.50642353087387</v>
      </c>
      <c r="E923" s="35">
        <v>4.4850919527646997</v>
      </c>
      <c r="F923" s="40">
        <v>7.2882497000530702E-6</v>
      </c>
      <c r="G923" s="35">
        <v>2.0461859522759801E-3</v>
      </c>
      <c r="H923" s="27" t="s">
        <v>10</v>
      </c>
      <c r="I923" s="24" t="s">
        <v>10</v>
      </c>
      <c r="J923" s="34" t="s">
        <v>10</v>
      </c>
    </row>
    <row r="924" spans="1:10" x14ac:dyDescent="0.2">
      <c r="A924" s="35" t="s">
        <v>4778</v>
      </c>
      <c r="B924" s="35">
        <v>8.4042739959274293</v>
      </c>
      <c r="C924" s="35">
        <v>6.5005313458435401</v>
      </c>
      <c r="D924" s="35">
        <v>1.44965756178868</v>
      </c>
      <c r="E924" s="35">
        <v>4.4841840702177898</v>
      </c>
      <c r="F924" s="40">
        <v>7.3193460532657096E-6</v>
      </c>
      <c r="G924" s="35">
        <v>2.0521431290718901E-3</v>
      </c>
      <c r="H924" s="27" t="s">
        <v>10</v>
      </c>
      <c r="I924" s="24" t="s">
        <v>10</v>
      </c>
      <c r="J924" s="34" t="s">
        <v>10</v>
      </c>
    </row>
    <row r="925" spans="1:10" x14ac:dyDescent="0.2">
      <c r="A925" s="35" t="s">
        <v>4779</v>
      </c>
      <c r="B925" s="35">
        <v>16.364645782571401</v>
      </c>
      <c r="C925" s="35">
        <v>7.4545035382402203</v>
      </c>
      <c r="D925" s="35">
        <v>1.6656635280107699</v>
      </c>
      <c r="E925" s="35">
        <v>4.4753957884536302</v>
      </c>
      <c r="F925" s="40">
        <v>7.6269893176594796E-6</v>
      </c>
      <c r="G925" s="35">
        <v>2.12122194468496E-3</v>
      </c>
      <c r="H925" s="27" t="s">
        <v>10</v>
      </c>
      <c r="I925" s="24" t="s">
        <v>10</v>
      </c>
      <c r="J925" s="34" t="s">
        <v>10</v>
      </c>
    </row>
    <row r="926" spans="1:10" x14ac:dyDescent="0.2">
      <c r="A926" s="35" t="s">
        <v>4780</v>
      </c>
      <c r="B926" s="35">
        <v>16.820865963081101</v>
      </c>
      <c r="C926" s="35">
        <v>5.0204701645135197</v>
      </c>
      <c r="D926" s="35">
        <v>1.1224755379204401</v>
      </c>
      <c r="E926" s="35">
        <v>4.4726766819477399</v>
      </c>
      <c r="F926" s="40">
        <v>7.7246528553640799E-6</v>
      </c>
      <c r="G926" s="35">
        <v>2.1394693440460401E-3</v>
      </c>
      <c r="H926" s="27" t="s">
        <v>10</v>
      </c>
      <c r="I926" s="24" t="s">
        <v>10</v>
      </c>
      <c r="J926" s="34" t="s">
        <v>10</v>
      </c>
    </row>
    <row r="927" spans="1:10" x14ac:dyDescent="0.2">
      <c r="A927" s="35" t="s">
        <v>4781</v>
      </c>
      <c r="B927" s="35">
        <v>11.0327522259579</v>
      </c>
      <c r="C927" s="35">
        <v>6.8821326406971197</v>
      </c>
      <c r="D927" s="35">
        <v>1.53982758060466</v>
      </c>
      <c r="E927" s="35">
        <v>4.4694176980481402</v>
      </c>
      <c r="F927" s="40">
        <v>7.8432831134504208E-6</v>
      </c>
      <c r="G927" s="35">
        <v>2.1560085023072202E-3</v>
      </c>
      <c r="H927" s="27" t="s">
        <v>10</v>
      </c>
      <c r="I927" s="34" t="s">
        <v>5156</v>
      </c>
      <c r="J927" s="34" t="s">
        <v>5077</v>
      </c>
    </row>
    <row r="928" spans="1:10" x14ac:dyDescent="0.2">
      <c r="A928" s="35" t="s">
        <v>4782</v>
      </c>
      <c r="B928" s="35">
        <v>14.0778845182257</v>
      </c>
      <c r="C928" s="35">
        <v>6.2763626403228896</v>
      </c>
      <c r="D928" s="35">
        <v>1.40430960317197</v>
      </c>
      <c r="E928" s="35">
        <v>4.4693582000338097</v>
      </c>
      <c r="F928" s="40">
        <v>7.8454650057964995E-6</v>
      </c>
      <c r="G928" s="35">
        <v>2.1560085023072202E-3</v>
      </c>
      <c r="H928" s="27" t="s">
        <v>10</v>
      </c>
      <c r="I928" s="24" t="s">
        <v>10</v>
      </c>
      <c r="J928" s="34" t="s">
        <v>10</v>
      </c>
    </row>
    <row r="929" spans="1:10" x14ac:dyDescent="0.2">
      <c r="A929" s="35" t="s">
        <v>4783</v>
      </c>
      <c r="B929" s="35">
        <v>8.9667823361213905</v>
      </c>
      <c r="C929" s="35">
        <v>6.5740976779788198</v>
      </c>
      <c r="D929" s="35">
        <v>1.4712892965704201</v>
      </c>
      <c r="E929" s="35">
        <v>4.4682563064266603</v>
      </c>
      <c r="F929" s="40">
        <v>7.8859783413404696E-6</v>
      </c>
      <c r="G929" s="35">
        <v>2.16427914964799E-3</v>
      </c>
      <c r="H929" s="27" t="s">
        <v>10</v>
      </c>
      <c r="I929" s="24" t="s">
        <v>10</v>
      </c>
      <c r="J929" s="34" t="s">
        <v>10</v>
      </c>
    </row>
    <row r="930" spans="1:10" x14ac:dyDescent="0.2">
      <c r="A930" s="35" t="s">
        <v>4784</v>
      </c>
      <c r="B930" s="35">
        <v>9.5841195168363402</v>
      </c>
      <c r="C930" s="35">
        <v>6.6684135837227601</v>
      </c>
      <c r="D930" s="35">
        <v>1.4928190755361199</v>
      </c>
      <c r="E930" s="35">
        <v>4.4669938192797298</v>
      </c>
      <c r="F930" s="40">
        <v>7.9326420765394294E-6</v>
      </c>
      <c r="G930" s="35">
        <v>2.1713491268162402E-3</v>
      </c>
      <c r="H930" s="27" t="s">
        <v>10</v>
      </c>
      <c r="I930" s="24" t="s">
        <v>10</v>
      </c>
      <c r="J930" s="34" t="s">
        <v>10</v>
      </c>
    </row>
    <row r="931" spans="1:10" x14ac:dyDescent="0.2">
      <c r="A931" s="35" t="s">
        <v>4785</v>
      </c>
      <c r="B931" s="35">
        <v>551.80338020190004</v>
      </c>
      <c r="C931" s="35">
        <v>2.9902320994243898</v>
      </c>
      <c r="D931" s="35">
        <v>0.67005830705538805</v>
      </c>
      <c r="E931" s="35">
        <v>4.4626446205333101</v>
      </c>
      <c r="F931" s="40">
        <v>8.0954254674947805E-6</v>
      </c>
      <c r="G931" s="35">
        <v>2.2071826947832598E-3</v>
      </c>
      <c r="H931" s="27" t="s">
        <v>504</v>
      </c>
      <c r="I931" s="34" t="s">
        <v>5109</v>
      </c>
      <c r="J931" s="34" t="s">
        <v>10</v>
      </c>
    </row>
    <row r="932" spans="1:10" x14ac:dyDescent="0.2">
      <c r="A932" s="35" t="s">
        <v>4786</v>
      </c>
      <c r="B932" s="35">
        <v>9.2197261094189695</v>
      </c>
      <c r="C932" s="35">
        <v>6.64173693505965</v>
      </c>
      <c r="D932" s="35">
        <v>1.4911452056483101</v>
      </c>
      <c r="E932" s="35">
        <v>4.4541181569047898</v>
      </c>
      <c r="F932" s="40">
        <v>8.4238702645837299E-6</v>
      </c>
      <c r="G932" s="35">
        <v>2.2877249551488299E-3</v>
      </c>
      <c r="H932" s="27" t="s">
        <v>10</v>
      </c>
      <c r="I932" s="24" t="s">
        <v>10</v>
      </c>
      <c r="J932" s="34" t="s">
        <v>10</v>
      </c>
    </row>
    <row r="933" spans="1:10" x14ac:dyDescent="0.2">
      <c r="A933" s="35" t="s">
        <v>4787</v>
      </c>
      <c r="B933" s="35">
        <v>7465.8209250653799</v>
      </c>
      <c r="C933" s="35">
        <v>8.5151339731012392</v>
      </c>
      <c r="D933" s="35">
        <v>1.9163452386019599</v>
      </c>
      <c r="E933" s="35">
        <v>4.4434237639316603</v>
      </c>
      <c r="F933" s="40">
        <v>8.8538537520195792E-6</v>
      </c>
      <c r="G933" s="35">
        <v>2.3882895911237199E-3</v>
      </c>
      <c r="H933" s="27" t="s">
        <v>10</v>
      </c>
      <c r="I933" s="24" t="s">
        <v>10</v>
      </c>
      <c r="J933" s="34" t="s">
        <v>10</v>
      </c>
    </row>
    <row r="934" spans="1:10" x14ac:dyDescent="0.2">
      <c r="A934" s="35" t="s">
        <v>4788</v>
      </c>
      <c r="B934" s="35">
        <v>8.4856061823966105</v>
      </c>
      <c r="C934" s="35">
        <v>6.5180425822078796</v>
      </c>
      <c r="D934" s="35">
        <v>1.4682758787427299</v>
      </c>
      <c r="E934" s="35">
        <v>4.4392492423080601</v>
      </c>
      <c r="F934" s="40">
        <v>9.0273225259088192E-6</v>
      </c>
      <c r="G934" s="35">
        <v>2.4199747337970501E-3</v>
      </c>
      <c r="H934" s="27" t="s">
        <v>10</v>
      </c>
      <c r="I934" s="24" t="s">
        <v>10</v>
      </c>
      <c r="J934" s="34" t="s">
        <v>10</v>
      </c>
    </row>
    <row r="935" spans="1:10" x14ac:dyDescent="0.2">
      <c r="A935" s="35" t="s">
        <v>4789</v>
      </c>
      <c r="B935" s="35">
        <v>8.64124420642713</v>
      </c>
      <c r="C935" s="35">
        <v>6.55319434303191</v>
      </c>
      <c r="D935" s="35">
        <v>1.4767075699821399</v>
      </c>
      <c r="E935" s="35">
        <v>4.4377062028002898</v>
      </c>
      <c r="F935" s="40">
        <v>9.09226052738438E-6</v>
      </c>
      <c r="G935" s="35">
        <v>2.42519632385422E-3</v>
      </c>
      <c r="H935" s="27" t="s">
        <v>10</v>
      </c>
      <c r="I935" s="24" t="s">
        <v>10</v>
      </c>
      <c r="J935" s="34" t="s">
        <v>10</v>
      </c>
    </row>
    <row r="936" spans="1:10" x14ac:dyDescent="0.2">
      <c r="A936" s="35" t="s">
        <v>4790</v>
      </c>
      <c r="B936" s="35">
        <v>95.138173727319895</v>
      </c>
      <c r="C936" s="35">
        <v>2.1113760130782202</v>
      </c>
      <c r="D936" s="35">
        <v>0.47579720521187002</v>
      </c>
      <c r="E936" s="35">
        <v>4.4375544663782396</v>
      </c>
      <c r="F936" s="40">
        <v>9.0986703231026297E-6</v>
      </c>
      <c r="G936" s="35">
        <v>2.42519632385422E-3</v>
      </c>
      <c r="H936" s="27" t="s">
        <v>3884</v>
      </c>
      <c r="I936" s="34" t="s">
        <v>4017</v>
      </c>
      <c r="J936" s="34" t="s">
        <v>4108</v>
      </c>
    </row>
    <row r="937" spans="1:10" x14ac:dyDescent="0.2">
      <c r="A937" s="35" t="s">
        <v>4791</v>
      </c>
      <c r="B937" s="35">
        <v>9.1715212230548904</v>
      </c>
      <c r="C937" s="35">
        <v>6.6050785330980197</v>
      </c>
      <c r="D937" s="35">
        <v>1.48856910396917</v>
      </c>
      <c r="E937" s="35">
        <v>4.4371998018002898</v>
      </c>
      <c r="F937" s="40">
        <v>9.1136692491429294E-6</v>
      </c>
      <c r="G937" s="35">
        <v>2.42519632385422E-3</v>
      </c>
      <c r="H937" s="27" t="s">
        <v>10</v>
      </c>
      <c r="I937" s="24" t="s">
        <v>10</v>
      </c>
      <c r="J937" s="34" t="s">
        <v>10</v>
      </c>
    </row>
    <row r="938" spans="1:10" x14ac:dyDescent="0.2">
      <c r="A938" s="35" t="s">
        <v>4792</v>
      </c>
      <c r="B938" s="35">
        <v>8.1637569685576494</v>
      </c>
      <c r="C938" s="35">
        <v>6.4676686006569399</v>
      </c>
      <c r="D938" s="35">
        <v>1.4577165264101699</v>
      </c>
      <c r="E938" s="35">
        <v>4.4368493348871301</v>
      </c>
      <c r="F938" s="40">
        <v>9.1285138588247907E-6</v>
      </c>
      <c r="G938" s="35">
        <v>2.42519632385422E-3</v>
      </c>
      <c r="H938" s="27" t="s">
        <v>10</v>
      </c>
      <c r="I938" s="24" t="s">
        <v>10</v>
      </c>
      <c r="J938" s="34" t="s">
        <v>10</v>
      </c>
    </row>
    <row r="939" spans="1:10" x14ac:dyDescent="0.2">
      <c r="A939" s="35" t="s">
        <v>4793</v>
      </c>
      <c r="B939" s="35">
        <v>7.9136928998317</v>
      </c>
      <c r="C939" s="35">
        <v>6.4194867841832401</v>
      </c>
      <c r="D939" s="35">
        <v>1.4471056884289999</v>
      </c>
      <c r="E939" s="35">
        <v>4.4360870360148601</v>
      </c>
      <c r="F939" s="40">
        <v>9.1608821118662096E-6</v>
      </c>
      <c r="G939" s="35">
        <v>2.4306873870151699E-3</v>
      </c>
      <c r="H939" s="27" t="s">
        <v>10</v>
      </c>
      <c r="I939" s="24" t="s">
        <v>10</v>
      </c>
      <c r="J939" s="34" t="s">
        <v>10</v>
      </c>
    </row>
    <row r="940" spans="1:10" x14ac:dyDescent="0.2">
      <c r="A940" s="35" t="s">
        <v>4794</v>
      </c>
      <c r="B940" s="35">
        <v>8.1282630260917994</v>
      </c>
      <c r="C940" s="35">
        <v>6.4454196517542401</v>
      </c>
      <c r="D940" s="35">
        <v>1.45387384353087</v>
      </c>
      <c r="E940" s="35">
        <v>4.4332729971267204</v>
      </c>
      <c r="F940" s="40">
        <v>9.2813222340063692E-6</v>
      </c>
      <c r="G940" s="35">
        <v>2.4532447608756102E-3</v>
      </c>
      <c r="H940" s="27" t="s">
        <v>10</v>
      </c>
      <c r="I940" s="24" t="s">
        <v>10</v>
      </c>
      <c r="J940" s="34" t="s">
        <v>10</v>
      </c>
    </row>
    <row r="941" spans="1:10" x14ac:dyDescent="0.2">
      <c r="A941" s="35" t="s">
        <v>4795</v>
      </c>
      <c r="B941" s="35">
        <v>41.937360431372099</v>
      </c>
      <c r="C941" s="35">
        <v>3.3170111420967299</v>
      </c>
      <c r="D941" s="35">
        <v>0.75110745035389204</v>
      </c>
      <c r="E941" s="35">
        <v>4.4161606179434001</v>
      </c>
      <c r="F941" s="40">
        <v>1.00469442434099E-5</v>
      </c>
      <c r="G941" s="35">
        <v>2.6255508782815902E-3</v>
      </c>
      <c r="H941" s="27" t="s">
        <v>10</v>
      </c>
      <c r="I941" s="24" t="s">
        <v>10</v>
      </c>
      <c r="J941" s="34" t="s">
        <v>10</v>
      </c>
    </row>
    <row r="942" spans="1:10" x14ac:dyDescent="0.2">
      <c r="A942" s="35" t="s">
        <v>4796</v>
      </c>
      <c r="B942" s="35">
        <v>14.085207361829401</v>
      </c>
      <c r="C942" s="35">
        <v>4.7574653677535004</v>
      </c>
      <c r="D942" s="35">
        <v>1.0792053249239799</v>
      </c>
      <c r="E942" s="35">
        <v>4.4083042011385603</v>
      </c>
      <c r="F942" s="40">
        <v>1.0418314628667399E-5</v>
      </c>
      <c r="G942" s="35">
        <v>2.7022064594175001E-3</v>
      </c>
      <c r="H942" s="27" t="s">
        <v>10</v>
      </c>
      <c r="I942" s="34" t="s">
        <v>557</v>
      </c>
      <c r="J942" s="34" t="s">
        <v>3077</v>
      </c>
    </row>
    <row r="943" spans="1:10" x14ac:dyDescent="0.2">
      <c r="A943" s="35" t="s">
        <v>4797</v>
      </c>
      <c r="B943" s="35">
        <v>7.8357100975174196</v>
      </c>
      <c r="C943" s="35">
        <v>6.4072613801008602</v>
      </c>
      <c r="D943" s="35">
        <v>1.4547053168198401</v>
      </c>
      <c r="E943" s="35">
        <v>4.4045081199729896</v>
      </c>
      <c r="F943" s="40">
        <v>1.06024169872325E-5</v>
      </c>
      <c r="G943" s="35">
        <v>2.74195559227097E-3</v>
      </c>
      <c r="H943" s="27" t="s">
        <v>4946</v>
      </c>
      <c r="I943" s="34" t="s">
        <v>5122</v>
      </c>
      <c r="J943" s="34" t="s">
        <v>10</v>
      </c>
    </row>
    <row r="944" spans="1:10" x14ac:dyDescent="0.2">
      <c r="A944" s="35" t="s">
        <v>4798</v>
      </c>
      <c r="B944" s="35">
        <v>21.389048964159201</v>
      </c>
      <c r="C944" s="35">
        <v>3.3300119099033401</v>
      </c>
      <c r="D944" s="35">
        <v>0.75721161056702602</v>
      </c>
      <c r="E944" s="35">
        <v>4.3977295955746296</v>
      </c>
      <c r="F944" s="40">
        <v>1.09389143164617E-5</v>
      </c>
      <c r="G944" s="35">
        <v>2.81789462875616E-3</v>
      </c>
      <c r="H944" s="27" t="s">
        <v>10</v>
      </c>
      <c r="I944" s="24" t="s">
        <v>10</v>
      </c>
      <c r="J944" s="34" t="s">
        <v>10</v>
      </c>
    </row>
    <row r="945" spans="1:10" x14ac:dyDescent="0.2">
      <c r="A945" s="35" t="s">
        <v>4799</v>
      </c>
      <c r="B945" s="35">
        <v>46.608339580967296</v>
      </c>
      <c r="C945" s="35">
        <v>5.3489625001932604</v>
      </c>
      <c r="D945" s="35">
        <v>1.21832316401225</v>
      </c>
      <c r="E945" s="35">
        <v>4.3904299435444996</v>
      </c>
      <c r="F945" s="40">
        <v>1.1312675864331501E-5</v>
      </c>
      <c r="G945" s="35">
        <v>2.8990621492727101E-3</v>
      </c>
      <c r="H945" s="27" t="s">
        <v>10</v>
      </c>
      <c r="I945" s="24" t="s">
        <v>10</v>
      </c>
      <c r="J945" s="34" t="s">
        <v>10</v>
      </c>
    </row>
    <row r="946" spans="1:10" x14ac:dyDescent="0.2">
      <c r="A946" s="35" t="s">
        <v>4800</v>
      </c>
      <c r="B946" s="35">
        <v>20.411733209073901</v>
      </c>
      <c r="C946" s="35">
        <v>4.3308867524741004</v>
      </c>
      <c r="D946" s="35">
        <v>0.987291725464577</v>
      </c>
      <c r="E946" s="35">
        <v>4.3866332926432303</v>
      </c>
      <c r="F946" s="40">
        <v>1.151186297284E-5</v>
      </c>
      <c r="G946" s="35">
        <v>2.9421962397432099E-3</v>
      </c>
      <c r="H946" s="27" t="s">
        <v>10</v>
      </c>
      <c r="I946" s="24" t="s">
        <v>10</v>
      </c>
      <c r="J946" s="34" t="s">
        <v>10</v>
      </c>
    </row>
    <row r="947" spans="1:10" x14ac:dyDescent="0.2">
      <c r="A947" s="35" t="s">
        <v>4801</v>
      </c>
      <c r="B947" s="35">
        <v>11.754192640607201</v>
      </c>
      <c r="C947" s="35">
        <v>6.9803428764242303</v>
      </c>
      <c r="D947" s="35">
        <v>1.5912871303929299</v>
      </c>
      <c r="E947" s="35">
        <v>4.3866017283132397</v>
      </c>
      <c r="F947" s="40">
        <v>1.15135329083696E-5</v>
      </c>
      <c r="G947" s="35">
        <v>2.9421962397432099E-3</v>
      </c>
      <c r="H947" s="27" t="s">
        <v>4955</v>
      </c>
      <c r="I947" s="34" t="s">
        <v>5129</v>
      </c>
      <c r="J947" s="34" t="s">
        <v>10</v>
      </c>
    </row>
    <row r="948" spans="1:10" x14ac:dyDescent="0.2">
      <c r="A948" s="35" t="s">
        <v>4802</v>
      </c>
      <c r="B948" s="35">
        <v>9.6093559230199492</v>
      </c>
      <c r="C948" s="35">
        <v>6.7055685502699101</v>
      </c>
      <c r="D948" s="35">
        <v>1.5306627141290601</v>
      </c>
      <c r="E948" s="35">
        <v>4.3808270028223397</v>
      </c>
      <c r="F948" s="40">
        <v>1.18229714251392E-5</v>
      </c>
      <c r="G948" s="35">
        <v>3.0101632982858098E-3</v>
      </c>
      <c r="H948" s="27" t="s">
        <v>10</v>
      </c>
      <c r="I948" s="24" t="s">
        <v>10</v>
      </c>
      <c r="J948" s="34" t="s">
        <v>10</v>
      </c>
    </row>
    <row r="949" spans="1:10" x14ac:dyDescent="0.2">
      <c r="A949" s="35" t="s">
        <v>4803</v>
      </c>
      <c r="B949" s="35">
        <v>1132.0304768370099</v>
      </c>
      <c r="C949" s="35">
        <v>2.40323633956061</v>
      </c>
      <c r="D949" s="35">
        <v>0.54894869852301698</v>
      </c>
      <c r="E949" s="35">
        <v>4.3778887645178504</v>
      </c>
      <c r="F949" s="40">
        <v>1.1983448034119499E-5</v>
      </c>
      <c r="G949" s="35">
        <v>3.04728669495292E-3</v>
      </c>
      <c r="H949" s="27" t="s">
        <v>10</v>
      </c>
      <c r="I949" s="24" t="s">
        <v>10</v>
      </c>
      <c r="J949" s="34" t="s">
        <v>10</v>
      </c>
    </row>
    <row r="950" spans="1:10" x14ac:dyDescent="0.2">
      <c r="A950" s="35" t="s">
        <v>4804</v>
      </c>
      <c r="B950" s="35">
        <v>8.0532586447067391</v>
      </c>
      <c r="C950" s="35">
        <v>6.4499184433423897</v>
      </c>
      <c r="D950" s="35">
        <v>1.4734687779992399</v>
      </c>
      <c r="E950" s="35">
        <v>4.377370284086</v>
      </c>
      <c r="F950" s="40">
        <v>1.2011980605517801E-5</v>
      </c>
      <c r="G950" s="35">
        <v>3.0508081206356598E-3</v>
      </c>
      <c r="H950" s="27" t="s">
        <v>10</v>
      </c>
      <c r="I950" s="24" t="s">
        <v>10</v>
      </c>
      <c r="J950" s="34" t="s">
        <v>10</v>
      </c>
    </row>
    <row r="951" spans="1:10" x14ac:dyDescent="0.2">
      <c r="A951" s="35" t="s">
        <v>4805</v>
      </c>
      <c r="B951" s="35">
        <v>8.6641693039799694</v>
      </c>
      <c r="C951" s="35">
        <v>6.5415331515737201</v>
      </c>
      <c r="D951" s="35">
        <v>1.49767372945864</v>
      </c>
      <c r="E951" s="35">
        <v>4.3677958843133897</v>
      </c>
      <c r="F951" s="40">
        <v>1.25506703781914E-5</v>
      </c>
      <c r="G951" s="35">
        <v>3.1529347945484002E-3</v>
      </c>
      <c r="H951" s="27" t="s">
        <v>10</v>
      </c>
      <c r="I951" s="24" t="s">
        <v>10</v>
      </c>
      <c r="J951" s="34" t="s">
        <v>10</v>
      </c>
    </row>
    <row r="952" spans="1:10" x14ac:dyDescent="0.2">
      <c r="A952" s="35" t="s">
        <v>4806</v>
      </c>
      <c r="B952" s="35">
        <v>19.045592968514001</v>
      </c>
      <c r="C952" s="35">
        <v>4.1609758279421296</v>
      </c>
      <c r="D952" s="35">
        <v>0.953788628189843</v>
      </c>
      <c r="E952" s="35">
        <v>4.3625764713079898</v>
      </c>
      <c r="F952" s="40">
        <v>1.2853963416172E-5</v>
      </c>
      <c r="G952" s="35">
        <v>3.2171956641894998E-3</v>
      </c>
      <c r="H952" s="27" t="s">
        <v>10</v>
      </c>
      <c r="I952" s="24" t="s">
        <v>10</v>
      </c>
      <c r="J952" s="34" t="s">
        <v>10</v>
      </c>
    </row>
    <row r="953" spans="1:10" x14ac:dyDescent="0.2">
      <c r="A953" s="35" t="s">
        <v>4807</v>
      </c>
      <c r="B953" s="35">
        <v>12.0109674287453</v>
      </c>
      <c r="C953" s="35">
        <v>7.0088971865934599</v>
      </c>
      <c r="D953" s="35">
        <v>1.60668631874668</v>
      </c>
      <c r="E953" s="35">
        <v>4.3623307828132001</v>
      </c>
      <c r="F953" s="40">
        <v>1.2868411005898601E-5</v>
      </c>
      <c r="G953" s="35">
        <v>3.2171956641894998E-3</v>
      </c>
      <c r="H953" s="27" t="s">
        <v>10</v>
      </c>
      <c r="I953" s="24" t="s">
        <v>10</v>
      </c>
      <c r="J953" s="34" t="s">
        <v>10</v>
      </c>
    </row>
    <row r="954" spans="1:10" x14ac:dyDescent="0.2">
      <c r="A954" s="35" t="s">
        <v>4808</v>
      </c>
      <c r="B954" s="35">
        <v>15.7395598069202</v>
      </c>
      <c r="C954" s="35">
        <v>7.4105348774128998</v>
      </c>
      <c r="D954" s="35">
        <v>1.70013266765605</v>
      </c>
      <c r="E954" s="35">
        <v>4.35879800346975</v>
      </c>
      <c r="F954" s="40">
        <v>1.30778751490797E-5</v>
      </c>
      <c r="G954" s="35">
        <v>3.2578021936117401E-3</v>
      </c>
      <c r="H954" s="27" t="s">
        <v>10</v>
      </c>
      <c r="I954" s="34" t="s">
        <v>355</v>
      </c>
      <c r="J954" s="34" t="s">
        <v>3055</v>
      </c>
    </row>
    <row r="955" spans="1:10" x14ac:dyDescent="0.2">
      <c r="A955" s="35" t="s">
        <v>4809</v>
      </c>
      <c r="B955" s="35">
        <v>17.3585623012887</v>
      </c>
      <c r="C955" s="35">
        <v>7.5429508972264001</v>
      </c>
      <c r="D955" s="35">
        <v>1.7309015136431001</v>
      </c>
      <c r="E955" s="35">
        <v>4.3578163389264502</v>
      </c>
      <c r="F955" s="40">
        <v>1.31366546749048E-5</v>
      </c>
      <c r="G955" s="35">
        <v>3.2624603334708699E-3</v>
      </c>
      <c r="H955" s="27" t="s">
        <v>4940</v>
      </c>
      <c r="I955" s="34" t="s">
        <v>5115</v>
      </c>
      <c r="J955" s="34" t="s">
        <v>10</v>
      </c>
    </row>
    <row r="956" spans="1:10" x14ac:dyDescent="0.2">
      <c r="A956" s="35" t="s">
        <v>4810</v>
      </c>
      <c r="B956" s="35">
        <v>7.8746087578681498</v>
      </c>
      <c r="C956" s="35">
        <v>6.4152165074170098</v>
      </c>
      <c r="D956" s="35">
        <v>1.47291044383893</v>
      </c>
      <c r="E956" s="35">
        <v>4.3554694952781201</v>
      </c>
      <c r="F956" s="40">
        <v>1.3278200833773E-5</v>
      </c>
      <c r="G956" s="35">
        <v>3.2727918967967698E-3</v>
      </c>
      <c r="H956" s="27" t="s">
        <v>10</v>
      </c>
      <c r="I956" s="34" t="s">
        <v>86</v>
      </c>
      <c r="J956" s="34" t="s">
        <v>10</v>
      </c>
    </row>
    <row r="957" spans="1:10" x14ac:dyDescent="0.2">
      <c r="A957" s="35" t="s">
        <v>4811</v>
      </c>
      <c r="B957" s="35">
        <v>7.6668914500054202</v>
      </c>
      <c r="C957" s="35">
        <v>6.3646810177414599</v>
      </c>
      <c r="D957" s="35">
        <v>1.46157780369281</v>
      </c>
      <c r="E957" s="35">
        <v>4.35466452874455</v>
      </c>
      <c r="F957" s="40">
        <v>1.33270853534438E-5</v>
      </c>
      <c r="G957" s="35">
        <v>3.2727918967967698E-3</v>
      </c>
      <c r="H957" s="27" t="s">
        <v>10</v>
      </c>
      <c r="I957" s="24" t="s">
        <v>10</v>
      </c>
      <c r="J957" s="34" t="s">
        <v>10</v>
      </c>
    </row>
    <row r="958" spans="1:10" x14ac:dyDescent="0.2">
      <c r="A958" s="35" t="s">
        <v>4812</v>
      </c>
      <c r="B958" s="35">
        <v>30.992355408087999</v>
      </c>
      <c r="C958" s="35">
        <v>2.19638677443788</v>
      </c>
      <c r="D958" s="35">
        <v>0.50447561468255597</v>
      </c>
      <c r="E958" s="35">
        <v>4.3538016715039198</v>
      </c>
      <c r="F958" s="40">
        <v>1.33796761320939E-5</v>
      </c>
      <c r="G958" s="35">
        <v>3.28182762042421E-3</v>
      </c>
      <c r="H958" s="27" t="s">
        <v>10</v>
      </c>
      <c r="I958" s="24" t="s">
        <v>10</v>
      </c>
      <c r="J958" s="34" t="s">
        <v>10</v>
      </c>
    </row>
    <row r="959" spans="1:10" x14ac:dyDescent="0.2">
      <c r="A959" s="35" t="s">
        <v>4813</v>
      </c>
      <c r="B959" s="35">
        <v>17.1475244773066</v>
      </c>
      <c r="C959" s="35">
        <v>5.69956235473059</v>
      </c>
      <c r="D959" s="35">
        <v>1.30947093251701</v>
      </c>
      <c r="E959" s="35">
        <v>4.3525688224137298</v>
      </c>
      <c r="F959" s="40">
        <v>1.3455161381815699E-5</v>
      </c>
      <c r="G959" s="35">
        <v>3.2953710195202999E-3</v>
      </c>
      <c r="H959" s="27" t="s">
        <v>10</v>
      </c>
      <c r="I959" s="34" t="s">
        <v>5138</v>
      </c>
      <c r="J959" s="34" t="s">
        <v>10</v>
      </c>
    </row>
    <row r="960" spans="1:10" x14ac:dyDescent="0.2">
      <c r="A960" s="35" t="s">
        <v>4814</v>
      </c>
      <c r="B960" s="35">
        <v>17.346854099056099</v>
      </c>
      <c r="C960" s="35">
        <v>5.0489910964795399</v>
      </c>
      <c r="D960" s="35">
        <v>1.16005228893643</v>
      </c>
      <c r="E960" s="35">
        <v>4.3523823405482904</v>
      </c>
      <c r="F960" s="40">
        <v>1.3466614661298499E-5</v>
      </c>
      <c r="G960" s="35">
        <v>3.2953710195202999E-3</v>
      </c>
      <c r="H960" s="27" t="s">
        <v>10</v>
      </c>
      <c r="I960" s="24" t="s">
        <v>10</v>
      </c>
      <c r="J960" s="34" t="s">
        <v>10</v>
      </c>
    </row>
    <row r="961" spans="1:10" x14ac:dyDescent="0.2">
      <c r="A961" s="35" t="s">
        <v>4815</v>
      </c>
      <c r="B961" s="35">
        <v>8.9082211971174807</v>
      </c>
      <c r="C961" s="35">
        <v>6.5761794598848002</v>
      </c>
      <c r="D961" s="35">
        <v>1.5123447088984501</v>
      </c>
      <c r="E961" s="35">
        <v>4.3483336974641897</v>
      </c>
      <c r="F961" s="40">
        <v>1.3717577728419299E-5</v>
      </c>
      <c r="G961" s="35">
        <v>3.34889433436601E-3</v>
      </c>
      <c r="H961" s="27" t="s">
        <v>10</v>
      </c>
      <c r="I961" s="24" t="s">
        <v>10</v>
      </c>
      <c r="J961" s="34" t="s">
        <v>10</v>
      </c>
    </row>
    <row r="962" spans="1:10" x14ac:dyDescent="0.2">
      <c r="A962" s="35" t="s">
        <v>4816</v>
      </c>
      <c r="B962" s="35">
        <v>7.98202994443223</v>
      </c>
      <c r="C962" s="35">
        <v>6.4311898201139304</v>
      </c>
      <c r="D962" s="35">
        <v>1.4796978872140401</v>
      </c>
      <c r="E962" s="35">
        <v>4.3462857355446598</v>
      </c>
      <c r="F962" s="40">
        <v>1.38462175682994E-5</v>
      </c>
      <c r="G962" s="35">
        <v>3.3684247975639598E-3</v>
      </c>
      <c r="H962" s="27" t="s">
        <v>10</v>
      </c>
      <c r="I962" s="24" t="s">
        <v>10</v>
      </c>
      <c r="J962" s="34" t="s">
        <v>10</v>
      </c>
    </row>
    <row r="963" spans="1:10" x14ac:dyDescent="0.2">
      <c r="A963" s="35" t="s">
        <v>4817</v>
      </c>
      <c r="B963" s="35">
        <v>8.4565387613724798</v>
      </c>
      <c r="C963" s="35">
        <v>6.5054298048698103</v>
      </c>
      <c r="D963" s="35">
        <v>1.4974884227613201</v>
      </c>
      <c r="E963" s="35">
        <v>4.3442271112013202</v>
      </c>
      <c r="F963" s="40">
        <v>1.39766863053977E-5</v>
      </c>
      <c r="G963" s="35">
        <v>3.3922201402619202E-3</v>
      </c>
      <c r="H963" s="27" t="s">
        <v>10</v>
      </c>
      <c r="I963" s="24" t="s">
        <v>10</v>
      </c>
      <c r="J963" s="34" t="s">
        <v>10</v>
      </c>
    </row>
    <row r="964" spans="1:10" x14ac:dyDescent="0.2">
      <c r="A964" s="35" t="s">
        <v>4818</v>
      </c>
      <c r="B964" s="35">
        <v>22.620426362797101</v>
      </c>
      <c r="C964" s="35">
        <v>3.1770370081472401</v>
      </c>
      <c r="D964" s="35">
        <v>0.73161765003451296</v>
      </c>
      <c r="E964" s="35">
        <v>4.3424827271422002</v>
      </c>
      <c r="F964" s="40">
        <v>1.4088156474342301E-5</v>
      </c>
      <c r="G964" s="35">
        <v>3.4113042383257098E-3</v>
      </c>
      <c r="H964" s="27" t="s">
        <v>10</v>
      </c>
      <c r="I964" s="24" t="s">
        <v>10</v>
      </c>
      <c r="J964" s="34" t="s">
        <v>10</v>
      </c>
    </row>
    <row r="965" spans="1:10" x14ac:dyDescent="0.2">
      <c r="A965" s="35" t="s">
        <v>4819</v>
      </c>
      <c r="B965" s="35">
        <v>14.419789529012901</v>
      </c>
      <c r="C965" s="35">
        <v>7.2873461556555403</v>
      </c>
      <c r="D965" s="35">
        <v>1.68063824419617</v>
      </c>
      <c r="E965" s="35">
        <v>4.3360587448377297</v>
      </c>
      <c r="F965" s="40">
        <v>1.45060191385852E-5</v>
      </c>
      <c r="G965" s="35">
        <v>3.4840607076946999E-3</v>
      </c>
      <c r="H965" s="27" t="s">
        <v>10</v>
      </c>
      <c r="I965" s="24" t="s">
        <v>10</v>
      </c>
      <c r="J965" s="34" t="s">
        <v>10</v>
      </c>
    </row>
    <row r="966" spans="1:10" x14ac:dyDescent="0.2">
      <c r="A966" s="35" t="s">
        <v>4820</v>
      </c>
      <c r="B966" s="35">
        <v>9.3041354331749702</v>
      </c>
      <c r="C966" s="35">
        <v>6.6564815264106203</v>
      </c>
      <c r="D966" s="35">
        <v>1.5363253649177899</v>
      </c>
      <c r="E966" s="35">
        <v>4.3327290419154298</v>
      </c>
      <c r="F966" s="40">
        <v>1.47272319748515E-5</v>
      </c>
      <c r="G966" s="35">
        <v>3.52903207170385E-3</v>
      </c>
      <c r="H966" s="27" t="s">
        <v>10</v>
      </c>
      <c r="I966" s="24" t="s">
        <v>10</v>
      </c>
      <c r="J966" s="34" t="s">
        <v>10</v>
      </c>
    </row>
    <row r="967" spans="1:10" x14ac:dyDescent="0.2">
      <c r="A967" s="35" t="s">
        <v>4821</v>
      </c>
      <c r="B967" s="35">
        <v>19.504585751475801</v>
      </c>
      <c r="C967" s="35">
        <v>3.4728624989425301</v>
      </c>
      <c r="D967" s="35">
        <v>0.80363864601785195</v>
      </c>
      <c r="E967" s="35">
        <v>4.3214229631079499</v>
      </c>
      <c r="F967" s="40">
        <v>1.5502617815333301E-5</v>
      </c>
      <c r="G967" s="35">
        <v>3.6876232954383302E-3</v>
      </c>
      <c r="H967" s="27" t="s">
        <v>10</v>
      </c>
      <c r="I967" s="24" t="s">
        <v>10</v>
      </c>
      <c r="J967" s="34" t="s">
        <v>10</v>
      </c>
    </row>
    <row r="968" spans="1:10" x14ac:dyDescent="0.2">
      <c r="A968" s="35" t="s">
        <v>4822</v>
      </c>
      <c r="B968" s="35">
        <v>31.0116924696237</v>
      </c>
      <c r="C968" s="35">
        <v>4.1829613318274097</v>
      </c>
      <c r="D968" s="35">
        <v>0.96937069186486602</v>
      </c>
      <c r="E968" s="35">
        <v>4.31513080283072</v>
      </c>
      <c r="F968" s="40">
        <v>1.59508427336012E-5</v>
      </c>
      <c r="G968" s="35">
        <v>3.7786582473911499E-3</v>
      </c>
      <c r="H968" s="27" t="s">
        <v>10</v>
      </c>
      <c r="I968" s="24" t="s">
        <v>10</v>
      </c>
      <c r="J968" s="34" t="s">
        <v>10</v>
      </c>
    </row>
    <row r="969" spans="1:10" x14ac:dyDescent="0.2">
      <c r="A969" s="35" t="s">
        <v>4823</v>
      </c>
      <c r="B969" s="35">
        <v>132.46529916460901</v>
      </c>
      <c r="C969" s="35">
        <v>2.8464924870772501</v>
      </c>
      <c r="D969" s="35">
        <v>0.66065650801876197</v>
      </c>
      <c r="E969" s="35">
        <v>4.3085816192344302</v>
      </c>
      <c r="F969" s="40">
        <v>1.64304842829371E-5</v>
      </c>
      <c r="G969" s="35">
        <v>3.8746103208693299E-3</v>
      </c>
      <c r="H969" s="27" t="s">
        <v>10</v>
      </c>
      <c r="I969" s="24" t="s">
        <v>10</v>
      </c>
      <c r="J969" s="34" t="s">
        <v>10</v>
      </c>
    </row>
    <row r="970" spans="1:10" x14ac:dyDescent="0.2">
      <c r="A970" s="35" t="s">
        <v>4824</v>
      </c>
      <c r="B970" s="35">
        <v>32.842816382386502</v>
      </c>
      <c r="C970" s="35">
        <v>2.49967692298583</v>
      </c>
      <c r="D970" s="35">
        <v>0.58036218197687495</v>
      </c>
      <c r="E970" s="35">
        <v>4.3070982235114599</v>
      </c>
      <c r="F970" s="40">
        <v>1.6541017080569001E-5</v>
      </c>
      <c r="G970" s="35">
        <v>3.8962534519168899E-3</v>
      </c>
      <c r="H970" s="27" t="s">
        <v>10</v>
      </c>
      <c r="I970" s="34" t="s">
        <v>260</v>
      </c>
      <c r="J970" s="34" t="s">
        <v>10</v>
      </c>
    </row>
    <row r="971" spans="1:10" x14ac:dyDescent="0.2">
      <c r="A971" s="35" t="s">
        <v>4825</v>
      </c>
      <c r="B971" s="35">
        <v>12.4850499487299</v>
      </c>
      <c r="C971" s="35">
        <v>7.0707921065481001</v>
      </c>
      <c r="D971" s="35">
        <v>1.6422642188147301</v>
      </c>
      <c r="E971" s="35">
        <v>4.30551431708796</v>
      </c>
      <c r="F971" s="40">
        <v>1.6659821476378601E-5</v>
      </c>
      <c r="G971" s="35">
        <v>3.9178011397066302E-3</v>
      </c>
      <c r="H971" s="27" t="s">
        <v>10</v>
      </c>
      <c r="I971" s="24" t="s">
        <v>10</v>
      </c>
      <c r="J971" s="34" t="s">
        <v>10</v>
      </c>
    </row>
    <row r="972" spans="1:10" x14ac:dyDescent="0.2">
      <c r="A972" s="35" t="s">
        <v>4826</v>
      </c>
      <c r="B972" s="35">
        <v>18.769963917215101</v>
      </c>
      <c r="C972" s="35">
        <v>4.1979535514217297</v>
      </c>
      <c r="D972" s="35">
        <v>0.97547080261542096</v>
      </c>
      <c r="E972" s="35">
        <v>4.3035153283585998</v>
      </c>
      <c r="F972" s="40">
        <v>1.6810921135255599E-5</v>
      </c>
      <c r="G972" s="35">
        <v>3.9419522927496304E-3</v>
      </c>
      <c r="H972" s="27" t="s">
        <v>10</v>
      </c>
      <c r="I972" s="24" t="s">
        <v>10</v>
      </c>
      <c r="J972" s="34" t="s">
        <v>10</v>
      </c>
    </row>
    <row r="973" spans="1:10" x14ac:dyDescent="0.2">
      <c r="A973" s="35" t="s">
        <v>4827</v>
      </c>
      <c r="B973" s="35">
        <v>28.992335173521301</v>
      </c>
      <c r="C973" s="35">
        <v>4.3270938331686102</v>
      </c>
      <c r="D973" s="35">
        <v>1.00576775278858</v>
      </c>
      <c r="E973" s="35">
        <v>4.3022793494535598</v>
      </c>
      <c r="F973" s="40">
        <v>1.6904998818396501E-5</v>
      </c>
      <c r="G973" s="35">
        <v>3.9520741242945598E-3</v>
      </c>
      <c r="H973" s="27" t="s">
        <v>10</v>
      </c>
      <c r="I973" s="24" t="s">
        <v>10</v>
      </c>
      <c r="J973" s="34" t="s">
        <v>10</v>
      </c>
    </row>
    <row r="974" spans="1:10" x14ac:dyDescent="0.2">
      <c r="A974" s="35" t="s">
        <v>4828</v>
      </c>
      <c r="B974" s="35">
        <v>59.596134032219098</v>
      </c>
      <c r="C974" s="35">
        <v>2.03863590782953</v>
      </c>
      <c r="D974" s="35">
        <v>0.47405568364991302</v>
      </c>
      <c r="E974" s="35">
        <v>4.3004144410491802</v>
      </c>
      <c r="F974" s="40">
        <v>1.70478982523538E-5</v>
      </c>
      <c r="G974" s="35">
        <v>3.9641930326175497E-3</v>
      </c>
      <c r="H974" s="27" t="s">
        <v>10</v>
      </c>
      <c r="I974" s="24" t="s">
        <v>10</v>
      </c>
      <c r="J974" s="34" t="s">
        <v>10</v>
      </c>
    </row>
    <row r="975" spans="1:10" x14ac:dyDescent="0.2">
      <c r="A975" s="35" t="s">
        <v>4829</v>
      </c>
      <c r="B975" s="35">
        <v>7.4948535662213702</v>
      </c>
      <c r="C975" s="35">
        <v>6.3309328502660298</v>
      </c>
      <c r="D975" s="35">
        <v>1.47242591364053</v>
      </c>
      <c r="E975" s="35">
        <v>4.2996613898304599</v>
      </c>
      <c r="F975" s="40">
        <v>1.7105926768506501E-5</v>
      </c>
      <c r="G975" s="35">
        <v>3.9641930326175497E-3</v>
      </c>
      <c r="H975" s="27" t="s">
        <v>10</v>
      </c>
      <c r="I975" s="24" t="s">
        <v>10</v>
      </c>
      <c r="J975" s="34" t="s">
        <v>10</v>
      </c>
    </row>
    <row r="976" spans="1:10" x14ac:dyDescent="0.2">
      <c r="A976" s="35" t="s">
        <v>4830</v>
      </c>
      <c r="B976" s="35">
        <v>19.196156244851501</v>
      </c>
      <c r="C976" s="35">
        <v>6.7102840780859898</v>
      </c>
      <c r="D976" s="35">
        <v>1.5651649277053199</v>
      </c>
      <c r="E976" s="35">
        <v>4.2872696412408704</v>
      </c>
      <c r="F976" s="40">
        <v>1.8088267764425599E-5</v>
      </c>
      <c r="G976" s="35">
        <v>4.1662374253503397E-3</v>
      </c>
      <c r="H976" s="27" t="s">
        <v>10</v>
      </c>
      <c r="I976" s="24" t="s">
        <v>10</v>
      </c>
      <c r="J976" s="34" t="s">
        <v>10</v>
      </c>
    </row>
    <row r="977" spans="1:10" x14ac:dyDescent="0.2">
      <c r="A977" s="35" t="s">
        <v>4831</v>
      </c>
      <c r="B977" s="35">
        <v>15.2612906334945</v>
      </c>
      <c r="C977" s="35">
        <v>3.7695024463359101</v>
      </c>
      <c r="D977" s="35">
        <v>0.88001764963914397</v>
      </c>
      <c r="E977" s="35">
        <v>4.2834395967871899</v>
      </c>
      <c r="F977" s="40">
        <v>1.8402607425087701E-5</v>
      </c>
      <c r="G977" s="35">
        <v>4.2199250642456004E-3</v>
      </c>
      <c r="H977" s="27" t="s">
        <v>10</v>
      </c>
      <c r="I977" s="24" t="s">
        <v>10</v>
      </c>
      <c r="J977" s="34" t="s">
        <v>10</v>
      </c>
    </row>
    <row r="978" spans="1:10" x14ac:dyDescent="0.2">
      <c r="A978" s="35" t="s">
        <v>4832</v>
      </c>
      <c r="B978" s="35">
        <v>93.555207256681896</v>
      </c>
      <c r="C978" s="35">
        <v>3.3917153685506598</v>
      </c>
      <c r="D978" s="35">
        <v>0.79199725993122505</v>
      </c>
      <c r="E978" s="35">
        <v>4.2824837157204199</v>
      </c>
      <c r="F978" s="40">
        <v>1.84818661745786E-5</v>
      </c>
      <c r="G978" s="35">
        <v>4.2250940921836604E-3</v>
      </c>
      <c r="H978" s="27" t="s">
        <v>10</v>
      </c>
      <c r="I978" s="34" t="s">
        <v>5166</v>
      </c>
      <c r="J978" s="34" t="s">
        <v>10</v>
      </c>
    </row>
    <row r="979" spans="1:10" x14ac:dyDescent="0.2">
      <c r="A979" s="35" t="s">
        <v>4833</v>
      </c>
      <c r="B979" s="35">
        <v>73.729879287999296</v>
      </c>
      <c r="C979" s="35">
        <v>3.0139912654402901</v>
      </c>
      <c r="D979" s="35">
        <v>0.70439885940589897</v>
      </c>
      <c r="E979" s="35">
        <v>4.2788133813594396</v>
      </c>
      <c r="F979" s="40">
        <v>1.8789231091367101E-5</v>
      </c>
      <c r="G979" s="35">
        <v>4.2708703442210696E-3</v>
      </c>
      <c r="H979" s="27" t="s">
        <v>2710</v>
      </c>
      <c r="I979" s="34" t="s">
        <v>142</v>
      </c>
      <c r="J979" s="34" t="s">
        <v>10</v>
      </c>
    </row>
    <row r="980" spans="1:10" x14ac:dyDescent="0.2">
      <c r="A980" s="35" t="s">
        <v>4834</v>
      </c>
      <c r="B980" s="35">
        <v>186.81232369120499</v>
      </c>
      <c r="C980" s="35">
        <v>2.6882883361838799</v>
      </c>
      <c r="D980" s="35">
        <v>0.62845616926091497</v>
      </c>
      <c r="E980" s="35">
        <v>4.27760672529541</v>
      </c>
      <c r="F980" s="40">
        <v>1.8891339244388301E-5</v>
      </c>
      <c r="G980" s="35">
        <v>4.28470423150342E-3</v>
      </c>
      <c r="H980" s="27" t="s">
        <v>10</v>
      </c>
      <c r="I980" s="24" t="s">
        <v>10</v>
      </c>
      <c r="J980" s="34" t="s">
        <v>10</v>
      </c>
    </row>
    <row r="981" spans="1:10" x14ac:dyDescent="0.2">
      <c r="A981" s="35" t="s">
        <v>4835</v>
      </c>
      <c r="B981" s="35">
        <v>7.1147274113489303</v>
      </c>
      <c r="C981" s="35">
        <v>6.2521517825625601</v>
      </c>
      <c r="D981" s="35">
        <v>1.46183169149807</v>
      </c>
      <c r="E981" s="35">
        <v>4.2769299769082396</v>
      </c>
      <c r="F981" s="40">
        <v>1.89488373227811E-5</v>
      </c>
      <c r="G981" s="35">
        <v>4.2930585025427598E-3</v>
      </c>
      <c r="H981" s="27" t="s">
        <v>10</v>
      </c>
      <c r="I981" s="24" t="s">
        <v>10</v>
      </c>
      <c r="J981" s="34" t="s">
        <v>10</v>
      </c>
    </row>
    <row r="982" spans="1:10" x14ac:dyDescent="0.2">
      <c r="A982" s="35" t="s">
        <v>4836</v>
      </c>
      <c r="B982" s="35">
        <v>17.932349904966099</v>
      </c>
      <c r="C982" s="35">
        <v>3.30766537691304</v>
      </c>
      <c r="D982" s="35">
        <v>0.77374510852627698</v>
      </c>
      <c r="E982" s="35">
        <v>4.2748772696127597</v>
      </c>
      <c r="F982" s="40">
        <v>1.9124261321928999E-5</v>
      </c>
      <c r="G982" s="35">
        <v>4.3186739513029204E-3</v>
      </c>
      <c r="H982" s="27" t="s">
        <v>3823</v>
      </c>
      <c r="I982" s="34" t="s">
        <v>5191</v>
      </c>
      <c r="J982" s="34" t="s">
        <v>10</v>
      </c>
    </row>
    <row r="983" spans="1:10" x14ac:dyDescent="0.2">
      <c r="A983" s="35" t="s">
        <v>4837</v>
      </c>
      <c r="B983" s="35">
        <v>8.1960870084814399</v>
      </c>
      <c r="C983" s="35">
        <v>6.4750544689114502</v>
      </c>
      <c r="D983" s="35">
        <v>1.5150874280476101</v>
      </c>
      <c r="E983" s="35">
        <v>4.2737167169655796</v>
      </c>
      <c r="F983" s="40">
        <v>1.9224125305189199E-5</v>
      </c>
      <c r="G983" s="35">
        <v>4.3360840402147096E-3</v>
      </c>
      <c r="H983" s="27" t="s">
        <v>10</v>
      </c>
      <c r="I983" s="24" t="s">
        <v>10</v>
      </c>
      <c r="J983" s="34" t="s">
        <v>10</v>
      </c>
    </row>
    <row r="984" spans="1:10" x14ac:dyDescent="0.2">
      <c r="A984" s="35" t="s">
        <v>4838</v>
      </c>
      <c r="B984" s="35">
        <v>9.9963782789173692</v>
      </c>
      <c r="C984" s="35">
        <v>6.7527328349487101</v>
      </c>
      <c r="D984" s="35">
        <v>1.58039840984049</v>
      </c>
      <c r="E984" s="35">
        <v>4.2728041188235899</v>
      </c>
      <c r="F984" s="40">
        <v>1.93030017673409E-5</v>
      </c>
      <c r="G984" s="35">
        <v>4.3448693772217403E-3</v>
      </c>
      <c r="H984" s="27" t="s">
        <v>10</v>
      </c>
      <c r="I984" s="24" t="s">
        <v>10</v>
      </c>
      <c r="J984" s="34" t="s">
        <v>10</v>
      </c>
    </row>
    <row r="985" spans="1:10" x14ac:dyDescent="0.2">
      <c r="A985" s="35" t="s">
        <v>4839</v>
      </c>
      <c r="B985" s="35">
        <v>7.6347035090668403</v>
      </c>
      <c r="C985" s="35">
        <v>6.3430494023030404</v>
      </c>
      <c r="D985" s="35">
        <v>1.4859874306038801</v>
      </c>
      <c r="E985" s="35">
        <v>4.2685754076165603</v>
      </c>
      <c r="F985" s="40">
        <v>1.96725324555276E-5</v>
      </c>
      <c r="G985" s="35">
        <v>4.4041882034812499E-3</v>
      </c>
      <c r="H985" s="27" t="s">
        <v>10</v>
      </c>
      <c r="I985" s="24" t="s">
        <v>10</v>
      </c>
      <c r="J985" s="34" t="s">
        <v>10</v>
      </c>
    </row>
    <row r="986" spans="1:10" x14ac:dyDescent="0.2">
      <c r="A986" s="35" t="s">
        <v>4840</v>
      </c>
      <c r="B986" s="35">
        <v>79.224981095294297</v>
      </c>
      <c r="C986" s="35">
        <v>3.8930427890474202</v>
      </c>
      <c r="D986" s="35">
        <v>0.91239976513090504</v>
      </c>
      <c r="E986" s="35">
        <v>4.2668169565879603</v>
      </c>
      <c r="F986" s="40">
        <v>1.98281714824274E-5</v>
      </c>
      <c r="G986" s="35">
        <v>4.4342536001110797E-3</v>
      </c>
      <c r="H986" s="27" t="s">
        <v>10</v>
      </c>
      <c r="I986" s="24" t="s">
        <v>10</v>
      </c>
      <c r="J986" s="34" t="s">
        <v>10</v>
      </c>
    </row>
    <row r="987" spans="1:10" x14ac:dyDescent="0.2">
      <c r="A987" s="35" t="s">
        <v>4841</v>
      </c>
      <c r="B987" s="35">
        <v>13.368625553303501</v>
      </c>
      <c r="C987" s="35">
        <v>5.2824133163539999</v>
      </c>
      <c r="D987" s="35">
        <v>1.238946269128</v>
      </c>
      <c r="E987" s="35">
        <v>4.2636339024386398</v>
      </c>
      <c r="F987" s="40">
        <v>2.01128878949349E-5</v>
      </c>
      <c r="G987" s="35">
        <v>4.4786421623795201E-3</v>
      </c>
      <c r="H987" s="27" t="s">
        <v>139</v>
      </c>
      <c r="I987" s="34" t="s">
        <v>140</v>
      </c>
      <c r="J987" s="34" t="s">
        <v>3068</v>
      </c>
    </row>
    <row r="988" spans="1:10" x14ac:dyDescent="0.2">
      <c r="A988" s="35" t="s">
        <v>4842</v>
      </c>
      <c r="B988" s="35">
        <v>10.8736541503125</v>
      </c>
      <c r="C988" s="35">
        <v>6.8712508786393398</v>
      </c>
      <c r="D988" s="35">
        <v>1.61614474911394</v>
      </c>
      <c r="E988" s="35">
        <v>4.2516308532429097</v>
      </c>
      <c r="F988" s="40">
        <v>2.12219455829115E-5</v>
      </c>
      <c r="G988" s="35">
        <v>4.7019769742351397E-3</v>
      </c>
      <c r="H988" s="27" t="s">
        <v>4954</v>
      </c>
      <c r="I988" s="34" t="s">
        <v>5128</v>
      </c>
      <c r="J988" s="34" t="s">
        <v>5016</v>
      </c>
    </row>
    <row r="989" spans="1:10" x14ac:dyDescent="0.2">
      <c r="A989" s="35" t="s">
        <v>4843</v>
      </c>
      <c r="B989" s="35">
        <v>7.85839437972745</v>
      </c>
      <c r="C989" s="35">
        <v>6.4158545615309697</v>
      </c>
      <c r="D989" s="35">
        <v>1.5090602313794701</v>
      </c>
      <c r="E989" s="35">
        <v>4.2515563183757603</v>
      </c>
      <c r="F989" s="40">
        <v>2.12290109639797E-5</v>
      </c>
      <c r="G989" s="35">
        <v>4.7019769742351397E-3</v>
      </c>
      <c r="H989" s="27" t="s">
        <v>10</v>
      </c>
      <c r="I989" s="24" t="s">
        <v>10</v>
      </c>
      <c r="J989" s="34" t="s">
        <v>10</v>
      </c>
    </row>
    <row r="990" spans="1:10" x14ac:dyDescent="0.2">
      <c r="A990" s="35" t="s">
        <v>4844</v>
      </c>
      <c r="B990" s="35">
        <v>10.6622045439668</v>
      </c>
      <c r="C990" s="35">
        <v>6.8495761546548604</v>
      </c>
      <c r="D990" s="35">
        <v>1.61221761687635</v>
      </c>
      <c r="E990" s="35">
        <v>4.2485431761537402</v>
      </c>
      <c r="F990" s="40">
        <v>2.15165181040063E-5</v>
      </c>
      <c r="G990" s="35">
        <v>4.7454201010784904E-3</v>
      </c>
      <c r="H990" s="27" t="s">
        <v>4949</v>
      </c>
      <c r="I990" s="34" t="s">
        <v>5125</v>
      </c>
      <c r="J990" s="34" t="s">
        <v>5015</v>
      </c>
    </row>
    <row r="991" spans="1:10" x14ac:dyDescent="0.2">
      <c r="A991" s="35" t="s">
        <v>4845</v>
      </c>
      <c r="B991" s="35">
        <v>25.422596780892899</v>
      </c>
      <c r="C991" s="35">
        <v>3.4345393035987399</v>
      </c>
      <c r="D991" s="35">
        <v>0.80890487266306099</v>
      </c>
      <c r="E991" s="35">
        <v>4.2459124918998397</v>
      </c>
      <c r="F991" s="40">
        <v>2.1770559178978701E-5</v>
      </c>
      <c r="G991" s="35">
        <v>4.7912757338854804E-3</v>
      </c>
      <c r="H991" s="27" t="s">
        <v>10</v>
      </c>
      <c r="I991" s="24" t="s">
        <v>10</v>
      </c>
      <c r="J991" s="34" t="s">
        <v>10</v>
      </c>
    </row>
    <row r="992" spans="1:10" x14ac:dyDescent="0.2">
      <c r="A992" s="35" t="s">
        <v>4846</v>
      </c>
      <c r="B992" s="35">
        <v>24.9328187918547</v>
      </c>
      <c r="C992" s="35">
        <v>3.5076741248294301</v>
      </c>
      <c r="D992" s="35">
        <v>0.82693046181157503</v>
      </c>
      <c r="E992" s="35">
        <v>4.2418005948711697</v>
      </c>
      <c r="F992" s="40">
        <v>2.21733657582654E-5</v>
      </c>
      <c r="G992" s="35">
        <v>4.8542147275808098E-3</v>
      </c>
      <c r="H992" s="27" t="s">
        <v>10</v>
      </c>
      <c r="I992" s="24" t="s">
        <v>10</v>
      </c>
      <c r="J992" s="34" t="s">
        <v>10</v>
      </c>
    </row>
    <row r="993" spans="1:10" x14ac:dyDescent="0.2">
      <c r="A993" s="35" t="s">
        <v>4847</v>
      </c>
      <c r="B993" s="35">
        <v>13.3199390362538</v>
      </c>
      <c r="C993" s="35">
        <v>5.2830606313384703</v>
      </c>
      <c r="D993" s="35">
        <v>1.24793385312993</v>
      </c>
      <c r="E993" s="35">
        <v>4.2334460421023801</v>
      </c>
      <c r="F993" s="40">
        <v>2.3013741798748801E-5</v>
      </c>
      <c r="G993" s="35">
        <v>4.9879689601833796E-3</v>
      </c>
      <c r="H993" s="27" t="s">
        <v>10</v>
      </c>
      <c r="I993" s="24" t="s">
        <v>10</v>
      </c>
      <c r="J993" s="34" t="s">
        <v>10</v>
      </c>
    </row>
    <row r="994" spans="1:10" x14ac:dyDescent="0.2">
      <c r="A994" s="35" t="s">
        <v>4848</v>
      </c>
      <c r="B994" s="35">
        <v>42.257970182853903</v>
      </c>
      <c r="C994" s="35">
        <v>3.0687722305564802</v>
      </c>
      <c r="D994" s="35">
        <v>0.72493770458491202</v>
      </c>
      <c r="E994" s="35">
        <v>4.2331530159734401</v>
      </c>
      <c r="F994" s="40">
        <v>2.3043760282528299E-5</v>
      </c>
      <c r="G994" s="35">
        <v>4.9879689601833796E-3</v>
      </c>
      <c r="H994" s="27" t="s">
        <v>3869</v>
      </c>
      <c r="I994" s="34" t="s">
        <v>3996</v>
      </c>
      <c r="J994" s="34" t="s">
        <v>10</v>
      </c>
    </row>
    <row r="995" spans="1:10" x14ac:dyDescent="0.2">
      <c r="A995" s="35" t="s">
        <v>4849</v>
      </c>
      <c r="B995" s="35">
        <v>15.0862829063608</v>
      </c>
      <c r="C995" s="35">
        <v>7.3444733282395003</v>
      </c>
      <c r="D995" s="35">
        <v>1.7351309479628101</v>
      </c>
      <c r="E995" s="35">
        <v>4.2328063693766298</v>
      </c>
      <c r="F995" s="40">
        <v>2.3079319922274301E-5</v>
      </c>
      <c r="G995" s="35">
        <v>4.9879689601833796E-3</v>
      </c>
      <c r="H995" s="27" t="s">
        <v>4933</v>
      </c>
      <c r="I995" s="34" t="s">
        <v>5102</v>
      </c>
      <c r="J995" s="34" t="s">
        <v>5037</v>
      </c>
    </row>
    <row r="996" spans="1:10" x14ac:dyDescent="0.2">
      <c r="A996" s="35" t="s">
        <v>4850</v>
      </c>
      <c r="B996" s="35">
        <v>15.1026138770894</v>
      </c>
      <c r="C996" s="35">
        <v>6.36096155652303</v>
      </c>
      <c r="D996" s="35">
        <v>1.50287632418679</v>
      </c>
      <c r="E996" s="35">
        <v>4.2325249617362601</v>
      </c>
      <c r="F996" s="40">
        <v>2.3108225626669301E-5</v>
      </c>
      <c r="G996" s="35">
        <v>4.9879689601833796E-3</v>
      </c>
      <c r="H996" s="27" t="s">
        <v>10</v>
      </c>
      <c r="I996" s="24" t="s">
        <v>10</v>
      </c>
      <c r="J996" s="34" t="s">
        <v>10</v>
      </c>
    </row>
    <row r="997" spans="1:10" x14ac:dyDescent="0.2">
      <c r="A997" s="35" t="s">
        <v>4851</v>
      </c>
      <c r="B997" s="35">
        <v>9.9669952283975594</v>
      </c>
      <c r="C997" s="35">
        <v>6.7395634402905502</v>
      </c>
      <c r="D997" s="35">
        <v>1.5923648643146999</v>
      </c>
      <c r="E997" s="35">
        <v>4.2324241078950404</v>
      </c>
      <c r="F997" s="40">
        <v>2.3118593541673501E-5</v>
      </c>
      <c r="G997" s="35">
        <v>4.9879689601833796E-3</v>
      </c>
      <c r="H997" s="27" t="s">
        <v>10</v>
      </c>
      <c r="I997" s="24" t="s">
        <v>10</v>
      </c>
      <c r="J997" s="34" t="s">
        <v>10</v>
      </c>
    </row>
    <row r="998" spans="1:10" x14ac:dyDescent="0.2">
      <c r="A998" s="35" t="s">
        <v>4852</v>
      </c>
      <c r="B998" s="35">
        <v>59.406107462426803</v>
      </c>
      <c r="C998" s="35">
        <v>4.7748018798236496</v>
      </c>
      <c r="D998" s="35">
        <v>1.1281498882319101</v>
      </c>
      <c r="E998" s="35">
        <v>4.2324179877435997</v>
      </c>
      <c r="F998" s="40">
        <v>2.31192228441867E-5</v>
      </c>
      <c r="G998" s="35">
        <v>4.9879689601833796E-3</v>
      </c>
      <c r="H998" s="27" t="s">
        <v>10</v>
      </c>
      <c r="I998" s="24" t="s">
        <v>10</v>
      </c>
      <c r="J998" s="34" t="s">
        <v>10</v>
      </c>
    </row>
    <row r="999" spans="1:10" x14ac:dyDescent="0.2">
      <c r="A999" s="35" t="s">
        <v>4853</v>
      </c>
      <c r="B999" s="35">
        <v>18.816885906178602</v>
      </c>
      <c r="C999" s="35">
        <v>5.1438444002790602</v>
      </c>
      <c r="D999" s="35">
        <v>1.21675552556942</v>
      </c>
      <c r="E999" s="35">
        <v>4.2275085604167097</v>
      </c>
      <c r="F999" s="40">
        <v>2.36293187817487E-5</v>
      </c>
      <c r="G999" s="35">
        <v>5.0714181330795399E-3</v>
      </c>
      <c r="H999" s="27" t="s">
        <v>10</v>
      </c>
      <c r="I999" s="24" t="s">
        <v>10</v>
      </c>
      <c r="J999" s="34" t="s">
        <v>10</v>
      </c>
    </row>
    <row r="1000" spans="1:10" x14ac:dyDescent="0.2">
      <c r="A1000" s="35" t="s">
        <v>4854</v>
      </c>
      <c r="B1000" s="35">
        <v>12.5014097854755</v>
      </c>
      <c r="C1000" s="35">
        <v>5.18238704250951</v>
      </c>
      <c r="D1000" s="35">
        <v>1.2262954403628601</v>
      </c>
      <c r="E1000" s="35">
        <v>4.2260509759182199</v>
      </c>
      <c r="F1000" s="40">
        <v>2.3782813737746701E-5</v>
      </c>
      <c r="G1000" s="35">
        <v>5.0926119767527502E-3</v>
      </c>
      <c r="H1000" s="27" t="s">
        <v>10</v>
      </c>
      <c r="I1000" s="24" t="s">
        <v>10</v>
      </c>
      <c r="J1000" s="34" t="s">
        <v>10</v>
      </c>
    </row>
    <row r="1001" spans="1:10" x14ac:dyDescent="0.2">
      <c r="A1001" s="35" t="s">
        <v>4855</v>
      </c>
      <c r="B1001" s="35">
        <v>7.7283322935809604</v>
      </c>
      <c r="C1001" s="35">
        <v>6.3933991329493702</v>
      </c>
      <c r="D1001" s="35">
        <v>1.5130008799785599</v>
      </c>
      <c r="E1001" s="35">
        <v>4.2256413843195899</v>
      </c>
      <c r="F1001" s="40">
        <v>2.3826117375207801E-5</v>
      </c>
      <c r="G1001" s="35">
        <v>5.0926119767527502E-3</v>
      </c>
      <c r="H1001" s="27" t="s">
        <v>10</v>
      </c>
      <c r="I1001" s="24" t="s">
        <v>10</v>
      </c>
      <c r="J1001" s="34" t="s">
        <v>10</v>
      </c>
    </row>
    <row r="1002" spans="1:10" x14ac:dyDescent="0.2">
      <c r="A1002" s="35" t="s">
        <v>4856</v>
      </c>
      <c r="B1002" s="35">
        <v>12.1862125976991</v>
      </c>
      <c r="C1002" s="35">
        <v>7.0349408386014902</v>
      </c>
      <c r="D1002" s="35">
        <v>1.66654054183992</v>
      </c>
      <c r="E1002" s="35">
        <v>4.2212839483848699</v>
      </c>
      <c r="F1002" s="40">
        <v>2.42914711280173E-5</v>
      </c>
      <c r="G1002" s="35">
        <v>5.1812513961002902E-3</v>
      </c>
      <c r="H1002" s="27" t="s">
        <v>10</v>
      </c>
      <c r="I1002" s="34" t="s">
        <v>5109</v>
      </c>
      <c r="J1002" s="34" t="s">
        <v>10</v>
      </c>
    </row>
    <row r="1003" spans="1:10" x14ac:dyDescent="0.2">
      <c r="A1003" s="35" t="s">
        <v>4857</v>
      </c>
      <c r="B1003" s="35">
        <v>31.578957257070599</v>
      </c>
      <c r="C1003" s="35">
        <v>3.7355220959912598</v>
      </c>
      <c r="D1003" s="35">
        <v>0.88540848251320503</v>
      </c>
      <c r="E1003" s="35">
        <v>4.2189815997561899</v>
      </c>
      <c r="F1003" s="40">
        <v>2.4540829809395699E-5</v>
      </c>
      <c r="G1003" s="35">
        <v>5.2143272568178399E-3</v>
      </c>
      <c r="H1003" s="27" t="s">
        <v>10</v>
      </c>
      <c r="I1003" s="24" t="s">
        <v>10</v>
      </c>
      <c r="J1003" s="34" t="s">
        <v>10</v>
      </c>
    </row>
    <row r="1004" spans="1:10" x14ac:dyDescent="0.2">
      <c r="A1004" s="35" t="s">
        <v>4858</v>
      </c>
      <c r="B1004" s="35">
        <v>7.6117784115139999</v>
      </c>
      <c r="C1004" s="35">
        <v>6.3581754905213197</v>
      </c>
      <c r="D1004" s="35">
        <v>1.50881728446425</v>
      </c>
      <c r="E1004" s="35">
        <v>4.2140128934027903</v>
      </c>
      <c r="F1004" s="40">
        <v>2.50872954670206E-5</v>
      </c>
      <c r="G1004" s="35">
        <v>5.3021730997419398E-3</v>
      </c>
      <c r="H1004" s="27" t="s">
        <v>10</v>
      </c>
      <c r="I1004" s="34" t="s">
        <v>227</v>
      </c>
      <c r="J1004" s="34" t="s">
        <v>10</v>
      </c>
    </row>
    <row r="1005" spans="1:10" x14ac:dyDescent="0.2">
      <c r="A1005" s="35" t="s">
        <v>4859</v>
      </c>
      <c r="B1005" s="35">
        <v>19.726057066390499</v>
      </c>
      <c r="C1005" s="35">
        <v>4.4862483393423496</v>
      </c>
      <c r="D1005" s="35">
        <v>1.0649359445508499</v>
      </c>
      <c r="E1005" s="35">
        <v>4.2126931317305401</v>
      </c>
      <c r="F1005" s="40">
        <v>2.5234378868929399E-5</v>
      </c>
      <c r="G1005" s="35">
        <v>5.3179862245005304E-3</v>
      </c>
      <c r="H1005" s="27" t="s">
        <v>10</v>
      </c>
      <c r="I1005" s="24" t="s">
        <v>10</v>
      </c>
      <c r="J1005" s="34" t="s">
        <v>10</v>
      </c>
    </row>
    <row r="1006" spans="1:10" x14ac:dyDescent="0.2">
      <c r="A1006" s="35" t="s">
        <v>4860</v>
      </c>
      <c r="B1006" s="35">
        <v>6.8742103839791504</v>
      </c>
      <c r="C1006" s="35">
        <v>6.2142533810841796</v>
      </c>
      <c r="D1006" s="35">
        <v>1.4780286786591601</v>
      </c>
      <c r="E1006" s="35">
        <v>4.2044200297396204</v>
      </c>
      <c r="F1006" s="40">
        <v>2.6175246203519698E-5</v>
      </c>
      <c r="G1006" s="35">
        <v>5.4705947914069101E-3</v>
      </c>
      <c r="H1006" s="27" t="s">
        <v>10</v>
      </c>
      <c r="I1006" s="24" t="s">
        <v>10</v>
      </c>
      <c r="J1006" s="34" t="s">
        <v>10</v>
      </c>
    </row>
    <row r="1007" spans="1:10" x14ac:dyDescent="0.2">
      <c r="A1007" s="35" t="s">
        <v>4861</v>
      </c>
      <c r="B1007" s="35">
        <v>29.111970495265801</v>
      </c>
      <c r="C1007" s="35">
        <v>3.4425731758065901</v>
      </c>
      <c r="D1007" s="35">
        <v>0.818840509461224</v>
      </c>
      <c r="E1007" s="35">
        <v>4.2042047700738596</v>
      </c>
      <c r="F1007" s="40">
        <v>2.6200166625511999E-5</v>
      </c>
      <c r="G1007" s="35">
        <v>5.4705947914069101E-3</v>
      </c>
      <c r="H1007" s="27" t="s">
        <v>10</v>
      </c>
      <c r="I1007" s="24" t="s">
        <v>10</v>
      </c>
      <c r="J1007" s="34" t="s">
        <v>10</v>
      </c>
    </row>
    <row r="1008" spans="1:10" x14ac:dyDescent="0.2">
      <c r="A1008" s="35" t="s">
        <v>4862</v>
      </c>
      <c r="B1008" s="35">
        <v>28.975787380525599</v>
      </c>
      <c r="C1008" s="35">
        <v>2.32438168589321</v>
      </c>
      <c r="D1008" s="35">
        <v>0.55381453727999397</v>
      </c>
      <c r="E1008" s="35">
        <v>4.1970398561749196</v>
      </c>
      <c r="F1008" s="40">
        <v>2.7042635691530498E-5</v>
      </c>
      <c r="G1008" s="35">
        <v>5.6070557093110002E-3</v>
      </c>
      <c r="H1008" s="27" t="s">
        <v>10</v>
      </c>
      <c r="I1008" s="24" t="s">
        <v>10</v>
      </c>
      <c r="J1008" s="34" t="s">
        <v>10</v>
      </c>
    </row>
    <row r="1009" spans="1:10" x14ac:dyDescent="0.2">
      <c r="A1009" s="35" t="s">
        <v>4863</v>
      </c>
      <c r="B1009" s="35">
        <v>11.158369914502799</v>
      </c>
      <c r="C1009" s="35">
        <v>5.91910593676538</v>
      </c>
      <c r="D1009" s="35">
        <v>1.41170280618764</v>
      </c>
      <c r="E1009" s="35">
        <v>4.1928838781231796</v>
      </c>
      <c r="F1009" s="40">
        <v>2.7543045014226301E-5</v>
      </c>
      <c r="G1009" s="35">
        <v>5.6824556702836197E-3</v>
      </c>
      <c r="H1009" s="27" t="s">
        <v>10</v>
      </c>
      <c r="I1009" s="34" t="s">
        <v>5150</v>
      </c>
      <c r="J1009" s="34" t="s">
        <v>5070</v>
      </c>
    </row>
    <row r="1010" spans="1:10" x14ac:dyDescent="0.2">
      <c r="A1010" s="35" t="s">
        <v>4864</v>
      </c>
      <c r="B1010" s="35">
        <v>21.500800436381699</v>
      </c>
      <c r="C1010" s="35">
        <v>6.0442345805209499</v>
      </c>
      <c r="D1010" s="35">
        <v>1.44240972877128</v>
      </c>
      <c r="E1010" s="35">
        <v>4.1903728600539498</v>
      </c>
      <c r="F1010" s="40">
        <v>2.7849643075274601E-5</v>
      </c>
      <c r="G1010" s="35">
        <v>5.7343215527718098E-3</v>
      </c>
      <c r="H1010" s="27" t="s">
        <v>10</v>
      </c>
      <c r="I1010" s="24" t="s">
        <v>10</v>
      </c>
      <c r="J1010" s="34" t="s">
        <v>10</v>
      </c>
    </row>
    <row r="1011" spans="1:10" x14ac:dyDescent="0.2">
      <c r="A1011" s="35" t="s">
        <v>4865</v>
      </c>
      <c r="B1011" s="35">
        <v>68.000154828351896</v>
      </c>
      <c r="C1011" s="35">
        <v>2.2430950494539701</v>
      </c>
      <c r="D1011" s="35">
        <v>0.53585519148239702</v>
      </c>
      <c r="E1011" s="35">
        <v>4.1860097375349596</v>
      </c>
      <c r="F1011" s="40">
        <v>2.8390117394546501E-5</v>
      </c>
      <c r="G1011" s="35">
        <v>5.8282778946851799E-3</v>
      </c>
      <c r="H1011" s="27" t="s">
        <v>10</v>
      </c>
      <c r="I1011" s="24" t="s">
        <v>10</v>
      </c>
      <c r="J1011" s="34" t="s">
        <v>10</v>
      </c>
    </row>
    <row r="1012" spans="1:10" x14ac:dyDescent="0.2">
      <c r="A1012" s="35" t="s">
        <v>4866</v>
      </c>
      <c r="B1012" s="35">
        <v>50.656999549003203</v>
      </c>
      <c r="C1012" s="35">
        <v>3.2932961301178501</v>
      </c>
      <c r="D1012" s="35">
        <v>0.78683347623324496</v>
      </c>
      <c r="E1012" s="35">
        <v>4.1855058657184001</v>
      </c>
      <c r="F1012" s="40">
        <v>2.84531720449863E-5</v>
      </c>
      <c r="G1012" s="35">
        <v>5.8298746802482003E-3</v>
      </c>
      <c r="H1012" s="27" t="s">
        <v>10</v>
      </c>
      <c r="I1012" s="24" t="s">
        <v>10</v>
      </c>
      <c r="J1012" s="34" t="s">
        <v>10</v>
      </c>
    </row>
    <row r="1013" spans="1:10" x14ac:dyDescent="0.2">
      <c r="A1013" s="35" t="s">
        <v>4867</v>
      </c>
      <c r="B1013" s="35">
        <v>7.1278646522028</v>
      </c>
      <c r="C1013" s="35">
        <v>6.2480922744109497</v>
      </c>
      <c r="D1013" s="35">
        <v>1.49279502963209</v>
      </c>
      <c r="E1013" s="35">
        <v>4.18549911433644</v>
      </c>
      <c r="F1013" s="40">
        <v>2.8454017817880901E-5</v>
      </c>
      <c r="G1013" s="35">
        <v>5.8298746802482003E-3</v>
      </c>
      <c r="H1013" s="27" t="s">
        <v>10</v>
      </c>
      <c r="I1013" s="24" t="s">
        <v>10</v>
      </c>
      <c r="J1013" s="34" t="s">
        <v>10</v>
      </c>
    </row>
    <row r="1014" spans="1:10" x14ac:dyDescent="0.2">
      <c r="A1014" s="35" t="s">
        <v>4868</v>
      </c>
      <c r="B1014" s="35">
        <v>7.2152523968880304</v>
      </c>
      <c r="C1014" s="35">
        <v>6.2897315080605001</v>
      </c>
      <c r="D1014" s="35">
        <v>1.5029003155782099</v>
      </c>
      <c r="E1014" s="35">
        <v>4.1850623377111003</v>
      </c>
      <c r="F1014" s="40">
        <v>2.8508785407538501E-5</v>
      </c>
      <c r="G1014" s="35">
        <v>5.83534110456016E-3</v>
      </c>
      <c r="H1014" s="27" t="s">
        <v>1125</v>
      </c>
      <c r="I1014" s="34" t="s">
        <v>1127</v>
      </c>
      <c r="J1014" s="34" t="s">
        <v>10</v>
      </c>
    </row>
    <row r="1015" spans="1:10" x14ac:dyDescent="0.2">
      <c r="A1015" s="35" t="s">
        <v>4869</v>
      </c>
      <c r="B1015" s="35">
        <v>36.111169559112902</v>
      </c>
      <c r="C1015" s="35">
        <v>4.0683080494406996</v>
      </c>
      <c r="D1015" s="35">
        <v>0.97228612939143499</v>
      </c>
      <c r="E1015" s="35">
        <v>4.1842703772675502</v>
      </c>
      <c r="F1015" s="40">
        <v>2.8608345314365201E-5</v>
      </c>
      <c r="G1015" s="35">
        <v>5.8442039224496003E-3</v>
      </c>
      <c r="H1015" s="27" t="s">
        <v>10</v>
      </c>
      <c r="I1015" s="24" t="s">
        <v>10</v>
      </c>
      <c r="J1015" s="34" t="s">
        <v>10</v>
      </c>
    </row>
    <row r="1016" spans="1:10" x14ac:dyDescent="0.2">
      <c r="A1016" s="35" t="s">
        <v>4870</v>
      </c>
      <c r="B1016" s="35">
        <v>50.100080941848702</v>
      </c>
      <c r="C1016" s="35">
        <v>2.3506197149106098</v>
      </c>
      <c r="D1016" s="35">
        <v>0.56183706510917097</v>
      </c>
      <c r="E1016" s="35">
        <v>4.1838103266716002</v>
      </c>
      <c r="F1016" s="40">
        <v>2.86663314367723E-5</v>
      </c>
      <c r="G1016" s="35">
        <v>5.8502970078369897E-3</v>
      </c>
      <c r="H1016" s="27" t="s">
        <v>10</v>
      </c>
      <c r="I1016" s="24" t="s">
        <v>10</v>
      </c>
      <c r="J1016" s="34" t="s">
        <v>10</v>
      </c>
    </row>
    <row r="1017" spans="1:10" x14ac:dyDescent="0.2">
      <c r="A1017" s="35" t="s">
        <v>4871</v>
      </c>
      <c r="B1017" s="35">
        <v>20.943450096205801</v>
      </c>
      <c r="C1017" s="35">
        <v>3.1106088941446202</v>
      </c>
      <c r="D1017" s="35">
        <v>0.74372437237025801</v>
      </c>
      <c r="E1017" s="35">
        <v>4.18247540312694</v>
      </c>
      <c r="F1017" s="40">
        <v>2.88352222341285E-5</v>
      </c>
      <c r="G1017" s="35">
        <v>5.8732259122290303E-3</v>
      </c>
      <c r="H1017" s="27" t="s">
        <v>10</v>
      </c>
      <c r="I1017" s="24" t="s">
        <v>10</v>
      </c>
      <c r="J1017" s="34" t="s">
        <v>10</v>
      </c>
    </row>
    <row r="1018" spans="1:10" x14ac:dyDescent="0.2">
      <c r="A1018" s="35" t="s">
        <v>4872</v>
      </c>
      <c r="B1018" s="35">
        <v>23.938577962702201</v>
      </c>
      <c r="C1018" s="35">
        <v>5.2175135018494601</v>
      </c>
      <c r="D1018" s="35">
        <v>1.2486116527079101</v>
      </c>
      <c r="E1018" s="35">
        <v>4.1786519375612503</v>
      </c>
      <c r="F1018" s="40">
        <v>2.9324206429393299E-5</v>
      </c>
      <c r="G1018" s="35">
        <v>5.9494920224072503E-3</v>
      </c>
      <c r="H1018" s="27" t="s">
        <v>10</v>
      </c>
      <c r="I1018" s="24" t="s">
        <v>10</v>
      </c>
      <c r="J1018" s="34" t="s">
        <v>10</v>
      </c>
    </row>
    <row r="1019" spans="1:10" x14ac:dyDescent="0.2">
      <c r="A1019" s="35" t="s">
        <v>4873</v>
      </c>
      <c r="B1019" s="35">
        <v>6.6370980744942401</v>
      </c>
      <c r="C1019" s="35">
        <v>6.15664713164783</v>
      </c>
      <c r="D1019" s="35">
        <v>1.4749647016099701</v>
      </c>
      <c r="E1019" s="35">
        <v>4.1740979461594199</v>
      </c>
      <c r="F1019" s="40">
        <v>2.9916903641628101E-5</v>
      </c>
      <c r="G1019" s="35">
        <v>6.0461247402432798E-3</v>
      </c>
      <c r="H1019" s="27" t="s">
        <v>10</v>
      </c>
      <c r="I1019" s="24" t="s">
        <v>10</v>
      </c>
      <c r="J1019" s="34" t="s">
        <v>10</v>
      </c>
    </row>
    <row r="1020" spans="1:10" x14ac:dyDescent="0.2">
      <c r="A1020" s="35" t="s">
        <v>4874</v>
      </c>
      <c r="B1020" s="35">
        <v>8.6377961059146404</v>
      </c>
      <c r="C1020" s="35">
        <v>6.5545637809631199</v>
      </c>
      <c r="D1020" s="35">
        <v>1.5706790289219099</v>
      </c>
      <c r="E1020" s="35">
        <v>4.17307652312775</v>
      </c>
      <c r="F1020" s="40">
        <v>3.0051395208948399E-5</v>
      </c>
      <c r="G1020" s="35">
        <v>6.0674029767058104E-3</v>
      </c>
      <c r="H1020" s="27" t="s">
        <v>10</v>
      </c>
      <c r="I1020" s="34" t="s">
        <v>5108</v>
      </c>
      <c r="J1020" s="34" t="s">
        <v>10</v>
      </c>
    </row>
    <row r="1021" spans="1:10" x14ac:dyDescent="0.2">
      <c r="A1021" s="35" t="s">
        <v>4875</v>
      </c>
      <c r="B1021" s="35">
        <v>25.472403023675302</v>
      </c>
      <c r="C1021" s="35">
        <v>4.2239336356911403</v>
      </c>
      <c r="D1021" s="35">
        <v>1.0144434318887401</v>
      </c>
      <c r="E1021" s="35">
        <v>4.1637941583660503</v>
      </c>
      <c r="F1021" s="40">
        <v>3.1300231885302899E-5</v>
      </c>
      <c r="G1021" s="35">
        <v>6.2647504581531599E-3</v>
      </c>
      <c r="H1021" s="27" t="s">
        <v>10</v>
      </c>
      <c r="I1021" s="24" t="s">
        <v>10</v>
      </c>
      <c r="J1021" s="34" t="s">
        <v>10</v>
      </c>
    </row>
    <row r="1022" spans="1:10" x14ac:dyDescent="0.2">
      <c r="A1022" s="35" t="s">
        <v>4876</v>
      </c>
      <c r="B1022" s="35">
        <v>18.3631378036265</v>
      </c>
      <c r="C1022" s="35">
        <v>4.6842670052462596</v>
      </c>
      <c r="D1022" s="35">
        <v>1.1254516741773499</v>
      </c>
      <c r="E1022" s="35">
        <v>4.1621218509184104</v>
      </c>
      <c r="F1022" s="40">
        <v>3.15304013433881E-5</v>
      </c>
      <c r="G1022" s="35">
        <v>6.2805657348963999E-3</v>
      </c>
      <c r="H1022" s="27" t="s">
        <v>10</v>
      </c>
      <c r="I1022" s="24" t="s">
        <v>10</v>
      </c>
      <c r="J1022" s="34" t="s">
        <v>10</v>
      </c>
    </row>
    <row r="1023" spans="1:10" x14ac:dyDescent="0.2">
      <c r="A1023" s="35" t="s">
        <v>4877</v>
      </c>
      <c r="B1023" s="35">
        <v>43.989575597016902</v>
      </c>
      <c r="C1023" s="35">
        <v>2.44321558112392</v>
      </c>
      <c r="D1023" s="35">
        <v>0.58742304787924005</v>
      </c>
      <c r="E1023" s="35">
        <v>4.1592096019122904</v>
      </c>
      <c r="F1023" s="40">
        <v>3.19350750027462E-5</v>
      </c>
      <c r="G1023" s="35">
        <v>6.3429287210999396E-3</v>
      </c>
      <c r="H1023" s="27" t="s">
        <v>10</v>
      </c>
      <c r="I1023" s="24" t="s">
        <v>10</v>
      </c>
      <c r="J1023" s="34" t="s">
        <v>10</v>
      </c>
    </row>
    <row r="1024" spans="1:10" x14ac:dyDescent="0.2">
      <c r="A1024" s="35" t="s">
        <v>4878</v>
      </c>
      <c r="B1024" s="35">
        <v>42.660601711701403</v>
      </c>
      <c r="C1024" s="35">
        <v>8.8433509209219192</v>
      </c>
      <c r="D1024" s="35">
        <v>2.1273031795197301</v>
      </c>
      <c r="E1024" s="35">
        <v>4.1570712656568496</v>
      </c>
      <c r="F1024" s="40">
        <v>3.2235345717814503E-5</v>
      </c>
      <c r="G1024" s="35">
        <v>6.3842578502862398E-3</v>
      </c>
      <c r="H1024" s="27" t="s">
        <v>10</v>
      </c>
      <c r="I1024" s="24" t="s">
        <v>10</v>
      </c>
      <c r="J1024" s="34" t="s">
        <v>10</v>
      </c>
    </row>
    <row r="1025" spans="1:10" x14ac:dyDescent="0.2">
      <c r="A1025" s="35" t="s">
        <v>4879</v>
      </c>
      <c r="B1025" s="35">
        <v>148.276086736531</v>
      </c>
      <c r="C1025" s="35">
        <v>2.6557049628131</v>
      </c>
      <c r="D1025" s="35">
        <v>0.63925913240381604</v>
      </c>
      <c r="E1025" s="35">
        <v>4.1543481011007302</v>
      </c>
      <c r="F1025" s="40">
        <v>3.2621623745815901E-5</v>
      </c>
      <c r="G1025" s="35">
        <v>6.4484662825268499E-3</v>
      </c>
      <c r="H1025" s="27" t="s">
        <v>10</v>
      </c>
      <c r="I1025" s="34" t="s">
        <v>5168</v>
      </c>
      <c r="J1025" s="34" t="s">
        <v>10</v>
      </c>
    </row>
    <row r="1026" spans="1:10" x14ac:dyDescent="0.2">
      <c r="A1026" s="35" t="s">
        <v>4880</v>
      </c>
      <c r="B1026" s="35">
        <v>27.7397263474002</v>
      </c>
      <c r="C1026" s="35">
        <v>4.7580728603214499</v>
      </c>
      <c r="D1026" s="35">
        <v>1.1465619046139499</v>
      </c>
      <c r="E1026" s="35">
        <v>4.1498612863153701</v>
      </c>
      <c r="F1026" s="40">
        <v>3.3267681680474897E-5</v>
      </c>
      <c r="G1026" s="35">
        <v>6.54503832879616E-3</v>
      </c>
      <c r="H1026" s="27" t="s">
        <v>4959</v>
      </c>
      <c r="I1026" s="34" t="s">
        <v>5131</v>
      </c>
      <c r="J1026" s="34" t="s">
        <v>10</v>
      </c>
    </row>
    <row r="1027" spans="1:10" x14ac:dyDescent="0.2">
      <c r="A1027" s="35" t="s">
        <v>4881</v>
      </c>
      <c r="B1027" s="35">
        <v>50.6169866993311</v>
      </c>
      <c r="C1027" s="35">
        <v>2.0344981895059</v>
      </c>
      <c r="D1027" s="35">
        <v>0.49029908249051202</v>
      </c>
      <c r="E1027" s="35">
        <v>4.1495043783714802</v>
      </c>
      <c r="F1027" s="40">
        <v>3.3319591506386702E-5</v>
      </c>
      <c r="G1027" s="35">
        <v>6.5490492459800102E-3</v>
      </c>
      <c r="H1027" s="27" t="s">
        <v>10</v>
      </c>
      <c r="I1027" s="24" t="s">
        <v>10</v>
      </c>
      <c r="J1027" s="34" t="s">
        <v>10</v>
      </c>
    </row>
    <row r="1028" spans="1:10" x14ac:dyDescent="0.2">
      <c r="A1028" s="35" t="s">
        <v>4882</v>
      </c>
      <c r="B1028" s="35">
        <v>9.5410622610470508</v>
      </c>
      <c r="C1028" s="35">
        <v>6.6948400095760698</v>
      </c>
      <c r="D1028" s="35">
        <v>1.6135470457915699</v>
      </c>
      <c r="E1028" s="35">
        <v>4.1491445985646802</v>
      </c>
      <c r="F1028" s="40">
        <v>3.33719968914821E-5</v>
      </c>
      <c r="G1028" s="35">
        <v>6.55045989213185E-3</v>
      </c>
      <c r="H1028" s="27" t="s">
        <v>10</v>
      </c>
      <c r="I1028" s="24" t="s">
        <v>10</v>
      </c>
      <c r="J1028" s="34" t="s">
        <v>10</v>
      </c>
    </row>
    <row r="1029" spans="1:10" x14ac:dyDescent="0.2">
      <c r="A1029" s="35" t="s">
        <v>4883</v>
      </c>
      <c r="B1029" s="35">
        <v>119.523000111004</v>
      </c>
      <c r="C1029" s="35">
        <v>2.1881020612115298</v>
      </c>
      <c r="D1029" s="35">
        <v>0.52737775291575795</v>
      </c>
      <c r="E1029" s="35">
        <v>4.1490223072816201</v>
      </c>
      <c r="F1029" s="40">
        <v>3.33898276139684E-5</v>
      </c>
      <c r="G1029" s="35">
        <v>6.55045989213185E-3</v>
      </c>
      <c r="H1029" s="27" t="s">
        <v>10</v>
      </c>
      <c r="I1029" s="24" t="s">
        <v>10</v>
      </c>
      <c r="J1029" s="34" t="s">
        <v>10</v>
      </c>
    </row>
    <row r="1030" spans="1:10" x14ac:dyDescent="0.2">
      <c r="A1030" s="35" t="s">
        <v>4884</v>
      </c>
      <c r="B1030" s="35">
        <v>9.7835181669607092</v>
      </c>
      <c r="C1030" s="35">
        <v>5.7367205979616296</v>
      </c>
      <c r="D1030" s="35">
        <v>1.3859801939777401</v>
      </c>
      <c r="E1030" s="35">
        <v>4.1391071985648997</v>
      </c>
      <c r="F1030" s="40">
        <v>3.4866001551437901E-5</v>
      </c>
      <c r="G1030" s="35">
        <v>6.8015220829300699E-3</v>
      </c>
      <c r="H1030" s="27" t="s">
        <v>3093</v>
      </c>
      <c r="I1030" s="34" t="s">
        <v>3131</v>
      </c>
      <c r="J1030" s="34" t="s">
        <v>10</v>
      </c>
    </row>
    <row r="1031" spans="1:10" x14ac:dyDescent="0.2">
      <c r="A1031" s="35" t="s">
        <v>4885</v>
      </c>
      <c r="B1031" s="35">
        <v>22.412761998256201</v>
      </c>
      <c r="C1031" s="35">
        <v>6.9367336084484998</v>
      </c>
      <c r="D1031" s="35">
        <v>1.6779431352663801</v>
      </c>
      <c r="E1031" s="35">
        <v>4.1340695418425399</v>
      </c>
      <c r="F1031" s="40">
        <v>3.5639555649843603E-5</v>
      </c>
      <c r="G1031" s="35">
        <v>6.9328946850083497E-3</v>
      </c>
      <c r="H1031" s="27" t="s">
        <v>10</v>
      </c>
      <c r="I1031" s="24" t="s">
        <v>10</v>
      </c>
      <c r="J1031" s="34" t="s">
        <v>10</v>
      </c>
    </row>
    <row r="1032" spans="1:10" x14ac:dyDescent="0.2">
      <c r="A1032" s="35" t="s">
        <v>4886</v>
      </c>
      <c r="B1032" s="35">
        <v>6.6435245959359603</v>
      </c>
      <c r="C1032" s="35">
        <v>6.1674073207975502</v>
      </c>
      <c r="D1032" s="35">
        <v>1.4931764578079001</v>
      </c>
      <c r="E1032" s="35">
        <v>4.1303941597443803</v>
      </c>
      <c r="F1032" s="40">
        <v>3.6214179307744599E-5</v>
      </c>
      <c r="G1032" s="35">
        <v>7.03150751052317E-3</v>
      </c>
      <c r="H1032" s="27" t="s">
        <v>10</v>
      </c>
      <c r="I1032" s="24" t="s">
        <v>10</v>
      </c>
      <c r="J1032" s="34" t="s">
        <v>10</v>
      </c>
    </row>
    <row r="1033" spans="1:10" x14ac:dyDescent="0.2">
      <c r="A1033" s="35" t="s">
        <v>4887</v>
      </c>
      <c r="B1033" s="35">
        <v>8.1344053495630906</v>
      </c>
      <c r="C1033" s="35">
        <v>6.46740713976578</v>
      </c>
      <c r="D1033" s="35">
        <v>1.5668275274850401</v>
      </c>
      <c r="E1033" s="35">
        <v>4.1277083956693001</v>
      </c>
      <c r="F1033" s="40">
        <v>3.6639633404373798E-5</v>
      </c>
      <c r="G1033" s="35">
        <v>7.0942252353765898E-3</v>
      </c>
      <c r="H1033" s="27" t="s">
        <v>4986</v>
      </c>
      <c r="I1033" s="34" t="s">
        <v>5161</v>
      </c>
      <c r="J1033" s="34" t="s">
        <v>5030</v>
      </c>
    </row>
    <row r="1034" spans="1:10" x14ac:dyDescent="0.2">
      <c r="A1034" s="35" t="s">
        <v>4888</v>
      </c>
      <c r="B1034" s="35">
        <v>21.002654560101298</v>
      </c>
      <c r="C1034" s="35">
        <v>5.3999215809647696</v>
      </c>
      <c r="D1034" s="35">
        <v>1.30875905178366</v>
      </c>
      <c r="E1034" s="35">
        <v>4.1259860427367601</v>
      </c>
      <c r="F1034" s="40">
        <v>3.6914965651973503E-5</v>
      </c>
      <c r="G1034" s="35">
        <v>7.1276074386537203E-3</v>
      </c>
      <c r="H1034" s="27" t="s">
        <v>10</v>
      </c>
      <c r="I1034" s="24" t="s">
        <v>10</v>
      </c>
      <c r="J1034" s="34" t="s">
        <v>10</v>
      </c>
    </row>
    <row r="1035" spans="1:10" x14ac:dyDescent="0.2">
      <c r="A1035" s="45" t="s">
        <v>4889</v>
      </c>
      <c r="B1035" s="45">
        <v>12.5175654702666</v>
      </c>
      <c r="C1035" s="45">
        <v>7.0742573725679998</v>
      </c>
      <c r="D1035" s="45">
        <v>1.71523341002434</v>
      </c>
      <c r="E1035" s="45">
        <v>4.1243700893557298</v>
      </c>
      <c r="F1035" s="46">
        <v>3.7175074196037602E-5</v>
      </c>
      <c r="G1035" s="45">
        <v>7.1438086457899699E-3</v>
      </c>
      <c r="H1035" s="50" t="s">
        <v>174</v>
      </c>
      <c r="I1035" s="50" t="s">
        <v>5106</v>
      </c>
      <c r="J1035" s="50" t="s">
        <v>10</v>
      </c>
    </row>
    <row r="1036" spans="1:10" x14ac:dyDescent="0.2">
      <c r="A1036" s="35" t="s">
        <v>4890</v>
      </c>
      <c r="B1036" s="35">
        <v>10.0712405613172</v>
      </c>
      <c r="C1036" s="35">
        <v>6.7597749386686496</v>
      </c>
      <c r="D1036" s="35">
        <v>1.63979074905288</v>
      </c>
      <c r="E1036" s="35">
        <v>4.1223399647625696</v>
      </c>
      <c r="F1036" s="40">
        <v>3.7504315451331301E-5</v>
      </c>
      <c r="G1036" s="35">
        <v>7.1879580820173403E-3</v>
      </c>
      <c r="H1036" s="27" t="s">
        <v>10</v>
      </c>
      <c r="I1036" s="24" t="s">
        <v>10</v>
      </c>
      <c r="J1036" s="34" t="s">
        <v>10</v>
      </c>
    </row>
    <row r="1037" spans="1:10" x14ac:dyDescent="0.2">
      <c r="A1037" s="35" t="s">
        <v>4891</v>
      </c>
      <c r="B1037" s="35">
        <v>14.493537594224501</v>
      </c>
      <c r="C1037" s="35">
        <v>5.4389905928594402</v>
      </c>
      <c r="D1037" s="35">
        <v>1.32018312321588</v>
      </c>
      <c r="E1037" s="35">
        <v>4.1198758696523798</v>
      </c>
      <c r="F1037" s="40">
        <v>3.7907656573620601E-5</v>
      </c>
      <c r="G1037" s="35">
        <v>7.2518813067303104E-3</v>
      </c>
      <c r="H1037" s="27" t="s">
        <v>10</v>
      </c>
      <c r="I1037" s="24" t="s">
        <v>10</v>
      </c>
      <c r="J1037" s="34" t="s">
        <v>10</v>
      </c>
    </row>
    <row r="1038" spans="1:10" x14ac:dyDescent="0.2">
      <c r="A1038" s="35" t="s">
        <v>4892</v>
      </c>
      <c r="B1038" s="35">
        <v>6.8191960618453296</v>
      </c>
      <c r="C1038" s="35">
        <v>6.1882369744473804</v>
      </c>
      <c r="D1038" s="35">
        <v>1.50433425386885</v>
      </c>
      <c r="E1038" s="35">
        <v>4.11360504391393</v>
      </c>
      <c r="F1038" s="40">
        <v>3.89527665329881E-5</v>
      </c>
      <c r="G1038" s="35">
        <v>7.3973226360397404E-3</v>
      </c>
      <c r="H1038" s="27" t="s">
        <v>10</v>
      </c>
      <c r="I1038" s="24" t="s">
        <v>10</v>
      </c>
      <c r="J1038" s="34" t="s">
        <v>10</v>
      </c>
    </row>
    <row r="1039" spans="1:10" x14ac:dyDescent="0.2">
      <c r="A1039" s="35" t="s">
        <v>4893</v>
      </c>
      <c r="B1039" s="35">
        <v>13.457355502413</v>
      </c>
      <c r="C1039" s="35">
        <v>4.29863203180527</v>
      </c>
      <c r="D1039" s="35">
        <v>1.0459345441721299</v>
      </c>
      <c r="E1039" s="35">
        <v>4.1098480356700202</v>
      </c>
      <c r="F1039" s="40">
        <v>3.9591957940701603E-5</v>
      </c>
      <c r="G1039" s="35">
        <v>7.4757510090979404E-3</v>
      </c>
      <c r="H1039" s="27" t="s">
        <v>10</v>
      </c>
      <c r="I1039" s="24" t="s">
        <v>10</v>
      </c>
      <c r="J1039" s="34" t="s">
        <v>10</v>
      </c>
    </row>
    <row r="1040" spans="1:10" x14ac:dyDescent="0.2">
      <c r="A1040" s="35" t="s">
        <v>4894</v>
      </c>
      <c r="B1040" s="35">
        <v>49.617826990934603</v>
      </c>
      <c r="C1040" s="35">
        <v>2.8717391672177501</v>
      </c>
      <c r="D1040" s="35">
        <v>0.69979401928362095</v>
      </c>
      <c r="E1040" s="35">
        <v>4.1036920695000401</v>
      </c>
      <c r="F1040" s="40">
        <v>4.0660858457658401E-5</v>
      </c>
      <c r="G1040" s="35">
        <v>7.64158621383318E-3</v>
      </c>
      <c r="H1040" s="27" t="s">
        <v>10</v>
      </c>
      <c r="I1040" s="24" t="s">
        <v>10</v>
      </c>
      <c r="J1040" s="34" t="s">
        <v>10</v>
      </c>
    </row>
    <row r="1041" spans="1:10" x14ac:dyDescent="0.2">
      <c r="A1041" s="35" t="s">
        <v>4895</v>
      </c>
      <c r="B1041" s="35">
        <v>37.082944447681498</v>
      </c>
      <c r="C1041" s="35">
        <v>2.0452508556739</v>
      </c>
      <c r="D1041" s="35">
        <v>0.49936499622074298</v>
      </c>
      <c r="E1041" s="35">
        <v>4.0957032854777902</v>
      </c>
      <c r="F1041" s="40">
        <v>4.2088871501843403E-5</v>
      </c>
      <c r="G1041" s="35">
        <v>7.8564380842201104E-3</v>
      </c>
      <c r="H1041" s="27" t="s">
        <v>10</v>
      </c>
      <c r="I1041" s="24" t="s">
        <v>10</v>
      </c>
      <c r="J1041" s="34" t="s">
        <v>10</v>
      </c>
    </row>
    <row r="1042" spans="1:10" x14ac:dyDescent="0.2">
      <c r="A1042" s="35" t="s">
        <v>4896</v>
      </c>
      <c r="B1042" s="35">
        <v>6.9977038496987101</v>
      </c>
      <c r="C1042" s="35">
        <v>6.2407265746469198</v>
      </c>
      <c r="D1042" s="35">
        <v>1.5243316904377</v>
      </c>
      <c r="E1042" s="35">
        <v>4.09407389073891</v>
      </c>
      <c r="F1042" s="40">
        <v>4.2385913428230801E-5</v>
      </c>
      <c r="G1042" s="35">
        <v>7.8976931212515807E-3</v>
      </c>
      <c r="H1042" s="27" t="s">
        <v>10</v>
      </c>
      <c r="I1042" s="24" t="s">
        <v>10</v>
      </c>
      <c r="J1042" s="34" t="s">
        <v>10</v>
      </c>
    </row>
    <row r="1043" spans="1:10" x14ac:dyDescent="0.2">
      <c r="A1043" s="35" t="s">
        <v>4897</v>
      </c>
      <c r="B1043" s="35">
        <v>17.729909506452099</v>
      </c>
      <c r="C1043" s="35">
        <v>5.15499161545657</v>
      </c>
      <c r="D1043" s="35">
        <v>1.2593770134489699</v>
      </c>
      <c r="E1043" s="35">
        <v>4.0932870462189399</v>
      </c>
      <c r="F1043" s="40">
        <v>4.2530067852013898E-5</v>
      </c>
      <c r="G1043" s="35">
        <v>7.9174523088377993E-3</v>
      </c>
      <c r="H1043" s="27" t="s">
        <v>10</v>
      </c>
      <c r="I1043" s="24" t="s">
        <v>10</v>
      </c>
      <c r="J1043" s="34" t="s">
        <v>10</v>
      </c>
    </row>
    <row r="1044" spans="1:10" x14ac:dyDescent="0.2">
      <c r="A1044" s="35" t="s">
        <v>4898</v>
      </c>
      <c r="B1044" s="35">
        <v>15.8651413747903</v>
      </c>
      <c r="C1044" s="35">
        <v>7.4030511693039296</v>
      </c>
      <c r="D1044" s="35">
        <v>1.80905168155183</v>
      </c>
      <c r="E1044" s="35">
        <v>4.09222757138342</v>
      </c>
      <c r="F1044" s="40">
        <v>4.2724904614936798E-5</v>
      </c>
      <c r="G1044" s="35">
        <v>7.9437802029632496E-3</v>
      </c>
      <c r="H1044" s="27" t="s">
        <v>10</v>
      </c>
      <c r="I1044" s="24" t="s">
        <v>10</v>
      </c>
      <c r="J1044" s="34" t="s">
        <v>10</v>
      </c>
    </row>
    <row r="1045" spans="1:10" x14ac:dyDescent="0.2">
      <c r="A1045" s="35" t="s">
        <v>4899</v>
      </c>
      <c r="B1045" s="35">
        <v>58.577858627632402</v>
      </c>
      <c r="C1045" s="35">
        <v>2.0052834376772299</v>
      </c>
      <c r="D1045" s="35">
        <v>0.49003744384308701</v>
      </c>
      <c r="E1045" s="35">
        <v>4.0921024768044703</v>
      </c>
      <c r="F1045" s="40">
        <v>4.2747965242461903E-5</v>
      </c>
      <c r="G1045" s="35">
        <v>7.9437802029632496E-3</v>
      </c>
      <c r="H1045" s="27" t="s">
        <v>10</v>
      </c>
      <c r="I1045" s="24" t="s">
        <v>10</v>
      </c>
      <c r="J1045" s="34" t="s">
        <v>10</v>
      </c>
    </row>
    <row r="1046" spans="1:10" x14ac:dyDescent="0.2">
      <c r="A1046" s="35" t="s">
        <v>4900</v>
      </c>
      <c r="B1046" s="35">
        <v>13.354182898830899</v>
      </c>
      <c r="C1046" s="35">
        <v>3.62728139738774</v>
      </c>
      <c r="D1046" s="35">
        <v>0.88646190279054204</v>
      </c>
      <c r="E1046" s="35">
        <v>4.0918638307740203</v>
      </c>
      <c r="F1046" s="40">
        <v>4.2791991327859899E-5</v>
      </c>
      <c r="G1046" s="35">
        <v>7.9448551834770797E-3</v>
      </c>
      <c r="H1046" s="27" t="s">
        <v>10</v>
      </c>
      <c r="I1046" s="34" t="s">
        <v>5120</v>
      </c>
      <c r="J1046" s="34" t="s">
        <v>3070</v>
      </c>
    </row>
    <row r="1047" spans="1:10" x14ac:dyDescent="0.2">
      <c r="A1047" s="35" t="s">
        <v>4901</v>
      </c>
      <c r="B1047" s="35">
        <v>41.3408143624061</v>
      </c>
      <c r="C1047" s="35">
        <v>2.0924241377255401</v>
      </c>
      <c r="D1047" s="35">
        <v>0.51165334789287298</v>
      </c>
      <c r="E1047" s="35">
        <v>4.0895347335118801</v>
      </c>
      <c r="F1047" s="40">
        <v>4.3223934141873402E-5</v>
      </c>
      <c r="G1047" s="35">
        <v>8.0178854121241393E-3</v>
      </c>
      <c r="H1047" s="27" t="s">
        <v>10</v>
      </c>
      <c r="I1047" s="24" t="s">
        <v>10</v>
      </c>
      <c r="J1047" s="34" t="s">
        <v>10</v>
      </c>
    </row>
    <row r="1048" spans="1:10" x14ac:dyDescent="0.2">
      <c r="A1048" s="35" t="s">
        <v>4902</v>
      </c>
      <c r="B1048" s="35">
        <v>17.703086052169098</v>
      </c>
      <c r="C1048" s="35">
        <v>4.3524897102734297</v>
      </c>
      <c r="D1048" s="35">
        <v>1.0646559162150899</v>
      </c>
      <c r="E1048" s="35">
        <v>4.0881656166874896</v>
      </c>
      <c r="F1048" s="40">
        <v>4.3479770607453203E-5</v>
      </c>
      <c r="G1048" s="35">
        <v>8.0437962798949707E-3</v>
      </c>
      <c r="H1048" s="27" t="s">
        <v>10</v>
      </c>
      <c r="I1048" s="24" t="s">
        <v>10</v>
      </c>
      <c r="J1048" s="34" t="s">
        <v>10</v>
      </c>
    </row>
    <row r="1049" spans="1:10" x14ac:dyDescent="0.2">
      <c r="A1049" s="35" t="s">
        <v>4903</v>
      </c>
      <c r="B1049" s="35">
        <v>17.091211797785999</v>
      </c>
      <c r="C1049" s="35">
        <v>3.95382877839881</v>
      </c>
      <c r="D1049" s="35">
        <v>0.96840501374687804</v>
      </c>
      <c r="E1049" s="35">
        <v>4.0828255970102401</v>
      </c>
      <c r="F1049" s="40">
        <v>4.4491412584873999E-5</v>
      </c>
      <c r="G1049" s="35">
        <v>8.2090212371075302E-3</v>
      </c>
      <c r="H1049" s="27" t="s">
        <v>10</v>
      </c>
      <c r="I1049" s="24" t="s">
        <v>10</v>
      </c>
      <c r="J1049" s="34" t="s">
        <v>10</v>
      </c>
    </row>
    <row r="1050" spans="1:10" x14ac:dyDescent="0.2">
      <c r="A1050" s="35" t="s">
        <v>4904</v>
      </c>
      <c r="B1050" s="35">
        <v>27.707397057197898</v>
      </c>
      <c r="C1050" s="35">
        <v>3.00904392269207</v>
      </c>
      <c r="D1050" s="35">
        <v>0.73865750065416402</v>
      </c>
      <c r="E1050" s="35">
        <v>4.0736659683645398</v>
      </c>
      <c r="F1050" s="40">
        <v>4.6278844449012601E-5</v>
      </c>
      <c r="G1050" s="35">
        <v>8.50859080296377E-3</v>
      </c>
      <c r="H1050" s="27" t="s">
        <v>5002</v>
      </c>
      <c r="I1050" s="34" t="s">
        <v>5181</v>
      </c>
      <c r="J1050" s="34" t="s">
        <v>10</v>
      </c>
    </row>
    <row r="1051" spans="1:10" x14ac:dyDescent="0.2">
      <c r="A1051" s="35" t="s">
        <v>4905</v>
      </c>
      <c r="B1051" s="35">
        <v>6.3576390041461099</v>
      </c>
      <c r="C1051" s="35">
        <v>6.0978846753192197</v>
      </c>
      <c r="D1051" s="35">
        <v>1.49884428394142</v>
      </c>
      <c r="E1051" s="35">
        <v>4.0683910534615304</v>
      </c>
      <c r="F1051" s="40">
        <v>4.73388858449146E-5</v>
      </c>
      <c r="G1051" s="35">
        <v>8.6499011148602305E-3</v>
      </c>
      <c r="H1051" s="27" t="s">
        <v>10</v>
      </c>
      <c r="I1051" s="24" t="s">
        <v>10</v>
      </c>
      <c r="J1051" s="34" t="s">
        <v>10</v>
      </c>
    </row>
    <row r="1052" spans="1:10" x14ac:dyDescent="0.2">
      <c r="A1052" s="35" t="s">
        <v>4906</v>
      </c>
      <c r="B1052" s="35">
        <v>193.797385514795</v>
      </c>
      <c r="C1052" s="35">
        <v>2.0823208792684502</v>
      </c>
      <c r="D1052" s="35">
        <v>0.511882330337883</v>
      </c>
      <c r="E1052" s="35">
        <v>4.06796788217705</v>
      </c>
      <c r="F1052" s="40">
        <v>4.7424916094700599E-5</v>
      </c>
      <c r="G1052" s="35">
        <v>8.6580060352993097E-3</v>
      </c>
      <c r="H1052" s="27" t="s">
        <v>10</v>
      </c>
      <c r="I1052" s="24" t="s">
        <v>10</v>
      </c>
      <c r="J1052" s="34" t="s">
        <v>10</v>
      </c>
    </row>
    <row r="1053" spans="1:10" x14ac:dyDescent="0.2">
      <c r="A1053" s="35" t="s">
        <v>4907</v>
      </c>
      <c r="B1053" s="35">
        <v>6.5134625097894601</v>
      </c>
      <c r="C1053" s="35">
        <v>6.1406594339588798</v>
      </c>
      <c r="D1053" s="35">
        <v>1.51097621529457</v>
      </c>
      <c r="E1053" s="35">
        <v>4.06403447771131</v>
      </c>
      <c r="F1053" s="40">
        <v>4.8231696684693503E-5</v>
      </c>
      <c r="G1053" s="35">
        <v>8.7591122171548907E-3</v>
      </c>
      <c r="H1053" s="27" t="s">
        <v>4943</v>
      </c>
      <c r="I1053" s="34" t="s">
        <v>5119</v>
      </c>
      <c r="J1053" s="34" t="s">
        <v>10</v>
      </c>
    </row>
    <row r="1054" spans="1:10" x14ac:dyDescent="0.2">
      <c r="A1054" s="35" t="s">
        <v>4908</v>
      </c>
      <c r="B1054" s="35">
        <v>43.611294337812602</v>
      </c>
      <c r="C1054" s="35">
        <v>2.2019197770021899</v>
      </c>
      <c r="D1054" s="35">
        <v>0.54193507551889097</v>
      </c>
      <c r="E1054" s="35">
        <v>4.0630693167330101</v>
      </c>
      <c r="F1054" s="40">
        <v>4.8431639703910501E-5</v>
      </c>
      <c r="G1054" s="35">
        <v>8.7752039342316995E-3</v>
      </c>
      <c r="H1054" s="27" t="s">
        <v>10</v>
      </c>
      <c r="I1054" s="24" t="s">
        <v>10</v>
      </c>
      <c r="J1054" s="34" t="s">
        <v>10</v>
      </c>
    </row>
    <row r="1055" spans="1:10" x14ac:dyDescent="0.2">
      <c r="A1055" s="35" t="s">
        <v>4909</v>
      </c>
      <c r="B1055" s="35">
        <v>6.69900859765304</v>
      </c>
      <c r="C1055" s="35">
        <v>6.1619347599056802</v>
      </c>
      <c r="D1055" s="35">
        <v>1.51747424002539</v>
      </c>
      <c r="E1055" s="35">
        <v>4.0606519684990303</v>
      </c>
      <c r="F1055" s="40">
        <v>4.8935872575039003E-5</v>
      </c>
      <c r="G1055" s="35">
        <v>8.8406270806085201E-3</v>
      </c>
      <c r="H1055" s="27" t="s">
        <v>10</v>
      </c>
      <c r="I1055" s="34" t="s">
        <v>5142</v>
      </c>
      <c r="J1055" s="34" t="s">
        <v>4080</v>
      </c>
    </row>
    <row r="1056" spans="1:10" x14ac:dyDescent="0.2">
      <c r="A1056" s="35" t="s">
        <v>4910</v>
      </c>
      <c r="B1056" s="35">
        <v>34.263200763480803</v>
      </c>
      <c r="C1056" s="35">
        <v>3.0749533206053301</v>
      </c>
      <c r="D1056" s="35">
        <v>0.75742164748273499</v>
      </c>
      <c r="E1056" s="35">
        <v>4.0597642420504201</v>
      </c>
      <c r="F1056" s="40">
        <v>4.9122289024754503E-5</v>
      </c>
      <c r="G1056" s="35">
        <v>8.8512144654179503E-3</v>
      </c>
      <c r="H1056" s="27" t="s">
        <v>10</v>
      </c>
      <c r="I1056" s="24" t="s">
        <v>10</v>
      </c>
      <c r="J1056" s="34" t="s">
        <v>10</v>
      </c>
    </row>
    <row r="1057" spans="1:10" x14ac:dyDescent="0.2">
      <c r="A1057" s="35" t="s">
        <v>4911</v>
      </c>
      <c r="B1057" s="35">
        <v>20.230868859737299</v>
      </c>
      <c r="C1057" s="35">
        <v>3.0968870979435601</v>
      </c>
      <c r="D1057" s="35">
        <v>0.76293607231354799</v>
      </c>
      <c r="E1057" s="35">
        <v>4.0591698444044901</v>
      </c>
      <c r="F1057" s="40">
        <v>4.9247484503988698E-5</v>
      </c>
      <c r="G1057" s="35">
        <v>8.8660835273922795E-3</v>
      </c>
      <c r="H1057" s="27" t="s">
        <v>10</v>
      </c>
      <c r="I1057" s="24" t="s">
        <v>10</v>
      </c>
      <c r="J1057" s="34" t="s">
        <v>10</v>
      </c>
    </row>
    <row r="1058" spans="1:10" x14ac:dyDescent="0.2">
      <c r="A1058" s="35" t="s">
        <v>4912</v>
      </c>
      <c r="B1058" s="35">
        <v>25.657768729785701</v>
      </c>
      <c r="C1058" s="35">
        <v>2.4508145079291999</v>
      </c>
      <c r="D1058" s="35">
        <v>0.60394596368397802</v>
      </c>
      <c r="E1058" s="35">
        <v>4.0580029593700901</v>
      </c>
      <c r="F1058" s="40">
        <v>4.9494140867468498E-5</v>
      </c>
      <c r="G1058" s="35">
        <v>8.9027746580621608E-3</v>
      </c>
      <c r="H1058" s="27" t="s">
        <v>10</v>
      </c>
      <c r="I1058" s="24" t="s">
        <v>10</v>
      </c>
      <c r="J1058" s="34" t="s">
        <v>10</v>
      </c>
    </row>
    <row r="1059" spans="1:10" x14ac:dyDescent="0.2">
      <c r="A1059" s="35" t="s">
        <v>4913</v>
      </c>
      <c r="B1059" s="35">
        <v>12.4707310665055</v>
      </c>
      <c r="C1059" s="35">
        <v>6.0829464177347896</v>
      </c>
      <c r="D1059" s="35">
        <v>1.4990857673628899</v>
      </c>
      <c r="E1059" s="35">
        <v>4.0577707761414903</v>
      </c>
      <c r="F1059" s="40">
        <v>4.9543359284518101E-5</v>
      </c>
      <c r="G1059" s="35">
        <v>8.9039188161888702E-3</v>
      </c>
      <c r="H1059" s="27" t="s">
        <v>2782</v>
      </c>
      <c r="I1059" s="34" t="s">
        <v>5139</v>
      </c>
      <c r="J1059" s="34" t="s">
        <v>10</v>
      </c>
    </row>
    <row r="1060" spans="1:10" x14ac:dyDescent="0.2">
      <c r="A1060" s="35" t="s">
        <v>4914</v>
      </c>
      <c r="B1060" s="35">
        <v>13.4374697370056</v>
      </c>
      <c r="C1060" s="35">
        <v>5.3292618819182298</v>
      </c>
      <c r="D1060" s="35">
        <v>1.31353148226349</v>
      </c>
      <c r="E1060" s="35">
        <v>4.0572014861301797</v>
      </c>
      <c r="F1060" s="40">
        <v>4.9664234323129799E-5</v>
      </c>
      <c r="G1060" s="35">
        <v>8.9102268273196505E-3</v>
      </c>
      <c r="H1060" s="27" t="s">
        <v>10</v>
      </c>
      <c r="I1060" s="24" t="s">
        <v>10</v>
      </c>
      <c r="J1060" s="34" t="s">
        <v>10</v>
      </c>
    </row>
    <row r="1061" spans="1:10" x14ac:dyDescent="0.2">
      <c r="A1061" s="35" t="s">
        <v>4915</v>
      </c>
      <c r="B1061" s="35">
        <v>9.2225743824653392</v>
      </c>
      <c r="C1061" s="35">
        <v>6.6391191038029502</v>
      </c>
      <c r="D1061" s="35">
        <v>1.63699210368734</v>
      </c>
      <c r="E1061" s="35">
        <v>4.0556818135214403</v>
      </c>
      <c r="F1061" s="40">
        <v>4.99882708303023E-5</v>
      </c>
      <c r="G1061" s="35">
        <v>8.9528993057071404E-3</v>
      </c>
      <c r="H1061" s="27" t="s">
        <v>10</v>
      </c>
      <c r="I1061" s="24" t="s">
        <v>10</v>
      </c>
      <c r="J1061" s="34" t="s">
        <v>10</v>
      </c>
    </row>
    <row r="1062" spans="1:10" x14ac:dyDescent="0.2">
      <c r="A1062" s="35" t="s">
        <v>4916</v>
      </c>
      <c r="B1062" s="35">
        <v>20.9397364614527</v>
      </c>
      <c r="C1062" s="35">
        <v>3.1960048609481202</v>
      </c>
      <c r="D1062" s="35">
        <v>0.78813720861942305</v>
      </c>
      <c r="E1062" s="35">
        <v>4.05513764100359</v>
      </c>
      <c r="F1062" s="40">
        <v>5.0104790070807998E-5</v>
      </c>
      <c r="G1062" s="35">
        <v>8.9583225180299396E-3</v>
      </c>
      <c r="H1062" s="27" t="s">
        <v>10</v>
      </c>
      <c r="I1062" s="24" t="s">
        <v>10</v>
      </c>
      <c r="J1062" s="34" t="s">
        <v>10</v>
      </c>
    </row>
    <row r="1063" spans="1:10" x14ac:dyDescent="0.2">
      <c r="A1063" s="35" t="s">
        <v>4917</v>
      </c>
      <c r="B1063" s="35">
        <v>6.3773448654269203</v>
      </c>
      <c r="C1063" s="35">
        <v>6.0891754865715697</v>
      </c>
      <c r="D1063" s="35">
        <v>1.50176225693</v>
      </c>
      <c r="E1063" s="35">
        <v>4.0546867245281897</v>
      </c>
      <c r="F1063" s="40">
        <v>5.0201536147090099E-5</v>
      </c>
      <c r="G1063" s="35">
        <v>8.9679022732372E-3</v>
      </c>
      <c r="H1063" s="27" t="s">
        <v>10</v>
      </c>
      <c r="I1063" s="24" t="s">
        <v>10</v>
      </c>
      <c r="J1063" s="34" t="s">
        <v>10</v>
      </c>
    </row>
    <row r="1064" spans="1:10" x14ac:dyDescent="0.2">
      <c r="A1064" s="35" t="s">
        <v>4918</v>
      </c>
      <c r="B1064" s="35">
        <v>11.4495122001348</v>
      </c>
      <c r="C1064" s="35">
        <v>5.0022226588756098</v>
      </c>
      <c r="D1064" s="35">
        <v>1.23549518383512</v>
      </c>
      <c r="E1064" s="35">
        <v>4.04875933498026</v>
      </c>
      <c r="F1064" s="40">
        <v>5.1489858209137403E-5</v>
      </c>
      <c r="G1064" s="35">
        <v>9.1743799160356292E-3</v>
      </c>
      <c r="H1064" s="27" t="s">
        <v>10</v>
      </c>
      <c r="I1064" s="24" t="s">
        <v>10</v>
      </c>
      <c r="J1064" s="34" t="s">
        <v>10</v>
      </c>
    </row>
    <row r="1065" spans="1:10" x14ac:dyDescent="0.2">
      <c r="A1065" s="35" t="s">
        <v>4919</v>
      </c>
      <c r="B1065" s="35">
        <v>49.921207368851</v>
      </c>
      <c r="C1065" s="35">
        <v>4.2593026252228601</v>
      </c>
      <c r="D1065" s="35">
        <v>1.05209415607907</v>
      </c>
      <c r="E1065" s="35">
        <v>4.0484044138182096</v>
      </c>
      <c r="F1065" s="40">
        <v>5.1567986489541303E-5</v>
      </c>
      <c r="G1065" s="35">
        <v>9.1748773422344696E-3</v>
      </c>
      <c r="H1065" s="27" t="s">
        <v>10</v>
      </c>
      <c r="I1065" s="24" t="s">
        <v>10</v>
      </c>
      <c r="J1065" s="34" t="s">
        <v>10</v>
      </c>
    </row>
    <row r="1066" spans="1:10" x14ac:dyDescent="0.2">
      <c r="A1066" s="35" t="s">
        <v>4920</v>
      </c>
      <c r="B1066" s="35">
        <v>20.582773527285202</v>
      </c>
      <c r="C1066" s="35">
        <v>2.3821207298991398</v>
      </c>
      <c r="D1066" s="35">
        <v>0.58847971287632905</v>
      </c>
      <c r="E1066" s="35">
        <v>4.0479232805766197</v>
      </c>
      <c r="F1066" s="40">
        <v>5.1674077047437197E-5</v>
      </c>
      <c r="G1066" s="35">
        <v>9.1835753217000497E-3</v>
      </c>
      <c r="H1066" s="27" t="s">
        <v>10</v>
      </c>
      <c r="I1066" s="24" t="s">
        <v>10</v>
      </c>
      <c r="J1066" s="34" t="s">
        <v>10</v>
      </c>
    </row>
    <row r="1067" spans="1:10" x14ac:dyDescent="0.2">
      <c r="A1067" s="35" t="s">
        <v>4921</v>
      </c>
      <c r="B1067" s="35">
        <v>7.8556014404110597</v>
      </c>
      <c r="C1067" s="35">
        <v>6.3971610527793201</v>
      </c>
      <c r="D1067" s="35">
        <v>1.5813604038153799</v>
      </c>
      <c r="E1067" s="35">
        <v>4.04535299944577</v>
      </c>
      <c r="F1067" s="40">
        <v>5.2244340585721399E-5</v>
      </c>
      <c r="G1067" s="35">
        <v>9.2611563333849199E-3</v>
      </c>
      <c r="H1067" s="27" t="s">
        <v>10</v>
      </c>
      <c r="I1067" s="24" t="s">
        <v>10</v>
      </c>
      <c r="J1067" s="34" t="s">
        <v>10</v>
      </c>
    </row>
    <row r="1068" spans="1:10" x14ac:dyDescent="0.2">
      <c r="A1068" s="35" t="s">
        <v>4922</v>
      </c>
      <c r="B1068" s="35">
        <v>23.409552908807299</v>
      </c>
      <c r="C1068" s="35">
        <v>3.3325363517911102</v>
      </c>
      <c r="D1068" s="35">
        <v>0.82402846978756905</v>
      </c>
      <c r="E1068" s="35">
        <v>4.0442005027450403</v>
      </c>
      <c r="F1068" s="40">
        <v>5.2501974903227697E-5</v>
      </c>
      <c r="G1068" s="35">
        <v>9.2830640833999906E-3</v>
      </c>
      <c r="H1068" s="27" t="s">
        <v>10</v>
      </c>
      <c r="I1068" s="24" t="s">
        <v>10</v>
      </c>
      <c r="J1068" s="34" t="s">
        <v>10</v>
      </c>
    </row>
    <row r="1069" spans="1:10" x14ac:dyDescent="0.2">
      <c r="A1069" s="35" t="s">
        <v>4923</v>
      </c>
      <c r="B1069" s="35">
        <v>6.2016733995175501</v>
      </c>
      <c r="C1069" s="35">
        <v>6.0678754513698303</v>
      </c>
      <c r="D1069" s="35">
        <v>1.5012982139623801</v>
      </c>
      <c r="E1069" s="35">
        <v>4.0417522614343797</v>
      </c>
      <c r="F1069" s="40">
        <v>5.3053266542035901E-5</v>
      </c>
      <c r="G1069" s="35">
        <v>9.3646002070579392E-3</v>
      </c>
      <c r="H1069" s="27" t="s">
        <v>10</v>
      </c>
      <c r="I1069" s="24" t="s">
        <v>10</v>
      </c>
      <c r="J1069" s="34" t="s">
        <v>10</v>
      </c>
    </row>
    <row r="1070" spans="1:10" x14ac:dyDescent="0.2">
      <c r="A1070" s="35" t="s">
        <v>4924</v>
      </c>
      <c r="B1070" s="35">
        <v>31.5088493107678</v>
      </c>
      <c r="C1070" s="35">
        <v>4.3648372796706898</v>
      </c>
      <c r="D1070" s="35">
        <v>1.0802624210646301</v>
      </c>
      <c r="E1070" s="35">
        <v>4.0405342207211197</v>
      </c>
      <c r="F1070" s="40">
        <v>5.3329582338199198E-5</v>
      </c>
      <c r="G1070" s="35">
        <v>9.3814908621972105E-3</v>
      </c>
      <c r="H1070" s="27" t="s">
        <v>10</v>
      </c>
      <c r="I1070" s="24" t="s">
        <v>10</v>
      </c>
      <c r="J1070" s="34" t="s">
        <v>10</v>
      </c>
    </row>
    <row r="1071" spans="1:10" x14ac:dyDescent="0.2">
      <c r="A1071" s="35" t="s">
        <v>4925</v>
      </c>
      <c r="B1071" s="35">
        <v>53.517386322676998</v>
      </c>
      <c r="C1071" s="35">
        <v>9.1700533679375091</v>
      </c>
      <c r="D1071" s="35">
        <v>2.2705494073816799</v>
      </c>
      <c r="E1071" s="35">
        <v>4.0386936034623098</v>
      </c>
      <c r="F1071" s="40">
        <v>5.3749719851547901E-5</v>
      </c>
      <c r="G1071" s="35">
        <v>9.4473999978664895E-3</v>
      </c>
      <c r="H1071" s="27" t="s">
        <v>10</v>
      </c>
      <c r="I1071" s="24" t="s">
        <v>10</v>
      </c>
      <c r="J1071" s="34" t="s">
        <v>10</v>
      </c>
    </row>
    <row r="1072" spans="1:10" x14ac:dyDescent="0.2">
      <c r="A1072" s="35" t="s">
        <v>4926</v>
      </c>
      <c r="B1072" s="35">
        <v>8.4007271790573395</v>
      </c>
      <c r="C1072" s="35">
        <v>6.5134484774303898</v>
      </c>
      <c r="D1072" s="35">
        <v>1.6130084010974901</v>
      </c>
      <c r="E1072" s="35">
        <v>4.03807473848161</v>
      </c>
      <c r="F1072" s="40">
        <v>5.38916844810363E-5</v>
      </c>
      <c r="G1072" s="35">
        <v>9.4591498512728196E-3</v>
      </c>
      <c r="H1072" s="27" t="s">
        <v>10</v>
      </c>
      <c r="I1072" s="24" t="s">
        <v>10</v>
      </c>
      <c r="J1072" s="34" t="s">
        <v>10</v>
      </c>
    </row>
    <row r="1073" spans="1:10" x14ac:dyDescent="0.2">
      <c r="A1073" s="35" t="s">
        <v>4927</v>
      </c>
      <c r="B1073" s="35">
        <v>25.655173871382299</v>
      </c>
      <c r="C1073" s="35">
        <v>3.9969449262483798</v>
      </c>
      <c r="D1073" s="35">
        <v>0.99171737310832697</v>
      </c>
      <c r="E1073" s="35">
        <v>4.0303266178758204</v>
      </c>
      <c r="F1073" s="40">
        <v>5.5699401782029003E-5</v>
      </c>
      <c r="G1073" s="35">
        <v>9.7041876123580006E-3</v>
      </c>
      <c r="H1073" s="27" t="s">
        <v>10</v>
      </c>
      <c r="I1073" s="24" t="s">
        <v>10</v>
      </c>
      <c r="J1073" s="34" t="s">
        <v>10</v>
      </c>
    </row>
    <row r="1074" spans="1:10" x14ac:dyDescent="0.2">
      <c r="A1074" s="35" t="s">
        <v>4928</v>
      </c>
      <c r="B1074" s="35">
        <v>19.8060720738969</v>
      </c>
      <c r="C1074" s="35">
        <v>6.7641936005224297</v>
      </c>
      <c r="D1074" s="35">
        <v>1.67847405011941</v>
      </c>
      <c r="E1074" s="35">
        <v>4.0299661469542496</v>
      </c>
      <c r="F1074" s="40">
        <v>5.57848863073433E-5</v>
      </c>
      <c r="G1074" s="35">
        <v>9.7041876123580006E-3</v>
      </c>
      <c r="H1074" s="27" t="s">
        <v>10</v>
      </c>
      <c r="I1074" s="24" t="s">
        <v>10</v>
      </c>
      <c r="J1074" s="34" t="s">
        <v>10</v>
      </c>
    </row>
    <row r="1075" spans="1:10" x14ac:dyDescent="0.2">
      <c r="A1075" s="35" t="s">
        <v>4929</v>
      </c>
      <c r="B1075" s="35">
        <v>11.977741412282599</v>
      </c>
      <c r="C1075" s="35">
        <v>7.0174283867864302</v>
      </c>
      <c r="D1075" s="35">
        <v>1.7427172798985699</v>
      </c>
      <c r="E1075" s="35">
        <v>4.0267164776118296</v>
      </c>
      <c r="F1075" s="40">
        <v>5.6561165540419103E-5</v>
      </c>
      <c r="G1075" s="35">
        <v>9.8169770325942495E-3</v>
      </c>
      <c r="H1075" s="27" t="s">
        <v>4998</v>
      </c>
      <c r="I1075" s="34" t="s">
        <v>5176</v>
      </c>
      <c r="J1075" s="34" t="s">
        <v>5098</v>
      </c>
    </row>
    <row r="1076" spans="1:10" x14ac:dyDescent="0.2">
      <c r="A1076" s="35" t="s">
        <v>4930</v>
      </c>
      <c r="B1076" s="35">
        <v>11.0427169727869</v>
      </c>
      <c r="C1076" s="35">
        <v>4.9965306077649396</v>
      </c>
      <c r="D1076" s="35">
        <v>1.2412111819001099</v>
      </c>
      <c r="E1076" s="35">
        <v>4.0255281942562</v>
      </c>
      <c r="F1076" s="40">
        <v>5.6847568358741499E-5</v>
      </c>
      <c r="G1076" s="35">
        <v>9.8584502603828797E-3</v>
      </c>
      <c r="H1076" s="27" t="s">
        <v>10</v>
      </c>
      <c r="I1076" s="24" t="s">
        <v>10</v>
      </c>
      <c r="J1076" s="34" t="s">
        <v>10</v>
      </c>
    </row>
    <row r="1077" spans="1:10" x14ac:dyDescent="0.2">
      <c r="A1077" s="35" t="s">
        <v>4931</v>
      </c>
      <c r="B1077" s="35">
        <v>7.0888238928668601</v>
      </c>
      <c r="C1077" s="35">
        <v>6.2507872129041901</v>
      </c>
      <c r="D1077" s="35">
        <v>1.55412228102681</v>
      </c>
      <c r="E1077" s="35">
        <v>4.0220691056396696</v>
      </c>
      <c r="F1077" s="40">
        <v>5.7689125688948001E-5</v>
      </c>
      <c r="G1077" s="35">
        <v>9.9545365420540596E-3</v>
      </c>
      <c r="H1077" s="27" t="s">
        <v>10</v>
      </c>
      <c r="I1077" s="24" t="s">
        <v>10</v>
      </c>
      <c r="J1077" s="34" t="s">
        <v>10</v>
      </c>
    </row>
    <row r="1078" spans="1:10" x14ac:dyDescent="0.2">
      <c r="A1078" s="35" t="s">
        <v>4932</v>
      </c>
      <c r="B1078" s="35">
        <v>29.699603994927401</v>
      </c>
      <c r="C1078" s="35">
        <v>2.25531730058586</v>
      </c>
      <c r="D1078" s="35">
        <v>0.56089625716909397</v>
      </c>
      <c r="E1078" s="35">
        <v>4.0209170087329502</v>
      </c>
      <c r="F1078" s="40">
        <v>5.7972027680790399E-5</v>
      </c>
      <c r="G1078" s="35">
        <v>9.9867633356967595E-3</v>
      </c>
      <c r="H1078" s="27" t="s">
        <v>10</v>
      </c>
      <c r="I1078" s="24" t="s">
        <v>10</v>
      </c>
      <c r="J1078" s="34" t="s">
        <v>10</v>
      </c>
    </row>
  </sheetData>
  <mergeCells count="1">
    <mergeCell ref="A1:G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998"/>
  <sheetViews>
    <sheetView workbookViewId="0">
      <selection sqref="A1:G1"/>
    </sheetView>
  </sheetViews>
  <sheetFormatPr baseColWidth="10" defaultColWidth="11.28515625" defaultRowHeight="15" customHeight="1" x14ac:dyDescent="0.2"/>
  <cols>
    <col min="1" max="1" width="33.5703125" customWidth="1"/>
    <col min="2" max="8" width="10.7109375" customWidth="1"/>
    <col min="9" max="9" width="39.5703125" customWidth="1"/>
    <col min="10" max="27" width="10.5703125" customWidth="1"/>
  </cols>
  <sheetData>
    <row r="1" spans="1:15" ht="15.75" customHeight="1" x14ac:dyDescent="0.2">
      <c r="A1" s="56" t="s">
        <v>5254</v>
      </c>
      <c r="B1" s="55"/>
      <c r="C1" s="55"/>
      <c r="D1" s="55"/>
      <c r="E1" s="55"/>
      <c r="F1" s="55"/>
      <c r="G1" s="55"/>
      <c r="H1" s="2"/>
      <c r="I1" s="2"/>
    </row>
    <row r="2" spans="1:15" ht="15.75" customHeight="1" x14ac:dyDescent="0.2">
      <c r="A2" s="2" t="s">
        <v>0</v>
      </c>
      <c r="B2" s="2" t="s">
        <v>1</v>
      </c>
      <c r="C2" s="2" t="s">
        <v>2</v>
      </c>
      <c r="D2" s="2" t="s">
        <v>3</v>
      </c>
      <c r="E2" s="2" t="s">
        <v>4</v>
      </c>
      <c r="F2" s="2" t="s">
        <v>5</v>
      </c>
      <c r="G2" s="2" t="s">
        <v>6</v>
      </c>
      <c r="H2" s="19" t="s">
        <v>181</v>
      </c>
      <c r="I2" s="19" t="s">
        <v>8</v>
      </c>
      <c r="J2" s="36" t="s">
        <v>3155</v>
      </c>
    </row>
    <row r="3" spans="1:15" ht="15.75" customHeight="1" x14ac:dyDescent="0.2">
      <c r="A3" s="2" t="s">
        <v>1938</v>
      </c>
      <c r="B3" s="2">
        <v>781.37209724270599</v>
      </c>
      <c r="C3" s="2">
        <v>-26.9842303302303</v>
      </c>
      <c r="D3" s="2">
        <v>3.9068313055984101</v>
      </c>
      <c r="E3" s="2">
        <v>-6.9069351142862097</v>
      </c>
      <c r="F3" s="10">
        <v>4.9523630535183096E-12</v>
      </c>
      <c r="G3" s="10">
        <v>3.1554806589334201E-9</v>
      </c>
      <c r="H3" s="20" t="s">
        <v>10</v>
      </c>
      <c r="I3" s="21" t="s">
        <v>10</v>
      </c>
      <c r="J3" t="s">
        <v>10</v>
      </c>
      <c r="O3" s="2"/>
    </row>
    <row r="4" spans="1:15" ht="15.75" customHeight="1" x14ac:dyDescent="0.2">
      <c r="A4" s="2" t="s">
        <v>1956</v>
      </c>
      <c r="B4" s="2">
        <v>371.28784679114102</v>
      </c>
      <c r="C4" s="2">
        <v>-26.0733495408792</v>
      </c>
      <c r="D4" s="2">
        <v>3.9069048525027199</v>
      </c>
      <c r="E4" s="2">
        <v>-6.6736586953677302</v>
      </c>
      <c r="F4" s="10">
        <v>2.4950350411530901E-11</v>
      </c>
      <c r="G4" s="10">
        <v>1.2933585033665399E-8</v>
      </c>
      <c r="H4" s="20" t="s">
        <v>10</v>
      </c>
      <c r="I4" s="21" t="s">
        <v>10</v>
      </c>
      <c r="J4" s="42" t="s">
        <v>10</v>
      </c>
      <c r="O4" s="2"/>
    </row>
    <row r="5" spans="1:15" ht="15.75" customHeight="1" x14ac:dyDescent="0.2">
      <c r="A5" s="2" t="s">
        <v>1967</v>
      </c>
      <c r="B5" s="2">
        <v>743.48779336273799</v>
      </c>
      <c r="C5" s="2">
        <v>-10.198948226558599</v>
      </c>
      <c r="D5" s="2">
        <v>1.17793225786944</v>
      </c>
      <c r="E5" s="2">
        <v>-8.6583486940121492</v>
      </c>
      <c r="F5" s="10">
        <v>4.78647436265858E-18</v>
      </c>
      <c r="G5" s="10">
        <v>9.1493457442218702E-15</v>
      </c>
      <c r="H5" s="20" t="s">
        <v>10</v>
      </c>
      <c r="I5" s="21" t="s">
        <v>10</v>
      </c>
      <c r="J5" s="42" t="s">
        <v>10</v>
      </c>
      <c r="O5" s="2"/>
    </row>
    <row r="6" spans="1:15" ht="15.75" customHeight="1" x14ac:dyDescent="0.2">
      <c r="A6" s="2" t="s">
        <v>1976</v>
      </c>
      <c r="B6" s="2">
        <v>1523.1453563611999</v>
      </c>
      <c r="C6" s="2">
        <v>-9.9602371346025098</v>
      </c>
      <c r="D6" s="2">
        <v>2.06466874617167</v>
      </c>
      <c r="E6" s="2">
        <v>-4.8241332431998503</v>
      </c>
      <c r="F6" s="10">
        <v>1.40613397317041E-6</v>
      </c>
      <c r="G6" s="2">
        <v>1.94593671653592E-4</v>
      </c>
      <c r="H6" s="20" t="s">
        <v>10</v>
      </c>
      <c r="I6" s="21" t="s">
        <v>10</v>
      </c>
      <c r="J6" s="42" t="s">
        <v>10</v>
      </c>
      <c r="O6" s="2"/>
    </row>
    <row r="7" spans="1:15" ht="15.75" customHeight="1" x14ac:dyDescent="0.2">
      <c r="A7" s="2" t="s">
        <v>1982</v>
      </c>
      <c r="B7" s="2">
        <v>34.530615262603</v>
      </c>
      <c r="C7" s="2">
        <v>-8.8073117379278401</v>
      </c>
      <c r="D7" s="2">
        <v>1.4117482263097501</v>
      </c>
      <c r="E7" s="2">
        <v>-6.2385853042293498</v>
      </c>
      <c r="F7" s="10">
        <v>4.41545818099885E-10</v>
      </c>
      <c r="G7" s="10">
        <v>1.9859172501127699E-7</v>
      </c>
      <c r="H7" s="20" t="s">
        <v>10</v>
      </c>
      <c r="I7" s="2" t="s">
        <v>1986</v>
      </c>
      <c r="J7" s="42" t="s">
        <v>10</v>
      </c>
      <c r="O7" s="2"/>
    </row>
    <row r="8" spans="1:15" ht="15.75" customHeight="1" x14ac:dyDescent="0.2">
      <c r="A8" s="2" t="s">
        <v>1991</v>
      </c>
      <c r="B8" s="2">
        <v>32.0757925009353</v>
      </c>
      <c r="C8" s="2">
        <v>-8.7001507999840904</v>
      </c>
      <c r="D8" s="2">
        <v>1.2314873747176001</v>
      </c>
      <c r="E8" s="2">
        <v>-7.0647503000014096</v>
      </c>
      <c r="F8" s="10">
        <v>1.60905065349586E-12</v>
      </c>
      <c r="G8" s="10">
        <v>1.08383076479576E-9</v>
      </c>
      <c r="H8" s="20" t="s">
        <v>10</v>
      </c>
      <c r="I8" s="2" t="s">
        <v>1994</v>
      </c>
      <c r="J8" s="42" t="s">
        <v>10</v>
      </c>
      <c r="O8" s="2"/>
    </row>
    <row r="9" spans="1:15" ht="15.75" customHeight="1" x14ac:dyDescent="0.2">
      <c r="A9" s="2" t="s">
        <v>1998</v>
      </c>
      <c r="B9" s="2">
        <v>23958.8055645239</v>
      </c>
      <c r="C9" s="2">
        <v>-7.1392775980481904</v>
      </c>
      <c r="D9" s="2">
        <v>0.513017956120839</v>
      </c>
      <c r="E9" s="2">
        <v>-13.9162333654586</v>
      </c>
      <c r="F9" s="10">
        <v>5.0481535553844701E-44</v>
      </c>
      <c r="G9" s="10">
        <v>7.7196364168939296E-40</v>
      </c>
      <c r="H9" s="20" t="s">
        <v>10</v>
      </c>
      <c r="I9" s="21" t="s">
        <v>10</v>
      </c>
      <c r="J9" s="42" t="s">
        <v>10</v>
      </c>
      <c r="O9" s="2"/>
    </row>
    <row r="10" spans="1:15" ht="15.75" customHeight="1" x14ac:dyDescent="0.2">
      <c r="A10" s="2" t="s">
        <v>2013</v>
      </c>
      <c r="B10" s="2">
        <v>19528.519136212799</v>
      </c>
      <c r="C10" s="2">
        <v>-6.7117776192741001</v>
      </c>
      <c r="D10" s="2">
        <v>0.42505946627222002</v>
      </c>
      <c r="E10" s="2">
        <v>-15.7902085516093</v>
      </c>
      <c r="F10" s="10">
        <v>3.6337656180925899E-56</v>
      </c>
      <c r="G10" s="10">
        <v>1.11135087663744E-51</v>
      </c>
      <c r="H10" s="20" t="s">
        <v>10</v>
      </c>
      <c r="I10" s="21" t="s">
        <v>10</v>
      </c>
      <c r="J10" s="42" t="s">
        <v>10</v>
      </c>
      <c r="O10" s="2"/>
    </row>
    <row r="11" spans="1:15" ht="15.75" customHeight="1" x14ac:dyDescent="0.2">
      <c r="A11" s="2" t="s">
        <v>2024</v>
      </c>
      <c r="B11" s="2">
        <v>30.6413065504412</v>
      </c>
      <c r="C11" s="2">
        <v>-3.3123237466985</v>
      </c>
      <c r="D11" s="2">
        <v>0.46666059723174502</v>
      </c>
      <c r="E11" s="2">
        <v>-7.0979289152488496</v>
      </c>
      <c r="F11" s="10">
        <v>1.2664028769102199E-12</v>
      </c>
      <c r="G11" s="10">
        <v>9.2218251398624296E-10</v>
      </c>
      <c r="H11" s="20" t="s">
        <v>10</v>
      </c>
      <c r="I11" s="21" t="s">
        <v>10</v>
      </c>
      <c r="J11" s="42" t="s">
        <v>10</v>
      </c>
      <c r="O11" s="2"/>
    </row>
    <row r="12" spans="1:15" ht="15.75" customHeight="1" x14ac:dyDescent="0.2">
      <c r="A12" s="2" t="s">
        <v>1972</v>
      </c>
      <c r="B12" s="2">
        <v>69.577820318754704</v>
      </c>
      <c r="C12" s="2">
        <v>-3.3004589051418902</v>
      </c>
      <c r="D12" s="2">
        <v>0.33134050887313099</v>
      </c>
      <c r="E12" s="2">
        <v>-9.9609278574677003</v>
      </c>
      <c r="F12" s="10">
        <v>2.2594405050745399E-23</v>
      </c>
      <c r="G12" s="10">
        <v>8.6378410508999698E-20</v>
      </c>
      <c r="H12" s="2" t="s">
        <v>1973</v>
      </c>
      <c r="I12" s="2" t="s">
        <v>2039</v>
      </c>
      <c r="J12" s="42" t="s">
        <v>5224</v>
      </c>
      <c r="O12" s="2"/>
    </row>
    <row r="13" spans="1:15" ht="15.75" customHeight="1" x14ac:dyDescent="0.2">
      <c r="A13" s="2" t="s">
        <v>2045</v>
      </c>
      <c r="B13" s="2">
        <v>90.346466231976507</v>
      </c>
      <c r="C13" s="2">
        <v>-2.9880754342028202</v>
      </c>
      <c r="D13" s="2">
        <v>0.280636594595571</v>
      </c>
      <c r="E13" s="2">
        <v>-10.6474903549516</v>
      </c>
      <c r="F13" s="10">
        <v>1.7912921187891899E-26</v>
      </c>
      <c r="G13" s="10">
        <v>1.0956975632209701E-22</v>
      </c>
      <c r="H13" s="2" t="s">
        <v>2048</v>
      </c>
      <c r="I13" s="2" t="s">
        <v>2049</v>
      </c>
      <c r="J13" s="42" t="s">
        <v>10</v>
      </c>
      <c r="O13" s="2"/>
    </row>
    <row r="14" spans="1:15" ht="15.75" customHeight="1" x14ac:dyDescent="0.2">
      <c r="A14" s="2" t="s">
        <v>1996</v>
      </c>
      <c r="B14" s="2">
        <v>73.710005960456797</v>
      </c>
      <c r="C14" s="2">
        <v>-2.77451822970164</v>
      </c>
      <c r="D14" s="2">
        <v>0.62880356222521405</v>
      </c>
      <c r="E14" s="2">
        <v>-4.4123767681645401</v>
      </c>
      <c r="F14" s="10">
        <v>1.0224199024250099E-5</v>
      </c>
      <c r="G14" s="2">
        <v>8.9855431884386502E-4</v>
      </c>
      <c r="H14" s="2"/>
      <c r="I14" s="2" t="s">
        <v>2056</v>
      </c>
      <c r="J14" s="42" t="s">
        <v>10</v>
      </c>
      <c r="O14" s="2"/>
    </row>
    <row r="15" spans="1:15" ht="15.75" customHeight="1" x14ac:dyDescent="0.2">
      <c r="A15" s="2" t="s">
        <v>1963</v>
      </c>
      <c r="B15" s="2">
        <v>29.3565572354957</v>
      </c>
      <c r="C15" s="2">
        <v>-2.7668171186027402</v>
      </c>
      <c r="D15" s="2">
        <v>0.46919543861680502</v>
      </c>
      <c r="E15" s="2">
        <v>-5.89693950725386</v>
      </c>
      <c r="F15" s="10">
        <v>3.7030553940850399E-9</v>
      </c>
      <c r="G15" s="10">
        <v>1.3169098392174E-6</v>
      </c>
      <c r="H15" s="2" t="s">
        <v>1964</v>
      </c>
      <c r="I15" s="2" t="s">
        <v>2060</v>
      </c>
      <c r="J15" s="42" t="s">
        <v>5223</v>
      </c>
      <c r="O15" s="2"/>
    </row>
    <row r="16" spans="1:15" ht="15.75" customHeight="1" x14ac:dyDescent="0.2">
      <c r="A16" s="2" t="s">
        <v>2064</v>
      </c>
      <c r="B16" s="2">
        <v>28.2132182049208</v>
      </c>
      <c r="C16" s="2">
        <v>-2.6306696107234702</v>
      </c>
      <c r="D16" s="2">
        <v>0.56879281516758196</v>
      </c>
      <c r="E16" s="2">
        <v>-4.6250049940388198</v>
      </c>
      <c r="F16" s="10">
        <v>3.74589375601186E-6</v>
      </c>
      <c r="G16" s="2">
        <v>4.1508845881835699E-4</v>
      </c>
      <c r="H16" s="20" t="s">
        <v>10</v>
      </c>
      <c r="I16" s="21" t="s">
        <v>10</v>
      </c>
      <c r="J16" s="42" t="s">
        <v>10</v>
      </c>
      <c r="O16" s="2"/>
    </row>
    <row r="17" spans="1:15" ht="15.75" customHeight="1" x14ac:dyDescent="0.2">
      <c r="A17" s="2" t="s">
        <v>2068</v>
      </c>
      <c r="B17" s="2">
        <v>29.5390969436618</v>
      </c>
      <c r="C17" s="2">
        <v>-2.4559081556072599</v>
      </c>
      <c r="D17" s="2">
        <v>0.44175169644866502</v>
      </c>
      <c r="E17" s="2">
        <v>-5.5594764555537104</v>
      </c>
      <c r="F17" s="10">
        <v>2.70585094096856E-8</v>
      </c>
      <c r="G17" s="10">
        <v>7.0131987439476599E-6</v>
      </c>
      <c r="H17" s="20" t="s">
        <v>10</v>
      </c>
      <c r="I17" s="2" t="s">
        <v>2071</v>
      </c>
      <c r="J17" s="42" t="s">
        <v>10</v>
      </c>
      <c r="O17" s="2"/>
    </row>
    <row r="18" spans="1:15" ht="15.75" customHeight="1" x14ac:dyDescent="0.2">
      <c r="A18" s="2" t="s">
        <v>2031</v>
      </c>
      <c r="B18" s="2">
        <v>154.305808008589</v>
      </c>
      <c r="C18" s="2">
        <v>-2.35911757320588</v>
      </c>
      <c r="D18" s="2">
        <v>0.21164573801838199</v>
      </c>
      <c r="E18" s="2">
        <v>-11.146539473433499</v>
      </c>
      <c r="F18" s="10">
        <v>7.4445588650788299E-29</v>
      </c>
      <c r="G18" s="10">
        <v>5.69210970823927E-25</v>
      </c>
      <c r="H18" s="2" t="s">
        <v>2032</v>
      </c>
      <c r="I18" s="2" t="s">
        <v>2074</v>
      </c>
      <c r="J18" s="42" t="s">
        <v>5226</v>
      </c>
      <c r="O18" s="2"/>
    </row>
    <row r="19" spans="1:15" ht="15.75" customHeight="1" x14ac:dyDescent="0.2">
      <c r="A19" s="2" t="s">
        <v>2041</v>
      </c>
      <c r="B19" s="2">
        <v>302.02591368750802</v>
      </c>
      <c r="C19" s="2">
        <v>-2.32666027690862</v>
      </c>
      <c r="D19" s="2">
        <v>0.20034467292048999</v>
      </c>
      <c r="E19" s="2">
        <v>-11.613287456023301</v>
      </c>
      <c r="F19" s="10">
        <v>3.52786150231629E-31</v>
      </c>
      <c r="G19" s="10">
        <v>3.59653720622804E-27</v>
      </c>
      <c r="H19" s="2"/>
      <c r="I19" s="2" t="s">
        <v>2077</v>
      </c>
      <c r="J19" s="42" t="s">
        <v>10</v>
      </c>
      <c r="O19" s="2"/>
    </row>
    <row r="20" spans="1:15" ht="15.75" customHeight="1" x14ac:dyDescent="0.2">
      <c r="A20" s="2" t="s">
        <v>2079</v>
      </c>
      <c r="B20" s="2">
        <v>122.885889458197</v>
      </c>
      <c r="C20" s="2">
        <v>-2.3010340691223301</v>
      </c>
      <c r="D20" s="2">
        <v>0.23301789517128499</v>
      </c>
      <c r="E20" s="2">
        <v>-9.8749242732233107</v>
      </c>
      <c r="F20" s="10">
        <v>5.3473334689288805E-23</v>
      </c>
      <c r="G20" s="10">
        <v>1.8171427423746701E-19</v>
      </c>
      <c r="H20" s="20" t="s">
        <v>10</v>
      </c>
      <c r="I20" s="2" t="s">
        <v>2083</v>
      </c>
      <c r="J20" s="42" t="s">
        <v>10</v>
      </c>
      <c r="O20" s="2"/>
    </row>
    <row r="21" spans="1:15" ht="15.75" customHeight="1" x14ac:dyDescent="0.2">
      <c r="A21" s="2" t="s">
        <v>2085</v>
      </c>
      <c r="B21" s="2">
        <v>85.806820621570793</v>
      </c>
      <c r="C21" s="2">
        <v>-2.2720564843172002</v>
      </c>
      <c r="D21" s="2">
        <v>0.26057123416730898</v>
      </c>
      <c r="E21" s="2">
        <v>-8.71952152192803</v>
      </c>
      <c r="F21" s="10">
        <v>2.7937988331029098E-18</v>
      </c>
      <c r="G21" s="10">
        <v>6.1032531079728201E-15</v>
      </c>
      <c r="H21" s="20" t="s">
        <v>10</v>
      </c>
      <c r="I21" s="2" t="s">
        <v>2088</v>
      </c>
      <c r="J21" s="42" t="s">
        <v>10</v>
      </c>
      <c r="O21" s="2"/>
    </row>
    <row r="22" spans="1:15" ht="15.75" customHeight="1" x14ac:dyDescent="0.2">
      <c r="A22" s="2" t="s">
        <v>2051</v>
      </c>
      <c r="B22" s="2">
        <v>31.3946404546361</v>
      </c>
      <c r="C22" s="2">
        <v>-2.2283618963429701</v>
      </c>
      <c r="D22" s="2">
        <v>0.42112891727941398</v>
      </c>
      <c r="E22" s="2">
        <v>-5.2914008155476102</v>
      </c>
      <c r="F22" s="10">
        <v>1.2138301402771999E-7</v>
      </c>
      <c r="G22" s="10">
        <v>2.5960686021145499E-5</v>
      </c>
      <c r="H22" s="2"/>
      <c r="I22" s="21" t="s">
        <v>2095</v>
      </c>
      <c r="J22" s="42" t="s">
        <v>10</v>
      </c>
      <c r="O22" s="2"/>
    </row>
    <row r="23" spans="1:15" ht="15.75" customHeight="1" x14ac:dyDescent="0.2">
      <c r="A23" s="2" t="s">
        <v>2097</v>
      </c>
      <c r="B23" s="2">
        <v>105.415849785679</v>
      </c>
      <c r="C23" s="2">
        <v>-2.2209858196890702</v>
      </c>
      <c r="D23" s="2">
        <v>0.26598330515312002</v>
      </c>
      <c r="E23" s="2">
        <v>-8.3500948242240192</v>
      </c>
      <c r="F23" s="10">
        <v>6.8208184397293699E-17</v>
      </c>
      <c r="G23" s="10">
        <v>1.15893283978157E-13</v>
      </c>
      <c r="H23" s="20" t="s">
        <v>10</v>
      </c>
      <c r="I23" s="2" t="s">
        <v>2100</v>
      </c>
      <c r="J23" s="42" t="s">
        <v>10</v>
      </c>
      <c r="O23" s="2"/>
    </row>
    <row r="24" spans="1:15" ht="15.75" customHeight="1" x14ac:dyDescent="0.2">
      <c r="A24" s="2" t="s">
        <v>2102</v>
      </c>
      <c r="B24" s="2">
        <v>55.324885754019</v>
      </c>
      <c r="C24" s="2">
        <v>-2.1976423519310502</v>
      </c>
      <c r="D24" s="2">
        <v>0.32102560905087202</v>
      </c>
      <c r="E24" s="2">
        <v>-6.8456917142170903</v>
      </c>
      <c r="F24" s="10">
        <v>7.6107219280021995E-12</v>
      </c>
      <c r="G24" s="10">
        <v>4.6553263889203797E-9</v>
      </c>
      <c r="H24" s="20" t="s">
        <v>10</v>
      </c>
      <c r="I24" s="21" t="s">
        <v>10</v>
      </c>
      <c r="J24" s="42" t="s">
        <v>10</v>
      </c>
      <c r="O24" s="2"/>
    </row>
    <row r="25" spans="1:15" ht="15.75" customHeight="1" x14ac:dyDescent="0.2">
      <c r="A25" s="2" t="s">
        <v>2020</v>
      </c>
      <c r="B25" s="2">
        <v>33.092940937232903</v>
      </c>
      <c r="C25" s="2">
        <v>-2.1372785471814302</v>
      </c>
      <c r="D25" s="2">
        <v>0.462723505274517</v>
      </c>
      <c r="E25" s="2">
        <v>-4.6189106946565399</v>
      </c>
      <c r="F25" s="10">
        <v>3.8575982977854801E-6</v>
      </c>
      <c r="G25" s="2">
        <v>4.2287020193358801E-4</v>
      </c>
      <c r="H25" s="2"/>
      <c r="I25" s="2" t="s">
        <v>2108</v>
      </c>
      <c r="J25" s="42" t="s">
        <v>10</v>
      </c>
      <c r="O25" s="2"/>
    </row>
    <row r="26" spans="1:15" ht="15.75" customHeight="1" x14ac:dyDescent="0.2">
      <c r="A26" s="2" t="s">
        <v>2061</v>
      </c>
      <c r="B26" s="2">
        <v>29.606985581568399</v>
      </c>
      <c r="C26" s="2">
        <v>-2.1078932444910201</v>
      </c>
      <c r="D26" s="2">
        <v>0.44854745152563502</v>
      </c>
      <c r="E26" s="2">
        <v>-4.6993762584571401</v>
      </c>
      <c r="F26" s="10">
        <v>2.6095728154315799E-6</v>
      </c>
      <c r="G26" s="2">
        <v>3.1054931901618399E-4</v>
      </c>
      <c r="H26" s="2" t="s">
        <v>2062</v>
      </c>
      <c r="I26" s="2" t="s">
        <v>2115</v>
      </c>
      <c r="J26" s="42" t="s">
        <v>5228</v>
      </c>
      <c r="O26" s="2"/>
    </row>
    <row r="27" spans="1:15" ht="15.75" customHeight="1" x14ac:dyDescent="0.2">
      <c r="A27" s="2" t="s">
        <v>2118</v>
      </c>
      <c r="B27" s="2">
        <v>179.91528459969399</v>
      </c>
      <c r="C27" s="2">
        <v>-2.0953363254991402</v>
      </c>
      <c r="D27" s="2">
        <v>0.21469200727239299</v>
      </c>
      <c r="E27" s="2">
        <v>-9.7597314036970992</v>
      </c>
      <c r="F27" s="10">
        <v>1.6759850794766299E-22</v>
      </c>
      <c r="G27" s="10">
        <v>5.1258327670713301E-19</v>
      </c>
      <c r="H27" s="20" t="s">
        <v>10</v>
      </c>
      <c r="I27" s="21" t="s">
        <v>10</v>
      </c>
      <c r="J27" s="42" t="s">
        <v>10</v>
      </c>
    </row>
    <row r="28" spans="1:15" ht="15.75" customHeight="1" x14ac:dyDescent="0.2">
      <c r="A28" s="2" t="s">
        <v>2009</v>
      </c>
      <c r="B28" s="2">
        <v>229.67856007850401</v>
      </c>
      <c r="C28" s="2">
        <v>-2.08334429677444</v>
      </c>
      <c r="D28" s="2">
        <v>0.202171899136593</v>
      </c>
      <c r="E28" s="2">
        <v>-10.3048163749348</v>
      </c>
      <c r="F28" s="10">
        <v>6.7019545826554997E-25</v>
      </c>
      <c r="G28" s="10">
        <v>3.4162096492656001E-21</v>
      </c>
      <c r="H28" s="2" t="s">
        <v>2010</v>
      </c>
      <c r="I28" s="11" t="s">
        <v>2011</v>
      </c>
      <c r="J28" s="42" t="s">
        <v>10</v>
      </c>
    </row>
    <row r="29" spans="1:15" ht="15.75" customHeight="1" x14ac:dyDescent="0.2">
      <c r="A29" s="2" t="s">
        <v>2129</v>
      </c>
      <c r="B29" s="2">
        <v>55.4638011536099</v>
      </c>
      <c r="C29" s="2">
        <v>-2.0613753507561698</v>
      </c>
      <c r="D29" s="2">
        <v>0.35808327490126701</v>
      </c>
      <c r="E29" s="2">
        <v>-5.7566926333673196</v>
      </c>
      <c r="F29" s="10">
        <v>8.5777887427625407E-9</v>
      </c>
      <c r="G29" s="10">
        <v>2.7614932807713301E-6</v>
      </c>
      <c r="H29" s="20" t="s">
        <v>10</v>
      </c>
      <c r="I29" s="21" t="s">
        <v>10</v>
      </c>
      <c r="J29" s="42" t="s">
        <v>10</v>
      </c>
    </row>
    <row r="30" spans="1:15" ht="15.75" customHeight="1" x14ac:dyDescent="0.2">
      <c r="A30" s="2" t="s">
        <v>2135</v>
      </c>
      <c r="B30" s="2">
        <v>124.289648199094</v>
      </c>
      <c r="C30" s="2">
        <v>-2.04934242070575</v>
      </c>
      <c r="D30" s="2">
        <v>0.25836242073076598</v>
      </c>
      <c r="E30" s="2">
        <v>-7.93204528316957</v>
      </c>
      <c r="F30" s="10">
        <v>2.15565799772081E-15</v>
      </c>
      <c r="G30" s="10">
        <v>2.7470268417622198E-12</v>
      </c>
      <c r="H30" s="20" t="s">
        <v>10</v>
      </c>
      <c r="I30" s="21" t="s">
        <v>10</v>
      </c>
      <c r="J30" s="42" t="s">
        <v>10</v>
      </c>
    </row>
    <row r="31" spans="1:15" ht="15.75" customHeight="1" x14ac:dyDescent="0.2">
      <c r="A31" s="2" t="s">
        <v>2140</v>
      </c>
      <c r="B31" s="2">
        <v>119.123322004415</v>
      </c>
      <c r="C31" s="2">
        <v>-2.0330753080246602</v>
      </c>
      <c r="D31" s="2">
        <v>0.22518040867581701</v>
      </c>
      <c r="E31" s="2">
        <v>-9.0286509380644997</v>
      </c>
      <c r="F31" s="10">
        <v>1.73801104426606E-19</v>
      </c>
      <c r="G31" s="10">
        <v>4.0888715213717698E-16</v>
      </c>
      <c r="H31" s="20" t="s">
        <v>10</v>
      </c>
      <c r="I31" s="21" t="s">
        <v>10</v>
      </c>
      <c r="J31" s="42" t="s">
        <v>10</v>
      </c>
    </row>
    <row r="32" spans="1:15" ht="15.75" customHeight="1" x14ac:dyDescent="0.2">
      <c r="A32" s="2" t="s">
        <v>2147</v>
      </c>
      <c r="B32" s="2">
        <v>52.6396195255412</v>
      </c>
      <c r="C32" s="2">
        <v>-2.0307877858055998</v>
      </c>
      <c r="D32" s="2">
        <v>0.33172001292904502</v>
      </c>
      <c r="E32" s="2">
        <v>-6.1219935688353901</v>
      </c>
      <c r="F32" s="10">
        <v>9.2411754711775901E-10</v>
      </c>
      <c r="G32" s="10">
        <v>3.8193528460877802E-7</v>
      </c>
      <c r="H32" s="20" t="s">
        <v>10</v>
      </c>
      <c r="I32" s="21" t="s">
        <v>10</v>
      </c>
      <c r="J32" s="42" t="s">
        <v>10</v>
      </c>
    </row>
    <row r="33" spans="1:10" ht="15.75" customHeight="1" x14ac:dyDescent="0.2">
      <c r="A33" s="2" t="s">
        <v>2151</v>
      </c>
      <c r="B33" s="2">
        <v>88.017999976369296</v>
      </c>
      <c r="C33" s="2">
        <v>-2.01833515225439</v>
      </c>
      <c r="D33" s="2">
        <v>0.26495813284140901</v>
      </c>
      <c r="E33" s="2">
        <v>-7.6175625583173598</v>
      </c>
      <c r="F33" s="10">
        <v>2.58510633558295E-14</v>
      </c>
      <c r="G33" s="10">
        <v>2.5504158763699601E-11</v>
      </c>
      <c r="H33" s="20" t="s">
        <v>10</v>
      </c>
      <c r="I33" s="2" t="s">
        <v>1805</v>
      </c>
      <c r="J33" s="42" t="s">
        <v>10</v>
      </c>
    </row>
    <row r="34" spans="1:10" ht="15.75" customHeight="1" x14ac:dyDescent="0.2">
      <c r="A34" s="2" t="s">
        <v>1950</v>
      </c>
      <c r="B34" s="2">
        <v>62.2710119015793</v>
      </c>
      <c r="C34" s="2">
        <v>2.5310850021384002</v>
      </c>
      <c r="D34" s="2">
        <v>0.34141084895424401</v>
      </c>
      <c r="E34" s="2">
        <v>7.4136044882323704</v>
      </c>
      <c r="F34" s="10">
        <v>1.2291211894039799E-13</v>
      </c>
      <c r="G34" s="10">
        <v>1.01598493126301E-10</v>
      </c>
      <c r="H34" s="2" t="s">
        <v>1954</v>
      </c>
      <c r="I34" s="21" t="s">
        <v>2158</v>
      </c>
      <c r="J34" s="42" t="s">
        <v>10</v>
      </c>
    </row>
    <row r="35" spans="1:10" ht="15.75" customHeight="1" x14ac:dyDescent="0.2">
      <c r="A35" s="2" t="s">
        <v>1987</v>
      </c>
      <c r="B35" s="2">
        <v>36.129661415621598</v>
      </c>
      <c r="C35" s="2">
        <v>2.2500483203227302</v>
      </c>
      <c r="D35" s="2">
        <v>0.400708320723415</v>
      </c>
      <c r="E35" s="2">
        <v>5.6151774344506498</v>
      </c>
      <c r="F35" s="10">
        <v>1.9636064327989499E-8</v>
      </c>
      <c r="G35" s="10">
        <v>5.5096274441030396E-6</v>
      </c>
      <c r="H35" s="2" t="s">
        <v>1988</v>
      </c>
      <c r="I35" s="20" t="s">
        <v>2163</v>
      </c>
      <c r="J35" s="42" t="s">
        <v>10</v>
      </c>
    </row>
    <row r="36" spans="1:10" ht="15.75" customHeight="1" x14ac:dyDescent="0.2">
      <c r="A36" s="2" t="s">
        <v>2165</v>
      </c>
      <c r="B36" s="2">
        <v>130.60871666370201</v>
      </c>
      <c r="C36" s="2">
        <v>8.4500456282458405</v>
      </c>
      <c r="D36" s="2">
        <v>1.62580689378461</v>
      </c>
      <c r="E36" s="2">
        <v>5.1974472863597896</v>
      </c>
      <c r="F36" s="10">
        <v>2.02043807462818E-7</v>
      </c>
      <c r="G36" s="10">
        <v>3.9109543085081302E-5</v>
      </c>
      <c r="H36" s="20" t="s">
        <v>10</v>
      </c>
      <c r="I36" s="21" t="s">
        <v>10</v>
      </c>
      <c r="J36" s="42" t="s">
        <v>10</v>
      </c>
    </row>
    <row r="37" spans="1:10" ht="15.75" customHeight="1" x14ac:dyDescent="0.2">
      <c r="A37" s="2" t="s">
        <v>1979</v>
      </c>
      <c r="B37" s="2">
        <v>29.675055639747299</v>
      </c>
      <c r="C37" s="2">
        <v>2.1630918379319302</v>
      </c>
      <c r="D37" s="2">
        <v>0.43522166638547599</v>
      </c>
      <c r="E37" s="2">
        <v>4.97009226561822</v>
      </c>
      <c r="F37" s="10">
        <v>6.6921048819012101E-7</v>
      </c>
      <c r="G37" s="2">
        <v>1.05500688509313E-4</v>
      </c>
      <c r="H37" s="21" t="s">
        <v>10</v>
      </c>
      <c r="I37" s="2" t="s">
        <v>2175</v>
      </c>
      <c r="J37" s="42" t="s">
        <v>10</v>
      </c>
    </row>
    <row r="38" spans="1:10" ht="15.75" customHeight="1" x14ac:dyDescent="0.2">
      <c r="A38" s="2" t="s">
        <v>2176</v>
      </c>
      <c r="B38" s="2">
        <v>384.40599244530802</v>
      </c>
      <c r="C38" s="2">
        <v>2.13553921415398</v>
      </c>
      <c r="D38" s="2">
        <v>0.44113667646791799</v>
      </c>
      <c r="E38" s="2">
        <v>4.8409922096089604</v>
      </c>
      <c r="F38" s="10">
        <v>1.29192437860126E-6</v>
      </c>
      <c r="G38" s="2">
        <v>1.81248693555692E-4</v>
      </c>
      <c r="H38" s="20" t="s">
        <v>10</v>
      </c>
      <c r="I38" s="2" t="s">
        <v>2179</v>
      </c>
      <c r="J38" s="42" t="s">
        <v>10</v>
      </c>
    </row>
    <row r="39" spans="1:10" ht="15.75" customHeight="1" x14ac:dyDescent="0.2">
      <c r="A39" s="2" t="s">
        <v>2180</v>
      </c>
      <c r="B39" s="2">
        <v>29.051518484203498</v>
      </c>
      <c r="C39" s="2">
        <v>2.2724320785303598</v>
      </c>
      <c r="D39" s="2">
        <v>0.49499816992429202</v>
      </c>
      <c r="E39" s="2">
        <v>4.5907888485283097</v>
      </c>
      <c r="F39" s="10">
        <v>4.4157388810309301E-6</v>
      </c>
      <c r="G39" s="2">
        <v>4.6443112813479201E-4</v>
      </c>
      <c r="H39" s="20" t="s">
        <v>10</v>
      </c>
      <c r="I39" s="21" t="s">
        <v>2183</v>
      </c>
      <c r="J39" s="42" t="s">
        <v>10</v>
      </c>
    </row>
    <row r="40" spans="1:10" ht="15.75" customHeight="1" x14ac:dyDescent="0.2">
      <c r="A40" s="2"/>
      <c r="B40" s="2"/>
      <c r="C40" s="2"/>
      <c r="D40" s="2"/>
      <c r="E40" s="2"/>
      <c r="F40" s="2"/>
      <c r="G40" s="2"/>
      <c r="H40" s="2"/>
      <c r="I40" s="2"/>
    </row>
    <row r="41" spans="1:10" ht="15.75" customHeight="1" x14ac:dyDescent="0.2">
      <c r="A41" s="2"/>
      <c r="B41" s="2"/>
      <c r="C41" s="2"/>
      <c r="D41" s="2"/>
      <c r="E41" s="2"/>
      <c r="F41" s="2"/>
      <c r="G41" s="2"/>
      <c r="H41" s="2"/>
      <c r="I41" s="2"/>
    </row>
    <row r="42" spans="1:10" ht="15.75" customHeight="1" x14ac:dyDescent="0.2">
      <c r="A42" s="2"/>
      <c r="B42" s="2"/>
      <c r="C42" s="2"/>
      <c r="D42" s="2"/>
      <c r="E42" s="2"/>
      <c r="F42" s="2"/>
      <c r="G42" s="2"/>
      <c r="H42" s="2"/>
      <c r="I42" s="2"/>
    </row>
    <row r="43" spans="1:10" ht="15.75" customHeight="1" x14ac:dyDescent="0.2">
      <c r="A43" s="2"/>
      <c r="B43" s="2"/>
      <c r="C43" s="2"/>
      <c r="D43" s="2"/>
      <c r="E43" s="2"/>
      <c r="F43" s="2"/>
      <c r="G43" s="2"/>
      <c r="H43" s="2"/>
      <c r="I43" s="2"/>
    </row>
    <row r="44" spans="1:10" ht="15.75" customHeight="1" x14ac:dyDescent="0.2">
      <c r="A44" s="2"/>
      <c r="B44" s="2"/>
      <c r="C44" s="2"/>
      <c r="D44" s="2"/>
      <c r="E44" s="2"/>
      <c r="F44" s="2"/>
      <c r="G44" s="2"/>
      <c r="H44" s="2"/>
      <c r="I44" s="2"/>
    </row>
    <row r="45" spans="1:10" ht="15.75" customHeight="1" x14ac:dyDescent="0.2">
      <c r="A45" s="2"/>
      <c r="B45" s="2"/>
      <c r="C45" s="2"/>
      <c r="D45" s="2"/>
      <c r="E45" s="2"/>
      <c r="F45" s="2"/>
      <c r="G45" s="2"/>
      <c r="H45" s="2"/>
      <c r="I45" s="2"/>
    </row>
    <row r="46" spans="1:10" ht="15.75" customHeight="1" x14ac:dyDescent="0.2">
      <c r="A46" s="2"/>
      <c r="B46" s="2"/>
      <c r="C46" s="2"/>
      <c r="D46" s="2"/>
      <c r="E46" s="2"/>
      <c r="F46" s="2"/>
      <c r="G46" s="2"/>
      <c r="H46" s="2"/>
      <c r="I46" s="2"/>
    </row>
    <row r="47" spans="1:10" ht="15.75" customHeight="1" x14ac:dyDescent="0.2">
      <c r="A47" s="2"/>
      <c r="B47" s="2"/>
      <c r="C47" s="2"/>
      <c r="D47" s="2"/>
      <c r="E47" s="2"/>
      <c r="F47" s="2"/>
      <c r="G47" s="2"/>
      <c r="H47" s="2"/>
      <c r="I47" s="2"/>
    </row>
    <row r="48" spans="1:10" ht="15.75" customHeight="1" x14ac:dyDescent="0.2">
      <c r="A48" s="2"/>
      <c r="B48" s="2"/>
      <c r="C48" s="2"/>
      <c r="D48" s="2"/>
      <c r="E48" s="2"/>
      <c r="F48" s="2"/>
      <c r="G48" s="2"/>
      <c r="H48" s="2"/>
      <c r="I48" s="2"/>
    </row>
    <row r="49" spans="1:9" ht="15.75" customHeight="1" x14ac:dyDescent="0.2">
      <c r="A49" s="2"/>
      <c r="B49" s="2"/>
      <c r="C49" s="2"/>
      <c r="D49" s="2"/>
      <c r="E49" s="2"/>
      <c r="F49" s="2"/>
      <c r="G49" s="2"/>
      <c r="H49" s="2"/>
      <c r="I49" s="2"/>
    </row>
    <row r="50" spans="1:9" ht="15.75" customHeight="1" x14ac:dyDescent="0.2">
      <c r="A50" s="2"/>
      <c r="B50" s="2"/>
      <c r="C50" s="2"/>
      <c r="D50" s="2"/>
      <c r="E50" s="2"/>
      <c r="F50" s="2"/>
      <c r="G50" s="2"/>
      <c r="H50" s="2"/>
      <c r="I50" s="2"/>
    </row>
    <row r="51" spans="1:9" ht="15.75" customHeight="1" x14ac:dyDescent="0.2">
      <c r="A51" s="2"/>
      <c r="B51" s="2"/>
      <c r="C51" s="2"/>
      <c r="D51" s="2"/>
      <c r="E51" s="2"/>
      <c r="F51" s="2"/>
      <c r="G51" s="2"/>
      <c r="H51" s="2"/>
      <c r="I51" s="2"/>
    </row>
    <row r="52" spans="1:9" ht="15.75" customHeight="1" x14ac:dyDescent="0.2">
      <c r="A52" s="2"/>
      <c r="B52" s="2"/>
      <c r="C52" s="2"/>
      <c r="D52" s="2"/>
      <c r="E52" s="2"/>
      <c r="F52" s="2"/>
      <c r="G52" s="2"/>
      <c r="H52" s="2"/>
      <c r="I52" s="2"/>
    </row>
    <row r="53" spans="1:9" ht="15.75" customHeight="1" x14ac:dyDescent="0.2">
      <c r="A53" s="2"/>
      <c r="B53" s="2"/>
      <c r="C53" s="2"/>
      <c r="D53" s="2"/>
      <c r="E53" s="2"/>
      <c r="F53" s="2"/>
      <c r="G53" s="2"/>
      <c r="H53" s="2"/>
      <c r="I53" s="2"/>
    </row>
    <row r="54" spans="1:9" ht="15.75" customHeight="1" x14ac:dyDescent="0.2">
      <c r="A54" s="2"/>
      <c r="B54" s="2"/>
      <c r="C54" s="2"/>
      <c r="D54" s="2"/>
      <c r="E54" s="2"/>
      <c r="F54" s="2"/>
      <c r="G54" s="2"/>
      <c r="H54" s="2"/>
      <c r="I54" s="2"/>
    </row>
    <row r="55" spans="1:9" ht="15.75" customHeight="1" x14ac:dyDescent="0.2">
      <c r="A55" s="2"/>
      <c r="B55" s="2"/>
      <c r="C55" s="2"/>
      <c r="D55" s="2"/>
      <c r="E55" s="2"/>
      <c r="F55" s="2"/>
      <c r="G55" s="2"/>
      <c r="H55" s="2"/>
      <c r="I55" s="2"/>
    </row>
    <row r="56" spans="1:9" ht="15.75" customHeight="1" x14ac:dyDescent="0.2">
      <c r="A56" s="2"/>
      <c r="B56" s="2"/>
      <c r="C56" s="2"/>
      <c r="D56" s="2"/>
      <c r="E56" s="2"/>
      <c r="F56" s="2"/>
      <c r="G56" s="2"/>
      <c r="H56" s="2"/>
      <c r="I56" s="2"/>
    </row>
    <row r="57" spans="1:9" ht="15.75" customHeight="1" x14ac:dyDescent="0.2">
      <c r="A57" s="2"/>
      <c r="B57" s="2"/>
      <c r="C57" s="2"/>
      <c r="D57" s="2"/>
      <c r="E57" s="2"/>
      <c r="F57" s="2"/>
      <c r="G57" s="2"/>
      <c r="H57" s="2"/>
      <c r="I57" s="2"/>
    </row>
    <row r="58" spans="1:9" ht="15.75" customHeight="1" x14ac:dyDescent="0.2">
      <c r="A58" s="2"/>
      <c r="B58" s="2"/>
      <c r="C58" s="2"/>
      <c r="D58" s="2"/>
      <c r="E58" s="2"/>
      <c r="F58" s="2"/>
      <c r="G58" s="2"/>
      <c r="H58" s="2"/>
      <c r="I58" s="2"/>
    </row>
    <row r="59" spans="1:9" ht="15.75" customHeight="1" x14ac:dyDescent="0.2">
      <c r="A59" s="2"/>
      <c r="B59" s="2"/>
      <c r="C59" s="2"/>
      <c r="D59" s="2"/>
      <c r="E59" s="2"/>
      <c r="F59" s="2"/>
      <c r="G59" s="2"/>
      <c r="H59" s="2"/>
      <c r="I59" s="2"/>
    </row>
    <row r="60" spans="1:9" ht="15.75" customHeight="1" x14ac:dyDescent="0.2">
      <c r="A60" s="2"/>
      <c r="B60" s="2"/>
      <c r="C60" s="2"/>
      <c r="D60" s="2"/>
      <c r="E60" s="2"/>
      <c r="F60" s="2"/>
      <c r="G60" s="2"/>
      <c r="H60" s="2"/>
      <c r="I60" s="2"/>
    </row>
    <row r="61" spans="1:9" ht="15.75" customHeight="1" x14ac:dyDescent="0.2">
      <c r="A61" s="2"/>
      <c r="B61" s="2"/>
      <c r="C61" s="2"/>
      <c r="D61" s="2"/>
      <c r="E61" s="2"/>
      <c r="F61" s="2"/>
      <c r="G61" s="2"/>
      <c r="H61" s="2"/>
      <c r="I61" s="2"/>
    </row>
    <row r="62" spans="1:9" ht="15.75" customHeight="1" x14ac:dyDescent="0.2">
      <c r="A62" s="2"/>
      <c r="B62" s="2"/>
      <c r="C62" s="2"/>
      <c r="D62" s="2"/>
      <c r="E62" s="2"/>
      <c r="F62" s="2"/>
      <c r="G62" s="2"/>
      <c r="H62" s="2"/>
      <c r="I62" s="2"/>
    </row>
    <row r="63" spans="1:9" ht="15.75" customHeight="1" x14ac:dyDescent="0.2">
      <c r="A63" s="2"/>
      <c r="B63" s="2"/>
      <c r="C63" s="2"/>
      <c r="D63" s="2"/>
      <c r="E63" s="2"/>
      <c r="F63" s="2"/>
      <c r="G63" s="2"/>
      <c r="H63" s="2"/>
      <c r="I63" s="2"/>
    </row>
    <row r="64" spans="1:9" ht="15.75" customHeight="1" x14ac:dyDescent="0.2">
      <c r="A64" s="2"/>
      <c r="B64" s="2"/>
      <c r="C64" s="2"/>
      <c r="D64" s="2"/>
      <c r="E64" s="2"/>
      <c r="F64" s="2"/>
      <c r="G64" s="2"/>
      <c r="H64" s="2"/>
      <c r="I64" s="2"/>
    </row>
    <row r="65" spans="1:9" ht="15.75" customHeight="1" x14ac:dyDescent="0.2">
      <c r="A65" s="2"/>
      <c r="B65" s="2"/>
      <c r="C65" s="2"/>
      <c r="D65" s="2"/>
      <c r="E65" s="2"/>
      <c r="F65" s="2"/>
      <c r="G65" s="2"/>
      <c r="H65" s="2"/>
      <c r="I65" s="2"/>
    </row>
    <row r="66" spans="1:9" ht="15.75" customHeight="1" x14ac:dyDescent="0.2">
      <c r="A66" s="2"/>
      <c r="B66" s="2"/>
      <c r="C66" s="2"/>
      <c r="D66" s="2"/>
      <c r="E66" s="2"/>
      <c r="F66" s="2"/>
      <c r="G66" s="2"/>
      <c r="H66" s="2"/>
      <c r="I66" s="2"/>
    </row>
    <row r="67" spans="1:9" ht="15.75" customHeight="1" x14ac:dyDescent="0.2">
      <c r="A67" s="2"/>
      <c r="B67" s="2"/>
      <c r="C67" s="2"/>
      <c r="D67" s="2"/>
      <c r="E67" s="2"/>
      <c r="F67" s="2"/>
      <c r="G67" s="2"/>
      <c r="H67" s="2"/>
      <c r="I67" s="2"/>
    </row>
    <row r="68" spans="1:9" ht="15.75" customHeight="1" x14ac:dyDescent="0.2">
      <c r="A68" s="2"/>
      <c r="B68" s="2"/>
      <c r="C68" s="2"/>
      <c r="D68" s="2"/>
      <c r="E68" s="2"/>
      <c r="F68" s="2"/>
      <c r="G68" s="2"/>
      <c r="H68" s="2"/>
      <c r="I68" s="2"/>
    </row>
    <row r="69" spans="1:9" ht="15.75" customHeight="1" x14ac:dyDescent="0.2">
      <c r="A69" s="2"/>
      <c r="B69" s="2"/>
      <c r="C69" s="2"/>
      <c r="D69" s="2"/>
      <c r="E69" s="2"/>
      <c r="F69" s="2"/>
      <c r="G69" s="2"/>
      <c r="H69" s="2"/>
      <c r="I69" s="2"/>
    </row>
    <row r="70" spans="1:9" ht="15.75" customHeight="1" x14ac:dyDescent="0.2">
      <c r="A70" s="2"/>
      <c r="B70" s="2"/>
      <c r="C70" s="2"/>
      <c r="D70" s="2"/>
      <c r="E70" s="2"/>
      <c r="F70" s="2"/>
      <c r="G70" s="2"/>
      <c r="H70" s="2"/>
      <c r="I70" s="2"/>
    </row>
    <row r="71" spans="1:9" ht="15.75" customHeight="1" x14ac:dyDescent="0.2">
      <c r="A71" s="2"/>
      <c r="B71" s="2"/>
      <c r="C71" s="2"/>
      <c r="D71" s="2"/>
      <c r="E71" s="2"/>
      <c r="F71" s="2"/>
      <c r="G71" s="2"/>
      <c r="H71" s="2"/>
      <c r="I71" s="2"/>
    </row>
    <row r="72" spans="1:9" ht="15.75" customHeight="1" x14ac:dyDescent="0.2">
      <c r="A72" s="2"/>
      <c r="B72" s="2"/>
      <c r="C72" s="2"/>
      <c r="D72" s="2"/>
      <c r="E72" s="2"/>
      <c r="F72" s="2"/>
      <c r="G72" s="2"/>
      <c r="H72" s="2"/>
      <c r="I72" s="2"/>
    </row>
    <row r="73" spans="1:9" ht="15.75" customHeight="1" x14ac:dyDescent="0.2">
      <c r="A73" s="2"/>
      <c r="B73" s="2"/>
      <c r="C73" s="2"/>
      <c r="D73" s="2"/>
      <c r="E73" s="2"/>
      <c r="F73" s="2"/>
      <c r="G73" s="2"/>
      <c r="H73" s="2"/>
      <c r="I73" s="2"/>
    </row>
    <row r="74" spans="1:9" ht="15.75" customHeight="1" x14ac:dyDescent="0.2">
      <c r="A74" s="2"/>
      <c r="B74" s="2"/>
      <c r="C74" s="2"/>
      <c r="D74" s="2"/>
      <c r="E74" s="2"/>
      <c r="F74" s="2"/>
      <c r="G74" s="2"/>
      <c r="H74" s="2"/>
      <c r="I74" s="2"/>
    </row>
    <row r="75" spans="1:9" ht="15.75" customHeight="1" x14ac:dyDescent="0.2">
      <c r="A75" s="2"/>
      <c r="B75" s="2"/>
      <c r="C75" s="2"/>
      <c r="D75" s="2"/>
      <c r="E75" s="2"/>
      <c r="F75" s="2"/>
      <c r="G75" s="2"/>
      <c r="H75" s="2"/>
      <c r="I75" s="2"/>
    </row>
    <row r="76" spans="1:9" ht="15.75" customHeight="1" x14ac:dyDescent="0.2">
      <c r="A76" s="2"/>
      <c r="B76" s="2"/>
      <c r="C76" s="2"/>
      <c r="D76" s="2"/>
      <c r="E76" s="2"/>
      <c r="F76" s="2"/>
      <c r="G76" s="2"/>
      <c r="H76" s="2"/>
      <c r="I76" s="2"/>
    </row>
    <row r="77" spans="1:9" ht="15.75" customHeight="1" x14ac:dyDescent="0.2">
      <c r="A77" s="2"/>
      <c r="B77" s="2"/>
      <c r="C77" s="2"/>
      <c r="D77" s="2"/>
      <c r="E77" s="2"/>
      <c r="F77" s="2"/>
      <c r="G77" s="2"/>
      <c r="H77" s="2"/>
      <c r="I77" s="2"/>
    </row>
    <row r="78" spans="1:9" ht="15.75" customHeight="1" x14ac:dyDescent="0.2">
      <c r="A78" s="2"/>
      <c r="B78" s="2"/>
      <c r="C78" s="2"/>
      <c r="D78" s="2"/>
      <c r="E78" s="2"/>
      <c r="F78" s="2"/>
      <c r="G78" s="2"/>
      <c r="H78" s="2"/>
      <c r="I78" s="2"/>
    </row>
    <row r="79" spans="1:9" ht="15.75" customHeight="1" x14ac:dyDescent="0.2">
      <c r="A79" s="2"/>
      <c r="B79" s="2"/>
      <c r="C79" s="2"/>
      <c r="D79" s="2"/>
      <c r="E79" s="2"/>
      <c r="F79" s="2"/>
      <c r="G79" s="2"/>
      <c r="H79" s="2"/>
      <c r="I79" s="2"/>
    </row>
    <row r="80" spans="1:9" ht="15.75" customHeight="1" x14ac:dyDescent="0.2">
      <c r="A80" s="2"/>
      <c r="B80" s="2"/>
      <c r="C80" s="2"/>
      <c r="D80" s="2"/>
      <c r="E80" s="2"/>
      <c r="F80" s="2"/>
      <c r="G80" s="2"/>
      <c r="H80" s="2"/>
      <c r="I80" s="2"/>
    </row>
    <row r="81" spans="1:9" ht="15.75" customHeight="1" x14ac:dyDescent="0.2">
      <c r="A81" s="2"/>
      <c r="B81" s="2"/>
      <c r="C81" s="2"/>
      <c r="D81" s="2"/>
      <c r="E81" s="2"/>
      <c r="F81" s="2"/>
      <c r="G81" s="2"/>
      <c r="H81" s="2"/>
      <c r="I81" s="2"/>
    </row>
    <row r="82" spans="1:9" ht="15.75" customHeight="1" x14ac:dyDescent="0.2">
      <c r="A82" s="2"/>
      <c r="B82" s="2"/>
      <c r="C82" s="2"/>
      <c r="D82" s="2"/>
      <c r="E82" s="2"/>
      <c r="F82" s="2"/>
      <c r="G82" s="2"/>
      <c r="H82" s="2"/>
      <c r="I82" s="2"/>
    </row>
    <row r="83" spans="1:9" ht="15.75" customHeight="1" x14ac:dyDescent="0.2">
      <c r="A83" s="2"/>
      <c r="B83" s="2"/>
      <c r="C83" s="2"/>
      <c r="D83" s="2"/>
      <c r="E83" s="2"/>
      <c r="F83" s="2"/>
      <c r="G83" s="2"/>
      <c r="H83" s="2"/>
      <c r="I83" s="2"/>
    </row>
    <row r="84" spans="1:9" ht="15.75" customHeight="1" x14ac:dyDescent="0.2">
      <c r="A84" s="2"/>
      <c r="B84" s="2"/>
      <c r="C84" s="2"/>
      <c r="D84" s="2"/>
      <c r="E84" s="2"/>
      <c r="F84" s="2"/>
      <c r="G84" s="2"/>
      <c r="H84" s="2"/>
      <c r="I84" s="2"/>
    </row>
    <row r="85" spans="1:9" ht="15.75" customHeight="1" x14ac:dyDescent="0.2">
      <c r="A85" s="2"/>
      <c r="B85" s="2"/>
      <c r="C85" s="2"/>
      <c r="D85" s="2"/>
      <c r="E85" s="2"/>
      <c r="F85" s="2"/>
      <c r="G85" s="2"/>
      <c r="H85" s="2"/>
      <c r="I85" s="2"/>
    </row>
    <row r="86" spans="1:9" ht="15.75" customHeight="1" x14ac:dyDescent="0.2">
      <c r="A86" s="2"/>
      <c r="B86" s="2"/>
      <c r="C86" s="2"/>
      <c r="D86" s="2"/>
      <c r="E86" s="2"/>
      <c r="F86" s="2"/>
      <c r="G86" s="2"/>
      <c r="H86" s="2"/>
      <c r="I86" s="2"/>
    </row>
    <row r="87" spans="1:9" ht="15.75" customHeight="1" x14ac:dyDescent="0.2">
      <c r="A87" s="2"/>
      <c r="B87" s="2"/>
      <c r="C87" s="2"/>
      <c r="D87" s="2"/>
      <c r="E87" s="2"/>
      <c r="F87" s="2"/>
      <c r="G87" s="2"/>
      <c r="H87" s="2"/>
      <c r="I87" s="2"/>
    </row>
    <row r="88" spans="1:9" ht="15.75" customHeight="1" x14ac:dyDescent="0.2">
      <c r="A88" s="2"/>
      <c r="B88" s="2"/>
      <c r="C88" s="2"/>
      <c r="D88" s="2"/>
      <c r="E88" s="2"/>
      <c r="F88" s="2"/>
      <c r="G88" s="2"/>
      <c r="H88" s="2"/>
      <c r="I88" s="2"/>
    </row>
    <row r="89" spans="1:9" ht="15.75" customHeight="1" x14ac:dyDescent="0.2">
      <c r="A89" s="2"/>
      <c r="B89" s="2"/>
      <c r="C89" s="2"/>
      <c r="D89" s="2"/>
      <c r="E89" s="2"/>
      <c r="F89" s="2"/>
      <c r="G89" s="2"/>
      <c r="H89" s="2"/>
      <c r="I89" s="2"/>
    </row>
    <row r="90" spans="1:9" ht="15.75" customHeight="1" x14ac:dyDescent="0.2">
      <c r="A90" s="2"/>
      <c r="B90" s="2"/>
      <c r="C90" s="2"/>
      <c r="D90" s="2"/>
      <c r="E90" s="2"/>
      <c r="F90" s="2"/>
      <c r="G90" s="2"/>
      <c r="H90" s="2"/>
      <c r="I90" s="2"/>
    </row>
    <row r="91" spans="1:9" ht="15.75" customHeight="1" x14ac:dyDescent="0.2">
      <c r="A91" s="2"/>
      <c r="B91" s="2"/>
      <c r="C91" s="2"/>
      <c r="D91" s="2"/>
      <c r="E91" s="2"/>
      <c r="F91" s="2"/>
      <c r="G91" s="2"/>
      <c r="H91" s="2"/>
      <c r="I91" s="2"/>
    </row>
    <row r="92" spans="1:9" ht="15.75" customHeight="1" x14ac:dyDescent="0.2">
      <c r="A92" s="2"/>
      <c r="B92" s="2"/>
      <c r="C92" s="2"/>
      <c r="D92" s="2"/>
      <c r="E92" s="2"/>
      <c r="F92" s="2"/>
      <c r="G92" s="2"/>
      <c r="H92" s="2"/>
      <c r="I92" s="2"/>
    </row>
    <row r="93" spans="1:9" ht="15.75" customHeight="1" x14ac:dyDescent="0.2">
      <c r="A93" s="2"/>
      <c r="B93" s="2"/>
      <c r="C93" s="2"/>
      <c r="D93" s="2"/>
      <c r="E93" s="2"/>
      <c r="F93" s="2"/>
      <c r="G93" s="2"/>
      <c r="H93" s="2"/>
      <c r="I93" s="2"/>
    </row>
    <row r="94" spans="1:9" ht="15.75" customHeight="1" x14ac:dyDescent="0.2">
      <c r="A94" s="2"/>
      <c r="B94" s="2"/>
      <c r="C94" s="2"/>
      <c r="D94" s="2"/>
      <c r="E94" s="2"/>
      <c r="F94" s="2"/>
      <c r="G94" s="2"/>
      <c r="H94" s="2"/>
      <c r="I94" s="2"/>
    </row>
    <row r="95" spans="1:9" ht="15.75" customHeight="1" x14ac:dyDescent="0.2">
      <c r="A95" s="2"/>
      <c r="B95" s="2"/>
      <c r="C95" s="2"/>
      <c r="D95" s="2"/>
      <c r="E95" s="2"/>
      <c r="F95" s="2"/>
      <c r="G95" s="2"/>
      <c r="H95" s="2"/>
      <c r="I95" s="2"/>
    </row>
    <row r="96" spans="1:9" ht="15.75" customHeight="1" x14ac:dyDescent="0.2">
      <c r="A96" s="2"/>
      <c r="B96" s="2"/>
      <c r="C96" s="2"/>
      <c r="D96" s="2"/>
      <c r="E96" s="2"/>
      <c r="F96" s="2"/>
      <c r="G96" s="2"/>
      <c r="H96" s="2"/>
      <c r="I96" s="2"/>
    </row>
    <row r="97" spans="1:9" ht="15.75" customHeight="1" x14ac:dyDescent="0.2">
      <c r="A97" s="2"/>
      <c r="B97" s="2"/>
      <c r="C97" s="2"/>
      <c r="D97" s="2"/>
      <c r="E97" s="2"/>
      <c r="F97" s="2"/>
      <c r="G97" s="2"/>
      <c r="H97" s="2"/>
      <c r="I97" s="2"/>
    </row>
    <row r="98" spans="1:9" ht="15.75" customHeight="1" x14ac:dyDescent="0.2">
      <c r="A98" s="2"/>
      <c r="B98" s="2"/>
      <c r="C98" s="2"/>
      <c r="D98" s="2"/>
      <c r="E98" s="2"/>
      <c r="F98" s="2"/>
      <c r="G98" s="2"/>
      <c r="H98" s="2"/>
      <c r="I98" s="2"/>
    </row>
    <row r="99" spans="1:9" ht="15.75" customHeight="1" x14ac:dyDescent="0.2">
      <c r="A99" s="2"/>
      <c r="B99" s="2"/>
      <c r="C99" s="2"/>
      <c r="D99" s="2"/>
      <c r="E99" s="2"/>
      <c r="F99" s="2"/>
      <c r="G99" s="2"/>
      <c r="H99" s="2"/>
      <c r="I99" s="2"/>
    </row>
    <row r="100" spans="1:9" ht="15.75" customHeight="1" x14ac:dyDescent="0.2">
      <c r="A100" s="2"/>
      <c r="B100" s="2"/>
      <c r="C100" s="2"/>
      <c r="D100" s="2"/>
      <c r="E100" s="2"/>
      <c r="F100" s="2"/>
      <c r="G100" s="2"/>
      <c r="H100" s="2"/>
      <c r="I100" s="2"/>
    </row>
    <row r="101" spans="1:9" ht="15.75" customHeight="1" x14ac:dyDescent="0.2">
      <c r="A101" s="2"/>
      <c r="B101" s="2"/>
      <c r="C101" s="2"/>
      <c r="D101" s="2"/>
      <c r="E101" s="2"/>
      <c r="F101" s="2"/>
      <c r="G101" s="2"/>
      <c r="H101" s="2"/>
      <c r="I101" s="2"/>
    </row>
    <row r="102" spans="1:9" ht="15.75" customHeight="1" x14ac:dyDescent="0.2">
      <c r="A102" s="2"/>
      <c r="B102" s="2"/>
      <c r="C102" s="2"/>
      <c r="D102" s="2"/>
      <c r="E102" s="2"/>
      <c r="F102" s="2"/>
      <c r="G102" s="2"/>
      <c r="H102" s="2"/>
      <c r="I102" s="2"/>
    </row>
    <row r="103" spans="1:9" ht="15.75" customHeight="1" x14ac:dyDescent="0.2">
      <c r="A103" s="2"/>
      <c r="B103" s="2"/>
      <c r="C103" s="2"/>
      <c r="D103" s="2"/>
      <c r="E103" s="2"/>
      <c r="F103" s="2"/>
      <c r="G103" s="2"/>
      <c r="H103" s="2"/>
      <c r="I103" s="2"/>
    </row>
    <row r="104" spans="1:9" ht="15.75" customHeight="1" x14ac:dyDescent="0.2">
      <c r="A104" s="2"/>
      <c r="B104" s="2"/>
      <c r="C104" s="2"/>
      <c r="D104" s="2"/>
      <c r="E104" s="2"/>
      <c r="F104" s="2"/>
      <c r="G104" s="2"/>
      <c r="H104" s="2"/>
      <c r="I104" s="2"/>
    </row>
    <row r="105" spans="1:9" ht="15.75" customHeight="1" x14ac:dyDescent="0.2">
      <c r="A105" s="2"/>
      <c r="B105" s="2"/>
      <c r="C105" s="2"/>
      <c r="D105" s="2"/>
      <c r="E105" s="2"/>
      <c r="F105" s="2"/>
      <c r="G105" s="2"/>
      <c r="H105" s="2"/>
      <c r="I105" s="2"/>
    </row>
    <row r="106" spans="1:9" ht="15.75" customHeight="1" x14ac:dyDescent="0.2">
      <c r="A106" s="2"/>
      <c r="B106" s="2"/>
      <c r="C106" s="2"/>
      <c r="D106" s="2"/>
      <c r="E106" s="2"/>
      <c r="F106" s="2"/>
      <c r="G106" s="2"/>
      <c r="H106" s="2"/>
      <c r="I106" s="2"/>
    </row>
    <row r="107" spans="1:9" ht="15.75" customHeight="1" x14ac:dyDescent="0.2">
      <c r="A107" s="2"/>
      <c r="B107" s="2"/>
      <c r="C107" s="2"/>
      <c r="D107" s="2"/>
      <c r="E107" s="2"/>
      <c r="F107" s="2"/>
      <c r="G107" s="2"/>
      <c r="H107" s="2"/>
      <c r="I107" s="2"/>
    </row>
    <row r="108" spans="1:9" ht="15.75" customHeight="1" x14ac:dyDescent="0.2">
      <c r="A108" s="2"/>
      <c r="B108" s="2"/>
      <c r="C108" s="2"/>
      <c r="D108" s="2"/>
      <c r="E108" s="2"/>
      <c r="F108" s="2"/>
      <c r="G108" s="2"/>
      <c r="H108" s="2"/>
      <c r="I108" s="2"/>
    </row>
    <row r="109" spans="1:9" ht="15.75" customHeight="1" x14ac:dyDescent="0.2">
      <c r="A109" s="2"/>
      <c r="B109" s="2"/>
      <c r="C109" s="2"/>
      <c r="D109" s="2"/>
      <c r="E109" s="2"/>
      <c r="F109" s="2"/>
      <c r="G109" s="2"/>
      <c r="H109" s="2"/>
      <c r="I109" s="2"/>
    </row>
    <row r="110" spans="1:9" ht="15.75" customHeight="1" x14ac:dyDescent="0.2">
      <c r="A110" s="2"/>
      <c r="B110" s="2"/>
      <c r="C110" s="2"/>
      <c r="D110" s="2"/>
      <c r="E110" s="2"/>
      <c r="F110" s="2"/>
      <c r="G110" s="2"/>
      <c r="H110" s="2"/>
      <c r="I110" s="2"/>
    </row>
    <row r="111" spans="1:9" ht="15.75" customHeight="1" x14ac:dyDescent="0.2">
      <c r="A111" s="2"/>
      <c r="B111" s="2"/>
      <c r="C111" s="2"/>
      <c r="D111" s="2"/>
      <c r="E111" s="2"/>
      <c r="F111" s="2"/>
      <c r="G111" s="2"/>
      <c r="H111" s="2"/>
      <c r="I111" s="2"/>
    </row>
    <row r="112" spans="1:9" ht="15.75" customHeight="1" x14ac:dyDescent="0.2">
      <c r="A112" s="2"/>
      <c r="B112" s="2"/>
      <c r="C112" s="2"/>
      <c r="D112" s="2"/>
      <c r="E112" s="2"/>
      <c r="F112" s="2"/>
      <c r="G112" s="2"/>
      <c r="H112" s="2"/>
      <c r="I112" s="2"/>
    </row>
    <row r="113" spans="1:9" ht="15.75" customHeight="1" x14ac:dyDescent="0.2">
      <c r="A113" s="2"/>
      <c r="B113" s="2"/>
      <c r="C113" s="2"/>
      <c r="D113" s="2"/>
      <c r="E113" s="2"/>
      <c r="F113" s="2"/>
      <c r="G113" s="2"/>
      <c r="H113" s="2"/>
      <c r="I113" s="2"/>
    </row>
    <row r="114" spans="1:9" ht="15.75" customHeight="1" x14ac:dyDescent="0.2">
      <c r="A114" s="2"/>
      <c r="B114" s="2"/>
      <c r="C114" s="2"/>
      <c r="D114" s="2"/>
      <c r="E114" s="2"/>
      <c r="F114" s="2"/>
      <c r="G114" s="2"/>
      <c r="H114" s="2"/>
      <c r="I114" s="2"/>
    </row>
    <row r="115" spans="1:9" ht="15.75" customHeight="1" x14ac:dyDescent="0.2">
      <c r="A115" s="2"/>
      <c r="B115" s="2"/>
      <c r="C115" s="2"/>
      <c r="D115" s="2"/>
      <c r="E115" s="2"/>
      <c r="F115" s="2"/>
      <c r="G115" s="2"/>
      <c r="H115" s="2"/>
      <c r="I115" s="2"/>
    </row>
    <row r="116" spans="1:9" ht="15.75" customHeight="1" x14ac:dyDescent="0.2">
      <c r="A116" s="2"/>
      <c r="B116" s="2"/>
      <c r="C116" s="2"/>
      <c r="D116" s="2"/>
      <c r="E116" s="2"/>
      <c r="F116" s="2"/>
      <c r="G116" s="2"/>
      <c r="H116" s="2"/>
      <c r="I116" s="2"/>
    </row>
    <row r="117" spans="1:9" ht="15.75" customHeight="1" x14ac:dyDescent="0.2">
      <c r="A117" s="2"/>
      <c r="B117" s="2"/>
      <c r="C117" s="2"/>
      <c r="D117" s="2"/>
      <c r="E117" s="2"/>
      <c r="F117" s="2"/>
      <c r="G117" s="2"/>
      <c r="H117" s="2"/>
      <c r="I117" s="2"/>
    </row>
    <row r="118" spans="1:9" ht="15.75" customHeight="1" x14ac:dyDescent="0.2">
      <c r="A118" s="2"/>
      <c r="B118" s="2"/>
      <c r="C118" s="2"/>
      <c r="D118" s="2"/>
      <c r="E118" s="2"/>
      <c r="F118" s="2"/>
      <c r="G118" s="2"/>
      <c r="H118" s="2"/>
      <c r="I118" s="2"/>
    </row>
    <row r="119" spans="1:9" ht="15.75" customHeight="1" x14ac:dyDescent="0.2">
      <c r="A119" s="2"/>
      <c r="B119" s="2"/>
      <c r="C119" s="2"/>
      <c r="D119" s="2"/>
      <c r="E119" s="2"/>
      <c r="F119" s="2"/>
      <c r="G119" s="2"/>
      <c r="H119" s="2"/>
      <c r="I119" s="2"/>
    </row>
    <row r="120" spans="1:9" ht="15.75" customHeight="1" x14ac:dyDescent="0.2">
      <c r="A120" s="2"/>
      <c r="B120" s="2"/>
      <c r="C120" s="2"/>
      <c r="D120" s="2"/>
      <c r="E120" s="2"/>
      <c r="F120" s="2"/>
      <c r="G120" s="2"/>
      <c r="H120" s="2"/>
      <c r="I120" s="2"/>
    </row>
    <row r="121" spans="1:9" ht="15.75" customHeight="1" x14ac:dyDescent="0.2">
      <c r="A121" s="2"/>
      <c r="B121" s="2"/>
      <c r="C121" s="2"/>
      <c r="D121" s="2"/>
      <c r="E121" s="2"/>
      <c r="F121" s="2"/>
      <c r="G121" s="2"/>
      <c r="H121" s="2"/>
      <c r="I121" s="2"/>
    </row>
    <row r="122" spans="1:9" ht="15.75" customHeight="1" x14ac:dyDescent="0.2">
      <c r="A122" s="2"/>
      <c r="B122" s="2"/>
      <c r="C122" s="2"/>
      <c r="D122" s="2"/>
      <c r="E122" s="2"/>
      <c r="F122" s="2"/>
      <c r="G122" s="2"/>
      <c r="H122" s="2"/>
      <c r="I122" s="2"/>
    </row>
    <row r="123" spans="1:9" ht="15.75" customHeight="1" x14ac:dyDescent="0.2">
      <c r="A123" s="2"/>
      <c r="B123" s="2"/>
      <c r="C123" s="2"/>
      <c r="D123" s="2"/>
      <c r="E123" s="2"/>
      <c r="F123" s="2"/>
      <c r="G123" s="2"/>
      <c r="H123" s="2"/>
      <c r="I123" s="2"/>
    </row>
    <row r="124" spans="1:9" ht="15.75" customHeight="1" x14ac:dyDescent="0.2">
      <c r="A124" s="2"/>
      <c r="B124" s="2"/>
      <c r="C124" s="2"/>
      <c r="D124" s="2"/>
      <c r="E124" s="2"/>
      <c r="F124" s="2"/>
      <c r="G124" s="2"/>
      <c r="H124" s="2"/>
      <c r="I124" s="2"/>
    </row>
    <row r="125" spans="1:9" ht="15.75" customHeight="1" x14ac:dyDescent="0.2">
      <c r="A125" s="2"/>
      <c r="B125" s="2"/>
      <c r="C125" s="2"/>
      <c r="D125" s="2"/>
      <c r="E125" s="2"/>
      <c r="F125" s="2"/>
      <c r="G125" s="2"/>
      <c r="H125" s="2"/>
      <c r="I125" s="2"/>
    </row>
    <row r="126" spans="1:9" ht="15.75" customHeight="1" x14ac:dyDescent="0.2">
      <c r="A126" s="2"/>
      <c r="B126" s="2"/>
      <c r="C126" s="2"/>
      <c r="D126" s="2"/>
      <c r="E126" s="2"/>
      <c r="F126" s="2"/>
      <c r="G126" s="2"/>
      <c r="H126" s="2"/>
      <c r="I126" s="2"/>
    </row>
    <row r="127" spans="1:9" ht="15.75" customHeight="1" x14ac:dyDescent="0.2">
      <c r="A127" s="2"/>
      <c r="B127" s="2"/>
      <c r="C127" s="2"/>
      <c r="D127" s="2"/>
      <c r="E127" s="2"/>
      <c r="F127" s="2"/>
      <c r="G127" s="2"/>
      <c r="H127" s="2"/>
      <c r="I127" s="2"/>
    </row>
    <row r="128" spans="1:9" ht="15.75" customHeight="1" x14ac:dyDescent="0.2">
      <c r="A128" s="2"/>
      <c r="B128" s="2"/>
      <c r="C128" s="2"/>
      <c r="D128" s="2"/>
      <c r="E128" s="2"/>
      <c r="F128" s="2"/>
      <c r="G128" s="2"/>
      <c r="H128" s="2"/>
      <c r="I128" s="2"/>
    </row>
    <row r="129" spans="1:9" ht="15.75" customHeight="1" x14ac:dyDescent="0.2">
      <c r="A129" s="2"/>
      <c r="B129" s="2"/>
      <c r="C129" s="2"/>
      <c r="D129" s="2"/>
      <c r="E129" s="2"/>
      <c r="F129" s="2"/>
      <c r="G129" s="2"/>
      <c r="H129" s="2"/>
      <c r="I129" s="2"/>
    </row>
    <row r="130" spans="1:9" ht="15.75" customHeight="1" x14ac:dyDescent="0.2">
      <c r="A130" s="2"/>
      <c r="B130" s="2"/>
      <c r="C130" s="2"/>
      <c r="D130" s="2"/>
      <c r="E130" s="2"/>
      <c r="F130" s="2"/>
      <c r="G130" s="2"/>
      <c r="H130" s="2"/>
      <c r="I130" s="2"/>
    </row>
    <row r="131" spans="1:9" ht="15.75" customHeight="1" x14ac:dyDescent="0.2">
      <c r="A131" s="2"/>
      <c r="B131" s="2"/>
      <c r="C131" s="2"/>
      <c r="D131" s="2"/>
      <c r="E131" s="2"/>
      <c r="F131" s="2"/>
      <c r="G131" s="2"/>
      <c r="H131" s="2"/>
      <c r="I131" s="2"/>
    </row>
    <row r="132" spans="1:9" ht="15.75" customHeight="1" x14ac:dyDescent="0.2">
      <c r="A132" s="2"/>
      <c r="B132" s="2"/>
      <c r="C132" s="2"/>
      <c r="D132" s="2"/>
      <c r="E132" s="2"/>
      <c r="F132" s="2"/>
      <c r="G132" s="2"/>
      <c r="H132" s="2"/>
      <c r="I132" s="2"/>
    </row>
    <row r="133" spans="1:9" ht="15.75" customHeight="1" x14ac:dyDescent="0.2">
      <c r="A133" s="2"/>
      <c r="B133" s="2"/>
      <c r="C133" s="2"/>
      <c r="D133" s="2"/>
      <c r="E133" s="2"/>
      <c r="F133" s="2"/>
      <c r="G133" s="2"/>
      <c r="H133" s="2"/>
      <c r="I133" s="2"/>
    </row>
    <row r="134" spans="1:9" ht="15.75" customHeight="1" x14ac:dyDescent="0.2">
      <c r="A134" s="2"/>
      <c r="B134" s="2"/>
      <c r="C134" s="2"/>
      <c r="D134" s="2"/>
      <c r="E134" s="2"/>
      <c r="F134" s="2"/>
      <c r="G134" s="2"/>
      <c r="H134" s="2"/>
      <c r="I134" s="2"/>
    </row>
    <row r="135" spans="1:9" ht="15.75" customHeight="1" x14ac:dyDescent="0.2">
      <c r="A135" s="2"/>
      <c r="B135" s="2"/>
      <c r="C135" s="2"/>
      <c r="D135" s="2"/>
      <c r="E135" s="2"/>
      <c r="F135" s="2"/>
      <c r="G135" s="2"/>
      <c r="H135" s="2"/>
      <c r="I135" s="2"/>
    </row>
    <row r="136" spans="1:9" ht="15.75" customHeight="1" x14ac:dyDescent="0.2">
      <c r="A136" s="2"/>
      <c r="B136" s="2"/>
      <c r="C136" s="2"/>
      <c r="D136" s="2"/>
      <c r="E136" s="2"/>
      <c r="F136" s="2"/>
      <c r="G136" s="2"/>
      <c r="H136" s="2"/>
      <c r="I136" s="2"/>
    </row>
    <row r="137" spans="1:9" ht="15.75" customHeight="1" x14ac:dyDescent="0.2">
      <c r="A137" s="2"/>
      <c r="B137" s="2"/>
      <c r="C137" s="2"/>
      <c r="D137" s="2"/>
      <c r="E137" s="2"/>
      <c r="F137" s="2"/>
      <c r="G137" s="2"/>
      <c r="H137" s="2"/>
      <c r="I137" s="2"/>
    </row>
    <row r="138" spans="1:9" ht="15.75" customHeight="1" x14ac:dyDescent="0.2">
      <c r="A138" s="2"/>
      <c r="B138" s="2"/>
      <c r="C138" s="2"/>
      <c r="D138" s="2"/>
      <c r="E138" s="2"/>
      <c r="F138" s="2"/>
      <c r="G138" s="2"/>
      <c r="H138" s="2"/>
      <c r="I138" s="2"/>
    </row>
    <row r="139" spans="1:9" ht="15.75" customHeight="1" x14ac:dyDescent="0.2">
      <c r="A139" s="2"/>
      <c r="B139" s="2"/>
      <c r="C139" s="2"/>
      <c r="D139" s="2"/>
      <c r="E139" s="2"/>
      <c r="F139" s="2"/>
      <c r="G139" s="2"/>
      <c r="H139" s="2"/>
      <c r="I139" s="2"/>
    </row>
    <row r="140" spans="1:9" ht="15.75" customHeight="1" x14ac:dyDescent="0.2">
      <c r="A140" s="2"/>
      <c r="B140" s="2"/>
      <c r="C140" s="2"/>
      <c r="D140" s="2"/>
      <c r="E140" s="2"/>
      <c r="F140" s="2"/>
      <c r="G140" s="2"/>
      <c r="H140" s="2"/>
      <c r="I140" s="2"/>
    </row>
    <row r="141" spans="1:9" ht="15.75" customHeight="1" x14ac:dyDescent="0.2">
      <c r="A141" s="2"/>
      <c r="B141" s="2"/>
      <c r="C141" s="2"/>
      <c r="D141" s="2"/>
      <c r="E141" s="2"/>
      <c r="F141" s="2"/>
      <c r="G141" s="2"/>
      <c r="H141" s="2"/>
      <c r="I141" s="2"/>
    </row>
    <row r="142" spans="1:9" ht="15.75" customHeight="1" x14ac:dyDescent="0.2">
      <c r="A142" s="2"/>
      <c r="B142" s="2"/>
      <c r="C142" s="2"/>
      <c r="D142" s="2"/>
      <c r="E142" s="2"/>
      <c r="F142" s="2"/>
      <c r="G142" s="2"/>
      <c r="H142" s="2"/>
      <c r="I142" s="2"/>
    </row>
    <row r="143" spans="1:9" ht="15.75" customHeight="1" x14ac:dyDescent="0.2">
      <c r="A143" s="2"/>
      <c r="B143" s="2"/>
      <c r="C143" s="2"/>
      <c r="D143" s="2"/>
      <c r="E143" s="2"/>
      <c r="F143" s="2"/>
      <c r="G143" s="2"/>
      <c r="H143" s="2"/>
      <c r="I143" s="2"/>
    </row>
    <row r="144" spans="1:9" ht="15.75" customHeight="1" x14ac:dyDescent="0.2">
      <c r="A144" s="2"/>
      <c r="B144" s="2"/>
      <c r="C144" s="2"/>
      <c r="D144" s="2"/>
      <c r="E144" s="2"/>
      <c r="F144" s="2"/>
      <c r="G144" s="2"/>
      <c r="H144" s="2"/>
      <c r="I144" s="2"/>
    </row>
    <row r="145" spans="1:9" ht="15.75" customHeight="1" x14ac:dyDescent="0.2">
      <c r="A145" s="2"/>
      <c r="B145" s="2"/>
      <c r="C145" s="2"/>
      <c r="D145" s="2"/>
      <c r="E145" s="2"/>
      <c r="F145" s="2"/>
      <c r="G145" s="2"/>
      <c r="H145" s="2"/>
      <c r="I145" s="2"/>
    </row>
    <row r="146" spans="1:9" ht="15.75" customHeight="1" x14ac:dyDescent="0.2">
      <c r="A146" s="2"/>
      <c r="B146" s="2"/>
      <c r="C146" s="2"/>
      <c r="D146" s="2"/>
      <c r="E146" s="2"/>
      <c r="F146" s="2"/>
      <c r="G146" s="2"/>
      <c r="H146" s="2"/>
      <c r="I146" s="2"/>
    </row>
    <row r="147" spans="1:9" ht="15.75" customHeight="1" x14ac:dyDescent="0.2">
      <c r="A147" s="2"/>
      <c r="B147" s="2"/>
      <c r="C147" s="2"/>
      <c r="D147" s="2"/>
      <c r="E147" s="2"/>
      <c r="F147" s="2"/>
      <c r="G147" s="2"/>
      <c r="H147" s="2"/>
      <c r="I147" s="2"/>
    </row>
    <row r="148" spans="1:9" ht="15.75" customHeight="1" x14ac:dyDescent="0.2">
      <c r="A148" s="2"/>
      <c r="B148" s="2"/>
      <c r="C148" s="2"/>
      <c r="D148" s="2"/>
      <c r="E148" s="2"/>
      <c r="F148" s="2"/>
      <c r="G148" s="2"/>
      <c r="H148" s="2"/>
      <c r="I148" s="2"/>
    </row>
    <row r="149" spans="1:9" ht="15.75" customHeight="1" x14ac:dyDescent="0.2">
      <c r="A149" s="2"/>
      <c r="B149" s="2"/>
      <c r="C149" s="2"/>
      <c r="D149" s="2"/>
      <c r="E149" s="2"/>
      <c r="F149" s="2"/>
      <c r="G149" s="2"/>
      <c r="H149" s="2"/>
      <c r="I149" s="2"/>
    </row>
    <row r="150" spans="1:9" ht="15.75" customHeight="1" x14ac:dyDescent="0.2">
      <c r="A150" s="2"/>
      <c r="B150" s="2"/>
      <c r="C150" s="2"/>
      <c r="D150" s="2"/>
      <c r="E150" s="2"/>
      <c r="F150" s="2"/>
      <c r="G150" s="2"/>
      <c r="H150" s="2"/>
      <c r="I150" s="2"/>
    </row>
    <row r="151" spans="1:9" ht="15.75" customHeight="1" x14ac:dyDescent="0.2">
      <c r="A151" s="2"/>
      <c r="B151" s="2"/>
      <c r="C151" s="2"/>
      <c r="D151" s="2"/>
      <c r="E151" s="2"/>
      <c r="F151" s="2"/>
      <c r="G151" s="2"/>
      <c r="H151" s="2"/>
      <c r="I151" s="2"/>
    </row>
    <row r="152" spans="1:9" ht="15.75" customHeight="1" x14ac:dyDescent="0.2">
      <c r="A152" s="2"/>
      <c r="B152" s="2"/>
      <c r="C152" s="2"/>
      <c r="D152" s="2"/>
      <c r="E152" s="2"/>
      <c r="F152" s="2"/>
      <c r="G152" s="2"/>
      <c r="H152" s="2"/>
      <c r="I152" s="2"/>
    </row>
    <row r="153" spans="1:9" ht="15.75" customHeight="1" x14ac:dyDescent="0.2">
      <c r="A153" s="2"/>
      <c r="B153" s="2"/>
      <c r="C153" s="2"/>
      <c r="D153" s="2"/>
      <c r="E153" s="2"/>
      <c r="F153" s="2"/>
      <c r="G153" s="2"/>
      <c r="H153" s="2"/>
      <c r="I153" s="2"/>
    </row>
    <row r="154" spans="1:9" ht="15.75" customHeight="1" x14ac:dyDescent="0.2">
      <c r="A154" s="2"/>
      <c r="B154" s="2"/>
      <c r="C154" s="2"/>
      <c r="D154" s="2"/>
      <c r="E154" s="2"/>
      <c r="F154" s="2"/>
      <c r="G154" s="2"/>
      <c r="H154" s="2"/>
      <c r="I154" s="2"/>
    </row>
    <row r="155" spans="1:9" ht="15.75" customHeight="1" x14ac:dyDescent="0.2">
      <c r="A155" s="2"/>
      <c r="B155" s="2"/>
      <c r="C155" s="2"/>
      <c r="D155" s="2"/>
      <c r="E155" s="2"/>
      <c r="F155" s="2"/>
      <c r="G155" s="2"/>
      <c r="H155" s="2"/>
      <c r="I155" s="2"/>
    </row>
    <row r="156" spans="1:9" ht="15.75" customHeight="1" x14ac:dyDescent="0.2">
      <c r="A156" s="2"/>
      <c r="B156" s="2"/>
      <c r="C156" s="2"/>
      <c r="D156" s="2"/>
      <c r="E156" s="2"/>
      <c r="F156" s="2"/>
      <c r="G156" s="2"/>
      <c r="H156" s="2"/>
      <c r="I156" s="2"/>
    </row>
    <row r="157" spans="1:9" ht="15.75" customHeight="1" x14ac:dyDescent="0.2">
      <c r="A157" s="2"/>
      <c r="B157" s="2"/>
      <c r="C157" s="2"/>
      <c r="D157" s="2"/>
      <c r="E157" s="2"/>
      <c r="F157" s="2"/>
      <c r="G157" s="2"/>
      <c r="H157" s="2"/>
      <c r="I157" s="2"/>
    </row>
    <row r="158" spans="1:9" ht="15.75" customHeight="1" x14ac:dyDescent="0.2">
      <c r="A158" s="2"/>
      <c r="B158" s="2"/>
      <c r="C158" s="2"/>
      <c r="D158" s="2"/>
      <c r="E158" s="2"/>
      <c r="F158" s="2"/>
      <c r="G158" s="2"/>
      <c r="H158" s="2"/>
      <c r="I158" s="2"/>
    </row>
    <row r="159" spans="1:9" ht="15.75" customHeight="1" x14ac:dyDescent="0.2">
      <c r="A159" s="2"/>
      <c r="B159" s="2"/>
      <c r="C159" s="2"/>
      <c r="D159" s="2"/>
      <c r="E159" s="2"/>
      <c r="F159" s="2"/>
      <c r="G159" s="2"/>
      <c r="H159" s="2"/>
      <c r="I159" s="2"/>
    </row>
    <row r="160" spans="1:9" ht="15.75" customHeight="1" x14ac:dyDescent="0.2">
      <c r="A160" s="2"/>
      <c r="B160" s="2"/>
      <c r="C160" s="2"/>
      <c r="D160" s="2"/>
      <c r="E160" s="2"/>
      <c r="F160" s="2"/>
      <c r="G160" s="2"/>
      <c r="H160" s="2"/>
      <c r="I160" s="2"/>
    </row>
    <row r="161" spans="1:9" ht="15.75" customHeight="1" x14ac:dyDescent="0.2">
      <c r="A161" s="2"/>
      <c r="B161" s="2"/>
      <c r="C161" s="2"/>
      <c r="D161" s="2"/>
      <c r="E161" s="2"/>
      <c r="F161" s="2"/>
      <c r="G161" s="2"/>
      <c r="H161" s="2"/>
      <c r="I161" s="2"/>
    </row>
    <row r="162" spans="1:9" ht="15.75" customHeight="1" x14ac:dyDescent="0.2">
      <c r="A162" s="2"/>
      <c r="B162" s="2"/>
      <c r="C162" s="2"/>
      <c r="D162" s="2"/>
      <c r="E162" s="2"/>
      <c r="F162" s="2"/>
      <c r="G162" s="2"/>
      <c r="H162" s="2"/>
      <c r="I162" s="2"/>
    </row>
    <row r="163" spans="1:9" ht="15.75" customHeight="1" x14ac:dyDescent="0.2">
      <c r="A163" s="2"/>
      <c r="B163" s="2"/>
      <c r="C163" s="2"/>
      <c r="D163" s="2"/>
      <c r="E163" s="2"/>
      <c r="F163" s="2"/>
      <c r="G163" s="2"/>
      <c r="H163" s="2"/>
      <c r="I163" s="2"/>
    </row>
    <row r="164" spans="1:9" ht="15.75" customHeight="1" x14ac:dyDescent="0.2">
      <c r="A164" s="2"/>
      <c r="B164" s="2"/>
      <c r="C164" s="2"/>
      <c r="D164" s="2"/>
      <c r="E164" s="2"/>
      <c r="F164" s="2"/>
      <c r="G164" s="2"/>
      <c r="H164" s="2"/>
      <c r="I164" s="2"/>
    </row>
    <row r="165" spans="1:9" ht="15.75" customHeight="1" x14ac:dyDescent="0.2">
      <c r="A165" s="2"/>
      <c r="B165" s="2"/>
      <c r="C165" s="2"/>
      <c r="D165" s="2"/>
      <c r="E165" s="2"/>
      <c r="F165" s="2"/>
      <c r="G165" s="2"/>
      <c r="H165" s="2"/>
      <c r="I165" s="2"/>
    </row>
    <row r="166" spans="1:9" ht="15.75" customHeight="1" x14ac:dyDescent="0.2">
      <c r="A166" s="2"/>
      <c r="B166" s="2"/>
      <c r="C166" s="2"/>
      <c r="D166" s="2"/>
      <c r="E166" s="2"/>
      <c r="F166" s="2"/>
      <c r="G166" s="2"/>
      <c r="H166" s="2"/>
      <c r="I166" s="2"/>
    </row>
    <row r="167" spans="1:9" ht="15.75" customHeight="1" x14ac:dyDescent="0.2">
      <c r="A167" s="2"/>
      <c r="B167" s="2"/>
      <c r="C167" s="2"/>
      <c r="D167" s="2"/>
      <c r="E167" s="2"/>
      <c r="F167" s="2"/>
      <c r="G167" s="2"/>
      <c r="H167" s="2"/>
      <c r="I167" s="2"/>
    </row>
    <row r="168" spans="1:9" ht="15.75" customHeight="1" x14ac:dyDescent="0.2">
      <c r="A168" s="2"/>
      <c r="B168" s="2"/>
      <c r="C168" s="2"/>
      <c r="D168" s="2"/>
      <c r="E168" s="2"/>
      <c r="F168" s="2"/>
      <c r="G168" s="2"/>
      <c r="H168" s="2"/>
      <c r="I168" s="2"/>
    </row>
    <row r="169" spans="1:9" ht="15.75" customHeight="1" x14ac:dyDescent="0.2">
      <c r="A169" s="2"/>
      <c r="B169" s="2"/>
      <c r="C169" s="2"/>
      <c r="D169" s="2"/>
      <c r="E169" s="2"/>
      <c r="F169" s="2"/>
      <c r="G169" s="2"/>
      <c r="H169" s="2"/>
      <c r="I169" s="2"/>
    </row>
    <row r="170" spans="1:9" ht="15.75" customHeight="1" x14ac:dyDescent="0.2">
      <c r="A170" s="2"/>
      <c r="B170" s="2"/>
      <c r="C170" s="2"/>
      <c r="D170" s="2"/>
      <c r="E170" s="2"/>
      <c r="F170" s="2"/>
      <c r="G170" s="2"/>
      <c r="H170" s="2"/>
      <c r="I170" s="2"/>
    </row>
    <row r="171" spans="1:9" ht="15.75" customHeight="1" x14ac:dyDescent="0.2">
      <c r="A171" s="2"/>
      <c r="B171" s="2"/>
      <c r="C171" s="2"/>
      <c r="D171" s="2"/>
      <c r="E171" s="2"/>
      <c r="F171" s="2"/>
      <c r="G171" s="2"/>
      <c r="H171" s="2"/>
      <c r="I171" s="2"/>
    </row>
    <row r="172" spans="1:9" ht="15.75" customHeight="1" x14ac:dyDescent="0.2">
      <c r="A172" s="2"/>
      <c r="B172" s="2"/>
      <c r="C172" s="2"/>
      <c r="D172" s="2"/>
      <c r="E172" s="2"/>
      <c r="F172" s="2"/>
      <c r="G172" s="2"/>
      <c r="H172" s="2"/>
      <c r="I172" s="2"/>
    </row>
    <row r="173" spans="1:9" ht="15.75" customHeight="1" x14ac:dyDescent="0.2">
      <c r="A173" s="2"/>
      <c r="B173" s="2"/>
      <c r="C173" s="2"/>
      <c r="D173" s="2"/>
      <c r="E173" s="2"/>
      <c r="F173" s="2"/>
      <c r="G173" s="2"/>
      <c r="H173" s="2"/>
      <c r="I173" s="2"/>
    </row>
    <row r="174" spans="1:9" ht="15.75" customHeight="1" x14ac:dyDescent="0.2">
      <c r="A174" s="2"/>
      <c r="B174" s="2"/>
      <c r="C174" s="2"/>
      <c r="D174" s="2"/>
      <c r="E174" s="2"/>
      <c r="F174" s="2"/>
      <c r="G174" s="2"/>
      <c r="H174" s="2"/>
      <c r="I174" s="2"/>
    </row>
    <row r="175" spans="1:9" ht="15.75" customHeight="1" x14ac:dyDescent="0.2">
      <c r="A175" s="2"/>
      <c r="B175" s="2"/>
      <c r="C175" s="2"/>
      <c r="D175" s="2"/>
      <c r="E175" s="2"/>
      <c r="F175" s="2"/>
      <c r="G175" s="2"/>
      <c r="H175" s="2"/>
      <c r="I175" s="2"/>
    </row>
    <row r="176" spans="1:9" ht="15.75" customHeight="1" x14ac:dyDescent="0.2">
      <c r="A176" s="2"/>
      <c r="B176" s="2"/>
      <c r="C176" s="2"/>
      <c r="D176" s="2"/>
      <c r="E176" s="2"/>
      <c r="F176" s="2"/>
      <c r="G176" s="2"/>
      <c r="H176" s="2"/>
      <c r="I176" s="2"/>
    </row>
    <row r="177" spans="1:9" ht="15.75" customHeight="1" x14ac:dyDescent="0.2">
      <c r="A177" s="2"/>
      <c r="B177" s="2"/>
      <c r="C177" s="2"/>
      <c r="D177" s="2"/>
      <c r="E177" s="2"/>
      <c r="F177" s="2"/>
      <c r="G177" s="2"/>
      <c r="H177" s="2"/>
      <c r="I177" s="2"/>
    </row>
    <row r="178" spans="1:9" ht="15.75" customHeight="1" x14ac:dyDescent="0.2">
      <c r="A178" s="2"/>
      <c r="B178" s="2"/>
      <c r="C178" s="2"/>
      <c r="D178" s="2"/>
      <c r="E178" s="2"/>
      <c r="F178" s="2"/>
      <c r="G178" s="2"/>
      <c r="H178" s="2"/>
      <c r="I178" s="2"/>
    </row>
    <row r="179" spans="1:9" ht="15.75" customHeight="1" x14ac:dyDescent="0.2">
      <c r="A179" s="2"/>
      <c r="B179" s="2"/>
      <c r="C179" s="2"/>
      <c r="D179" s="2"/>
      <c r="E179" s="2"/>
      <c r="F179" s="2"/>
      <c r="G179" s="2"/>
      <c r="H179" s="2"/>
      <c r="I179" s="2"/>
    </row>
    <row r="180" spans="1:9" ht="15.75" customHeight="1" x14ac:dyDescent="0.2">
      <c r="A180" s="2"/>
      <c r="B180" s="2"/>
      <c r="C180" s="2"/>
      <c r="D180" s="2"/>
      <c r="E180" s="2"/>
      <c r="F180" s="2"/>
      <c r="G180" s="2"/>
      <c r="H180" s="2"/>
      <c r="I180" s="2"/>
    </row>
    <row r="181" spans="1:9" ht="15.75" customHeight="1" x14ac:dyDescent="0.2">
      <c r="A181" s="2"/>
      <c r="B181" s="2"/>
      <c r="C181" s="2"/>
      <c r="D181" s="2"/>
      <c r="E181" s="2"/>
      <c r="F181" s="2"/>
      <c r="G181" s="2"/>
      <c r="H181" s="2"/>
      <c r="I181" s="2"/>
    </row>
    <row r="182" spans="1:9" ht="15.75" customHeight="1" x14ac:dyDescent="0.2">
      <c r="A182" s="2"/>
      <c r="B182" s="2"/>
      <c r="C182" s="2"/>
      <c r="D182" s="2"/>
      <c r="E182" s="2"/>
      <c r="F182" s="2"/>
      <c r="G182" s="2"/>
      <c r="H182" s="2"/>
      <c r="I182" s="2"/>
    </row>
    <row r="183" spans="1:9" ht="15.75" customHeight="1" x14ac:dyDescent="0.2">
      <c r="A183" s="2"/>
      <c r="B183" s="2"/>
      <c r="C183" s="2"/>
      <c r="D183" s="2"/>
      <c r="E183" s="2"/>
      <c r="F183" s="2"/>
      <c r="G183" s="2"/>
      <c r="H183" s="2"/>
      <c r="I183" s="2"/>
    </row>
    <row r="184" spans="1:9" ht="15.75" customHeight="1" x14ac:dyDescent="0.2">
      <c r="A184" s="2"/>
      <c r="B184" s="2"/>
      <c r="C184" s="2"/>
      <c r="D184" s="2"/>
      <c r="E184" s="2"/>
      <c r="F184" s="2"/>
      <c r="G184" s="2"/>
      <c r="H184" s="2"/>
      <c r="I184" s="2"/>
    </row>
    <row r="185" spans="1:9" ht="15.75" customHeight="1" x14ac:dyDescent="0.2">
      <c r="A185" s="2"/>
      <c r="B185" s="2"/>
      <c r="C185" s="2"/>
      <c r="D185" s="2"/>
      <c r="E185" s="2"/>
      <c r="F185" s="2"/>
      <c r="G185" s="2"/>
      <c r="H185" s="2"/>
      <c r="I185" s="2"/>
    </row>
    <row r="186" spans="1:9" ht="15.75" customHeight="1" x14ac:dyDescent="0.2">
      <c r="A186" s="2"/>
      <c r="B186" s="2"/>
      <c r="C186" s="2"/>
      <c r="D186" s="2"/>
      <c r="E186" s="2"/>
      <c r="F186" s="2"/>
      <c r="G186" s="2"/>
      <c r="H186" s="2"/>
      <c r="I186" s="2"/>
    </row>
    <row r="187" spans="1:9" ht="15.75" customHeight="1" x14ac:dyDescent="0.2">
      <c r="A187" s="2"/>
      <c r="B187" s="2"/>
      <c r="C187" s="2"/>
      <c r="D187" s="2"/>
      <c r="E187" s="2"/>
      <c r="F187" s="2"/>
      <c r="G187" s="2"/>
      <c r="H187" s="2"/>
      <c r="I187" s="2"/>
    </row>
    <row r="188" spans="1:9" ht="15.75" customHeight="1" x14ac:dyDescent="0.2">
      <c r="A188" s="2"/>
      <c r="B188" s="2"/>
      <c r="C188" s="2"/>
      <c r="D188" s="2"/>
      <c r="E188" s="2"/>
      <c r="F188" s="2"/>
      <c r="G188" s="2"/>
      <c r="H188" s="2"/>
      <c r="I188" s="2"/>
    </row>
    <row r="189" spans="1:9" ht="15.75" customHeight="1" x14ac:dyDescent="0.2">
      <c r="A189" s="2"/>
      <c r="B189" s="2"/>
      <c r="C189" s="2"/>
      <c r="D189" s="2"/>
      <c r="E189" s="2"/>
      <c r="F189" s="2"/>
      <c r="G189" s="2"/>
      <c r="H189" s="2"/>
      <c r="I189" s="2"/>
    </row>
    <row r="190" spans="1:9" ht="15.75" customHeight="1" x14ac:dyDescent="0.2">
      <c r="A190" s="2"/>
      <c r="B190" s="2"/>
      <c r="C190" s="2"/>
      <c r="D190" s="2"/>
      <c r="E190" s="2"/>
      <c r="F190" s="2"/>
      <c r="G190" s="2"/>
      <c r="H190" s="2"/>
      <c r="I190" s="2"/>
    </row>
    <row r="191" spans="1:9" ht="15.75" customHeight="1" x14ac:dyDescent="0.2">
      <c r="A191" s="2"/>
      <c r="B191" s="2"/>
      <c r="C191" s="2"/>
      <c r="D191" s="2"/>
      <c r="E191" s="2"/>
      <c r="F191" s="2"/>
      <c r="G191" s="2"/>
      <c r="H191" s="2"/>
      <c r="I191" s="2"/>
    </row>
    <row r="192" spans="1:9" ht="15.75" customHeight="1" x14ac:dyDescent="0.2">
      <c r="A192" s="2"/>
      <c r="B192" s="2"/>
      <c r="C192" s="2"/>
      <c r="D192" s="2"/>
      <c r="E192" s="2"/>
      <c r="F192" s="2"/>
      <c r="G192" s="2"/>
      <c r="H192" s="2"/>
      <c r="I192" s="2"/>
    </row>
    <row r="193" spans="1:9" ht="15.75" customHeight="1" x14ac:dyDescent="0.2">
      <c r="A193" s="2"/>
      <c r="B193" s="2"/>
      <c r="C193" s="2"/>
      <c r="D193" s="2"/>
      <c r="E193" s="2"/>
      <c r="F193" s="2"/>
      <c r="G193" s="2"/>
      <c r="H193" s="2"/>
      <c r="I193" s="2"/>
    </row>
    <row r="194" spans="1:9" ht="15.75" customHeight="1" x14ac:dyDescent="0.2">
      <c r="A194" s="2"/>
      <c r="B194" s="2"/>
      <c r="C194" s="2"/>
      <c r="D194" s="2"/>
      <c r="E194" s="2"/>
      <c r="F194" s="2"/>
      <c r="G194" s="2"/>
      <c r="H194" s="2"/>
      <c r="I194" s="2"/>
    </row>
    <row r="195" spans="1:9" ht="15.75" customHeight="1" x14ac:dyDescent="0.2">
      <c r="A195" s="2"/>
      <c r="B195" s="2"/>
      <c r="C195" s="2"/>
      <c r="D195" s="2"/>
      <c r="E195" s="2"/>
      <c r="F195" s="2"/>
      <c r="G195" s="2"/>
      <c r="H195" s="2"/>
      <c r="I195" s="2"/>
    </row>
    <row r="196" spans="1:9" ht="15.75" customHeight="1" x14ac:dyDescent="0.2">
      <c r="A196" s="2"/>
      <c r="B196" s="2"/>
      <c r="C196" s="2"/>
      <c r="D196" s="2"/>
      <c r="E196" s="2"/>
      <c r="F196" s="2"/>
      <c r="G196" s="2"/>
      <c r="H196" s="2"/>
      <c r="I196" s="2"/>
    </row>
    <row r="197" spans="1:9" ht="15.75" customHeight="1" x14ac:dyDescent="0.2">
      <c r="A197" s="2"/>
      <c r="B197" s="2"/>
      <c r="C197" s="2"/>
      <c r="D197" s="2"/>
      <c r="E197" s="2"/>
      <c r="F197" s="2"/>
      <c r="G197" s="2"/>
      <c r="H197" s="2"/>
      <c r="I197" s="2"/>
    </row>
    <row r="198" spans="1:9" ht="15.75" customHeight="1" x14ac:dyDescent="0.2">
      <c r="A198" s="2"/>
      <c r="B198" s="2"/>
      <c r="C198" s="2"/>
      <c r="D198" s="2"/>
      <c r="E198" s="2"/>
      <c r="F198" s="2"/>
      <c r="G198" s="2"/>
      <c r="H198" s="2"/>
      <c r="I198" s="2"/>
    </row>
    <row r="199" spans="1:9" ht="15.75" customHeight="1" x14ac:dyDescent="0.2">
      <c r="A199" s="2"/>
      <c r="B199" s="2"/>
      <c r="C199" s="2"/>
      <c r="D199" s="2"/>
      <c r="E199" s="2"/>
      <c r="F199" s="2"/>
      <c r="G199" s="2"/>
      <c r="H199" s="2"/>
      <c r="I199" s="2"/>
    </row>
    <row r="200" spans="1:9" ht="15.75" customHeight="1" x14ac:dyDescent="0.2">
      <c r="A200" s="2"/>
      <c r="B200" s="2"/>
      <c r="C200" s="2"/>
      <c r="D200" s="2"/>
      <c r="E200" s="2"/>
      <c r="F200" s="2"/>
      <c r="G200" s="2"/>
      <c r="H200" s="2"/>
      <c r="I200" s="2"/>
    </row>
    <row r="201" spans="1:9" ht="15.75" customHeight="1" x14ac:dyDescent="0.2">
      <c r="A201" s="2"/>
      <c r="B201" s="2"/>
      <c r="C201" s="2"/>
      <c r="D201" s="2"/>
      <c r="E201" s="2"/>
      <c r="F201" s="2"/>
      <c r="G201" s="2"/>
      <c r="H201" s="2"/>
      <c r="I201" s="2"/>
    </row>
    <row r="202" spans="1:9" ht="15.75" customHeight="1" x14ac:dyDescent="0.2">
      <c r="A202" s="2"/>
      <c r="B202" s="2"/>
      <c r="C202" s="2"/>
      <c r="D202" s="2"/>
      <c r="E202" s="2"/>
      <c r="F202" s="2"/>
      <c r="G202" s="2"/>
      <c r="H202" s="2"/>
      <c r="I202" s="2"/>
    </row>
    <row r="203" spans="1:9" ht="15.75" customHeight="1" x14ac:dyDescent="0.2">
      <c r="A203" s="2"/>
      <c r="B203" s="2"/>
      <c r="C203" s="2"/>
      <c r="D203" s="2"/>
      <c r="E203" s="2"/>
      <c r="F203" s="2"/>
      <c r="G203" s="2"/>
      <c r="H203" s="2"/>
      <c r="I203" s="2"/>
    </row>
    <row r="204" spans="1:9" ht="15.75" customHeight="1" x14ac:dyDescent="0.2">
      <c r="A204" s="2"/>
      <c r="B204" s="2"/>
      <c r="C204" s="2"/>
      <c r="D204" s="2"/>
      <c r="E204" s="2"/>
      <c r="F204" s="2"/>
      <c r="G204" s="2"/>
      <c r="H204" s="2"/>
      <c r="I204" s="2"/>
    </row>
    <row r="205" spans="1:9" ht="15.75" customHeight="1" x14ac:dyDescent="0.2">
      <c r="A205" s="2"/>
      <c r="B205" s="2"/>
      <c r="C205" s="2"/>
      <c r="D205" s="2"/>
      <c r="E205" s="2"/>
      <c r="F205" s="2"/>
      <c r="G205" s="2"/>
      <c r="H205" s="2"/>
      <c r="I205" s="2"/>
    </row>
    <row r="206" spans="1:9" ht="15.75" customHeight="1" x14ac:dyDescent="0.2">
      <c r="A206" s="2"/>
      <c r="B206" s="2"/>
      <c r="C206" s="2"/>
      <c r="D206" s="2"/>
      <c r="E206" s="2"/>
      <c r="F206" s="2"/>
      <c r="G206" s="2"/>
      <c r="H206" s="2"/>
      <c r="I206" s="2"/>
    </row>
    <row r="207" spans="1:9" ht="15.75" customHeight="1" x14ac:dyDescent="0.2">
      <c r="A207" s="2"/>
      <c r="B207" s="2"/>
      <c r="C207" s="2"/>
      <c r="D207" s="2"/>
      <c r="E207" s="2"/>
      <c r="F207" s="2"/>
      <c r="G207" s="2"/>
      <c r="H207" s="2"/>
      <c r="I207" s="2"/>
    </row>
    <row r="208" spans="1:9" ht="15.75" customHeight="1" x14ac:dyDescent="0.2">
      <c r="A208" s="2"/>
      <c r="B208" s="2"/>
      <c r="C208" s="2"/>
      <c r="D208" s="2"/>
      <c r="E208" s="2"/>
      <c r="F208" s="2"/>
      <c r="G208" s="2"/>
      <c r="H208" s="2"/>
      <c r="I208" s="2"/>
    </row>
    <row r="209" spans="1:9" ht="15.75" customHeight="1" x14ac:dyDescent="0.2">
      <c r="A209" s="2"/>
      <c r="B209" s="2"/>
      <c r="C209" s="2"/>
      <c r="D209" s="2"/>
      <c r="E209" s="2"/>
      <c r="F209" s="2"/>
      <c r="G209" s="2"/>
      <c r="H209" s="2"/>
      <c r="I209" s="2"/>
    </row>
    <row r="210" spans="1:9" ht="15.75" customHeight="1" x14ac:dyDescent="0.2">
      <c r="A210" s="2"/>
      <c r="B210" s="2"/>
      <c r="C210" s="2"/>
      <c r="D210" s="2"/>
      <c r="E210" s="2"/>
      <c r="F210" s="2"/>
      <c r="G210" s="2"/>
      <c r="H210" s="2"/>
      <c r="I210" s="2"/>
    </row>
    <row r="211" spans="1:9" ht="15.75" customHeight="1" x14ac:dyDescent="0.2">
      <c r="A211" s="2"/>
      <c r="B211" s="2"/>
      <c r="C211" s="2"/>
      <c r="D211" s="2"/>
      <c r="E211" s="2"/>
      <c r="F211" s="2"/>
      <c r="G211" s="2"/>
      <c r="H211" s="2"/>
      <c r="I211" s="2"/>
    </row>
    <row r="212" spans="1:9" ht="15.75" customHeight="1" x14ac:dyDescent="0.2">
      <c r="A212" s="2"/>
      <c r="B212" s="2"/>
      <c r="C212" s="2"/>
      <c r="D212" s="2"/>
      <c r="E212" s="2"/>
      <c r="F212" s="2"/>
      <c r="G212" s="2"/>
      <c r="H212" s="2"/>
      <c r="I212" s="2"/>
    </row>
    <row r="213" spans="1:9" ht="15.75" customHeight="1" x14ac:dyDescent="0.2">
      <c r="A213" s="2"/>
      <c r="B213" s="2"/>
      <c r="C213" s="2"/>
      <c r="D213" s="2"/>
      <c r="E213" s="2"/>
      <c r="F213" s="2"/>
      <c r="G213" s="2"/>
      <c r="H213" s="2"/>
      <c r="I213" s="2"/>
    </row>
    <row r="214" spans="1:9" ht="15.75" customHeight="1" x14ac:dyDescent="0.2">
      <c r="A214" s="2"/>
      <c r="B214" s="2"/>
      <c r="C214" s="2"/>
      <c r="D214" s="2"/>
      <c r="E214" s="2"/>
      <c r="F214" s="2"/>
      <c r="G214" s="2"/>
      <c r="H214" s="2"/>
      <c r="I214" s="2"/>
    </row>
    <row r="215" spans="1:9" ht="15.75" customHeight="1" x14ac:dyDescent="0.2">
      <c r="A215" s="2"/>
      <c r="B215" s="2"/>
      <c r="C215" s="2"/>
      <c r="D215" s="2"/>
      <c r="E215" s="2"/>
      <c r="F215" s="2"/>
      <c r="G215" s="2"/>
      <c r="H215" s="2"/>
      <c r="I215" s="2"/>
    </row>
    <row r="216" spans="1:9" ht="15.75" customHeight="1" x14ac:dyDescent="0.2">
      <c r="A216" s="2"/>
      <c r="B216" s="2"/>
      <c r="C216" s="2"/>
      <c r="D216" s="2"/>
      <c r="E216" s="2"/>
      <c r="F216" s="2"/>
      <c r="G216" s="2"/>
      <c r="H216" s="2"/>
      <c r="I216" s="2"/>
    </row>
    <row r="217" spans="1:9" ht="15.75" customHeight="1" x14ac:dyDescent="0.2">
      <c r="A217" s="2"/>
      <c r="B217" s="2"/>
      <c r="C217" s="2"/>
      <c r="D217" s="2"/>
      <c r="E217" s="2"/>
      <c r="F217" s="2"/>
      <c r="G217" s="2"/>
      <c r="H217" s="2"/>
      <c r="I217" s="2"/>
    </row>
    <row r="218" spans="1:9" ht="15.75" customHeight="1" x14ac:dyDescent="0.2">
      <c r="A218" s="2"/>
      <c r="B218" s="2"/>
      <c r="C218" s="2"/>
      <c r="D218" s="2"/>
      <c r="E218" s="2"/>
      <c r="F218" s="2"/>
      <c r="G218" s="2"/>
      <c r="H218" s="2"/>
      <c r="I218" s="2"/>
    </row>
    <row r="219" spans="1:9" ht="15.75" customHeight="1" x14ac:dyDescent="0.2">
      <c r="A219" s="2"/>
      <c r="B219" s="2"/>
      <c r="C219" s="2"/>
      <c r="D219" s="2"/>
      <c r="E219" s="2"/>
      <c r="F219" s="2"/>
      <c r="G219" s="2"/>
      <c r="H219" s="2"/>
      <c r="I219" s="2"/>
    </row>
    <row r="220" spans="1:9" ht="15.75" customHeight="1" x14ac:dyDescent="0.2">
      <c r="A220" s="2"/>
      <c r="B220" s="2"/>
      <c r="C220" s="2"/>
      <c r="D220" s="2"/>
      <c r="E220" s="2"/>
      <c r="F220" s="2"/>
      <c r="G220" s="2"/>
      <c r="H220" s="2"/>
      <c r="I220" s="2"/>
    </row>
    <row r="221" spans="1:9" ht="15.75" customHeight="1" x14ac:dyDescent="0.2">
      <c r="A221" s="2"/>
      <c r="B221" s="2"/>
      <c r="C221" s="2"/>
      <c r="D221" s="2"/>
      <c r="E221" s="2"/>
      <c r="F221" s="2"/>
      <c r="G221" s="2"/>
      <c r="H221" s="2"/>
      <c r="I221" s="2"/>
    </row>
    <row r="222" spans="1:9" ht="15.75" customHeight="1" x14ac:dyDescent="0.2">
      <c r="A222" s="2"/>
      <c r="B222" s="2"/>
      <c r="C222" s="2"/>
      <c r="D222" s="2"/>
      <c r="E222" s="2"/>
      <c r="F222" s="2"/>
      <c r="G222" s="2"/>
      <c r="H222" s="2"/>
      <c r="I222" s="2"/>
    </row>
    <row r="223" spans="1:9" ht="15.75" customHeight="1" x14ac:dyDescent="0.2">
      <c r="A223" s="2"/>
      <c r="B223" s="2"/>
      <c r="C223" s="2"/>
      <c r="D223" s="2"/>
      <c r="E223" s="2"/>
      <c r="F223" s="2"/>
      <c r="G223" s="2"/>
      <c r="H223" s="2"/>
      <c r="I223" s="2"/>
    </row>
    <row r="224" spans="1:9" ht="15.75" customHeight="1" x14ac:dyDescent="0.2">
      <c r="A224" s="2"/>
      <c r="B224" s="2"/>
      <c r="C224" s="2"/>
      <c r="D224" s="2"/>
      <c r="E224" s="2"/>
      <c r="F224" s="2"/>
      <c r="G224" s="2"/>
      <c r="H224" s="2"/>
      <c r="I224" s="2"/>
    </row>
    <row r="225" spans="1:9" ht="15.75" customHeight="1" x14ac:dyDescent="0.2">
      <c r="A225" s="2"/>
      <c r="B225" s="2"/>
      <c r="C225" s="2"/>
      <c r="D225" s="2"/>
      <c r="E225" s="2"/>
      <c r="F225" s="2"/>
      <c r="G225" s="2"/>
      <c r="H225" s="2"/>
      <c r="I225" s="2"/>
    </row>
    <row r="226" spans="1:9" ht="15.75" customHeight="1" x14ac:dyDescent="0.2">
      <c r="A226" s="2"/>
      <c r="B226" s="2"/>
      <c r="C226" s="2"/>
      <c r="D226" s="2"/>
      <c r="E226" s="2"/>
      <c r="F226" s="2"/>
      <c r="G226" s="2"/>
      <c r="H226" s="2"/>
      <c r="I226" s="2"/>
    </row>
    <row r="227" spans="1:9" ht="15.75" customHeight="1" x14ac:dyDescent="0.2">
      <c r="A227" s="2"/>
      <c r="B227" s="2"/>
      <c r="C227" s="2"/>
      <c r="D227" s="2"/>
      <c r="E227" s="2"/>
      <c r="F227" s="2"/>
      <c r="G227" s="2"/>
      <c r="H227" s="2"/>
      <c r="I227" s="2"/>
    </row>
    <row r="228" spans="1:9" ht="15.75" customHeight="1" x14ac:dyDescent="0.2">
      <c r="A228" s="2"/>
      <c r="B228" s="2"/>
      <c r="C228" s="2"/>
      <c r="D228" s="2"/>
      <c r="E228" s="2"/>
      <c r="F228" s="2"/>
      <c r="G228" s="2"/>
      <c r="H228" s="2"/>
      <c r="I228" s="2"/>
    </row>
    <row r="229" spans="1:9" ht="15.75" customHeight="1" x14ac:dyDescent="0.2">
      <c r="A229" s="2"/>
      <c r="B229" s="2"/>
      <c r="C229" s="2"/>
      <c r="D229" s="2"/>
      <c r="E229" s="2"/>
      <c r="F229" s="2"/>
      <c r="G229" s="2"/>
      <c r="H229" s="2"/>
      <c r="I229" s="2"/>
    </row>
    <row r="230" spans="1:9" ht="15.75" customHeight="1" x14ac:dyDescent="0.2">
      <c r="A230" s="2"/>
      <c r="B230" s="2"/>
      <c r="C230" s="2"/>
      <c r="D230" s="2"/>
      <c r="E230" s="2"/>
      <c r="F230" s="2"/>
      <c r="G230" s="2"/>
      <c r="H230" s="2"/>
      <c r="I230" s="2"/>
    </row>
    <row r="231" spans="1:9" ht="15.75" customHeight="1" x14ac:dyDescent="0.2">
      <c r="A231" s="2"/>
      <c r="B231" s="2"/>
      <c r="C231" s="2"/>
      <c r="D231" s="2"/>
      <c r="E231" s="2"/>
      <c r="F231" s="2"/>
      <c r="G231" s="2"/>
      <c r="H231" s="2"/>
      <c r="I231" s="2"/>
    </row>
    <row r="232" spans="1:9" ht="15.75" customHeight="1" x14ac:dyDescent="0.2">
      <c r="A232" s="2"/>
      <c r="B232" s="2"/>
      <c r="C232" s="2"/>
      <c r="D232" s="2"/>
      <c r="E232" s="2"/>
      <c r="F232" s="2"/>
      <c r="G232" s="2"/>
      <c r="H232" s="2"/>
      <c r="I232" s="2"/>
    </row>
    <row r="233" spans="1:9" ht="15.75" customHeight="1" x14ac:dyDescent="0.2">
      <c r="A233" s="2"/>
      <c r="B233" s="2"/>
      <c r="C233" s="2"/>
      <c r="D233" s="2"/>
      <c r="E233" s="2"/>
      <c r="F233" s="2"/>
      <c r="G233" s="2"/>
      <c r="H233" s="2"/>
      <c r="I233" s="2"/>
    </row>
    <row r="234" spans="1:9" ht="15.75" customHeight="1" x14ac:dyDescent="0.2">
      <c r="A234" s="2"/>
      <c r="B234" s="2"/>
      <c r="C234" s="2"/>
      <c r="D234" s="2"/>
      <c r="E234" s="2"/>
      <c r="F234" s="2"/>
      <c r="G234" s="2"/>
      <c r="H234" s="2"/>
      <c r="I234" s="2"/>
    </row>
    <row r="235" spans="1:9" ht="15.75" customHeight="1" x14ac:dyDescent="0.2">
      <c r="A235" s="2"/>
      <c r="B235" s="2"/>
      <c r="C235" s="2"/>
      <c r="D235" s="2"/>
      <c r="E235" s="2"/>
      <c r="F235" s="2"/>
      <c r="G235" s="2"/>
      <c r="H235" s="2"/>
      <c r="I235" s="2"/>
    </row>
    <row r="236" spans="1:9" ht="15.75" customHeight="1" x14ac:dyDescent="0.2">
      <c r="A236" s="2"/>
      <c r="B236" s="2"/>
      <c r="C236" s="2"/>
      <c r="D236" s="2"/>
      <c r="E236" s="2"/>
      <c r="F236" s="2"/>
      <c r="G236" s="2"/>
      <c r="H236" s="2"/>
      <c r="I236" s="2"/>
    </row>
    <row r="237" spans="1:9" ht="15.75" customHeight="1" x14ac:dyDescent="0.2">
      <c r="A237" s="2"/>
      <c r="B237" s="2"/>
      <c r="C237" s="2"/>
      <c r="D237" s="2"/>
      <c r="E237" s="2"/>
      <c r="F237" s="2"/>
      <c r="G237" s="2"/>
      <c r="H237" s="2"/>
      <c r="I237" s="2"/>
    </row>
    <row r="238" spans="1:9" ht="15.75" customHeight="1" x14ac:dyDescent="0.2">
      <c r="A238" s="2"/>
      <c r="B238" s="2"/>
      <c r="C238" s="2"/>
      <c r="D238" s="2"/>
      <c r="E238" s="2"/>
      <c r="F238" s="2"/>
      <c r="G238" s="2"/>
      <c r="H238" s="2"/>
      <c r="I238" s="2"/>
    </row>
    <row r="239" spans="1:9" ht="15.75" customHeight="1" x14ac:dyDescent="0.2">
      <c r="A239" s="2"/>
      <c r="B239" s="2"/>
      <c r="C239" s="2"/>
      <c r="D239" s="2"/>
      <c r="E239" s="2"/>
      <c r="F239" s="2"/>
      <c r="G239" s="2"/>
      <c r="H239" s="2"/>
      <c r="I239" s="2"/>
    </row>
    <row r="240" spans="1:9" ht="15.75" customHeight="1" x14ac:dyDescent="0.2">
      <c r="A240" s="2"/>
      <c r="B240" s="2"/>
      <c r="C240" s="2"/>
      <c r="D240" s="2"/>
      <c r="E240" s="2"/>
      <c r="F240" s="2"/>
      <c r="G240" s="2"/>
      <c r="H240" s="2"/>
      <c r="I240" s="2"/>
    </row>
    <row r="241" spans="1:9" ht="15.75" customHeight="1" x14ac:dyDescent="0.2">
      <c r="A241" s="2"/>
      <c r="B241" s="2"/>
      <c r="C241" s="2"/>
      <c r="D241" s="2"/>
      <c r="E241" s="2"/>
      <c r="F241" s="2"/>
      <c r="G241" s="2"/>
      <c r="H241" s="2"/>
      <c r="I241" s="2"/>
    </row>
    <row r="242" spans="1:9" ht="15.75" customHeight="1" x14ac:dyDescent="0.2">
      <c r="A242" s="2"/>
      <c r="B242" s="2"/>
      <c r="C242" s="2"/>
      <c r="D242" s="2"/>
      <c r="E242" s="2"/>
      <c r="F242" s="2"/>
      <c r="G242" s="2"/>
      <c r="H242" s="2"/>
      <c r="I242" s="2"/>
    </row>
    <row r="243" spans="1:9" ht="15.75" customHeight="1" x14ac:dyDescent="0.2">
      <c r="A243" s="2"/>
      <c r="B243" s="2"/>
      <c r="C243" s="2"/>
      <c r="D243" s="2"/>
      <c r="E243" s="2"/>
      <c r="F243" s="2"/>
      <c r="G243" s="2"/>
      <c r="H243" s="2"/>
      <c r="I243" s="2"/>
    </row>
    <row r="244" spans="1:9" ht="15.75" customHeight="1" x14ac:dyDescent="0.2">
      <c r="A244" s="2"/>
      <c r="B244" s="2"/>
      <c r="C244" s="2"/>
      <c r="D244" s="2"/>
      <c r="E244" s="2"/>
      <c r="F244" s="2"/>
      <c r="G244" s="2"/>
      <c r="H244" s="2"/>
      <c r="I244" s="2"/>
    </row>
    <row r="245" spans="1:9" ht="15.75" customHeight="1" x14ac:dyDescent="0.2">
      <c r="A245" s="2"/>
      <c r="B245" s="2"/>
      <c r="C245" s="2"/>
      <c r="D245" s="2"/>
      <c r="E245" s="2"/>
      <c r="F245" s="2"/>
      <c r="G245" s="2"/>
      <c r="H245" s="2"/>
      <c r="I245" s="2"/>
    </row>
    <row r="246" spans="1:9" ht="15.75" customHeight="1" x14ac:dyDescent="0.2">
      <c r="A246" s="2"/>
      <c r="B246" s="2"/>
      <c r="C246" s="2"/>
      <c r="D246" s="2"/>
      <c r="E246" s="2"/>
      <c r="F246" s="2"/>
      <c r="G246" s="2"/>
      <c r="H246" s="2"/>
      <c r="I246" s="2"/>
    </row>
    <row r="247" spans="1:9" ht="15.75" customHeight="1" x14ac:dyDescent="0.2">
      <c r="A247" s="2"/>
      <c r="B247" s="2"/>
      <c r="C247" s="2"/>
      <c r="D247" s="2"/>
      <c r="E247" s="2"/>
      <c r="F247" s="2"/>
      <c r="G247" s="2"/>
      <c r="H247" s="2"/>
      <c r="I247" s="2"/>
    </row>
    <row r="248" spans="1:9" ht="15.75" customHeight="1" x14ac:dyDescent="0.2">
      <c r="A248" s="2"/>
      <c r="B248" s="2"/>
      <c r="C248" s="2"/>
      <c r="D248" s="2"/>
      <c r="E248" s="2"/>
      <c r="F248" s="2"/>
      <c r="G248" s="2"/>
      <c r="H248" s="2"/>
      <c r="I248" s="2"/>
    </row>
    <row r="249" spans="1:9" ht="15.75" customHeight="1" x14ac:dyDescent="0.2">
      <c r="A249" s="2"/>
      <c r="B249" s="2"/>
      <c r="C249" s="2"/>
      <c r="D249" s="2"/>
      <c r="E249" s="2"/>
      <c r="F249" s="2"/>
      <c r="G249" s="2"/>
      <c r="H249" s="2"/>
      <c r="I249" s="2"/>
    </row>
    <row r="250" spans="1:9" ht="15.75" customHeight="1" x14ac:dyDescent="0.2">
      <c r="A250" s="2"/>
      <c r="B250" s="2"/>
      <c r="C250" s="2"/>
      <c r="D250" s="2"/>
      <c r="E250" s="2"/>
      <c r="F250" s="2"/>
      <c r="G250" s="2"/>
      <c r="H250" s="2"/>
      <c r="I250" s="2"/>
    </row>
    <row r="251" spans="1:9" ht="15.75" customHeight="1" x14ac:dyDescent="0.2">
      <c r="A251" s="2"/>
      <c r="B251" s="2"/>
      <c r="C251" s="2"/>
      <c r="D251" s="2"/>
      <c r="E251" s="2"/>
      <c r="F251" s="2"/>
      <c r="G251" s="2"/>
      <c r="H251" s="2"/>
      <c r="I251" s="2"/>
    </row>
    <row r="252" spans="1:9" ht="15.75" customHeight="1" x14ac:dyDescent="0.2">
      <c r="A252" s="2"/>
      <c r="B252" s="2"/>
      <c r="C252" s="2"/>
      <c r="D252" s="2"/>
      <c r="E252" s="2"/>
      <c r="F252" s="2"/>
      <c r="G252" s="2"/>
      <c r="H252" s="2"/>
      <c r="I252" s="2"/>
    </row>
    <row r="253" spans="1:9" ht="15.75" customHeight="1" x14ac:dyDescent="0.2">
      <c r="A253" s="2"/>
      <c r="B253" s="2"/>
      <c r="C253" s="2"/>
      <c r="D253" s="2"/>
      <c r="E253" s="2"/>
      <c r="F253" s="2"/>
      <c r="G253" s="2"/>
      <c r="H253" s="2"/>
      <c r="I253" s="2"/>
    </row>
    <row r="254" spans="1:9" ht="15.75" customHeight="1" x14ac:dyDescent="0.2">
      <c r="A254" s="2"/>
      <c r="B254" s="2"/>
      <c r="C254" s="2"/>
      <c r="D254" s="2"/>
      <c r="E254" s="2"/>
      <c r="F254" s="2"/>
      <c r="G254" s="2"/>
      <c r="H254" s="2"/>
      <c r="I254" s="2"/>
    </row>
    <row r="255" spans="1:9" ht="15.75" customHeight="1" x14ac:dyDescent="0.2">
      <c r="A255" s="2"/>
      <c r="B255" s="2"/>
      <c r="C255" s="2"/>
      <c r="D255" s="2"/>
      <c r="E255" s="2"/>
      <c r="F255" s="2"/>
      <c r="G255" s="2"/>
      <c r="H255" s="2"/>
      <c r="I255" s="2"/>
    </row>
    <row r="256" spans="1:9" ht="15.75" customHeight="1" x14ac:dyDescent="0.2">
      <c r="A256" s="2"/>
      <c r="B256" s="2"/>
      <c r="C256" s="2"/>
      <c r="D256" s="2"/>
      <c r="E256" s="2"/>
      <c r="F256" s="2"/>
      <c r="G256" s="2"/>
      <c r="H256" s="2"/>
      <c r="I256" s="2"/>
    </row>
    <row r="257" spans="1:9" ht="15.75" customHeight="1" x14ac:dyDescent="0.2">
      <c r="A257" s="2"/>
      <c r="B257" s="2"/>
      <c r="C257" s="2"/>
      <c r="D257" s="2"/>
      <c r="E257" s="2"/>
      <c r="F257" s="2"/>
      <c r="G257" s="2"/>
      <c r="H257" s="2"/>
      <c r="I257" s="2"/>
    </row>
    <row r="258" spans="1:9" ht="15.75" customHeight="1" x14ac:dyDescent="0.2">
      <c r="A258" s="2"/>
      <c r="B258" s="2"/>
      <c r="C258" s="2"/>
      <c r="D258" s="2"/>
      <c r="E258" s="2"/>
      <c r="F258" s="2"/>
      <c r="G258" s="2"/>
      <c r="H258" s="2"/>
      <c r="I258" s="2"/>
    </row>
    <row r="259" spans="1:9" ht="15.75" customHeight="1" x14ac:dyDescent="0.2">
      <c r="A259" s="2"/>
      <c r="B259" s="2"/>
      <c r="C259" s="2"/>
      <c r="D259" s="2"/>
      <c r="E259" s="2"/>
      <c r="F259" s="2"/>
      <c r="G259" s="2"/>
      <c r="H259" s="2"/>
      <c r="I259" s="2"/>
    </row>
    <row r="260" spans="1:9" ht="15.75" customHeight="1" x14ac:dyDescent="0.2">
      <c r="A260" s="2"/>
      <c r="B260" s="2"/>
      <c r="C260" s="2"/>
      <c r="D260" s="2"/>
      <c r="E260" s="2"/>
      <c r="F260" s="2"/>
      <c r="G260" s="2"/>
      <c r="H260" s="2"/>
      <c r="I260" s="2"/>
    </row>
    <row r="261" spans="1:9" ht="15.75" customHeight="1" x14ac:dyDescent="0.2">
      <c r="A261" s="2"/>
      <c r="B261" s="2"/>
      <c r="C261" s="2"/>
      <c r="D261" s="2"/>
      <c r="E261" s="2"/>
      <c r="F261" s="2"/>
      <c r="G261" s="2"/>
      <c r="H261" s="2"/>
      <c r="I261" s="2"/>
    </row>
    <row r="262" spans="1:9" ht="15.75" customHeight="1" x14ac:dyDescent="0.2">
      <c r="A262" s="2"/>
      <c r="B262" s="2"/>
      <c r="C262" s="2"/>
      <c r="D262" s="2"/>
      <c r="E262" s="2"/>
      <c r="F262" s="2"/>
      <c r="G262" s="2"/>
      <c r="H262" s="2"/>
      <c r="I262" s="2"/>
    </row>
    <row r="263" spans="1:9" ht="15.75" customHeight="1" x14ac:dyDescent="0.2">
      <c r="A263" s="2"/>
      <c r="B263" s="2"/>
      <c r="C263" s="2"/>
      <c r="D263" s="2"/>
      <c r="E263" s="2"/>
      <c r="F263" s="2"/>
      <c r="G263" s="2"/>
      <c r="H263" s="2"/>
      <c r="I263" s="2"/>
    </row>
    <row r="264" spans="1:9" ht="15.75" customHeight="1" x14ac:dyDescent="0.2">
      <c r="A264" s="2"/>
      <c r="B264" s="2"/>
      <c r="C264" s="2"/>
      <c r="D264" s="2"/>
      <c r="E264" s="2"/>
      <c r="F264" s="2"/>
      <c r="G264" s="2"/>
      <c r="H264" s="2"/>
      <c r="I264" s="2"/>
    </row>
    <row r="265" spans="1:9" ht="15.75" customHeight="1" x14ac:dyDescent="0.2">
      <c r="A265" s="2"/>
      <c r="B265" s="2"/>
      <c r="C265" s="2"/>
      <c r="D265" s="2"/>
      <c r="E265" s="2"/>
      <c r="F265" s="2"/>
      <c r="G265" s="2"/>
      <c r="H265" s="2"/>
      <c r="I265" s="2"/>
    </row>
    <row r="266" spans="1:9" ht="15.75" customHeight="1" x14ac:dyDescent="0.2">
      <c r="A266" s="2"/>
      <c r="B266" s="2"/>
      <c r="C266" s="2"/>
      <c r="D266" s="2"/>
      <c r="E266" s="2"/>
      <c r="F266" s="2"/>
      <c r="G266" s="2"/>
      <c r="H266" s="2"/>
      <c r="I266" s="2"/>
    </row>
    <row r="267" spans="1:9" ht="15.75" customHeight="1" x14ac:dyDescent="0.2">
      <c r="A267" s="2"/>
      <c r="B267" s="2"/>
      <c r="C267" s="2"/>
      <c r="D267" s="2"/>
      <c r="E267" s="2"/>
      <c r="F267" s="2"/>
      <c r="G267" s="2"/>
      <c r="H267" s="2"/>
      <c r="I267" s="2"/>
    </row>
    <row r="268" spans="1:9" ht="15.75" customHeight="1" x14ac:dyDescent="0.2">
      <c r="A268" s="2"/>
      <c r="B268" s="2"/>
      <c r="C268" s="2"/>
      <c r="D268" s="2"/>
      <c r="E268" s="2"/>
      <c r="F268" s="2"/>
      <c r="G268" s="2"/>
      <c r="H268" s="2"/>
      <c r="I268" s="2"/>
    </row>
    <row r="269" spans="1:9" ht="15.75" customHeight="1" x14ac:dyDescent="0.2">
      <c r="A269" s="2"/>
      <c r="B269" s="2"/>
      <c r="C269" s="2"/>
      <c r="D269" s="2"/>
      <c r="E269" s="2"/>
      <c r="F269" s="2"/>
      <c r="G269" s="2"/>
      <c r="H269" s="2"/>
      <c r="I269" s="2"/>
    </row>
    <row r="270" spans="1:9" ht="15.75" customHeight="1" x14ac:dyDescent="0.2">
      <c r="A270" s="2"/>
      <c r="B270" s="2"/>
      <c r="C270" s="2"/>
      <c r="D270" s="2"/>
      <c r="E270" s="2"/>
      <c r="F270" s="2"/>
      <c r="G270" s="2"/>
      <c r="H270" s="2"/>
      <c r="I270" s="2"/>
    </row>
    <row r="271" spans="1:9" ht="15.75" customHeight="1" x14ac:dyDescent="0.2">
      <c r="A271" s="2"/>
      <c r="B271" s="2"/>
      <c r="C271" s="2"/>
      <c r="D271" s="2"/>
      <c r="E271" s="2"/>
      <c r="F271" s="2"/>
      <c r="G271" s="2"/>
      <c r="H271" s="2"/>
      <c r="I271" s="2"/>
    </row>
    <row r="272" spans="1:9" ht="15.75" customHeight="1" x14ac:dyDescent="0.2">
      <c r="A272" s="2"/>
      <c r="B272" s="2"/>
      <c r="C272" s="2"/>
      <c r="D272" s="2"/>
      <c r="E272" s="2"/>
      <c r="F272" s="2"/>
      <c r="G272" s="2"/>
      <c r="H272" s="2"/>
      <c r="I272" s="2"/>
    </row>
    <row r="273" spans="1:9" ht="15.75" customHeight="1" x14ac:dyDescent="0.2">
      <c r="A273" s="2"/>
      <c r="B273" s="2"/>
      <c r="C273" s="2"/>
      <c r="D273" s="2"/>
      <c r="E273" s="2"/>
      <c r="F273" s="2"/>
      <c r="G273" s="2"/>
      <c r="H273" s="2"/>
      <c r="I273" s="2"/>
    </row>
    <row r="274" spans="1:9" ht="15.75" customHeight="1" x14ac:dyDescent="0.2">
      <c r="A274" s="2"/>
      <c r="B274" s="2"/>
      <c r="C274" s="2"/>
      <c r="D274" s="2"/>
      <c r="E274" s="2"/>
      <c r="F274" s="2"/>
      <c r="G274" s="2"/>
      <c r="H274" s="2"/>
      <c r="I274" s="2"/>
    </row>
    <row r="275" spans="1:9" ht="15.75" customHeight="1" x14ac:dyDescent="0.2">
      <c r="A275" s="2"/>
      <c r="B275" s="2"/>
      <c r="C275" s="2"/>
      <c r="D275" s="2"/>
      <c r="E275" s="2"/>
      <c r="F275" s="2"/>
      <c r="G275" s="2"/>
      <c r="H275" s="2"/>
      <c r="I275" s="2"/>
    </row>
    <row r="276" spans="1:9" ht="15.75" customHeight="1" x14ac:dyDescent="0.2">
      <c r="A276" s="2"/>
      <c r="B276" s="2"/>
      <c r="C276" s="2"/>
      <c r="D276" s="2"/>
      <c r="E276" s="2"/>
      <c r="F276" s="2"/>
      <c r="G276" s="2"/>
      <c r="H276" s="2"/>
      <c r="I276" s="2"/>
    </row>
    <row r="277" spans="1:9" ht="15.75" customHeight="1" x14ac:dyDescent="0.2">
      <c r="A277" s="2"/>
      <c r="B277" s="2"/>
      <c r="C277" s="2"/>
      <c r="D277" s="2"/>
      <c r="E277" s="2"/>
      <c r="F277" s="2"/>
      <c r="G277" s="2"/>
      <c r="H277" s="2"/>
      <c r="I277" s="2"/>
    </row>
    <row r="278" spans="1:9" ht="15.75" customHeight="1" x14ac:dyDescent="0.2">
      <c r="A278" s="2"/>
      <c r="B278" s="2"/>
      <c r="C278" s="2"/>
      <c r="D278" s="2"/>
      <c r="E278" s="2"/>
      <c r="F278" s="2"/>
      <c r="G278" s="2"/>
      <c r="H278" s="2"/>
      <c r="I278" s="2"/>
    </row>
    <row r="279" spans="1:9" ht="15.75" customHeight="1" x14ac:dyDescent="0.2">
      <c r="A279" s="2"/>
      <c r="B279" s="2"/>
      <c r="C279" s="2"/>
      <c r="D279" s="2"/>
      <c r="E279" s="2"/>
      <c r="F279" s="2"/>
      <c r="G279" s="2"/>
      <c r="H279" s="2"/>
      <c r="I279" s="2"/>
    </row>
    <row r="280" spans="1:9" ht="15.75" customHeight="1" x14ac:dyDescent="0.2">
      <c r="A280" s="2"/>
      <c r="B280" s="2"/>
      <c r="C280" s="2"/>
      <c r="D280" s="2"/>
      <c r="E280" s="2"/>
      <c r="F280" s="2"/>
      <c r="G280" s="2"/>
      <c r="H280" s="2"/>
      <c r="I280" s="2"/>
    </row>
    <row r="281" spans="1:9" ht="15.75" customHeight="1" x14ac:dyDescent="0.2">
      <c r="A281" s="2"/>
      <c r="B281" s="2"/>
      <c r="C281" s="2"/>
      <c r="D281" s="2"/>
      <c r="E281" s="2"/>
      <c r="F281" s="2"/>
      <c r="G281" s="2"/>
      <c r="H281" s="2"/>
      <c r="I281" s="2"/>
    </row>
    <row r="282" spans="1:9" ht="15.75" customHeight="1" x14ac:dyDescent="0.2">
      <c r="A282" s="2"/>
      <c r="B282" s="2"/>
      <c r="C282" s="2"/>
      <c r="D282" s="2"/>
      <c r="E282" s="2"/>
      <c r="F282" s="2"/>
      <c r="G282" s="2"/>
      <c r="H282" s="2"/>
      <c r="I282" s="2"/>
    </row>
    <row r="283" spans="1:9" ht="15.75" customHeight="1" x14ac:dyDescent="0.2">
      <c r="A283" s="2"/>
      <c r="B283" s="2"/>
      <c r="C283" s="2"/>
      <c r="D283" s="2"/>
      <c r="E283" s="2"/>
      <c r="F283" s="2"/>
      <c r="G283" s="2"/>
      <c r="H283" s="2"/>
      <c r="I283" s="2"/>
    </row>
    <row r="284" spans="1:9" ht="15.75" customHeight="1" x14ac:dyDescent="0.2">
      <c r="A284" s="2"/>
      <c r="B284" s="2"/>
      <c r="C284" s="2"/>
      <c r="D284" s="2"/>
      <c r="E284" s="2"/>
      <c r="F284" s="2"/>
      <c r="G284" s="2"/>
      <c r="H284" s="2"/>
      <c r="I284" s="2"/>
    </row>
    <row r="285" spans="1:9" ht="15.75" customHeight="1" x14ac:dyDescent="0.2">
      <c r="A285" s="2"/>
      <c r="B285" s="2"/>
      <c r="C285" s="2"/>
      <c r="D285" s="2"/>
      <c r="E285" s="2"/>
      <c r="F285" s="2"/>
      <c r="G285" s="2"/>
      <c r="H285" s="2"/>
      <c r="I285" s="2"/>
    </row>
    <row r="286" spans="1:9" ht="15.75" customHeight="1" x14ac:dyDescent="0.2">
      <c r="A286" s="2"/>
      <c r="B286" s="2"/>
      <c r="C286" s="2"/>
      <c r="D286" s="2"/>
      <c r="E286" s="2"/>
      <c r="F286" s="2"/>
      <c r="G286" s="2"/>
      <c r="H286" s="2"/>
      <c r="I286" s="2"/>
    </row>
    <row r="287" spans="1:9" ht="15.75" customHeight="1" x14ac:dyDescent="0.2">
      <c r="A287" s="2"/>
      <c r="B287" s="2"/>
      <c r="C287" s="2"/>
      <c r="D287" s="2"/>
      <c r="E287" s="2"/>
      <c r="F287" s="2"/>
      <c r="G287" s="2"/>
      <c r="H287" s="2"/>
      <c r="I287" s="2"/>
    </row>
    <row r="288" spans="1:9" ht="15.75" customHeight="1" x14ac:dyDescent="0.2">
      <c r="A288" s="2"/>
      <c r="B288" s="2"/>
      <c r="C288" s="2"/>
      <c r="D288" s="2"/>
      <c r="E288" s="2"/>
      <c r="F288" s="2"/>
      <c r="G288" s="2"/>
      <c r="H288" s="2"/>
      <c r="I288" s="2"/>
    </row>
    <row r="289" spans="1:9" ht="15.75" customHeight="1" x14ac:dyDescent="0.2">
      <c r="A289" s="2"/>
      <c r="B289" s="2"/>
      <c r="C289" s="2"/>
      <c r="D289" s="2"/>
      <c r="E289" s="2"/>
      <c r="F289" s="2"/>
      <c r="G289" s="2"/>
      <c r="H289" s="2"/>
      <c r="I289" s="2"/>
    </row>
    <row r="290" spans="1:9" ht="15.75" customHeight="1" x14ac:dyDescent="0.2">
      <c r="A290" s="2"/>
      <c r="B290" s="2"/>
      <c r="C290" s="2"/>
      <c r="D290" s="2"/>
      <c r="E290" s="2"/>
      <c r="F290" s="2"/>
      <c r="G290" s="2"/>
      <c r="H290" s="2"/>
      <c r="I290" s="2"/>
    </row>
    <row r="291" spans="1:9" ht="15.75" customHeight="1" x14ac:dyDescent="0.2">
      <c r="A291" s="2"/>
      <c r="B291" s="2"/>
      <c r="C291" s="2"/>
      <c r="D291" s="2"/>
      <c r="E291" s="2"/>
      <c r="F291" s="2"/>
      <c r="G291" s="2"/>
      <c r="H291" s="2"/>
      <c r="I291" s="2"/>
    </row>
    <row r="292" spans="1:9" ht="15.75" customHeight="1" x14ac:dyDescent="0.2">
      <c r="A292" s="2"/>
      <c r="B292" s="2"/>
      <c r="C292" s="2"/>
      <c r="D292" s="2"/>
      <c r="E292" s="2"/>
      <c r="F292" s="2"/>
      <c r="G292" s="2"/>
      <c r="H292" s="2"/>
      <c r="I292" s="2"/>
    </row>
    <row r="293" spans="1:9" ht="15.75" customHeight="1" x14ac:dyDescent="0.2">
      <c r="A293" s="2"/>
      <c r="B293" s="2"/>
      <c r="C293" s="2"/>
      <c r="D293" s="2"/>
      <c r="E293" s="2"/>
      <c r="F293" s="2"/>
      <c r="G293" s="2"/>
      <c r="H293" s="2"/>
      <c r="I293" s="2"/>
    </row>
    <row r="294" spans="1:9" ht="15.75" customHeight="1" x14ac:dyDescent="0.2">
      <c r="A294" s="2"/>
      <c r="B294" s="2"/>
      <c r="C294" s="2"/>
      <c r="D294" s="2"/>
      <c r="E294" s="2"/>
      <c r="F294" s="2"/>
      <c r="G294" s="2"/>
      <c r="H294" s="2"/>
      <c r="I294" s="2"/>
    </row>
    <row r="295" spans="1:9" ht="15.75" customHeight="1" x14ac:dyDescent="0.2">
      <c r="A295" s="2"/>
      <c r="B295" s="2"/>
      <c r="C295" s="2"/>
      <c r="D295" s="2"/>
      <c r="E295" s="2"/>
      <c r="F295" s="2"/>
      <c r="G295" s="2"/>
      <c r="H295" s="2"/>
      <c r="I295" s="2"/>
    </row>
    <row r="296" spans="1:9" ht="15.75" customHeight="1" x14ac:dyDescent="0.2">
      <c r="A296" s="2"/>
      <c r="B296" s="2"/>
      <c r="C296" s="2"/>
      <c r="D296" s="2"/>
      <c r="E296" s="2"/>
      <c r="F296" s="2"/>
      <c r="G296" s="2"/>
      <c r="H296" s="2"/>
      <c r="I296" s="2"/>
    </row>
    <row r="297" spans="1:9" ht="15.75" customHeight="1" x14ac:dyDescent="0.2">
      <c r="A297" s="2"/>
      <c r="B297" s="2"/>
      <c r="C297" s="2"/>
      <c r="D297" s="2"/>
      <c r="E297" s="2"/>
      <c r="F297" s="2"/>
      <c r="G297" s="2"/>
      <c r="H297" s="2"/>
      <c r="I297" s="2"/>
    </row>
    <row r="298" spans="1:9" ht="15.75" customHeight="1" x14ac:dyDescent="0.2">
      <c r="A298" s="2"/>
      <c r="B298" s="2"/>
      <c r="C298" s="2"/>
      <c r="D298" s="2"/>
      <c r="E298" s="2"/>
      <c r="F298" s="2"/>
      <c r="G298" s="2"/>
      <c r="H298" s="2"/>
      <c r="I298" s="2"/>
    </row>
    <row r="299" spans="1:9" ht="15.75" customHeight="1" x14ac:dyDescent="0.2">
      <c r="A299" s="2"/>
      <c r="B299" s="2"/>
      <c r="C299" s="2"/>
      <c r="D299" s="2"/>
      <c r="E299" s="2"/>
      <c r="F299" s="2"/>
      <c r="G299" s="2"/>
      <c r="H299" s="2"/>
      <c r="I299" s="2"/>
    </row>
    <row r="300" spans="1:9" ht="15.75" customHeight="1" x14ac:dyDescent="0.2">
      <c r="A300" s="2"/>
      <c r="B300" s="2"/>
      <c r="C300" s="2"/>
      <c r="D300" s="2"/>
      <c r="E300" s="2"/>
      <c r="F300" s="2"/>
      <c r="G300" s="2"/>
      <c r="H300" s="2"/>
      <c r="I300" s="2"/>
    </row>
    <row r="301" spans="1:9" ht="15.75" customHeight="1" x14ac:dyDescent="0.2">
      <c r="A301" s="2"/>
      <c r="B301" s="2"/>
      <c r="C301" s="2"/>
      <c r="D301" s="2"/>
      <c r="E301" s="2"/>
      <c r="F301" s="2"/>
      <c r="G301" s="2"/>
      <c r="H301" s="2"/>
      <c r="I301" s="2"/>
    </row>
    <row r="302" spans="1:9" ht="15.75" customHeight="1" x14ac:dyDescent="0.2">
      <c r="A302" s="2"/>
      <c r="B302" s="2"/>
      <c r="C302" s="2"/>
      <c r="D302" s="2"/>
      <c r="E302" s="2"/>
      <c r="F302" s="2"/>
      <c r="G302" s="2"/>
      <c r="H302" s="2"/>
      <c r="I302" s="2"/>
    </row>
    <row r="303" spans="1:9" ht="15.75" customHeight="1" x14ac:dyDescent="0.2">
      <c r="A303" s="2"/>
      <c r="B303" s="2"/>
      <c r="C303" s="2"/>
      <c r="D303" s="2"/>
      <c r="E303" s="2"/>
      <c r="F303" s="2"/>
      <c r="G303" s="2"/>
      <c r="H303" s="2"/>
      <c r="I303" s="2"/>
    </row>
    <row r="304" spans="1:9" ht="15.75" customHeight="1" x14ac:dyDescent="0.2">
      <c r="A304" s="2"/>
      <c r="B304" s="2"/>
      <c r="C304" s="2"/>
      <c r="D304" s="2"/>
      <c r="E304" s="2"/>
      <c r="F304" s="2"/>
      <c r="G304" s="2"/>
      <c r="H304" s="2"/>
      <c r="I304" s="2"/>
    </row>
    <row r="305" spans="1:9" ht="15.75" customHeight="1" x14ac:dyDescent="0.2">
      <c r="A305" s="2"/>
      <c r="B305" s="2"/>
      <c r="C305" s="2"/>
      <c r="D305" s="2"/>
      <c r="E305" s="2"/>
      <c r="F305" s="2"/>
      <c r="G305" s="2"/>
      <c r="H305" s="2"/>
      <c r="I305" s="2"/>
    </row>
    <row r="306" spans="1:9" ht="15.75" customHeight="1" x14ac:dyDescent="0.2">
      <c r="A306" s="2"/>
      <c r="B306" s="2"/>
      <c r="C306" s="2"/>
      <c r="D306" s="2"/>
      <c r="E306" s="2"/>
      <c r="F306" s="2"/>
      <c r="G306" s="2"/>
      <c r="H306" s="2"/>
      <c r="I306" s="2"/>
    </row>
    <row r="307" spans="1:9" ht="15.75" customHeight="1" x14ac:dyDescent="0.2">
      <c r="A307" s="2"/>
      <c r="B307" s="2"/>
      <c r="C307" s="2"/>
      <c r="D307" s="2"/>
      <c r="E307" s="2"/>
      <c r="F307" s="2"/>
      <c r="G307" s="2"/>
      <c r="H307" s="2"/>
      <c r="I307" s="2"/>
    </row>
    <row r="308" spans="1:9" ht="15.75" customHeight="1" x14ac:dyDescent="0.2">
      <c r="A308" s="2"/>
      <c r="B308" s="2"/>
      <c r="C308" s="2"/>
      <c r="D308" s="2"/>
      <c r="E308" s="2"/>
      <c r="F308" s="2"/>
      <c r="G308" s="2"/>
      <c r="H308" s="2"/>
      <c r="I308" s="2"/>
    </row>
    <row r="309" spans="1:9" ht="15.75" customHeight="1" x14ac:dyDescent="0.2">
      <c r="A309" s="2"/>
      <c r="B309" s="2"/>
      <c r="C309" s="2"/>
      <c r="D309" s="2"/>
      <c r="E309" s="2"/>
      <c r="F309" s="2"/>
      <c r="G309" s="2"/>
      <c r="H309" s="2"/>
      <c r="I309" s="2"/>
    </row>
    <row r="310" spans="1:9" ht="15.75" customHeight="1" x14ac:dyDescent="0.2">
      <c r="A310" s="2"/>
      <c r="B310" s="2"/>
      <c r="C310" s="2"/>
      <c r="D310" s="2"/>
      <c r="E310" s="2"/>
      <c r="F310" s="2"/>
      <c r="G310" s="2"/>
      <c r="H310" s="2"/>
      <c r="I310" s="2"/>
    </row>
    <row r="311" spans="1:9" ht="15.75" customHeight="1" x14ac:dyDescent="0.2">
      <c r="A311" s="2"/>
      <c r="B311" s="2"/>
      <c r="C311" s="2"/>
      <c r="D311" s="2"/>
      <c r="E311" s="2"/>
      <c r="F311" s="2"/>
      <c r="G311" s="2"/>
      <c r="H311" s="2"/>
      <c r="I311" s="2"/>
    </row>
    <row r="312" spans="1:9" ht="15.75" customHeight="1" x14ac:dyDescent="0.2">
      <c r="A312" s="2"/>
      <c r="B312" s="2"/>
      <c r="C312" s="2"/>
      <c r="D312" s="2"/>
      <c r="E312" s="2"/>
      <c r="F312" s="2"/>
      <c r="G312" s="2"/>
      <c r="H312" s="2"/>
      <c r="I312" s="2"/>
    </row>
    <row r="313" spans="1:9" ht="15.75" customHeight="1" x14ac:dyDescent="0.2">
      <c r="A313" s="2"/>
      <c r="B313" s="2"/>
      <c r="C313" s="2"/>
      <c r="D313" s="2"/>
      <c r="E313" s="2"/>
      <c r="F313" s="2"/>
      <c r="G313" s="2"/>
      <c r="H313" s="2"/>
      <c r="I313" s="2"/>
    </row>
    <row r="314" spans="1:9" ht="15.75" customHeight="1" x14ac:dyDescent="0.2">
      <c r="A314" s="2"/>
      <c r="B314" s="2"/>
      <c r="C314" s="2"/>
      <c r="D314" s="2"/>
      <c r="E314" s="2"/>
      <c r="F314" s="2"/>
      <c r="G314" s="2"/>
      <c r="H314" s="2"/>
      <c r="I314" s="2"/>
    </row>
    <row r="315" spans="1:9" ht="15.75" customHeight="1" x14ac:dyDescent="0.2">
      <c r="A315" s="2"/>
      <c r="B315" s="2"/>
      <c r="C315" s="2"/>
      <c r="D315" s="2"/>
      <c r="E315" s="2"/>
      <c r="F315" s="2"/>
      <c r="G315" s="2"/>
      <c r="H315" s="2"/>
      <c r="I315" s="2"/>
    </row>
    <row r="316" spans="1:9" ht="15.75" customHeight="1" x14ac:dyDescent="0.2">
      <c r="A316" s="2"/>
      <c r="B316" s="2"/>
      <c r="C316" s="2"/>
      <c r="D316" s="2"/>
      <c r="E316" s="2"/>
      <c r="F316" s="2"/>
      <c r="G316" s="2"/>
      <c r="H316" s="2"/>
      <c r="I316" s="2"/>
    </row>
    <row r="317" spans="1:9" ht="15.75" customHeight="1" x14ac:dyDescent="0.2">
      <c r="A317" s="2"/>
      <c r="B317" s="2"/>
      <c r="C317" s="2"/>
      <c r="D317" s="2"/>
      <c r="E317" s="2"/>
      <c r="F317" s="2"/>
      <c r="G317" s="2"/>
      <c r="H317" s="2"/>
      <c r="I317" s="2"/>
    </row>
    <row r="318" spans="1:9" ht="15.75" customHeight="1" x14ac:dyDescent="0.2">
      <c r="A318" s="2"/>
      <c r="B318" s="2"/>
      <c r="C318" s="2"/>
      <c r="D318" s="2"/>
      <c r="E318" s="2"/>
      <c r="F318" s="2"/>
      <c r="G318" s="2"/>
      <c r="H318" s="2"/>
      <c r="I318" s="2"/>
    </row>
    <row r="319" spans="1:9" ht="15.75" customHeight="1" x14ac:dyDescent="0.2">
      <c r="A319" s="2"/>
      <c r="B319" s="2"/>
      <c r="C319" s="2"/>
      <c r="D319" s="2"/>
      <c r="E319" s="2"/>
      <c r="F319" s="2"/>
      <c r="G319" s="2"/>
      <c r="H319" s="2"/>
      <c r="I319" s="2"/>
    </row>
    <row r="320" spans="1:9" ht="15.75" customHeight="1" x14ac:dyDescent="0.2">
      <c r="A320" s="2"/>
      <c r="B320" s="2"/>
      <c r="C320" s="2"/>
      <c r="D320" s="2"/>
      <c r="E320" s="2"/>
      <c r="F320" s="2"/>
      <c r="G320" s="2"/>
      <c r="H320" s="2"/>
      <c r="I320" s="2"/>
    </row>
    <row r="321" spans="1:9" ht="15.75" customHeight="1" x14ac:dyDescent="0.2">
      <c r="A321" s="2"/>
      <c r="B321" s="2"/>
      <c r="C321" s="2"/>
      <c r="D321" s="2"/>
      <c r="E321" s="2"/>
      <c r="F321" s="2"/>
      <c r="G321" s="2"/>
      <c r="H321" s="2"/>
      <c r="I321" s="2"/>
    </row>
    <row r="322" spans="1:9" ht="15.75" customHeight="1" x14ac:dyDescent="0.2">
      <c r="A322" s="2"/>
      <c r="B322" s="2"/>
      <c r="C322" s="2"/>
      <c r="D322" s="2"/>
      <c r="E322" s="2"/>
      <c r="F322" s="2"/>
      <c r="G322" s="2"/>
      <c r="H322" s="2"/>
      <c r="I322" s="2"/>
    </row>
    <row r="323" spans="1:9" ht="15.75" customHeight="1" x14ac:dyDescent="0.2">
      <c r="A323" s="2"/>
      <c r="B323" s="2"/>
      <c r="C323" s="2"/>
      <c r="D323" s="2"/>
      <c r="E323" s="2"/>
      <c r="F323" s="2"/>
      <c r="G323" s="2"/>
      <c r="H323" s="2"/>
      <c r="I323" s="2"/>
    </row>
    <row r="324" spans="1:9" ht="15.75" customHeight="1" x14ac:dyDescent="0.2">
      <c r="A324" s="2"/>
      <c r="B324" s="2"/>
      <c r="C324" s="2"/>
      <c r="D324" s="2"/>
      <c r="E324" s="2"/>
      <c r="F324" s="2"/>
      <c r="G324" s="2"/>
      <c r="H324" s="2"/>
      <c r="I324" s="2"/>
    </row>
    <row r="325" spans="1:9" ht="15.75" customHeight="1" x14ac:dyDescent="0.2">
      <c r="A325" s="2"/>
      <c r="B325" s="2"/>
      <c r="C325" s="2"/>
      <c r="D325" s="2"/>
      <c r="E325" s="2"/>
      <c r="F325" s="2"/>
      <c r="G325" s="2"/>
      <c r="H325" s="2"/>
      <c r="I325" s="2"/>
    </row>
    <row r="326" spans="1:9" ht="15.75" customHeight="1" x14ac:dyDescent="0.2">
      <c r="A326" s="2"/>
      <c r="B326" s="2"/>
      <c r="C326" s="2"/>
      <c r="D326" s="2"/>
      <c r="E326" s="2"/>
      <c r="F326" s="2"/>
      <c r="G326" s="2"/>
      <c r="H326" s="2"/>
      <c r="I326" s="2"/>
    </row>
    <row r="327" spans="1:9" ht="15.75" customHeight="1" x14ac:dyDescent="0.2">
      <c r="A327" s="2"/>
      <c r="B327" s="2"/>
      <c r="C327" s="2"/>
      <c r="D327" s="2"/>
      <c r="E327" s="2"/>
      <c r="F327" s="2"/>
      <c r="G327" s="2"/>
      <c r="H327" s="2"/>
      <c r="I327" s="2"/>
    </row>
    <row r="328" spans="1:9" ht="15.75" customHeight="1" x14ac:dyDescent="0.2">
      <c r="A328" s="2"/>
      <c r="B328" s="2"/>
      <c r="C328" s="2"/>
      <c r="D328" s="2"/>
      <c r="E328" s="2"/>
      <c r="F328" s="2"/>
      <c r="G328" s="2"/>
      <c r="H328" s="2"/>
      <c r="I328" s="2"/>
    </row>
    <row r="329" spans="1:9" ht="15.75" customHeight="1" x14ac:dyDescent="0.2">
      <c r="A329" s="2"/>
      <c r="B329" s="2"/>
      <c r="C329" s="2"/>
      <c r="D329" s="2"/>
      <c r="E329" s="2"/>
      <c r="F329" s="2"/>
      <c r="G329" s="2"/>
      <c r="H329" s="2"/>
      <c r="I329" s="2"/>
    </row>
    <row r="330" spans="1:9" ht="15.75" customHeight="1" x14ac:dyDescent="0.2">
      <c r="A330" s="2"/>
      <c r="B330" s="2"/>
      <c r="C330" s="2"/>
      <c r="D330" s="2"/>
      <c r="E330" s="2"/>
      <c r="F330" s="2"/>
      <c r="G330" s="2"/>
      <c r="H330" s="2"/>
      <c r="I330" s="2"/>
    </row>
    <row r="331" spans="1:9" ht="15.75" customHeight="1" x14ac:dyDescent="0.2">
      <c r="A331" s="2"/>
      <c r="B331" s="2"/>
      <c r="C331" s="2"/>
      <c r="D331" s="2"/>
      <c r="E331" s="2"/>
      <c r="F331" s="2"/>
      <c r="G331" s="2"/>
      <c r="H331" s="2"/>
      <c r="I331" s="2"/>
    </row>
    <row r="332" spans="1:9" ht="15.75" customHeight="1" x14ac:dyDescent="0.2">
      <c r="A332" s="2"/>
      <c r="B332" s="2"/>
      <c r="C332" s="2"/>
      <c r="D332" s="2"/>
      <c r="E332" s="2"/>
      <c r="F332" s="2"/>
      <c r="G332" s="2"/>
      <c r="H332" s="2"/>
      <c r="I332" s="2"/>
    </row>
    <row r="333" spans="1:9" ht="15.75" customHeight="1" x14ac:dyDescent="0.2">
      <c r="A333" s="2"/>
      <c r="B333" s="2"/>
      <c r="C333" s="2"/>
      <c r="D333" s="2"/>
      <c r="E333" s="2"/>
      <c r="F333" s="2"/>
      <c r="G333" s="2"/>
      <c r="H333" s="2"/>
      <c r="I333" s="2"/>
    </row>
    <row r="334" spans="1:9" ht="15.75" customHeight="1" x14ac:dyDescent="0.2">
      <c r="A334" s="2"/>
      <c r="B334" s="2"/>
      <c r="C334" s="2"/>
      <c r="D334" s="2"/>
      <c r="E334" s="2"/>
      <c r="F334" s="2"/>
      <c r="G334" s="2"/>
      <c r="H334" s="2"/>
      <c r="I334" s="2"/>
    </row>
    <row r="335" spans="1:9" ht="15.75" customHeight="1" x14ac:dyDescent="0.2">
      <c r="A335" s="2"/>
      <c r="B335" s="2"/>
      <c r="C335" s="2"/>
      <c r="D335" s="2"/>
      <c r="E335" s="2"/>
      <c r="F335" s="2"/>
      <c r="G335" s="2"/>
      <c r="H335" s="2"/>
      <c r="I335" s="2"/>
    </row>
    <row r="336" spans="1:9" ht="15.75" customHeight="1" x14ac:dyDescent="0.2">
      <c r="A336" s="2"/>
      <c r="B336" s="2"/>
      <c r="C336" s="2"/>
      <c r="D336" s="2"/>
      <c r="E336" s="2"/>
      <c r="F336" s="2"/>
      <c r="G336" s="2"/>
      <c r="H336" s="2"/>
      <c r="I336" s="2"/>
    </row>
    <row r="337" spans="1:9" ht="15.75" customHeight="1" x14ac:dyDescent="0.2">
      <c r="A337" s="2"/>
      <c r="B337" s="2"/>
      <c r="C337" s="2"/>
      <c r="D337" s="2"/>
      <c r="E337" s="2"/>
      <c r="F337" s="2"/>
      <c r="G337" s="2"/>
      <c r="H337" s="2"/>
      <c r="I337" s="2"/>
    </row>
    <row r="338" spans="1:9" ht="15.75" customHeight="1" x14ac:dyDescent="0.2">
      <c r="A338" s="2"/>
      <c r="B338" s="2"/>
      <c r="C338" s="2"/>
      <c r="D338" s="2"/>
      <c r="E338" s="2"/>
      <c r="F338" s="2"/>
      <c r="G338" s="2"/>
      <c r="H338" s="2"/>
      <c r="I338" s="2"/>
    </row>
    <row r="339" spans="1:9" ht="15.75" customHeight="1" x14ac:dyDescent="0.2">
      <c r="A339" s="2"/>
      <c r="B339" s="2"/>
      <c r="C339" s="2"/>
      <c r="D339" s="2"/>
      <c r="E339" s="2"/>
      <c r="F339" s="2"/>
      <c r="G339" s="2"/>
      <c r="H339" s="2"/>
      <c r="I339" s="2"/>
    </row>
    <row r="340" spans="1:9" ht="15.75" customHeight="1" x14ac:dyDescent="0.2">
      <c r="A340" s="2"/>
      <c r="B340" s="2"/>
      <c r="C340" s="2"/>
      <c r="D340" s="2"/>
      <c r="E340" s="2"/>
      <c r="F340" s="2"/>
      <c r="G340" s="2"/>
      <c r="H340" s="2"/>
      <c r="I340" s="2"/>
    </row>
    <row r="341" spans="1:9" ht="15.75" customHeight="1" x14ac:dyDescent="0.2">
      <c r="A341" s="2"/>
      <c r="B341" s="2"/>
      <c r="C341" s="2"/>
      <c r="D341" s="2"/>
      <c r="E341" s="2"/>
      <c r="F341" s="2"/>
      <c r="G341" s="2"/>
      <c r="H341" s="2"/>
      <c r="I341" s="2"/>
    </row>
    <row r="342" spans="1:9" ht="15.75" customHeight="1" x14ac:dyDescent="0.2">
      <c r="A342" s="2"/>
      <c r="B342" s="2"/>
      <c r="C342" s="2"/>
      <c r="D342" s="2"/>
      <c r="E342" s="2"/>
      <c r="F342" s="2"/>
      <c r="G342" s="2"/>
      <c r="H342" s="2"/>
      <c r="I342" s="2"/>
    </row>
    <row r="343" spans="1:9" ht="15.75" customHeight="1" x14ac:dyDescent="0.2">
      <c r="A343" s="2"/>
      <c r="B343" s="2"/>
      <c r="C343" s="2"/>
      <c r="D343" s="2"/>
      <c r="E343" s="2"/>
      <c r="F343" s="2"/>
      <c r="G343" s="2"/>
      <c r="H343" s="2"/>
      <c r="I343" s="2"/>
    </row>
    <row r="344" spans="1:9" ht="15.75" customHeight="1" x14ac:dyDescent="0.2">
      <c r="A344" s="2"/>
      <c r="B344" s="2"/>
      <c r="C344" s="2"/>
      <c r="D344" s="2"/>
      <c r="E344" s="2"/>
      <c r="F344" s="2"/>
      <c r="G344" s="2"/>
      <c r="H344" s="2"/>
      <c r="I344" s="2"/>
    </row>
    <row r="345" spans="1:9" ht="15.75" customHeight="1" x14ac:dyDescent="0.2">
      <c r="A345" s="2"/>
      <c r="B345" s="2"/>
      <c r="C345" s="2"/>
      <c r="D345" s="2"/>
      <c r="E345" s="2"/>
      <c r="F345" s="2"/>
      <c r="G345" s="2"/>
      <c r="H345" s="2"/>
      <c r="I345" s="2"/>
    </row>
    <row r="346" spans="1:9" ht="15.75" customHeight="1" x14ac:dyDescent="0.2">
      <c r="A346" s="2"/>
      <c r="B346" s="2"/>
      <c r="C346" s="2"/>
      <c r="D346" s="2"/>
      <c r="E346" s="2"/>
      <c r="F346" s="2"/>
      <c r="G346" s="2"/>
      <c r="H346" s="2"/>
      <c r="I346" s="2"/>
    </row>
    <row r="347" spans="1:9" ht="15.75" customHeight="1" x14ac:dyDescent="0.2">
      <c r="A347" s="2"/>
      <c r="B347" s="2"/>
      <c r="C347" s="2"/>
      <c r="D347" s="2"/>
      <c r="E347" s="2"/>
      <c r="F347" s="2"/>
      <c r="G347" s="2"/>
      <c r="H347" s="2"/>
      <c r="I347" s="2"/>
    </row>
    <row r="348" spans="1:9" ht="15.75" customHeight="1" x14ac:dyDescent="0.2">
      <c r="A348" s="2"/>
      <c r="B348" s="2"/>
      <c r="C348" s="2"/>
      <c r="D348" s="2"/>
      <c r="E348" s="2"/>
      <c r="F348" s="2"/>
      <c r="G348" s="2"/>
      <c r="H348" s="2"/>
      <c r="I348" s="2"/>
    </row>
    <row r="349" spans="1:9" ht="15.75" customHeight="1" x14ac:dyDescent="0.2">
      <c r="A349" s="2"/>
      <c r="B349" s="2"/>
      <c r="C349" s="2"/>
      <c r="D349" s="2"/>
      <c r="E349" s="2"/>
      <c r="F349" s="2"/>
      <c r="G349" s="2"/>
      <c r="H349" s="2"/>
      <c r="I349" s="2"/>
    </row>
    <row r="350" spans="1:9" ht="15.75" customHeight="1" x14ac:dyDescent="0.2">
      <c r="A350" s="2"/>
      <c r="B350" s="2"/>
      <c r="C350" s="2"/>
      <c r="D350" s="2"/>
      <c r="E350" s="2"/>
      <c r="F350" s="2"/>
      <c r="G350" s="2"/>
      <c r="H350" s="2"/>
      <c r="I350" s="2"/>
    </row>
    <row r="351" spans="1:9" ht="15.75" customHeight="1" x14ac:dyDescent="0.2">
      <c r="A351" s="2"/>
      <c r="B351" s="2"/>
      <c r="C351" s="2"/>
      <c r="D351" s="2"/>
      <c r="E351" s="2"/>
      <c r="F351" s="2"/>
      <c r="G351" s="2"/>
      <c r="H351" s="2"/>
      <c r="I351" s="2"/>
    </row>
    <row r="352" spans="1:9" ht="15.75" customHeight="1" x14ac:dyDescent="0.2">
      <c r="A352" s="2"/>
      <c r="B352" s="2"/>
      <c r="C352" s="2"/>
      <c r="D352" s="2"/>
      <c r="E352" s="2"/>
      <c r="F352" s="2"/>
      <c r="G352" s="2"/>
      <c r="H352" s="2"/>
      <c r="I352" s="2"/>
    </row>
    <row r="353" spans="1:9" ht="15.75" customHeight="1" x14ac:dyDescent="0.2">
      <c r="A353" s="2"/>
      <c r="B353" s="2"/>
      <c r="C353" s="2"/>
      <c r="D353" s="2"/>
      <c r="E353" s="2"/>
      <c r="F353" s="2"/>
      <c r="G353" s="2"/>
      <c r="H353" s="2"/>
      <c r="I353" s="2"/>
    </row>
    <row r="354" spans="1:9" ht="15.75" customHeight="1" x14ac:dyDescent="0.2">
      <c r="A354" s="2"/>
      <c r="B354" s="2"/>
      <c r="C354" s="2"/>
      <c r="D354" s="2"/>
      <c r="E354" s="2"/>
      <c r="F354" s="2"/>
      <c r="G354" s="2"/>
      <c r="H354" s="2"/>
      <c r="I354" s="2"/>
    </row>
    <row r="355" spans="1:9" ht="15.75" customHeight="1" x14ac:dyDescent="0.2">
      <c r="A355" s="2"/>
      <c r="B355" s="2"/>
      <c r="C355" s="2"/>
      <c r="D355" s="2"/>
      <c r="E355" s="2"/>
      <c r="F355" s="2"/>
      <c r="G355" s="2"/>
      <c r="H355" s="2"/>
      <c r="I355" s="2"/>
    </row>
    <row r="356" spans="1:9" ht="15.75" customHeight="1" x14ac:dyDescent="0.2">
      <c r="A356" s="2"/>
      <c r="B356" s="2"/>
      <c r="C356" s="2"/>
      <c r="D356" s="2"/>
      <c r="E356" s="2"/>
      <c r="F356" s="2"/>
      <c r="G356" s="2"/>
      <c r="H356" s="2"/>
      <c r="I356" s="2"/>
    </row>
    <row r="357" spans="1:9" ht="15.75" customHeight="1" x14ac:dyDescent="0.2">
      <c r="A357" s="2"/>
      <c r="B357" s="2"/>
      <c r="C357" s="2"/>
      <c r="D357" s="2"/>
      <c r="E357" s="2"/>
      <c r="F357" s="2"/>
      <c r="G357" s="2"/>
      <c r="H357" s="2"/>
      <c r="I357" s="2"/>
    </row>
    <row r="358" spans="1:9" ht="15.75" customHeight="1" x14ac:dyDescent="0.2">
      <c r="A358" s="2"/>
      <c r="B358" s="2"/>
      <c r="C358" s="2"/>
      <c r="D358" s="2"/>
      <c r="E358" s="2"/>
      <c r="F358" s="2"/>
      <c r="G358" s="2"/>
      <c r="H358" s="2"/>
      <c r="I358" s="2"/>
    </row>
    <row r="359" spans="1:9" ht="15.75" customHeight="1" x14ac:dyDescent="0.2">
      <c r="A359" s="2"/>
      <c r="B359" s="2"/>
      <c r="C359" s="2"/>
      <c r="D359" s="2"/>
      <c r="E359" s="2"/>
      <c r="F359" s="2"/>
      <c r="G359" s="2"/>
      <c r="H359" s="2"/>
      <c r="I359" s="2"/>
    </row>
    <row r="360" spans="1:9" ht="15.75" customHeight="1" x14ac:dyDescent="0.2">
      <c r="A360" s="2"/>
      <c r="B360" s="2"/>
      <c r="C360" s="2"/>
      <c r="D360" s="2"/>
      <c r="E360" s="2"/>
      <c r="F360" s="2"/>
      <c r="G360" s="2"/>
      <c r="H360" s="2"/>
      <c r="I360" s="2"/>
    </row>
    <row r="361" spans="1:9" ht="15.75" customHeight="1" x14ac:dyDescent="0.2">
      <c r="A361" s="2"/>
      <c r="B361" s="2"/>
      <c r="C361" s="2"/>
      <c r="D361" s="2"/>
      <c r="E361" s="2"/>
      <c r="F361" s="2"/>
      <c r="G361" s="2"/>
      <c r="H361" s="2"/>
      <c r="I361" s="2"/>
    </row>
    <row r="362" spans="1:9" ht="15.75" customHeight="1" x14ac:dyDescent="0.2">
      <c r="A362" s="2"/>
      <c r="B362" s="2"/>
      <c r="C362" s="2"/>
      <c r="D362" s="2"/>
      <c r="E362" s="2"/>
      <c r="F362" s="2"/>
      <c r="G362" s="2"/>
      <c r="H362" s="2"/>
      <c r="I362" s="2"/>
    </row>
    <row r="363" spans="1:9" ht="15.75" customHeight="1" x14ac:dyDescent="0.2">
      <c r="A363" s="2"/>
      <c r="B363" s="2"/>
      <c r="C363" s="2"/>
      <c r="D363" s="2"/>
      <c r="E363" s="2"/>
      <c r="F363" s="2"/>
      <c r="G363" s="2"/>
      <c r="H363" s="2"/>
      <c r="I363" s="2"/>
    </row>
    <row r="364" spans="1:9" ht="15.75" customHeight="1" x14ac:dyDescent="0.2">
      <c r="A364" s="2"/>
      <c r="B364" s="2"/>
      <c r="C364" s="2"/>
      <c r="D364" s="2"/>
      <c r="E364" s="2"/>
      <c r="F364" s="2"/>
      <c r="G364" s="2"/>
      <c r="H364" s="2"/>
      <c r="I364" s="2"/>
    </row>
    <row r="365" spans="1:9" ht="15.75" customHeight="1" x14ac:dyDescent="0.2">
      <c r="A365" s="2"/>
      <c r="B365" s="2"/>
      <c r="C365" s="2"/>
      <c r="D365" s="2"/>
      <c r="E365" s="2"/>
      <c r="F365" s="2"/>
      <c r="G365" s="2"/>
      <c r="H365" s="2"/>
      <c r="I365" s="2"/>
    </row>
    <row r="366" spans="1:9" ht="15.75" customHeight="1" x14ac:dyDescent="0.2">
      <c r="A366" s="2"/>
      <c r="B366" s="2"/>
      <c r="C366" s="2"/>
      <c r="D366" s="2"/>
      <c r="E366" s="2"/>
      <c r="F366" s="2"/>
      <c r="G366" s="2"/>
      <c r="H366" s="2"/>
      <c r="I366" s="2"/>
    </row>
    <row r="367" spans="1:9" ht="15.75" customHeight="1" x14ac:dyDescent="0.2">
      <c r="A367" s="2"/>
      <c r="B367" s="2"/>
      <c r="C367" s="2"/>
      <c r="D367" s="2"/>
      <c r="E367" s="2"/>
      <c r="F367" s="2"/>
      <c r="G367" s="2"/>
      <c r="H367" s="2"/>
      <c r="I367" s="2"/>
    </row>
    <row r="368" spans="1:9" ht="15.75" customHeight="1" x14ac:dyDescent="0.2">
      <c r="A368" s="2"/>
      <c r="B368" s="2"/>
      <c r="C368" s="2"/>
      <c r="D368" s="2"/>
      <c r="E368" s="2"/>
      <c r="F368" s="2"/>
      <c r="G368" s="2"/>
      <c r="H368" s="2"/>
      <c r="I368" s="2"/>
    </row>
    <row r="369" spans="1:9" ht="15.75" customHeight="1" x14ac:dyDescent="0.2">
      <c r="A369" s="2"/>
      <c r="B369" s="2"/>
      <c r="C369" s="2"/>
      <c r="D369" s="2"/>
      <c r="E369" s="2"/>
      <c r="F369" s="2"/>
      <c r="G369" s="2"/>
      <c r="H369" s="2"/>
      <c r="I369" s="2"/>
    </row>
    <row r="370" spans="1:9" ht="15.75" customHeight="1" x14ac:dyDescent="0.2">
      <c r="A370" s="2"/>
      <c r="B370" s="2"/>
      <c r="C370" s="2"/>
      <c r="D370" s="2"/>
      <c r="E370" s="2"/>
      <c r="F370" s="2"/>
      <c r="G370" s="2"/>
      <c r="H370" s="2"/>
      <c r="I370" s="2"/>
    </row>
    <row r="371" spans="1:9" ht="15.75" customHeight="1" x14ac:dyDescent="0.2">
      <c r="A371" s="2"/>
      <c r="B371" s="2"/>
      <c r="C371" s="2"/>
      <c r="D371" s="2"/>
      <c r="E371" s="2"/>
      <c r="F371" s="2"/>
      <c r="G371" s="2"/>
      <c r="H371" s="2"/>
      <c r="I371" s="2"/>
    </row>
    <row r="372" spans="1:9" ht="15.75" customHeight="1" x14ac:dyDescent="0.2">
      <c r="A372" s="2"/>
      <c r="B372" s="2"/>
      <c r="C372" s="2"/>
      <c r="D372" s="2"/>
      <c r="E372" s="2"/>
      <c r="F372" s="2"/>
      <c r="G372" s="2"/>
      <c r="H372" s="2"/>
      <c r="I372" s="2"/>
    </row>
    <row r="373" spans="1:9" ht="15.75" customHeight="1" x14ac:dyDescent="0.2">
      <c r="A373" s="2"/>
      <c r="B373" s="2"/>
      <c r="C373" s="2"/>
      <c r="D373" s="2"/>
      <c r="E373" s="2"/>
      <c r="F373" s="2"/>
      <c r="G373" s="2"/>
      <c r="H373" s="2"/>
      <c r="I373" s="2"/>
    </row>
    <row r="374" spans="1:9" ht="15.75" customHeight="1" x14ac:dyDescent="0.2">
      <c r="A374" s="2"/>
      <c r="B374" s="2"/>
      <c r="C374" s="2"/>
      <c r="D374" s="2"/>
      <c r="E374" s="2"/>
      <c r="F374" s="2"/>
      <c r="G374" s="2"/>
      <c r="H374" s="2"/>
      <c r="I374" s="2"/>
    </row>
    <row r="375" spans="1:9" ht="15.75" customHeight="1" x14ac:dyDescent="0.2">
      <c r="A375" s="2"/>
      <c r="B375" s="2"/>
      <c r="C375" s="2"/>
      <c r="D375" s="2"/>
      <c r="E375" s="2"/>
      <c r="F375" s="2"/>
      <c r="G375" s="2"/>
      <c r="H375" s="2"/>
      <c r="I375" s="2"/>
    </row>
    <row r="376" spans="1:9" ht="15.75" customHeight="1" x14ac:dyDescent="0.2">
      <c r="A376" s="2"/>
      <c r="B376" s="2"/>
      <c r="C376" s="2"/>
      <c r="D376" s="2"/>
      <c r="E376" s="2"/>
      <c r="F376" s="2"/>
      <c r="G376" s="2"/>
      <c r="H376" s="2"/>
      <c r="I376" s="2"/>
    </row>
    <row r="377" spans="1:9" ht="15.75" customHeight="1" x14ac:dyDescent="0.2">
      <c r="A377" s="2"/>
      <c r="B377" s="2"/>
      <c r="C377" s="2"/>
      <c r="D377" s="2"/>
      <c r="E377" s="2"/>
      <c r="F377" s="2"/>
      <c r="G377" s="2"/>
      <c r="H377" s="2"/>
      <c r="I377" s="2"/>
    </row>
    <row r="378" spans="1:9" ht="15.75" customHeight="1" x14ac:dyDescent="0.2">
      <c r="A378" s="2"/>
      <c r="B378" s="2"/>
      <c r="C378" s="2"/>
      <c r="D378" s="2"/>
      <c r="E378" s="2"/>
      <c r="F378" s="2"/>
      <c r="G378" s="2"/>
      <c r="H378" s="2"/>
      <c r="I378" s="2"/>
    </row>
    <row r="379" spans="1:9" ht="15.75" customHeight="1" x14ac:dyDescent="0.2">
      <c r="A379" s="2"/>
      <c r="B379" s="2"/>
      <c r="C379" s="2"/>
      <c r="D379" s="2"/>
      <c r="E379" s="2"/>
      <c r="F379" s="2"/>
      <c r="G379" s="2"/>
      <c r="H379" s="2"/>
      <c r="I379" s="2"/>
    </row>
    <row r="380" spans="1:9" ht="15.75" customHeight="1" x14ac:dyDescent="0.2">
      <c r="A380" s="2"/>
      <c r="B380" s="2"/>
      <c r="C380" s="2"/>
      <c r="D380" s="2"/>
      <c r="E380" s="2"/>
      <c r="F380" s="2"/>
      <c r="G380" s="2"/>
      <c r="H380" s="2"/>
      <c r="I380" s="2"/>
    </row>
    <row r="381" spans="1:9" ht="15.75" customHeight="1" x14ac:dyDescent="0.2">
      <c r="A381" s="2"/>
      <c r="B381" s="2"/>
      <c r="C381" s="2"/>
      <c r="D381" s="2"/>
      <c r="E381" s="2"/>
      <c r="F381" s="2"/>
      <c r="G381" s="2"/>
      <c r="H381" s="2"/>
      <c r="I381" s="2"/>
    </row>
    <row r="382" spans="1:9" ht="15.75" customHeight="1" x14ac:dyDescent="0.2">
      <c r="A382" s="2"/>
      <c r="B382" s="2"/>
      <c r="C382" s="2"/>
      <c r="D382" s="2"/>
      <c r="E382" s="2"/>
      <c r="F382" s="2"/>
      <c r="G382" s="2"/>
      <c r="H382" s="2"/>
      <c r="I382" s="2"/>
    </row>
    <row r="383" spans="1:9" ht="15.75" customHeight="1" x14ac:dyDescent="0.2">
      <c r="A383" s="2"/>
      <c r="B383" s="2"/>
      <c r="C383" s="2"/>
      <c r="D383" s="2"/>
      <c r="E383" s="2"/>
      <c r="F383" s="2"/>
      <c r="G383" s="2"/>
      <c r="H383" s="2"/>
      <c r="I383" s="2"/>
    </row>
    <row r="384" spans="1:9" ht="15.75" customHeight="1" x14ac:dyDescent="0.2">
      <c r="A384" s="2"/>
      <c r="B384" s="2"/>
      <c r="C384" s="2"/>
      <c r="D384" s="2"/>
      <c r="E384" s="2"/>
      <c r="F384" s="2"/>
      <c r="G384" s="2"/>
      <c r="H384" s="2"/>
      <c r="I384" s="2"/>
    </row>
    <row r="385" spans="1:9" ht="15.75" customHeight="1" x14ac:dyDescent="0.2">
      <c r="A385" s="2"/>
      <c r="B385" s="2"/>
      <c r="C385" s="2"/>
      <c r="D385" s="2"/>
      <c r="E385" s="2"/>
      <c r="F385" s="2"/>
      <c r="G385" s="2"/>
      <c r="H385" s="2"/>
      <c r="I385" s="2"/>
    </row>
    <row r="386" spans="1:9" ht="15.75" customHeight="1" x14ac:dyDescent="0.2">
      <c r="A386" s="2"/>
      <c r="B386" s="2"/>
      <c r="C386" s="2"/>
      <c r="D386" s="2"/>
      <c r="E386" s="2"/>
      <c r="F386" s="2"/>
      <c r="G386" s="2"/>
      <c r="H386" s="2"/>
      <c r="I386" s="2"/>
    </row>
    <row r="387" spans="1:9" ht="15.75" customHeight="1" x14ac:dyDescent="0.2">
      <c r="A387" s="2"/>
      <c r="B387" s="2"/>
      <c r="C387" s="2"/>
      <c r="D387" s="2"/>
      <c r="E387" s="2"/>
      <c r="F387" s="2"/>
      <c r="G387" s="2"/>
      <c r="H387" s="2"/>
      <c r="I387" s="2"/>
    </row>
    <row r="388" spans="1:9" ht="15.75" customHeight="1" x14ac:dyDescent="0.2">
      <c r="A388" s="2"/>
      <c r="B388" s="2"/>
      <c r="C388" s="2"/>
      <c r="D388" s="2"/>
      <c r="E388" s="2"/>
      <c r="F388" s="2"/>
      <c r="G388" s="2"/>
      <c r="H388" s="2"/>
      <c r="I388" s="2"/>
    </row>
    <row r="389" spans="1:9" ht="15.75" customHeight="1" x14ac:dyDescent="0.2">
      <c r="A389" s="2"/>
      <c r="B389" s="2"/>
      <c r="C389" s="2"/>
      <c r="D389" s="2"/>
      <c r="E389" s="2"/>
      <c r="F389" s="2"/>
      <c r="G389" s="2"/>
      <c r="H389" s="2"/>
      <c r="I389" s="2"/>
    </row>
    <row r="390" spans="1:9" ht="15.75" customHeight="1" x14ac:dyDescent="0.2">
      <c r="A390" s="2"/>
      <c r="B390" s="2"/>
      <c r="C390" s="2"/>
      <c r="D390" s="2"/>
      <c r="E390" s="2"/>
      <c r="F390" s="2"/>
      <c r="G390" s="2"/>
      <c r="H390" s="2"/>
      <c r="I390" s="2"/>
    </row>
    <row r="391" spans="1:9" ht="15.75" customHeight="1" x14ac:dyDescent="0.2">
      <c r="A391" s="2"/>
      <c r="B391" s="2"/>
      <c r="C391" s="2"/>
      <c r="D391" s="2"/>
      <c r="E391" s="2"/>
      <c r="F391" s="2"/>
      <c r="G391" s="2"/>
      <c r="H391" s="2"/>
      <c r="I391" s="2"/>
    </row>
    <row r="392" spans="1:9" ht="15.75" customHeight="1" x14ac:dyDescent="0.2">
      <c r="A392" s="2"/>
      <c r="B392" s="2"/>
      <c r="C392" s="2"/>
      <c r="D392" s="2"/>
      <c r="E392" s="2"/>
      <c r="F392" s="2"/>
      <c r="G392" s="2"/>
      <c r="H392" s="2"/>
      <c r="I392" s="2"/>
    </row>
    <row r="393" spans="1:9" ht="15.75" customHeight="1" x14ac:dyDescent="0.2">
      <c r="A393" s="2"/>
      <c r="B393" s="2"/>
      <c r="C393" s="2"/>
      <c r="D393" s="2"/>
      <c r="E393" s="2"/>
      <c r="F393" s="2"/>
      <c r="G393" s="2"/>
      <c r="H393" s="2"/>
      <c r="I393" s="2"/>
    </row>
    <row r="394" spans="1:9" ht="15.75" customHeight="1" x14ac:dyDescent="0.2">
      <c r="A394" s="2"/>
      <c r="B394" s="2"/>
      <c r="C394" s="2"/>
      <c r="D394" s="2"/>
      <c r="E394" s="2"/>
      <c r="F394" s="2"/>
      <c r="G394" s="2"/>
      <c r="H394" s="2"/>
      <c r="I394" s="2"/>
    </row>
    <row r="395" spans="1:9" ht="15.75" customHeight="1" x14ac:dyDescent="0.2">
      <c r="A395" s="2"/>
      <c r="B395" s="2"/>
      <c r="C395" s="2"/>
      <c r="D395" s="2"/>
      <c r="E395" s="2"/>
      <c r="F395" s="2"/>
      <c r="G395" s="2"/>
      <c r="H395" s="2"/>
      <c r="I395" s="2"/>
    </row>
    <row r="396" spans="1:9" ht="15.75" customHeight="1" x14ac:dyDescent="0.2">
      <c r="A396" s="2"/>
      <c r="B396" s="2"/>
      <c r="C396" s="2"/>
      <c r="D396" s="2"/>
      <c r="E396" s="2"/>
      <c r="F396" s="2"/>
      <c r="G396" s="2"/>
      <c r="H396" s="2"/>
      <c r="I396" s="2"/>
    </row>
    <row r="397" spans="1:9" ht="15.75" customHeight="1" x14ac:dyDescent="0.2">
      <c r="A397" s="2"/>
      <c r="B397" s="2"/>
      <c r="C397" s="2"/>
      <c r="D397" s="2"/>
      <c r="E397" s="2"/>
      <c r="F397" s="2"/>
      <c r="G397" s="2"/>
      <c r="H397" s="2"/>
      <c r="I397" s="2"/>
    </row>
    <row r="398" spans="1:9" ht="15.75" customHeight="1" x14ac:dyDescent="0.2">
      <c r="A398" s="2"/>
      <c r="B398" s="2"/>
      <c r="C398" s="2"/>
      <c r="D398" s="2"/>
      <c r="E398" s="2"/>
      <c r="F398" s="2"/>
      <c r="G398" s="2"/>
      <c r="H398" s="2"/>
      <c r="I398" s="2"/>
    </row>
    <row r="399" spans="1:9" ht="15.75" customHeight="1" x14ac:dyDescent="0.2">
      <c r="A399" s="2"/>
      <c r="B399" s="2"/>
      <c r="C399" s="2"/>
      <c r="D399" s="2"/>
      <c r="E399" s="2"/>
      <c r="F399" s="2"/>
      <c r="G399" s="2"/>
      <c r="H399" s="2"/>
      <c r="I399" s="2"/>
    </row>
    <row r="400" spans="1:9" ht="15.75" customHeight="1" x14ac:dyDescent="0.2">
      <c r="A400" s="2"/>
      <c r="B400" s="2"/>
      <c r="C400" s="2"/>
      <c r="D400" s="2"/>
      <c r="E400" s="2"/>
      <c r="F400" s="2"/>
      <c r="G400" s="2"/>
      <c r="H400" s="2"/>
      <c r="I400" s="2"/>
    </row>
    <row r="401" spans="1:9" ht="15.75" customHeight="1" x14ac:dyDescent="0.2">
      <c r="A401" s="2"/>
      <c r="B401" s="2"/>
      <c r="C401" s="2"/>
      <c r="D401" s="2"/>
      <c r="E401" s="2"/>
      <c r="F401" s="2"/>
      <c r="G401" s="2"/>
      <c r="H401" s="2"/>
      <c r="I401" s="2"/>
    </row>
    <row r="402" spans="1:9" ht="15.75" customHeight="1" x14ac:dyDescent="0.2">
      <c r="A402" s="2"/>
      <c r="B402" s="2"/>
      <c r="C402" s="2"/>
      <c r="D402" s="2"/>
      <c r="E402" s="2"/>
      <c r="F402" s="2"/>
      <c r="G402" s="2"/>
      <c r="H402" s="2"/>
      <c r="I402" s="2"/>
    </row>
    <row r="403" spans="1:9" ht="15.75" customHeight="1" x14ac:dyDescent="0.2">
      <c r="A403" s="2"/>
      <c r="B403" s="2"/>
      <c r="C403" s="2"/>
      <c r="D403" s="2"/>
      <c r="E403" s="2"/>
      <c r="F403" s="2"/>
      <c r="G403" s="2"/>
      <c r="H403" s="2"/>
      <c r="I403" s="2"/>
    </row>
    <row r="404" spans="1:9" ht="15.75" customHeight="1" x14ac:dyDescent="0.2">
      <c r="A404" s="2"/>
      <c r="B404" s="2"/>
      <c r="C404" s="2"/>
      <c r="D404" s="2"/>
      <c r="E404" s="2"/>
      <c r="F404" s="2"/>
      <c r="G404" s="2"/>
      <c r="H404" s="2"/>
      <c r="I404" s="2"/>
    </row>
    <row r="405" spans="1:9" ht="15.75" customHeight="1" x14ac:dyDescent="0.2">
      <c r="A405" s="2"/>
      <c r="B405" s="2"/>
      <c r="C405" s="2"/>
      <c r="D405" s="2"/>
      <c r="E405" s="2"/>
      <c r="F405" s="2"/>
      <c r="G405" s="2"/>
      <c r="H405" s="2"/>
      <c r="I405" s="2"/>
    </row>
    <row r="406" spans="1:9" ht="15.75" customHeight="1" x14ac:dyDescent="0.2">
      <c r="A406" s="2"/>
      <c r="B406" s="2"/>
      <c r="C406" s="2"/>
      <c r="D406" s="2"/>
      <c r="E406" s="2"/>
      <c r="F406" s="2"/>
      <c r="G406" s="2"/>
      <c r="H406" s="2"/>
      <c r="I406" s="2"/>
    </row>
    <row r="407" spans="1:9" ht="15.75" customHeight="1" x14ac:dyDescent="0.2">
      <c r="A407" s="2"/>
      <c r="B407" s="2"/>
      <c r="C407" s="2"/>
      <c r="D407" s="2"/>
      <c r="E407" s="2"/>
      <c r="F407" s="2"/>
      <c r="G407" s="2"/>
      <c r="H407" s="2"/>
      <c r="I407" s="2"/>
    </row>
    <row r="408" spans="1:9" ht="15.75" customHeight="1" x14ac:dyDescent="0.2">
      <c r="A408" s="2"/>
      <c r="B408" s="2"/>
      <c r="C408" s="2"/>
      <c r="D408" s="2"/>
      <c r="E408" s="2"/>
      <c r="F408" s="2"/>
      <c r="G408" s="2"/>
      <c r="H408" s="2"/>
      <c r="I408" s="2"/>
    </row>
    <row r="409" spans="1:9" ht="15.75" customHeight="1" x14ac:dyDescent="0.2">
      <c r="A409" s="2"/>
      <c r="B409" s="2"/>
      <c r="C409" s="2"/>
      <c r="D409" s="2"/>
      <c r="E409" s="2"/>
      <c r="F409" s="2"/>
      <c r="G409" s="2"/>
      <c r="H409" s="2"/>
      <c r="I409" s="2"/>
    </row>
    <row r="410" spans="1:9" ht="15.75" customHeight="1" x14ac:dyDescent="0.2">
      <c r="A410" s="2"/>
      <c r="B410" s="2"/>
      <c r="C410" s="2"/>
      <c r="D410" s="2"/>
      <c r="E410" s="2"/>
      <c r="F410" s="2"/>
      <c r="G410" s="2"/>
      <c r="H410" s="2"/>
      <c r="I410" s="2"/>
    </row>
    <row r="411" spans="1:9" ht="15.75" customHeight="1" x14ac:dyDescent="0.2">
      <c r="A411" s="2"/>
      <c r="B411" s="2"/>
      <c r="C411" s="2"/>
      <c r="D411" s="2"/>
      <c r="E411" s="2"/>
      <c r="F411" s="2"/>
      <c r="G411" s="2"/>
      <c r="H411" s="2"/>
      <c r="I411" s="2"/>
    </row>
    <row r="412" spans="1:9" ht="15.75" customHeight="1" x14ac:dyDescent="0.2">
      <c r="A412" s="2"/>
      <c r="B412" s="2"/>
      <c r="C412" s="2"/>
      <c r="D412" s="2"/>
      <c r="E412" s="2"/>
      <c r="F412" s="2"/>
      <c r="G412" s="2"/>
      <c r="H412" s="2"/>
      <c r="I412" s="2"/>
    </row>
    <row r="413" spans="1:9" ht="15.75" customHeight="1" x14ac:dyDescent="0.2">
      <c r="A413" s="2"/>
      <c r="B413" s="2"/>
      <c r="C413" s="2"/>
      <c r="D413" s="2"/>
      <c r="E413" s="2"/>
      <c r="F413" s="2"/>
      <c r="G413" s="2"/>
      <c r="H413" s="2"/>
      <c r="I413" s="2"/>
    </row>
    <row r="414" spans="1:9" ht="15.75" customHeight="1" x14ac:dyDescent="0.2">
      <c r="A414" s="2"/>
      <c r="B414" s="2"/>
      <c r="C414" s="2"/>
      <c r="D414" s="2"/>
      <c r="E414" s="2"/>
      <c r="F414" s="2"/>
      <c r="G414" s="2"/>
      <c r="H414" s="2"/>
      <c r="I414" s="2"/>
    </row>
    <row r="415" spans="1:9" ht="15.75" customHeight="1" x14ac:dyDescent="0.2">
      <c r="A415" s="2"/>
      <c r="B415" s="2"/>
      <c r="C415" s="2"/>
      <c r="D415" s="2"/>
      <c r="E415" s="2"/>
      <c r="F415" s="2"/>
      <c r="G415" s="2"/>
      <c r="H415" s="2"/>
      <c r="I415" s="2"/>
    </row>
    <row r="416" spans="1:9" ht="15.75" customHeight="1" x14ac:dyDescent="0.2">
      <c r="A416" s="2"/>
      <c r="B416" s="2"/>
      <c r="C416" s="2"/>
      <c r="D416" s="2"/>
      <c r="E416" s="2"/>
      <c r="F416" s="2"/>
      <c r="G416" s="2"/>
      <c r="H416" s="2"/>
      <c r="I416" s="2"/>
    </row>
    <row r="417" spans="1:9" ht="15.75" customHeight="1" x14ac:dyDescent="0.2">
      <c r="A417" s="2"/>
      <c r="B417" s="2"/>
      <c r="C417" s="2"/>
      <c r="D417" s="2"/>
      <c r="E417" s="2"/>
      <c r="F417" s="2"/>
      <c r="G417" s="2"/>
      <c r="H417" s="2"/>
      <c r="I417" s="2"/>
    </row>
    <row r="418" spans="1:9" ht="15.75" customHeight="1" x14ac:dyDescent="0.2">
      <c r="A418" s="2"/>
      <c r="B418" s="2"/>
      <c r="C418" s="2"/>
      <c r="D418" s="2"/>
      <c r="E418" s="2"/>
      <c r="F418" s="2"/>
      <c r="G418" s="2"/>
      <c r="H418" s="2"/>
      <c r="I418" s="2"/>
    </row>
    <row r="419" spans="1:9" ht="15.75" customHeight="1" x14ac:dyDescent="0.2">
      <c r="A419" s="2"/>
      <c r="B419" s="2"/>
      <c r="C419" s="2"/>
      <c r="D419" s="2"/>
      <c r="E419" s="2"/>
      <c r="F419" s="2"/>
      <c r="G419" s="2"/>
      <c r="H419" s="2"/>
      <c r="I419" s="2"/>
    </row>
    <row r="420" spans="1:9" ht="15.75" customHeight="1" x14ac:dyDescent="0.2">
      <c r="A420" s="2"/>
      <c r="B420" s="2"/>
      <c r="C420" s="2"/>
      <c r="D420" s="2"/>
      <c r="E420" s="2"/>
      <c r="F420" s="2"/>
      <c r="G420" s="2"/>
      <c r="H420" s="2"/>
      <c r="I420" s="2"/>
    </row>
    <row r="421" spans="1:9" ht="15.75" customHeight="1" x14ac:dyDescent="0.2">
      <c r="A421" s="2"/>
      <c r="B421" s="2"/>
      <c r="C421" s="2"/>
      <c r="D421" s="2"/>
      <c r="E421" s="2"/>
      <c r="F421" s="2"/>
      <c r="G421" s="2"/>
      <c r="H421" s="2"/>
      <c r="I421" s="2"/>
    </row>
    <row r="422" spans="1:9" ht="15.75" customHeight="1" x14ac:dyDescent="0.2">
      <c r="A422" s="2"/>
      <c r="B422" s="2"/>
      <c r="C422" s="2"/>
      <c r="D422" s="2"/>
      <c r="E422" s="2"/>
      <c r="F422" s="2"/>
      <c r="G422" s="2"/>
      <c r="H422" s="2"/>
      <c r="I422" s="2"/>
    </row>
    <row r="423" spans="1:9" ht="15.75" customHeight="1" x14ac:dyDescent="0.2">
      <c r="A423" s="2"/>
      <c r="B423" s="2"/>
      <c r="C423" s="2"/>
      <c r="D423" s="2"/>
      <c r="E423" s="2"/>
      <c r="F423" s="2"/>
      <c r="G423" s="2"/>
      <c r="H423" s="2"/>
      <c r="I423" s="2"/>
    </row>
    <row r="424" spans="1:9" ht="15.75" customHeight="1" x14ac:dyDescent="0.2">
      <c r="A424" s="2"/>
      <c r="B424" s="2"/>
      <c r="C424" s="2"/>
      <c r="D424" s="2"/>
      <c r="E424" s="2"/>
      <c r="F424" s="2"/>
      <c r="G424" s="2"/>
      <c r="H424" s="2"/>
      <c r="I424" s="2"/>
    </row>
    <row r="425" spans="1:9" ht="15.75" customHeight="1" x14ac:dyDescent="0.2">
      <c r="A425" s="2"/>
      <c r="B425" s="2"/>
      <c r="C425" s="2"/>
      <c r="D425" s="2"/>
      <c r="E425" s="2"/>
      <c r="F425" s="2"/>
      <c r="G425" s="2"/>
      <c r="H425" s="2"/>
      <c r="I425" s="2"/>
    </row>
    <row r="426" spans="1:9" ht="15.75" customHeight="1" x14ac:dyDescent="0.2">
      <c r="A426" s="2"/>
      <c r="B426" s="2"/>
      <c r="C426" s="2"/>
      <c r="D426" s="2"/>
      <c r="E426" s="2"/>
      <c r="F426" s="2"/>
      <c r="G426" s="2"/>
      <c r="H426" s="2"/>
      <c r="I426" s="2"/>
    </row>
    <row r="427" spans="1:9" ht="15.75" customHeight="1" x14ac:dyDescent="0.2">
      <c r="A427" s="2"/>
      <c r="B427" s="2"/>
      <c r="C427" s="2"/>
      <c r="D427" s="2"/>
      <c r="E427" s="2"/>
      <c r="F427" s="2"/>
      <c r="G427" s="2"/>
      <c r="H427" s="2"/>
      <c r="I427" s="2"/>
    </row>
    <row r="428" spans="1:9" ht="15.75" customHeight="1" x14ac:dyDescent="0.2">
      <c r="A428" s="2"/>
      <c r="B428" s="2"/>
      <c r="C428" s="2"/>
      <c r="D428" s="2"/>
      <c r="E428" s="2"/>
      <c r="F428" s="2"/>
      <c r="G428" s="2"/>
      <c r="H428" s="2"/>
      <c r="I428" s="2"/>
    </row>
    <row r="429" spans="1:9" ht="15.75" customHeight="1" x14ac:dyDescent="0.2">
      <c r="A429" s="2"/>
      <c r="B429" s="2"/>
      <c r="C429" s="2"/>
      <c r="D429" s="2"/>
      <c r="E429" s="2"/>
      <c r="F429" s="2"/>
      <c r="G429" s="2"/>
      <c r="H429" s="2"/>
      <c r="I429" s="2"/>
    </row>
    <row r="430" spans="1:9" ht="15.75" customHeight="1" x14ac:dyDescent="0.2">
      <c r="A430" s="2"/>
      <c r="B430" s="2"/>
      <c r="C430" s="2"/>
      <c r="D430" s="2"/>
      <c r="E430" s="2"/>
      <c r="F430" s="2"/>
      <c r="G430" s="2"/>
      <c r="H430" s="2"/>
      <c r="I430" s="2"/>
    </row>
    <row r="431" spans="1:9" ht="15.75" customHeight="1" x14ac:dyDescent="0.2">
      <c r="A431" s="2"/>
      <c r="B431" s="2"/>
      <c r="C431" s="2"/>
      <c r="D431" s="2"/>
      <c r="E431" s="2"/>
      <c r="F431" s="2"/>
      <c r="G431" s="2"/>
      <c r="H431" s="2"/>
      <c r="I431" s="2"/>
    </row>
    <row r="432" spans="1:9" ht="15.75" customHeight="1" x14ac:dyDescent="0.2">
      <c r="A432" s="2"/>
      <c r="B432" s="2"/>
      <c r="C432" s="2"/>
      <c r="D432" s="2"/>
      <c r="E432" s="2"/>
      <c r="F432" s="2"/>
      <c r="G432" s="2"/>
      <c r="H432" s="2"/>
      <c r="I432" s="2"/>
    </row>
    <row r="433" spans="1:9" ht="15.75" customHeight="1" x14ac:dyDescent="0.2">
      <c r="A433" s="2"/>
      <c r="B433" s="2"/>
      <c r="C433" s="2"/>
      <c r="D433" s="2"/>
      <c r="E433" s="2"/>
      <c r="F433" s="2"/>
      <c r="G433" s="2"/>
      <c r="H433" s="2"/>
      <c r="I433" s="2"/>
    </row>
    <row r="434" spans="1:9" ht="15.75" customHeight="1" x14ac:dyDescent="0.2">
      <c r="A434" s="2"/>
      <c r="B434" s="2"/>
      <c r="C434" s="2"/>
      <c r="D434" s="2"/>
      <c r="E434" s="2"/>
      <c r="F434" s="2"/>
      <c r="G434" s="2"/>
      <c r="H434" s="2"/>
      <c r="I434" s="2"/>
    </row>
    <row r="435" spans="1:9" ht="15.75" customHeight="1" x14ac:dyDescent="0.2">
      <c r="A435" s="2"/>
      <c r="B435" s="2"/>
      <c r="C435" s="2"/>
      <c r="D435" s="2"/>
      <c r="E435" s="2"/>
      <c r="F435" s="2"/>
      <c r="G435" s="2"/>
      <c r="H435" s="2"/>
      <c r="I435" s="2"/>
    </row>
    <row r="436" spans="1:9" ht="15.75" customHeight="1" x14ac:dyDescent="0.2">
      <c r="A436" s="2"/>
      <c r="B436" s="2"/>
      <c r="C436" s="2"/>
      <c r="D436" s="2"/>
      <c r="E436" s="2"/>
      <c r="F436" s="2"/>
      <c r="G436" s="2"/>
      <c r="H436" s="2"/>
      <c r="I436" s="2"/>
    </row>
    <row r="437" spans="1:9" ht="15.75" customHeight="1" x14ac:dyDescent="0.2">
      <c r="A437" s="2"/>
      <c r="B437" s="2"/>
      <c r="C437" s="2"/>
      <c r="D437" s="2"/>
      <c r="E437" s="2"/>
      <c r="F437" s="2"/>
      <c r="G437" s="2"/>
      <c r="H437" s="2"/>
      <c r="I437" s="2"/>
    </row>
    <row r="438" spans="1:9" ht="15.75" customHeight="1" x14ac:dyDescent="0.2">
      <c r="A438" s="2"/>
      <c r="B438" s="2"/>
      <c r="C438" s="2"/>
      <c r="D438" s="2"/>
      <c r="E438" s="2"/>
      <c r="F438" s="2"/>
      <c r="G438" s="2"/>
      <c r="H438" s="2"/>
      <c r="I438" s="2"/>
    </row>
    <row r="439" spans="1:9" ht="15.75" customHeight="1" x14ac:dyDescent="0.2">
      <c r="A439" s="2"/>
      <c r="B439" s="2"/>
      <c r="C439" s="2"/>
      <c r="D439" s="2"/>
      <c r="E439" s="2"/>
      <c r="F439" s="2"/>
      <c r="G439" s="2"/>
      <c r="H439" s="2"/>
      <c r="I439" s="2"/>
    </row>
    <row r="440" spans="1:9" ht="15.75" customHeight="1" x14ac:dyDescent="0.2">
      <c r="A440" s="2"/>
      <c r="B440" s="2"/>
      <c r="C440" s="2"/>
      <c r="D440" s="2"/>
      <c r="E440" s="2"/>
      <c r="F440" s="2"/>
      <c r="G440" s="2"/>
      <c r="H440" s="2"/>
      <c r="I440" s="2"/>
    </row>
    <row r="441" spans="1:9" ht="15.75" customHeight="1" x14ac:dyDescent="0.2">
      <c r="A441" s="2"/>
      <c r="B441" s="2"/>
      <c r="C441" s="2"/>
      <c r="D441" s="2"/>
      <c r="E441" s="2"/>
      <c r="F441" s="2"/>
      <c r="G441" s="2"/>
      <c r="H441" s="2"/>
      <c r="I441" s="2"/>
    </row>
    <row r="442" spans="1:9" ht="15.75" customHeight="1" x14ac:dyDescent="0.2">
      <c r="A442" s="2"/>
      <c r="B442" s="2"/>
      <c r="C442" s="2"/>
      <c r="D442" s="2"/>
      <c r="E442" s="2"/>
      <c r="F442" s="2"/>
      <c r="G442" s="2"/>
      <c r="H442" s="2"/>
      <c r="I442" s="2"/>
    </row>
    <row r="443" spans="1:9" ht="15.75" customHeight="1" x14ac:dyDescent="0.2">
      <c r="A443" s="2"/>
      <c r="B443" s="2"/>
      <c r="C443" s="2"/>
      <c r="D443" s="2"/>
      <c r="E443" s="2"/>
      <c r="F443" s="2"/>
      <c r="G443" s="2"/>
      <c r="H443" s="2"/>
      <c r="I443" s="2"/>
    </row>
    <row r="444" spans="1:9" ht="15.75" customHeight="1" x14ac:dyDescent="0.2">
      <c r="A444" s="2"/>
      <c r="B444" s="2"/>
      <c r="C444" s="2"/>
      <c r="D444" s="2"/>
      <c r="E444" s="2"/>
      <c r="F444" s="2"/>
      <c r="G444" s="2"/>
      <c r="H444" s="2"/>
      <c r="I444" s="2"/>
    </row>
    <row r="445" spans="1:9" ht="15.75" customHeight="1" x14ac:dyDescent="0.2">
      <c r="A445" s="2"/>
      <c r="B445" s="2"/>
      <c r="C445" s="2"/>
      <c r="D445" s="2"/>
      <c r="E445" s="2"/>
      <c r="F445" s="2"/>
      <c r="G445" s="2"/>
      <c r="H445" s="2"/>
      <c r="I445" s="2"/>
    </row>
    <row r="446" spans="1:9" ht="15.75" customHeight="1" x14ac:dyDescent="0.2">
      <c r="A446" s="2"/>
      <c r="B446" s="2"/>
      <c r="C446" s="2"/>
      <c r="D446" s="2"/>
      <c r="E446" s="2"/>
      <c r="F446" s="2"/>
      <c r="G446" s="2"/>
      <c r="H446" s="2"/>
      <c r="I446" s="2"/>
    </row>
    <row r="447" spans="1:9" ht="15.75" customHeight="1" x14ac:dyDescent="0.2">
      <c r="A447" s="2"/>
      <c r="B447" s="2"/>
      <c r="C447" s="2"/>
      <c r="D447" s="2"/>
      <c r="E447" s="2"/>
      <c r="F447" s="2"/>
      <c r="G447" s="2"/>
      <c r="H447" s="2"/>
      <c r="I447" s="2"/>
    </row>
    <row r="448" spans="1:9" ht="15.75" customHeight="1" x14ac:dyDescent="0.2">
      <c r="A448" s="2"/>
      <c r="B448" s="2"/>
      <c r="C448" s="2"/>
      <c r="D448" s="2"/>
      <c r="E448" s="2"/>
      <c r="F448" s="2"/>
      <c r="G448" s="2"/>
      <c r="H448" s="2"/>
      <c r="I448" s="2"/>
    </row>
    <row r="449" spans="1:9" ht="15.75" customHeight="1" x14ac:dyDescent="0.2">
      <c r="A449" s="2"/>
      <c r="B449" s="2"/>
      <c r="C449" s="2"/>
      <c r="D449" s="2"/>
      <c r="E449" s="2"/>
      <c r="F449" s="2"/>
      <c r="G449" s="2"/>
      <c r="H449" s="2"/>
      <c r="I449" s="2"/>
    </row>
    <row r="450" spans="1:9" ht="15.75" customHeight="1" x14ac:dyDescent="0.2">
      <c r="A450" s="2"/>
      <c r="B450" s="2"/>
      <c r="C450" s="2"/>
      <c r="D450" s="2"/>
      <c r="E450" s="2"/>
      <c r="F450" s="2"/>
      <c r="G450" s="2"/>
      <c r="H450" s="2"/>
      <c r="I450" s="2"/>
    </row>
    <row r="451" spans="1:9" ht="15.75" customHeight="1" x14ac:dyDescent="0.2">
      <c r="A451" s="2"/>
      <c r="B451" s="2"/>
      <c r="C451" s="2"/>
      <c r="D451" s="2"/>
      <c r="E451" s="2"/>
      <c r="F451" s="2"/>
      <c r="G451" s="2"/>
      <c r="H451" s="2"/>
      <c r="I451" s="2"/>
    </row>
    <row r="452" spans="1:9" ht="15.75" customHeight="1" x14ac:dyDescent="0.2">
      <c r="A452" s="2"/>
      <c r="B452" s="2"/>
      <c r="C452" s="2"/>
      <c r="D452" s="2"/>
      <c r="E452" s="2"/>
      <c r="F452" s="2"/>
      <c r="G452" s="2"/>
      <c r="H452" s="2"/>
      <c r="I452" s="2"/>
    </row>
    <row r="453" spans="1:9" ht="15.75" customHeight="1" x14ac:dyDescent="0.2">
      <c r="A453" s="2"/>
      <c r="B453" s="2"/>
      <c r="C453" s="2"/>
      <c r="D453" s="2"/>
      <c r="E453" s="2"/>
      <c r="F453" s="2"/>
      <c r="G453" s="2"/>
      <c r="H453" s="2"/>
      <c r="I453" s="2"/>
    </row>
    <row r="454" spans="1:9" ht="15.75" customHeight="1" x14ac:dyDescent="0.2">
      <c r="A454" s="2"/>
      <c r="B454" s="2"/>
      <c r="C454" s="2"/>
      <c r="D454" s="2"/>
      <c r="E454" s="2"/>
      <c r="F454" s="2"/>
      <c r="G454" s="2"/>
      <c r="H454" s="2"/>
      <c r="I454" s="2"/>
    </row>
    <row r="455" spans="1:9" ht="15.75" customHeight="1" x14ac:dyDescent="0.2">
      <c r="A455" s="2"/>
      <c r="B455" s="2"/>
      <c r="C455" s="2"/>
      <c r="D455" s="2"/>
      <c r="E455" s="2"/>
      <c r="F455" s="2"/>
      <c r="G455" s="2"/>
      <c r="H455" s="2"/>
      <c r="I455" s="2"/>
    </row>
    <row r="456" spans="1:9" ht="15.75" customHeight="1" x14ac:dyDescent="0.2">
      <c r="A456" s="2"/>
      <c r="B456" s="2"/>
      <c r="C456" s="2"/>
      <c r="D456" s="2"/>
      <c r="E456" s="2"/>
      <c r="F456" s="2"/>
      <c r="G456" s="2"/>
      <c r="H456" s="2"/>
      <c r="I456" s="2"/>
    </row>
    <row r="457" spans="1:9" ht="15.75" customHeight="1" x14ac:dyDescent="0.2">
      <c r="A457" s="2"/>
      <c r="B457" s="2"/>
      <c r="C457" s="2"/>
      <c r="D457" s="2"/>
      <c r="E457" s="2"/>
      <c r="F457" s="2"/>
      <c r="G457" s="2"/>
      <c r="H457" s="2"/>
      <c r="I457" s="2"/>
    </row>
    <row r="458" spans="1:9" ht="15.75" customHeight="1" x14ac:dyDescent="0.2">
      <c r="A458" s="2"/>
      <c r="B458" s="2"/>
      <c r="C458" s="2"/>
      <c r="D458" s="2"/>
      <c r="E458" s="2"/>
      <c r="F458" s="2"/>
      <c r="G458" s="2"/>
      <c r="H458" s="2"/>
      <c r="I458" s="2"/>
    </row>
    <row r="459" spans="1:9" ht="15.75" customHeight="1" x14ac:dyDescent="0.2">
      <c r="A459" s="2"/>
      <c r="B459" s="2"/>
      <c r="C459" s="2"/>
      <c r="D459" s="2"/>
      <c r="E459" s="2"/>
      <c r="F459" s="2"/>
      <c r="G459" s="2"/>
      <c r="H459" s="2"/>
      <c r="I459" s="2"/>
    </row>
    <row r="460" spans="1:9" ht="15.75" customHeight="1" x14ac:dyDescent="0.2">
      <c r="A460" s="2"/>
      <c r="B460" s="2"/>
      <c r="C460" s="2"/>
      <c r="D460" s="2"/>
      <c r="E460" s="2"/>
      <c r="F460" s="2"/>
      <c r="G460" s="2"/>
      <c r="H460" s="2"/>
      <c r="I460" s="2"/>
    </row>
    <row r="461" spans="1:9" ht="15.75" customHeight="1" x14ac:dyDescent="0.2">
      <c r="A461" s="2"/>
      <c r="B461" s="2"/>
      <c r="C461" s="2"/>
      <c r="D461" s="2"/>
      <c r="E461" s="2"/>
      <c r="F461" s="2"/>
      <c r="G461" s="2"/>
      <c r="H461" s="2"/>
      <c r="I461" s="2"/>
    </row>
    <row r="462" spans="1:9" ht="15.75" customHeight="1" x14ac:dyDescent="0.2">
      <c r="A462" s="2"/>
      <c r="B462" s="2"/>
      <c r="C462" s="2"/>
      <c r="D462" s="2"/>
      <c r="E462" s="2"/>
      <c r="F462" s="2"/>
      <c r="G462" s="2"/>
      <c r="H462" s="2"/>
      <c r="I462" s="2"/>
    </row>
    <row r="463" spans="1:9" ht="15.75" customHeight="1" x14ac:dyDescent="0.2">
      <c r="A463" s="2"/>
      <c r="B463" s="2"/>
      <c r="C463" s="2"/>
      <c r="D463" s="2"/>
      <c r="E463" s="2"/>
      <c r="F463" s="2"/>
      <c r="G463" s="2"/>
      <c r="H463" s="2"/>
      <c r="I463" s="2"/>
    </row>
    <row r="464" spans="1:9" ht="15.75" customHeight="1" x14ac:dyDescent="0.2">
      <c r="A464" s="2"/>
      <c r="B464" s="2"/>
      <c r="C464" s="2"/>
      <c r="D464" s="2"/>
      <c r="E464" s="2"/>
      <c r="F464" s="2"/>
      <c r="G464" s="2"/>
      <c r="H464" s="2"/>
      <c r="I464" s="2"/>
    </row>
    <row r="465" spans="1:9" ht="15.75" customHeight="1" x14ac:dyDescent="0.2">
      <c r="A465" s="2"/>
      <c r="B465" s="2"/>
      <c r="C465" s="2"/>
      <c r="D465" s="2"/>
      <c r="E465" s="2"/>
      <c r="F465" s="2"/>
      <c r="G465" s="2"/>
      <c r="H465" s="2"/>
      <c r="I465" s="2"/>
    </row>
    <row r="466" spans="1:9" ht="15.75" customHeight="1" x14ac:dyDescent="0.2">
      <c r="A466" s="2"/>
      <c r="B466" s="2"/>
      <c r="C466" s="2"/>
      <c r="D466" s="2"/>
      <c r="E466" s="2"/>
      <c r="F466" s="2"/>
      <c r="G466" s="2"/>
      <c r="H466" s="2"/>
      <c r="I466" s="2"/>
    </row>
    <row r="467" spans="1:9" ht="15.75" customHeight="1" x14ac:dyDescent="0.2">
      <c r="A467" s="2"/>
      <c r="B467" s="2"/>
      <c r="C467" s="2"/>
      <c r="D467" s="2"/>
      <c r="E467" s="2"/>
      <c r="F467" s="2"/>
      <c r="G467" s="2"/>
      <c r="H467" s="2"/>
      <c r="I467" s="2"/>
    </row>
    <row r="468" spans="1:9" ht="15.75" customHeight="1" x14ac:dyDescent="0.2">
      <c r="A468" s="2"/>
      <c r="B468" s="2"/>
      <c r="C468" s="2"/>
      <c r="D468" s="2"/>
      <c r="E468" s="2"/>
      <c r="F468" s="2"/>
      <c r="G468" s="2"/>
      <c r="H468" s="2"/>
      <c r="I468" s="2"/>
    </row>
    <row r="469" spans="1:9" ht="15.75" customHeight="1" x14ac:dyDescent="0.2">
      <c r="A469" s="2"/>
      <c r="B469" s="2"/>
      <c r="C469" s="2"/>
      <c r="D469" s="2"/>
      <c r="E469" s="2"/>
      <c r="F469" s="2"/>
      <c r="G469" s="2"/>
      <c r="H469" s="2"/>
      <c r="I469" s="2"/>
    </row>
    <row r="470" spans="1:9" ht="15.75" customHeight="1" x14ac:dyDescent="0.2">
      <c r="A470" s="2"/>
      <c r="B470" s="2"/>
      <c r="C470" s="2"/>
      <c r="D470" s="2"/>
      <c r="E470" s="2"/>
      <c r="F470" s="2"/>
      <c r="G470" s="2"/>
      <c r="H470" s="2"/>
      <c r="I470" s="2"/>
    </row>
    <row r="471" spans="1:9" ht="15.75" customHeight="1" x14ac:dyDescent="0.2">
      <c r="A471" s="2"/>
      <c r="B471" s="2"/>
      <c r="C471" s="2"/>
      <c r="D471" s="2"/>
      <c r="E471" s="2"/>
      <c r="F471" s="2"/>
      <c r="G471" s="2"/>
      <c r="H471" s="2"/>
      <c r="I471" s="2"/>
    </row>
    <row r="472" spans="1:9" ht="15.75" customHeight="1" x14ac:dyDescent="0.2">
      <c r="A472" s="2"/>
      <c r="B472" s="2"/>
      <c r="C472" s="2"/>
      <c r="D472" s="2"/>
      <c r="E472" s="2"/>
      <c r="F472" s="2"/>
      <c r="G472" s="2"/>
      <c r="H472" s="2"/>
      <c r="I472" s="2"/>
    </row>
    <row r="473" spans="1:9" ht="15.75" customHeight="1" x14ac:dyDescent="0.2">
      <c r="A473" s="2"/>
      <c r="B473" s="2"/>
      <c r="C473" s="2"/>
      <c r="D473" s="2"/>
      <c r="E473" s="2"/>
      <c r="F473" s="2"/>
      <c r="G473" s="2"/>
      <c r="H473" s="2"/>
      <c r="I473" s="2"/>
    </row>
    <row r="474" spans="1:9" ht="15.75" customHeight="1" x14ac:dyDescent="0.2">
      <c r="A474" s="2"/>
      <c r="B474" s="2"/>
      <c r="C474" s="2"/>
      <c r="D474" s="2"/>
      <c r="E474" s="2"/>
      <c r="F474" s="2"/>
      <c r="G474" s="2"/>
      <c r="H474" s="2"/>
      <c r="I474" s="2"/>
    </row>
    <row r="475" spans="1:9" ht="15.75" customHeight="1" x14ac:dyDescent="0.2">
      <c r="A475" s="2"/>
      <c r="B475" s="2"/>
      <c r="C475" s="2"/>
      <c r="D475" s="2"/>
      <c r="E475" s="2"/>
      <c r="F475" s="2"/>
      <c r="G475" s="2"/>
      <c r="H475" s="2"/>
      <c r="I475" s="2"/>
    </row>
    <row r="476" spans="1:9" ht="15.75" customHeight="1" x14ac:dyDescent="0.2">
      <c r="A476" s="2"/>
      <c r="B476" s="2"/>
      <c r="C476" s="2"/>
      <c r="D476" s="2"/>
      <c r="E476" s="2"/>
      <c r="F476" s="2"/>
      <c r="G476" s="2"/>
      <c r="H476" s="2"/>
      <c r="I476" s="2"/>
    </row>
    <row r="477" spans="1:9" ht="15.75" customHeight="1" x14ac:dyDescent="0.2">
      <c r="A477" s="2"/>
      <c r="B477" s="2"/>
      <c r="C477" s="2"/>
      <c r="D477" s="2"/>
      <c r="E477" s="2"/>
      <c r="F477" s="2"/>
      <c r="G477" s="2"/>
      <c r="H477" s="2"/>
      <c r="I477" s="2"/>
    </row>
    <row r="478" spans="1:9" ht="15.75" customHeight="1" x14ac:dyDescent="0.2">
      <c r="A478" s="2"/>
      <c r="B478" s="2"/>
      <c r="C478" s="2"/>
      <c r="D478" s="2"/>
      <c r="E478" s="2"/>
      <c r="F478" s="2"/>
      <c r="G478" s="2"/>
      <c r="H478" s="2"/>
      <c r="I478" s="2"/>
    </row>
    <row r="479" spans="1:9" ht="15.75" customHeight="1" x14ac:dyDescent="0.2">
      <c r="A479" s="2"/>
      <c r="B479" s="2"/>
      <c r="C479" s="2"/>
      <c r="D479" s="2"/>
      <c r="E479" s="2"/>
      <c r="F479" s="2"/>
      <c r="G479" s="2"/>
      <c r="H479" s="2"/>
      <c r="I479" s="2"/>
    </row>
    <row r="480" spans="1:9" ht="15.75" customHeight="1" x14ac:dyDescent="0.2">
      <c r="A480" s="2"/>
      <c r="B480" s="2"/>
      <c r="C480" s="2"/>
      <c r="D480" s="2"/>
      <c r="E480" s="2"/>
      <c r="F480" s="2"/>
      <c r="G480" s="2"/>
      <c r="H480" s="2"/>
      <c r="I480" s="2"/>
    </row>
    <row r="481" spans="1:9" ht="15.75" customHeight="1" x14ac:dyDescent="0.2">
      <c r="A481" s="2"/>
      <c r="B481" s="2"/>
      <c r="C481" s="2"/>
      <c r="D481" s="2"/>
      <c r="E481" s="2"/>
      <c r="F481" s="2"/>
      <c r="G481" s="2"/>
      <c r="H481" s="2"/>
      <c r="I481" s="2"/>
    </row>
    <row r="482" spans="1:9" ht="15.75" customHeight="1" x14ac:dyDescent="0.2">
      <c r="A482" s="2"/>
      <c r="B482" s="2"/>
      <c r="C482" s="2"/>
      <c r="D482" s="2"/>
      <c r="E482" s="2"/>
      <c r="F482" s="2"/>
      <c r="G482" s="2"/>
      <c r="H482" s="2"/>
      <c r="I482" s="2"/>
    </row>
    <row r="483" spans="1:9" ht="15.75" customHeight="1" x14ac:dyDescent="0.2">
      <c r="A483" s="2"/>
      <c r="B483" s="2"/>
      <c r="C483" s="2"/>
      <c r="D483" s="2"/>
      <c r="E483" s="2"/>
      <c r="F483" s="2"/>
      <c r="G483" s="2"/>
      <c r="H483" s="2"/>
      <c r="I483" s="2"/>
    </row>
    <row r="484" spans="1:9" ht="15.75" customHeight="1" x14ac:dyDescent="0.2">
      <c r="A484" s="2"/>
      <c r="B484" s="2"/>
      <c r="C484" s="2"/>
      <c r="D484" s="2"/>
      <c r="E484" s="2"/>
      <c r="F484" s="2"/>
      <c r="G484" s="2"/>
      <c r="H484" s="2"/>
      <c r="I484" s="2"/>
    </row>
    <row r="485" spans="1:9" ht="15.75" customHeight="1" x14ac:dyDescent="0.2">
      <c r="A485" s="2"/>
      <c r="B485" s="2"/>
      <c r="C485" s="2"/>
      <c r="D485" s="2"/>
      <c r="E485" s="2"/>
      <c r="F485" s="2"/>
      <c r="G485" s="2"/>
      <c r="H485" s="2"/>
      <c r="I485" s="2"/>
    </row>
    <row r="486" spans="1:9" ht="15.75" customHeight="1" x14ac:dyDescent="0.2">
      <c r="A486" s="2"/>
      <c r="B486" s="2"/>
      <c r="C486" s="2"/>
      <c r="D486" s="2"/>
      <c r="E486" s="2"/>
      <c r="F486" s="2"/>
      <c r="G486" s="2"/>
      <c r="H486" s="2"/>
      <c r="I486" s="2"/>
    </row>
    <row r="487" spans="1:9" ht="15.75" customHeight="1" x14ac:dyDescent="0.2">
      <c r="A487" s="2"/>
      <c r="B487" s="2"/>
      <c r="C487" s="2"/>
      <c r="D487" s="2"/>
      <c r="E487" s="2"/>
      <c r="F487" s="2"/>
      <c r="G487" s="2"/>
      <c r="H487" s="2"/>
      <c r="I487" s="2"/>
    </row>
    <row r="488" spans="1:9" ht="15.75" customHeight="1" x14ac:dyDescent="0.2">
      <c r="A488" s="2"/>
      <c r="B488" s="2"/>
      <c r="C488" s="2"/>
      <c r="D488" s="2"/>
      <c r="E488" s="2"/>
      <c r="F488" s="2"/>
      <c r="G488" s="2"/>
      <c r="H488" s="2"/>
      <c r="I488" s="2"/>
    </row>
    <row r="489" spans="1:9" ht="15.75" customHeight="1" x14ac:dyDescent="0.2">
      <c r="A489" s="2"/>
      <c r="B489" s="2"/>
      <c r="C489" s="2"/>
      <c r="D489" s="2"/>
      <c r="E489" s="2"/>
      <c r="F489" s="2"/>
      <c r="G489" s="2"/>
      <c r="H489" s="2"/>
      <c r="I489" s="2"/>
    </row>
    <row r="490" spans="1:9" ht="15.75" customHeight="1" x14ac:dyDescent="0.2">
      <c r="A490" s="2"/>
      <c r="B490" s="2"/>
      <c r="C490" s="2"/>
      <c r="D490" s="2"/>
      <c r="E490" s="2"/>
      <c r="F490" s="2"/>
      <c r="G490" s="2"/>
      <c r="H490" s="2"/>
      <c r="I490" s="2"/>
    </row>
    <row r="491" spans="1:9" ht="15.75" customHeight="1" x14ac:dyDescent="0.2">
      <c r="A491" s="2"/>
      <c r="B491" s="2"/>
      <c r="C491" s="2"/>
      <c r="D491" s="2"/>
      <c r="E491" s="2"/>
      <c r="F491" s="2"/>
      <c r="G491" s="2"/>
      <c r="H491" s="2"/>
      <c r="I491" s="2"/>
    </row>
    <row r="492" spans="1:9" ht="15.75" customHeight="1" x14ac:dyDescent="0.2">
      <c r="A492" s="2"/>
      <c r="B492" s="2"/>
      <c r="C492" s="2"/>
      <c r="D492" s="2"/>
      <c r="E492" s="2"/>
      <c r="F492" s="2"/>
      <c r="G492" s="2"/>
      <c r="H492" s="2"/>
      <c r="I492" s="2"/>
    </row>
    <row r="493" spans="1:9" ht="15.75" customHeight="1" x14ac:dyDescent="0.2">
      <c r="A493" s="2"/>
      <c r="B493" s="2"/>
      <c r="C493" s="2"/>
      <c r="D493" s="2"/>
      <c r="E493" s="2"/>
      <c r="F493" s="2"/>
      <c r="G493" s="2"/>
      <c r="H493" s="2"/>
      <c r="I493" s="2"/>
    </row>
    <row r="494" spans="1:9" ht="15.75" customHeight="1" x14ac:dyDescent="0.2">
      <c r="A494" s="2"/>
      <c r="B494" s="2"/>
      <c r="C494" s="2"/>
      <c r="D494" s="2"/>
      <c r="E494" s="2"/>
      <c r="F494" s="2"/>
      <c r="G494" s="2"/>
      <c r="H494" s="2"/>
      <c r="I494" s="2"/>
    </row>
    <row r="495" spans="1:9" ht="15.75" customHeight="1" x14ac:dyDescent="0.2">
      <c r="A495" s="2"/>
      <c r="B495" s="2"/>
      <c r="C495" s="2"/>
      <c r="D495" s="2"/>
      <c r="E495" s="2"/>
      <c r="F495" s="2"/>
      <c r="G495" s="2"/>
      <c r="H495" s="2"/>
      <c r="I495" s="2"/>
    </row>
    <row r="496" spans="1:9" ht="15.75" customHeight="1" x14ac:dyDescent="0.2">
      <c r="A496" s="2"/>
      <c r="B496" s="2"/>
      <c r="C496" s="2"/>
      <c r="D496" s="2"/>
      <c r="E496" s="2"/>
      <c r="F496" s="2"/>
      <c r="G496" s="2"/>
      <c r="H496" s="2"/>
      <c r="I496" s="2"/>
    </row>
    <row r="497" spans="1:9" ht="15.75" customHeight="1" x14ac:dyDescent="0.2">
      <c r="A497" s="2"/>
      <c r="B497" s="2"/>
      <c r="C497" s="2"/>
      <c r="D497" s="2"/>
      <c r="E497" s="2"/>
      <c r="F497" s="2"/>
      <c r="G497" s="2"/>
      <c r="H497" s="2"/>
      <c r="I497" s="2"/>
    </row>
    <row r="498" spans="1:9" ht="15.75" customHeight="1" x14ac:dyDescent="0.2">
      <c r="A498" s="2"/>
      <c r="B498" s="2"/>
      <c r="C498" s="2"/>
      <c r="D498" s="2"/>
      <c r="E498" s="2"/>
      <c r="F498" s="2"/>
      <c r="G498" s="2"/>
      <c r="H498" s="2"/>
      <c r="I498" s="2"/>
    </row>
    <row r="499" spans="1:9" ht="15.75" customHeight="1" x14ac:dyDescent="0.2">
      <c r="A499" s="2"/>
      <c r="B499" s="2"/>
      <c r="C499" s="2"/>
      <c r="D499" s="2"/>
      <c r="E499" s="2"/>
      <c r="F499" s="2"/>
      <c r="G499" s="2"/>
      <c r="H499" s="2"/>
      <c r="I499" s="2"/>
    </row>
    <row r="500" spans="1:9" ht="15.75" customHeight="1" x14ac:dyDescent="0.2">
      <c r="A500" s="2"/>
      <c r="B500" s="2"/>
      <c r="C500" s="2"/>
      <c r="D500" s="2"/>
      <c r="E500" s="2"/>
      <c r="F500" s="2"/>
      <c r="G500" s="2"/>
      <c r="H500" s="2"/>
      <c r="I500" s="2"/>
    </row>
    <row r="501" spans="1:9" ht="15.75" customHeight="1" x14ac:dyDescent="0.2">
      <c r="A501" s="2"/>
      <c r="B501" s="2"/>
      <c r="C501" s="2"/>
      <c r="D501" s="2"/>
      <c r="E501" s="2"/>
      <c r="F501" s="2"/>
      <c r="G501" s="2"/>
      <c r="H501" s="2"/>
      <c r="I501" s="2"/>
    </row>
    <row r="502" spans="1:9" ht="15.75" customHeight="1" x14ac:dyDescent="0.2">
      <c r="A502" s="2"/>
      <c r="B502" s="2"/>
      <c r="C502" s="2"/>
      <c r="D502" s="2"/>
      <c r="E502" s="2"/>
      <c r="F502" s="2"/>
      <c r="G502" s="2"/>
      <c r="H502" s="2"/>
      <c r="I502" s="2"/>
    </row>
    <row r="503" spans="1:9" ht="15.75" customHeight="1" x14ac:dyDescent="0.2">
      <c r="A503" s="2"/>
      <c r="B503" s="2"/>
      <c r="C503" s="2"/>
      <c r="D503" s="2"/>
      <c r="E503" s="2"/>
      <c r="F503" s="2"/>
      <c r="G503" s="2"/>
      <c r="H503" s="2"/>
      <c r="I503" s="2"/>
    </row>
    <row r="504" spans="1:9" ht="15.75" customHeight="1" x14ac:dyDescent="0.2">
      <c r="A504" s="2"/>
      <c r="B504" s="2"/>
      <c r="C504" s="2"/>
      <c r="D504" s="2"/>
      <c r="E504" s="2"/>
      <c r="F504" s="2"/>
      <c r="G504" s="2"/>
      <c r="H504" s="2"/>
      <c r="I504" s="2"/>
    </row>
    <row r="505" spans="1:9" ht="15.75" customHeight="1" x14ac:dyDescent="0.2">
      <c r="A505" s="2"/>
      <c r="B505" s="2"/>
      <c r="C505" s="2"/>
      <c r="D505" s="2"/>
      <c r="E505" s="2"/>
      <c r="F505" s="2"/>
      <c r="G505" s="2"/>
      <c r="H505" s="2"/>
      <c r="I505" s="2"/>
    </row>
    <row r="506" spans="1:9" ht="15.75" customHeight="1" x14ac:dyDescent="0.2">
      <c r="A506" s="2"/>
      <c r="B506" s="2"/>
      <c r="C506" s="2"/>
      <c r="D506" s="2"/>
      <c r="E506" s="2"/>
      <c r="F506" s="2"/>
      <c r="G506" s="2"/>
      <c r="H506" s="2"/>
      <c r="I506" s="2"/>
    </row>
    <row r="507" spans="1:9" ht="15.75" customHeight="1" x14ac:dyDescent="0.2">
      <c r="A507" s="2"/>
      <c r="B507" s="2"/>
      <c r="C507" s="2"/>
      <c r="D507" s="2"/>
      <c r="E507" s="2"/>
      <c r="F507" s="2"/>
      <c r="G507" s="2"/>
      <c r="H507" s="2"/>
      <c r="I507" s="2"/>
    </row>
    <row r="508" spans="1:9" ht="15.75" customHeight="1" x14ac:dyDescent="0.2">
      <c r="A508" s="2"/>
      <c r="B508" s="2"/>
      <c r="C508" s="2"/>
      <c r="D508" s="2"/>
      <c r="E508" s="2"/>
      <c r="F508" s="2"/>
      <c r="G508" s="2"/>
      <c r="H508" s="2"/>
      <c r="I508" s="2"/>
    </row>
    <row r="509" spans="1:9" ht="15.75" customHeight="1" x14ac:dyDescent="0.2">
      <c r="A509" s="2"/>
      <c r="B509" s="2"/>
      <c r="C509" s="2"/>
      <c r="D509" s="2"/>
      <c r="E509" s="2"/>
      <c r="F509" s="2"/>
      <c r="G509" s="2"/>
      <c r="H509" s="2"/>
      <c r="I509" s="2"/>
    </row>
    <row r="510" spans="1:9" ht="15.75" customHeight="1" x14ac:dyDescent="0.2">
      <c r="A510" s="2"/>
      <c r="B510" s="2"/>
      <c r="C510" s="2"/>
      <c r="D510" s="2"/>
      <c r="E510" s="2"/>
      <c r="F510" s="2"/>
      <c r="G510" s="2"/>
      <c r="H510" s="2"/>
      <c r="I510" s="2"/>
    </row>
    <row r="511" spans="1:9" ht="15.75" customHeight="1" x14ac:dyDescent="0.2">
      <c r="A511" s="2"/>
      <c r="B511" s="2"/>
      <c r="C511" s="2"/>
      <c r="D511" s="2"/>
      <c r="E511" s="2"/>
      <c r="F511" s="2"/>
      <c r="G511" s="2"/>
      <c r="H511" s="2"/>
      <c r="I511" s="2"/>
    </row>
    <row r="512" spans="1:9" ht="15.75" customHeight="1" x14ac:dyDescent="0.2">
      <c r="A512" s="2"/>
      <c r="B512" s="2"/>
      <c r="C512" s="2"/>
      <c r="D512" s="2"/>
      <c r="E512" s="2"/>
      <c r="F512" s="2"/>
      <c r="G512" s="2"/>
      <c r="H512" s="2"/>
      <c r="I512" s="2"/>
    </row>
    <row r="513" spans="1:9" ht="15.75" customHeight="1" x14ac:dyDescent="0.2">
      <c r="A513" s="2"/>
      <c r="B513" s="2"/>
      <c r="C513" s="2"/>
      <c r="D513" s="2"/>
      <c r="E513" s="2"/>
      <c r="F513" s="2"/>
      <c r="G513" s="2"/>
      <c r="H513" s="2"/>
      <c r="I513" s="2"/>
    </row>
    <row r="514" spans="1:9" ht="15.75" customHeight="1" x14ac:dyDescent="0.2">
      <c r="A514" s="2"/>
      <c r="B514" s="2"/>
      <c r="C514" s="2"/>
      <c r="D514" s="2"/>
      <c r="E514" s="2"/>
      <c r="F514" s="2"/>
      <c r="G514" s="2"/>
      <c r="H514" s="2"/>
      <c r="I514" s="2"/>
    </row>
    <row r="515" spans="1:9" ht="15.75" customHeight="1" x14ac:dyDescent="0.2">
      <c r="A515" s="2"/>
      <c r="B515" s="2"/>
      <c r="C515" s="2"/>
      <c r="D515" s="2"/>
      <c r="E515" s="2"/>
      <c r="F515" s="2"/>
      <c r="G515" s="2"/>
      <c r="H515" s="2"/>
      <c r="I515" s="2"/>
    </row>
    <row r="516" spans="1:9" ht="15.75" customHeight="1" x14ac:dyDescent="0.2">
      <c r="A516" s="2"/>
      <c r="B516" s="2"/>
      <c r="C516" s="2"/>
      <c r="D516" s="2"/>
      <c r="E516" s="2"/>
      <c r="F516" s="2"/>
      <c r="G516" s="2"/>
      <c r="H516" s="2"/>
      <c r="I516" s="2"/>
    </row>
    <row r="517" spans="1:9" ht="15.75" customHeight="1" x14ac:dyDescent="0.2">
      <c r="A517" s="2"/>
      <c r="B517" s="2"/>
      <c r="C517" s="2"/>
      <c r="D517" s="2"/>
      <c r="E517" s="2"/>
      <c r="F517" s="2"/>
      <c r="G517" s="2"/>
      <c r="H517" s="2"/>
      <c r="I517" s="2"/>
    </row>
    <row r="518" spans="1:9" ht="15.75" customHeight="1" x14ac:dyDescent="0.2">
      <c r="A518" s="2"/>
      <c r="B518" s="2"/>
      <c r="C518" s="2"/>
      <c r="D518" s="2"/>
      <c r="E518" s="2"/>
      <c r="F518" s="2"/>
      <c r="G518" s="2"/>
      <c r="H518" s="2"/>
      <c r="I518" s="2"/>
    </row>
    <row r="519" spans="1:9" ht="15.75" customHeight="1" x14ac:dyDescent="0.2">
      <c r="A519" s="2"/>
      <c r="B519" s="2"/>
      <c r="C519" s="2"/>
      <c r="D519" s="2"/>
      <c r="E519" s="2"/>
      <c r="F519" s="2"/>
      <c r="G519" s="2"/>
      <c r="H519" s="2"/>
      <c r="I519" s="2"/>
    </row>
    <row r="520" spans="1:9" ht="15.75" customHeight="1" x14ac:dyDescent="0.2">
      <c r="A520" s="2"/>
      <c r="B520" s="2"/>
      <c r="C520" s="2"/>
      <c r="D520" s="2"/>
      <c r="E520" s="2"/>
      <c r="F520" s="2"/>
      <c r="G520" s="2"/>
      <c r="H520" s="2"/>
      <c r="I520" s="2"/>
    </row>
    <row r="521" spans="1:9" ht="15.75" customHeight="1" x14ac:dyDescent="0.2">
      <c r="A521" s="2"/>
      <c r="B521" s="2"/>
      <c r="C521" s="2"/>
      <c r="D521" s="2"/>
      <c r="E521" s="2"/>
      <c r="F521" s="2"/>
      <c r="G521" s="2"/>
      <c r="H521" s="2"/>
      <c r="I521" s="2"/>
    </row>
    <row r="522" spans="1:9" ht="15.75" customHeight="1" x14ac:dyDescent="0.2">
      <c r="A522" s="2"/>
      <c r="B522" s="2"/>
      <c r="C522" s="2"/>
      <c r="D522" s="2"/>
      <c r="E522" s="2"/>
      <c r="F522" s="2"/>
      <c r="G522" s="2"/>
      <c r="H522" s="2"/>
      <c r="I522" s="2"/>
    </row>
    <row r="523" spans="1:9" ht="15.75" customHeight="1" x14ac:dyDescent="0.2">
      <c r="A523" s="2"/>
      <c r="B523" s="2"/>
      <c r="C523" s="2"/>
      <c r="D523" s="2"/>
      <c r="E523" s="2"/>
      <c r="F523" s="2"/>
      <c r="G523" s="2"/>
      <c r="H523" s="2"/>
      <c r="I523" s="2"/>
    </row>
    <row r="524" spans="1:9" ht="15.75" customHeight="1" x14ac:dyDescent="0.2">
      <c r="A524" s="2"/>
      <c r="B524" s="2"/>
      <c r="C524" s="2"/>
      <c r="D524" s="2"/>
      <c r="E524" s="2"/>
      <c r="F524" s="2"/>
      <c r="G524" s="2"/>
      <c r="H524" s="2"/>
      <c r="I524" s="2"/>
    </row>
    <row r="525" spans="1:9" ht="15.75" customHeight="1" x14ac:dyDescent="0.2">
      <c r="A525" s="2"/>
      <c r="B525" s="2"/>
      <c r="C525" s="2"/>
      <c r="D525" s="2"/>
      <c r="E525" s="2"/>
      <c r="F525" s="2"/>
      <c r="G525" s="2"/>
      <c r="H525" s="2"/>
      <c r="I525" s="2"/>
    </row>
    <row r="526" spans="1:9" ht="15.75" customHeight="1" x14ac:dyDescent="0.2">
      <c r="A526" s="2"/>
      <c r="B526" s="2"/>
      <c r="C526" s="2"/>
      <c r="D526" s="2"/>
      <c r="E526" s="2"/>
      <c r="F526" s="2"/>
      <c r="G526" s="2"/>
      <c r="H526" s="2"/>
      <c r="I526" s="2"/>
    </row>
    <row r="527" spans="1:9" ht="15.75" customHeight="1" x14ac:dyDescent="0.2">
      <c r="A527" s="2"/>
      <c r="B527" s="2"/>
      <c r="C527" s="2"/>
      <c r="D527" s="2"/>
      <c r="E527" s="2"/>
      <c r="F527" s="2"/>
      <c r="G527" s="2"/>
      <c r="H527" s="2"/>
      <c r="I527" s="2"/>
    </row>
    <row r="528" spans="1:9" ht="15.75" customHeight="1" x14ac:dyDescent="0.2">
      <c r="A528" s="2"/>
      <c r="B528" s="2"/>
      <c r="C528" s="2"/>
      <c r="D528" s="2"/>
      <c r="E528" s="2"/>
      <c r="F528" s="2"/>
      <c r="G528" s="2"/>
      <c r="H528" s="2"/>
      <c r="I528" s="2"/>
    </row>
    <row r="529" spans="1:9" ht="15.75" customHeight="1" x14ac:dyDescent="0.2">
      <c r="A529" s="2"/>
      <c r="B529" s="2"/>
      <c r="C529" s="2"/>
      <c r="D529" s="2"/>
      <c r="E529" s="2"/>
      <c r="F529" s="2"/>
      <c r="G529" s="2"/>
      <c r="H529" s="2"/>
      <c r="I529" s="2"/>
    </row>
    <row r="530" spans="1:9" ht="15.75" customHeight="1" x14ac:dyDescent="0.2">
      <c r="A530" s="2"/>
      <c r="B530" s="2"/>
      <c r="C530" s="2"/>
      <c r="D530" s="2"/>
      <c r="E530" s="2"/>
      <c r="F530" s="2"/>
      <c r="G530" s="2"/>
      <c r="H530" s="2"/>
      <c r="I530" s="2"/>
    </row>
    <row r="531" spans="1:9" ht="15.75" customHeight="1" x14ac:dyDescent="0.2">
      <c r="A531" s="2"/>
      <c r="B531" s="2"/>
      <c r="C531" s="2"/>
      <c r="D531" s="2"/>
      <c r="E531" s="2"/>
      <c r="F531" s="2"/>
      <c r="G531" s="2"/>
      <c r="H531" s="2"/>
      <c r="I531" s="2"/>
    </row>
    <row r="532" spans="1:9" ht="15.75" customHeight="1" x14ac:dyDescent="0.2">
      <c r="A532" s="2"/>
      <c r="B532" s="2"/>
      <c r="C532" s="2"/>
      <c r="D532" s="2"/>
      <c r="E532" s="2"/>
      <c r="F532" s="2"/>
      <c r="G532" s="2"/>
      <c r="H532" s="2"/>
      <c r="I532" s="2"/>
    </row>
    <row r="533" spans="1:9" ht="15.75" customHeight="1" x14ac:dyDescent="0.2">
      <c r="A533" s="2"/>
      <c r="B533" s="2"/>
      <c r="C533" s="2"/>
      <c r="D533" s="2"/>
      <c r="E533" s="2"/>
      <c r="F533" s="2"/>
      <c r="G533" s="2"/>
      <c r="H533" s="2"/>
      <c r="I533" s="2"/>
    </row>
    <row r="534" spans="1:9" ht="15.75" customHeight="1" x14ac:dyDescent="0.2">
      <c r="A534" s="2"/>
      <c r="B534" s="2"/>
      <c r="C534" s="2"/>
      <c r="D534" s="2"/>
      <c r="E534" s="2"/>
      <c r="F534" s="2"/>
      <c r="G534" s="2"/>
      <c r="H534" s="2"/>
      <c r="I534" s="2"/>
    </row>
    <row r="535" spans="1:9" ht="15.75" customHeight="1" x14ac:dyDescent="0.2">
      <c r="A535" s="2"/>
      <c r="B535" s="2"/>
      <c r="C535" s="2"/>
      <c r="D535" s="2"/>
      <c r="E535" s="2"/>
      <c r="F535" s="2"/>
      <c r="G535" s="2"/>
      <c r="H535" s="2"/>
      <c r="I535" s="2"/>
    </row>
    <row r="536" spans="1:9" ht="15.75" customHeight="1" x14ac:dyDescent="0.2">
      <c r="A536" s="2"/>
      <c r="B536" s="2"/>
      <c r="C536" s="2"/>
      <c r="D536" s="2"/>
      <c r="E536" s="2"/>
      <c r="F536" s="2"/>
      <c r="G536" s="2"/>
      <c r="H536" s="2"/>
      <c r="I536" s="2"/>
    </row>
    <row r="537" spans="1:9" ht="15.75" customHeight="1" x14ac:dyDescent="0.2">
      <c r="A537" s="2"/>
      <c r="B537" s="2"/>
      <c r="C537" s="2"/>
      <c r="D537" s="2"/>
      <c r="E537" s="2"/>
      <c r="F537" s="2"/>
      <c r="G537" s="2"/>
      <c r="H537" s="2"/>
      <c r="I537" s="2"/>
    </row>
    <row r="538" spans="1:9" ht="15.75" customHeight="1" x14ac:dyDescent="0.2">
      <c r="A538" s="2"/>
      <c r="B538" s="2"/>
      <c r="C538" s="2"/>
      <c r="D538" s="2"/>
      <c r="E538" s="2"/>
      <c r="F538" s="2"/>
      <c r="G538" s="2"/>
      <c r="H538" s="2"/>
      <c r="I538" s="2"/>
    </row>
    <row r="539" spans="1:9" ht="15.75" customHeight="1" x14ac:dyDescent="0.2">
      <c r="A539" s="2"/>
      <c r="B539" s="2"/>
      <c r="C539" s="2"/>
      <c r="D539" s="2"/>
      <c r="E539" s="2"/>
      <c r="F539" s="2"/>
      <c r="G539" s="2"/>
      <c r="H539" s="2"/>
      <c r="I539" s="2"/>
    </row>
    <row r="540" spans="1:9" ht="15.75" customHeight="1" x14ac:dyDescent="0.2">
      <c r="A540" s="2"/>
      <c r="B540" s="2"/>
      <c r="C540" s="2"/>
      <c r="D540" s="2"/>
      <c r="E540" s="2"/>
      <c r="F540" s="2"/>
      <c r="G540" s="2"/>
      <c r="H540" s="2"/>
      <c r="I540" s="2"/>
    </row>
    <row r="541" spans="1:9" ht="15.75" customHeight="1" x14ac:dyDescent="0.2">
      <c r="A541" s="2"/>
      <c r="B541" s="2"/>
      <c r="C541" s="2"/>
      <c r="D541" s="2"/>
      <c r="E541" s="2"/>
      <c r="F541" s="2"/>
      <c r="G541" s="2"/>
      <c r="H541" s="2"/>
      <c r="I541" s="2"/>
    </row>
    <row r="542" spans="1:9" ht="15.75" customHeight="1" x14ac:dyDescent="0.2">
      <c r="A542" s="2"/>
      <c r="B542" s="2"/>
      <c r="C542" s="2"/>
      <c r="D542" s="2"/>
      <c r="E542" s="2"/>
      <c r="F542" s="2"/>
      <c r="G542" s="2"/>
      <c r="H542" s="2"/>
      <c r="I542" s="2"/>
    </row>
    <row r="543" spans="1:9" ht="15.75" customHeight="1" x14ac:dyDescent="0.2">
      <c r="A543" s="2"/>
      <c r="B543" s="2"/>
      <c r="C543" s="2"/>
      <c r="D543" s="2"/>
      <c r="E543" s="2"/>
      <c r="F543" s="2"/>
      <c r="G543" s="2"/>
      <c r="H543" s="2"/>
      <c r="I543" s="2"/>
    </row>
    <row r="544" spans="1:9" ht="15.75" customHeight="1" x14ac:dyDescent="0.2">
      <c r="A544" s="2"/>
      <c r="B544" s="2"/>
      <c r="C544" s="2"/>
      <c r="D544" s="2"/>
      <c r="E544" s="2"/>
      <c r="F544" s="2"/>
      <c r="G544" s="2"/>
      <c r="H544" s="2"/>
      <c r="I544" s="2"/>
    </row>
    <row r="545" spans="1:9" ht="15.75" customHeight="1" x14ac:dyDescent="0.2">
      <c r="A545" s="2"/>
      <c r="B545" s="2"/>
      <c r="C545" s="2"/>
      <c r="D545" s="2"/>
      <c r="E545" s="2"/>
      <c r="F545" s="2"/>
      <c r="G545" s="2"/>
      <c r="H545" s="2"/>
      <c r="I545" s="2"/>
    </row>
    <row r="546" spans="1:9" ht="15.75" customHeight="1" x14ac:dyDescent="0.2">
      <c r="A546" s="2"/>
      <c r="B546" s="2"/>
      <c r="C546" s="2"/>
      <c r="D546" s="2"/>
      <c r="E546" s="2"/>
      <c r="F546" s="2"/>
      <c r="G546" s="2"/>
      <c r="H546" s="2"/>
      <c r="I546" s="2"/>
    </row>
    <row r="547" spans="1:9" ht="15.75" customHeight="1" x14ac:dyDescent="0.2">
      <c r="A547" s="2"/>
      <c r="B547" s="2"/>
      <c r="C547" s="2"/>
      <c r="D547" s="2"/>
      <c r="E547" s="2"/>
      <c r="F547" s="2"/>
      <c r="G547" s="2"/>
      <c r="H547" s="2"/>
      <c r="I547" s="2"/>
    </row>
    <row r="548" spans="1:9" ht="15.75" customHeight="1" x14ac:dyDescent="0.2">
      <c r="A548" s="2"/>
      <c r="B548" s="2"/>
      <c r="C548" s="2"/>
      <c r="D548" s="2"/>
      <c r="E548" s="2"/>
      <c r="F548" s="2"/>
      <c r="G548" s="2"/>
      <c r="H548" s="2"/>
      <c r="I548" s="2"/>
    </row>
    <row r="549" spans="1:9" ht="15.75" customHeight="1" x14ac:dyDescent="0.2">
      <c r="A549" s="2"/>
      <c r="B549" s="2"/>
      <c r="C549" s="2"/>
      <c r="D549" s="2"/>
      <c r="E549" s="2"/>
      <c r="F549" s="2"/>
      <c r="G549" s="2"/>
      <c r="H549" s="2"/>
      <c r="I549" s="2"/>
    </row>
    <row r="550" spans="1:9" ht="15.75" customHeight="1" x14ac:dyDescent="0.2">
      <c r="A550" s="2"/>
      <c r="B550" s="2"/>
      <c r="C550" s="2"/>
      <c r="D550" s="2"/>
      <c r="E550" s="2"/>
      <c r="F550" s="2"/>
      <c r="G550" s="2"/>
      <c r="H550" s="2"/>
      <c r="I550" s="2"/>
    </row>
    <row r="551" spans="1:9" ht="15.75" customHeight="1" x14ac:dyDescent="0.2">
      <c r="A551" s="2"/>
      <c r="B551" s="2"/>
      <c r="C551" s="2"/>
      <c r="D551" s="2"/>
      <c r="E551" s="2"/>
      <c r="F551" s="2"/>
      <c r="G551" s="2"/>
      <c r="H551" s="2"/>
      <c r="I551" s="2"/>
    </row>
    <row r="552" spans="1:9" ht="15.75" customHeight="1" x14ac:dyDescent="0.2">
      <c r="A552" s="2"/>
      <c r="B552" s="2"/>
      <c r="C552" s="2"/>
      <c r="D552" s="2"/>
      <c r="E552" s="2"/>
      <c r="F552" s="2"/>
      <c r="G552" s="2"/>
      <c r="H552" s="2"/>
      <c r="I552" s="2"/>
    </row>
    <row r="553" spans="1:9" ht="15.75" customHeight="1" x14ac:dyDescent="0.2">
      <c r="A553" s="2"/>
      <c r="B553" s="2"/>
      <c r="C553" s="2"/>
      <c r="D553" s="2"/>
      <c r="E553" s="2"/>
      <c r="F553" s="2"/>
      <c r="G553" s="2"/>
      <c r="H553" s="2"/>
      <c r="I553" s="2"/>
    </row>
    <row r="554" spans="1:9" ht="15.75" customHeight="1" x14ac:dyDescent="0.2">
      <c r="A554" s="2"/>
      <c r="B554" s="2"/>
      <c r="C554" s="2"/>
      <c r="D554" s="2"/>
      <c r="E554" s="2"/>
      <c r="F554" s="2"/>
      <c r="G554" s="2"/>
      <c r="H554" s="2"/>
      <c r="I554" s="2"/>
    </row>
    <row r="555" spans="1:9" ht="15.75" customHeight="1" x14ac:dyDescent="0.2">
      <c r="A555" s="2"/>
      <c r="B555" s="2"/>
      <c r="C555" s="2"/>
      <c r="D555" s="2"/>
      <c r="E555" s="2"/>
      <c r="F555" s="2"/>
      <c r="G555" s="2"/>
      <c r="H555" s="2"/>
      <c r="I555" s="2"/>
    </row>
    <row r="556" spans="1:9" ht="15.75" customHeight="1" x14ac:dyDescent="0.2">
      <c r="A556" s="2"/>
      <c r="B556" s="2"/>
      <c r="C556" s="2"/>
      <c r="D556" s="2"/>
      <c r="E556" s="2"/>
      <c r="F556" s="2"/>
      <c r="G556" s="2"/>
      <c r="H556" s="2"/>
      <c r="I556" s="2"/>
    </row>
    <row r="557" spans="1:9" ht="15.75" customHeight="1" x14ac:dyDescent="0.2">
      <c r="A557" s="2"/>
      <c r="B557" s="2"/>
      <c r="C557" s="2"/>
      <c r="D557" s="2"/>
      <c r="E557" s="2"/>
      <c r="F557" s="2"/>
      <c r="G557" s="2"/>
      <c r="H557" s="2"/>
      <c r="I557" s="2"/>
    </row>
    <row r="558" spans="1:9" ht="15.75" customHeight="1" x14ac:dyDescent="0.2">
      <c r="A558" s="2"/>
      <c r="B558" s="2"/>
      <c r="C558" s="2"/>
      <c r="D558" s="2"/>
      <c r="E558" s="2"/>
      <c r="F558" s="2"/>
      <c r="G558" s="2"/>
      <c r="H558" s="2"/>
      <c r="I558" s="2"/>
    </row>
    <row r="559" spans="1:9" ht="15.75" customHeight="1" x14ac:dyDescent="0.2">
      <c r="A559" s="2"/>
      <c r="B559" s="2"/>
      <c r="C559" s="2"/>
      <c r="D559" s="2"/>
      <c r="E559" s="2"/>
      <c r="F559" s="2"/>
      <c r="G559" s="2"/>
      <c r="H559" s="2"/>
      <c r="I559" s="2"/>
    </row>
    <row r="560" spans="1:9" ht="15.75" customHeight="1" x14ac:dyDescent="0.2">
      <c r="A560" s="2"/>
      <c r="B560" s="2"/>
      <c r="C560" s="2"/>
      <c r="D560" s="2"/>
      <c r="E560" s="2"/>
      <c r="F560" s="2"/>
      <c r="G560" s="2"/>
      <c r="H560" s="2"/>
      <c r="I560" s="2"/>
    </row>
    <row r="561" spans="1:9" ht="15.75" customHeight="1" x14ac:dyDescent="0.2">
      <c r="A561" s="2"/>
      <c r="B561" s="2"/>
      <c r="C561" s="2"/>
      <c r="D561" s="2"/>
      <c r="E561" s="2"/>
      <c r="F561" s="2"/>
      <c r="G561" s="2"/>
      <c r="H561" s="2"/>
      <c r="I561" s="2"/>
    </row>
    <row r="562" spans="1:9" ht="15.75" customHeight="1" x14ac:dyDescent="0.2">
      <c r="A562" s="2"/>
      <c r="B562" s="2"/>
      <c r="C562" s="2"/>
      <c r="D562" s="2"/>
      <c r="E562" s="2"/>
      <c r="F562" s="2"/>
      <c r="G562" s="2"/>
      <c r="H562" s="2"/>
      <c r="I562" s="2"/>
    </row>
    <row r="563" spans="1:9" ht="15.75" customHeight="1" x14ac:dyDescent="0.2">
      <c r="A563" s="2"/>
      <c r="B563" s="2"/>
      <c r="C563" s="2"/>
      <c r="D563" s="2"/>
      <c r="E563" s="2"/>
      <c r="F563" s="2"/>
      <c r="G563" s="2"/>
      <c r="H563" s="2"/>
      <c r="I563" s="2"/>
    </row>
    <row r="564" spans="1:9" ht="15.75" customHeight="1" x14ac:dyDescent="0.2">
      <c r="A564" s="2"/>
      <c r="B564" s="2"/>
      <c r="C564" s="2"/>
      <c r="D564" s="2"/>
      <c r="E564" s="2"/>
      <c r="F564" s="2"/>
      <c r="G564" s="2"/>
      <c r="H564" s="2"/>
      <c r="I564" s="2"/>
    </row>
    <row r="565" spans="1:9" ht="15.75" customHeight="1" x14ac:dyDescent="0.2">
      <c r="A565" s="2"/>
      <c r="B565" s="2"/>
      <c r="C565" s="2"/>
      <c r="D565" s="2"/>
      <c r="E565" s="2"/>
      <c r="F565" s="2"/>
      <c r="G565" s="2"/>
      <c r="H565" s="2"/>
      <c r="I565" s="2"/>
    </row>
    <row r="566" spans="1:9" ht="15.75" customHeight="1" x14ac:dyDescent="0.2">
      <c r="A566" s="2"/>
      <c r="B566" s="2"/>
      <c r="C566" s="2"/>
      <c r="D566" s="2"/>
      <c r="E566" s="2"/>
      <c r="F566" s="2"/>
      <c r="G566" s="2"/>
      <c r="H566" s="2"/>
      <c r="I566" s="2"/>
    </row>
    <row r="567" spans="1:9" ht="15.75" customHeight="1" x14ac:dyDescent="0.2">
      <c r="A567" s="2"/>
      <c r="B567" s="2"/>
      <c r="C567" s="2"/>
      <c r="D567" s="2"/>
      <c r="E567" s="2"/>
      <c r="F567" s="2"/>
      <c r="G567" s="2"/>
      <c r="H567" s="2"/>
      <c r="I567" s="2"/>
    </row>
    <row r="568" spans="1:9" ht="15.75" customHeight="1" x14ac:dyDescent="0.2">
      <c r="A568" s="2"/>
      <c r="B568" s="2"/>
      <c r="C568" s="2"/>
      <c r="D568" s="2"/>
      <c r="E568" s="2"/>
      <c r="F568" s="2"/>
      <c r="G568" s="2"/>
      <c r="H568" s="2"/>
      <c r="I568" s="2"/>
    </row>
    <row r="569" spans="1:9" ht="15.75" customHeight="1" x14ac:dyDescent="0.2">
      <c r="A569" s="2"/>
      <c r="B569" s="2"/>
      <c r="C569" s="2"/>
      <c r="D569" s="2"/>
      <c r="E569" s="2"/>
      <c r="F569" s="2"/>
      <c r="G569" s="2"/>
      <c r="H569" s="2"/>
      <c r="I569" s="2"/>
    </row>
    <row r="570" spans="1:9" ht="15.75" customHeight="1" x14ac:dyDescent="0.2">
      <c r="A570" s="2"/>
      <c r="B570" s="2"/>
      <c r="C570" s="2"/>
      <c r="D570" s="2"/>
      <c r="E570" s="2"/>
      <c r="F570" s="2"/>
      <c r="G570" s="2"/>
      <c r="H570" s="2"/>
      <c r="I570" s="2"/>
    </row>
    <row r="571" spans="1:9" ht="15.75" customHeight="1" x14ac:dyDescent="0.2">
      <c r="A571" s="2"/>
      <c r="B571" s="2"/>
      <c r="C571" s="2"/>
      <c r="D571" s="2"/>
      <c r="E571" s="2"/>
      <c r="F571" s="2"/>
      <c r="G571" s="2"/>
      <c r="H571" s="2"/>
      <c r="I571" s="2"/>
    </row>
    <row r="572" spans="1:9" ht="15.75" customHeight="1" x14ac:dyDescent="0.2">
      <c r="A572" s="2"/>
      <c r="B572" s="2"/>
      <c r="C572" s="2"/>
      <c r="D572" s="2"/>
      <c r="E572" s="2"/>
      <c r="F572" s="2"/>
      <c r="G572" s="2"/>
      <c r="H572" s="2"/>
      <c r="I572" s="2"/>
    </row>
    <row r="573" spans="1:9" ht="15.75" customHeight="1" x14ac:dyDescent="0.2">
      <c r="A573" s="2"/>
      <c r="B573" s="2"/>
      <c r="C573" s="2"/>
      <c r="D573" s="2"/>
      <c r="E573" s="2"/>
      <c r="F573" s="2"/>
      <c r="G573" s="2"/>
      <c r="H573" s="2"/>
      <c r="I573" s="2"/>
    </row>
    <row r="574" spans="1:9" ht="15.75" customHeight="1" x14ac:dyDescent="0.2">
      <c r="A574" s="2"/>
      <c r="B574" s="2"/>
      <c r="C574" s="2"/>
      <c r="D574" s="2"/>
      <c r="E574" s="2"/>
      <c r="F574" s="2"/>
      <c r="G574" s="2"/>
      <c r="H574" s="2"/>
      <c r="I574" s="2"/>
    </row>
    <row r="575" spans="1:9" ht="15.75" customHeight="1" x14ac:dyDescent="0.2">
      <c r="A575" s="2"/>
      <c r="B575" s="2"/>
      <c r="C575" s="2"/>
      <c r="D575" s="2"/>
      <c r="E575" s="2"/>
      <c r="F575" s="2"/>
      <c r="G575" s="2"/>
      <c r="H575" s="2"/>
      <c r="I575" s="2"/>
    </row>
    <row r="576" spans="1:9" ht="15.75" customHeight="1" x14ac:dyDescent="0.2">
      <c r="A576" s="2"/>
      <c r="B576" s="2"/>
      <c r="C576" s="2"/>
      <c r="D576" s="2"/>
      <c r="E576" s="2"/>
      <c r="F576" s="2"/>
      <c r="G576" s="2"/>
      <c r="H576" s="2"/>
      <c r="I576" s="2"/>
    </row>
    <row r="577" spans="1:9" ht="15.75" customHeight="1" x14ac:dyDescent="0.2">
      <c r="A577" s="2"/>
      <c r="B577" s="2"/>
      <c r="C577" s="2"/>
      <c r="D577" s="2"/>
      <c r="E577" s="2"/>
      <c r="F577" s="2"/>
      <c r="G577" s="2"/>
      <c r="H577" s="2"/>
      <c r="I577" s="2"/>
    </row>
    <row r="578" spans="1:9" ht="15.75" customHeight="1" x14ac:dyDescent="0.2">
      <c r="A578" s="2"/>
      <c r="B578" s="2"/>
      <c r="C578" s="2"/>
      <c r="D578" s="2"/>
      <c r="E578" s="2"/>
      <c r="F578" s="2"/>
      <c r="G578" s="2"/>
      <c r="H578" s="2"/>
      <c r="I578" s="2"/>
    </row>
    <row r="579" spans="1:9" ht="15.75" customHeight="1" x14ac:dyDescent="0.2">
      <c r="A579" s="2"/>
      <c r="B579" s="2"/>
      <c r="C579" s="2"/>
      <c r="D579" s="2"/>
      <c r="E579" s="2"/>
      <c r="F579" s="2"/>
      <c r="G579" s="2"/>
      <c r="H579" s="2"/>
      <c r="I579" s="2"/>
    </row>
    <row r="580" spans="1:9" ht="15.75" customHeight="1" x14ac:dyDescent="0.2">
      <c r="A580" s="2"/>
      <c r="B580" s="2"/>
      <c r="C580" s="2"/>
      <c r="D580" s="2"/>
      <c r="E580" s="2"/>
      <c r="F580" s="2"/>
      <c r="G580" s="2"/>
      <c r="H580" s="2"/>
      <c r="I580" s="2"/>
    </row>
    <row r="581" spans="1:9" ht="15.75" customHeight="1" x14ac:dyDescent="0.2">
      <c r="A581" s="2"/>
      <c r="B581" s="2"/>
      <c r="C581" s="2"/>
      <c r="D581" s="2"/>
      <c r="E581" s="2"/>
      <c r="F581" s="2"/>
      <c r="G581" s="2"/>
      <c r="H581" s="2"/>
      <c r="I581" s="2"/>
    </row>
    <row r="582" spans="1:9" ht="15.75" customHeight="1" x14ac:dyDescent="0.2">
      <c r="A582" s="2"/>
      <c r="B582" s="2"/>
      <c r="C582" s="2"/>
      <c r="D582" s="2"/>
      <c r="E582" s="2"/>
      <c r="F582" s="2"/>
      <c r="G582" s="2"/>
      <c r="H582" s="2"/>
      <c r="I582" s="2"/>
    </row>
    <row r="583" spans="1:9" ht="15.75" customHeight="1" x14ac:dyDescent="0.2">
      <c r="A583" s="2"/>
      <c r="B583" s="2"/>
      <c r="C583" s="2"/>
      <c r="D583" s="2"/>
      <c r="E583" s="2"/>
      <c r="F583" s="2"/>
      <c r="G583" s="2"/>
      <c r="H583" s="2"/>
      <c r="I583" s="2"/>
    </row>
    <row r="584" spans="1:9" ht="15.75" customHeight="1" x14ac:dyDescent="0.2">
      <c r="A584" s="2"/>
      <c r="B584" s="2"/>
      <c r="C584" s="2"/>
      <c r="D584" s="2"/>
      <c r="E584" s="2"/>
      <c r="F584" s="2"/>
      <c r="G584" s="2"/>
      <c r="H584" s="2"/>
      <c r="I584" s="2"/>
    </row>
    <row r="585" spans="1:9" ht="15.75" customHeight="1" x14ac:dyDescent="0.2">
      <c r="A585" s="2"/>
      <c r="B585" s="2"/>
      <c r="C585" s="2"/>
      <c r="D585" s="2"/>
      <c r="E585" s="2"/>
      <c r="F585" s="2"/>
      <c r="G585" s="2"/>
      <c r="H585" s="2"/>
      <c r="I585" s="2"/>
    </row>
    <row r="586" spans="1:9" ht="15.75" customHeight="1" x14ac:dyDescent="0.2">
      <c r="A586" s="2"/>
      <c r="B586" s="2"/>
      <c r="C586" s="2"/>
      <c r="D586" s="2"/>
      <c r="E586" s="2"/>
      <c r="F586" s="2"/>
      <c r="G586" s="2"/>
      <c r="H586" s="2"/>
      <c r="I586" s="2"/>
    </row>
    <row r="587" spans="1:9" ht="15.75" customHeight="1" x14ac:dyDescent="0.2">
      <c r="A587" s="2"/>
      <c r="B587" s="2"/>
      <c r="C587" s="2"/>
      <c r="D587" s="2"/>
      <c r="E587" s="2"/>
      <c r="F587" s="2"/>
      <c r="G587" s="2"/>
      <c r="H587" s="2"/>
      <c r="I587" s="2"/>
    </row>
    <row r="588" spans="1:9" ht="15.75" customHeight="1" x14ac:dyDescent="0.2">
      <c r="A588" s="2"/>
      <c r="B588" s="2"/>
      <c r="C588" s="2"/>
      <c r="D588" s="2"/>
      <c r="E588" s="2"/>
      <c r="F588" s="2"/>
      <c r="G588" s="2"/>
      <c r="H588" s="2"/>
      <c r="I588" s="2"/>
    </row>
    <row r="589" spans="1:9" ht="15.75" customHeight="1" x14ac:dyDescent="0.2">
      <c r="A589" s="2"/>
      <c r="B589" s="2"/>
      <c r="C589" s="2"/>
      <c r="D589" s="2"/>
      <c r="E589" s="2"/>
      <c r="F589" s="2"/>
      <c r="G589" s="2"/>
      <c r="H589" s="2"/>
      <c r="I589" s="2"/>
    </row>
    <row r="590" spans="1:9" ht="15.75" customHeight="1" x14ac:dyDescent="0.2">
      <c r="A590" s="2"/>
      <c r="B590" s="2"/>
      <c r="C590" s="2"/>
      <c r="D590" s="2"/>
      <c r="E590" s="2"/>
      <c r="F590" s="2"/>
      <c r="G590" s="2"/>
      <c r="H590" s="2"/>
      <c r="I590" s="2"/>
    </row>
    <row r="591" spans="1:9" ht="15.75" customHeight="1" x14ac:dyDescent="0.2">
      <c r="A591" s="2"/>
      <c r="B591" s="2"/>
      <c r="C591" s="2"/>
      <c r="D591" s="2"/>
      <c r="E591" s="2"/>
      <c r="F591" s="2"/>
      <c r="G591" s="2"/>
      <c r="H591" s="2"/>
      <c r="I591" s="2"/>
    </row>
    <row r="592" spans="1:9" ht="15.75" customHeight="1" x14ac:dyDescent="0.2">
      <c r="A592" s="2"/>
      <c r="B592" s="2"/>
      <c r="C592" s="2"/>
      <c r="D592" s="2"/>
      <c r="E592" s="2"/>
      <c r="F592" s="2"/>
      <c r="G592" s="2"/>
      <c r="H592" s="2"/>
      <c r="I592" s="2"/>
    </row>
    <row r="593" spans="1:9" ht="15.75" customHeight="1" x14ac:dyDescent="0.2">
      <c r="A593" s="2"/>
      <c r="B593" s="2"/>
      <c r="C593" s="2"/>
      <c r="D593" s="2"/>
      <c r="E593" s="2"/>
      <c r="F593" s="2"/>
      <c r="G593" s="2"/>
      <c r="H593" s="2"/>
      <c r="I593" s="2"/>
    </row>
    <row r="594" spans="1:9" ht="15.75" customHeight="1" x14ac:dyDescent="0.2">
      <c r="A594" s="2"/>
      <c r="B594" s="2"/>
      <c r="C594" s="2"/>
      <c r="D594" s="2"/>
      <c r="E594" s="2"/>
      <c r="F594" s="2"/>
      <c r="G594" s="2"/>
      <c r="H594" s="2"/>
      <c r="I594" s="2"/>
    </row>
    <row r="595" spans="1:9" ht="15.75" customHeight="1" x14ac:dyDescent="0.2">
      <c r="A595" s="2"/>
      <c r="B595" s="2"/>
      <c r="C595" s="2"/>
      <c r="D595" s="2"/>
      <c r="E595" s="2"/>
      <c r="F595" s="2"/>
      <c r="G595" s="2"/>
      <c r="H595" s="2"/>
      <c r="I595" s="2"/>
    </row>
    <row r="596" spans="1:9" ht="15.75" customHeight="1" x14ac:dyDescent="0.2">
      <c r="A596" s="2"/>
      <c r="B596" s="2"/>
      <c r="C596" s="2"/>
      <c r="D596" s="2"/>
      <c r="E596" s="2"/>
      <c r="F596" s="2"/>
      <c r="G596" s="2"/>
      <c r="H596" s="2"/>
      <c r="I596" s="2"/>
    </row>
    <row r="597" spans="1:9" ht="15.75" customHeight="1" x14ac:dyDescent="0.2">
      <c r="A597" s="2"/>
      <c r="B597" s="2"/>
      <c r="C597" s="2"/>
      <c r="D597" s="2"/>
      <c r="E597" s="2"/>
      <c r="F597" s="2"/>
      <c r="G597" s="2"/>
      <c r="H597" s="2"/>
      <c r="I597" s="2"/>
    </row>
    <row r="598" spans="1:9" ht="15.75" customHeight="1" x14ac:dyDescent="0.2">
      <c r="A598" s="2"/>
      <c r="B598" s="2"/>
      <c r="C598" s="2"/>
      <c r="D598" s="2"/>
      <c r="E598" s="2"/>
      <c r="F598" s="2"/>
      <c r="G598" s="2"/>
      <c r="H598" s="2"/>
      <c r="I598" s="2"/>
    </row>
    <row r="599" spans="1:9" ht="15.75" customHeight="1" x14ac:dyDescent="0.2">
      <c r="A599" s="2"/>
      <c r="B599" s="2"/>
      <c r="C599" s="2"/>
      <c r="D599" s="2"/>
      <c r="E599" s="2"/>
      <c r="F599" s="2"/>
      <c r="G599" s="2"/>
      <c r="H599" s="2"/>
      <c r="I599" s="2"/>
    </row>
    <row r="600" spans="1:9" ht="15.75" customHeight="1" x14ac:dyDescent="0.2">
      <c r="A600" s="2"/>
      <c r="B600" s="2"/>
      <c r="C600" s="2"/>
      <c r="D600" s="2"/>
      <c r="E600" s="2"/>
      <c r="F600" s="2"/>
      <c r="G600" s="2"/>
      <c r="H600" s="2"/>
      <c r="I600" s="2"/>
    </row>
    <row r="601" spans="1:9" ht="15.75" customHeight="1" x14ac:dyDescent="0.2">
      <c r="A601" s="2"/>
      <c r="B601" s="2"/>
      <c r="C601" s="2"/>
      <c r="D601" s="2"/>
      <c r="E601" s="2"/>
      <c r="F601" s="2"/>
      <c r="G601" s="2"/>
      <c r="H601" s="2"/>
      <c r="I601" s="2"/>
    </row>
    <row r="602" spans="1:9" ht="15.75" customHeight="1" x14ac:dyDescent="0.2">
      <c r="A602" s="2"/>
      <c r="B602" s="2"/>
      <c r="C602" s="2"/>
      <c r="D602" s="2"/>
      <c r="E602" s="2"/>
      <c r="F602" s="2"/>
      <c r="G602" s="2"/>
      <c r="H602" s="2"/>
      <c r="I602" s="2"/>
    </row>
    <row r="603" spans="1:9" ht="15.75" customHeight="1" x14ac:dyDescent="0.2">
      <c r="A603" s="2"/>
      <c r="B603" s="2"/>
      <c r="C603" s="2"/>
      <c r="D603" s="2"/>
      <c r="E603" s="2"/>
      <c r="F603" s="2"/>
      <c r="G603" s="2"/>
      <c r="H603" s="2"/>
      <c r="I603" s="2"/>
    </row>
    <row r="604" spans="1:9" ht="15.75" customHeight="1" x14ac:dyDescent="0.2">
      <c r="A604" s="2"/>
      <c r="B604" s="2"/>
      <c r="C604" s="2"/>
      <c r="D604" s="2"/>
      <c r="E604" s="2"/>
      <c r="F604" s="2"/>
      <c r="G604" s="2"/>
      <c r="H604" s="2"/>
      <c r="I604" s="2"/>
    </row>
    <row r="605" spans="1:9" ht="15.75" customHeight="1" x14ac:dyDescent="0.2">
      <c r="A605" s="2"/>
      <c r="B605" s="2"/>
      <c r="C605" s="2"/>
      <c r="D605" s="2"/>
      <c r="E605" s="2"/>
      <c r="F605" s="2"/>
      <c r="G605" s="2"/>
      <c r="H605" s="2"/>
      <c r="I605" s="2"/>
    </row>
    <row r="606" spans="1:9" ht="15.75" customHeight="1" x14ac:dyDescent="0.2">
      <c r="A606" s="2"/>
      <c r="B606" s="2"/>
      <c r="C606" s="2"/>
      <c r="D606" s="2"/>
      <c r="E606" s="2"/>
      <c r="F606" s="2"/>
      <c r="G606" s="2"/>
      <c r="H606" s="2"/>
      <c r="I606" s="2"/>
    </row>
    <row r="607" spans="1:9" ht="15.75" customHeight="1" x14ac:dyDescent="0.2">
      <c r="A607" s="2"/>
      <c r="B607" s="2"/>
      <c r="C607" s="2"/>
      <c r="D607" s="2"/>
      <c r="E607" s="2"/>
      <c r="F607" s="2"/>
      <c r="G607" s="2"/>
      <c r="H607" s="2"/>
      <c r="I607" s="2"/>
    </row>
    <row r="608" spans="1:9" ht="15.75" customHeight="1" x14ac:dyDescent="0.2">
      <c r="A608" s="2"/>
      <c r="B608" s="2"/>
      <c r="C608" s="2"/>
      <c r="D608" s="2"/>
      <c r="E608" s="2"/>
      <c r="F608" s="2"/>
      <c r="G608" s="2"/>
      <c r="H608" s="2"/>
      <c r="I608" s="2"/>
    </row>
    <row r="609" spans="1:9" ht="15.75" customHeight="1" x14ac:dyDescent="0.2">
      <c r="A609" s="2"/>
      <c r="B609" s="2"/>
      <c r="C609" s="2"/>
      <c r="D609" s="2"/>
      <c r="E609" s="2"/>
      <c r="F609" s="2"/>
      <c r="G609" s="2"/>
      <c r="H609" s="2"/>
      <c r="I609" s="2"/>
    </row>
    <row r="610" spans="1:9" ht="15.75" customHeight="1" x14ac:dyDescent="0.2">
      <c r="A610" s="2"/>
      <c r="B610" s="2"/>
      <c r="C610" s="2"/>
      <c r="D610" s="2"/>
      <c r="E610" s="2"/>
      <c r="F610" s="2"/>
      <c r="G610" s="2"/>
      <c r="H610" s="2"/>
      <c r="I610" s="2"/>
    </row>
    <row r="611" spans="1:9" ht="15.75" customHeight="1" x14ac:dyDescent="0.2">
      <c r="A611" s="2"/>
      <c r="B611" s="2"/>
      <c r="C611" s="2"/>
      <c r="D611" s="2"/>
      <c r="E611" s="2"/>
      <c r="F611" s="2"/>
      <c r="G611" s="2"/>
      <c r="H611" s="2"/>
      <c r="I611" s="2"/>
    </row>
    <row r="612" spans="1:9" ht="15.75" customHeight="1" x14ac:dyDescent="0.2">
      <c r="A612" s="2"/>
      <c r="B612" s="2"/>
      <c r="C612" s="2"/>
      <c r="D612" s="2"/>
      <c r="E612" s="2"/>
      <c r="F612" s="2"/>
      <c r="G612" s="2"/>
      <c r="H612" s="2"/>
      <c r="I612" s="2"/>
    </row>
    <row r="613" spans="1:9" ht="15.75" customHeight="1" x14ac:dyDescent="0.2">
      <c r="A613" s="2"/>
      <c r="B613" s="2"/>
      <c r="C613" s="2"/>
      <c r="D613" s="2"/>
      <c r="E613" s="2"/>
      <c r="F613" s="2"/>
      <c r="G613" s="2"/>
      <c r="H613" s="2"/>
      <c r="I613" s="2"/>
    </row>
    <row r="614" spans="1:9" ht="15.75" customHeight="1" x14ac:dyDescent="0.2">
      <c r="A614" s="2"/>
      <c r="B614" s="2"/>
      <c r="C614" s="2"/>
      <c r="D614" s="2"/>
      <c r="E614" s="2"/>
      <c r="F614" s="2"/>
      <c r="G614" s="2"/>
      <c r="H614" s="2"/>
      <c r="I614" s="2"/>
    </row>
    <row r="615" spans="1:9" ht="15.75" customHeight="1" x14ac:dyDescent="0.2">
      <c r="A615" s="2"/>
      <c r="B615" s="2"/>
      <c r="C615" s="2"/>
      <c r="D615" s="2"/>
      <c r="E615" s="2"/>
      <c r="F615" s="2"/>
      <c r="G615" s="2"/>
      <c r="H615" s="2"/>
      <c r="I615" s="2"/>
    </row>
    <row r="616" spans="1:9" ht="15.75" customHeight="1" x14ac:dyDescent="0.2">
      <c r="A616" s="2"/>
      <c r="B616" s="2"/>
      <c r="C616" s="2"/>
      <c r="D616" s="2"/>
      <c r="E616" s="2"/>
      <c r="F616" s="2"/>
      <c r="G616" s="2"/>
      <c r="H616" s="2"/>
      <c r="I616" s="2"/>
    </row>
    <row r="617" spans="1:9" ht="15.75" customHeight="1" x14ac:dyDescent="0.2">
      <c r="A617" s="2"/>
      <c r="B617" s="2"/>
      <c r="C617" s="2"/>
      <c r="D617" s="2"/>
      <c r="E617" s="2"/>
      <c r="F617" s="2"/>
      <c r="G617" s="2"/>
      <c r="H617" s="2"/>
      <c r="I617" s="2"/>
    </row>
    <row r="618" spans="1:9" ht="15.75" customHeight="1" x14ac:dyDescent="0.2">
      <c r="A618" s="2"/>
      <c r="B618" s="2"/>
      <c r="C618" s="2"/>
      <c r="D618" s="2"/>
      <c r="E618" s="2"/>
      <c r="F618" s="2"/>
      <c r="G618" s="2"/>
      <c r="H618" s="2"/>
      <c r="I618" s="2"/>
    </row>
    <row r="619" spans="1:9" ht="15.75" customHeight="1" x14ac:dyDescent="0.2">
      <c r="A619" s="2"/>
      <c r="B619" s="2"/>
      <c r="C619" s="2"/>
      <c r="D619" s="2"/>
      <c r="E619" s="2"/>
      <c r="F619" s="2"/>
      <c r="G619" s="2"/>
      <c r="H619" s="2"/>
      <c r="I619" s="2"/>
    </row>
    <row r="620" spans="1:9" ht="15.75" customHeight="1" x14ac:dyDescent="0.2">
      <c r="A620" s="2"/>
      <c r="B620" s="2"/>
      <c r="C620" s="2"/>
      <c r="D620" s="2"/>
      <c r="E620" s="2"/>
      <c r="F620" s="2"/>
      <c r="G620" s="2"/>
      <c r="H620" s="2"/>
      <c r="I620" s="2"/>
    </row>
    <row r="621" spans="1:9" ht="15.75" customHeight="1" x14ac:dyDescent="0.2">
      <c r="A621" s="2"/>
      <c r="B621" s="2"/>
      <c r="C621" s="2"/>
      <c r="D621" s="2"/>
      <c r="E621" s="2"/>
      <c r="F621" s="2"/>
      <c r="G621" s="2"/>
      <c r="H621" s="2"/>
      <c r="I621" s="2"/>
    </row>
    <row r="622" spans="1:9" ht="15.75" customHeight="1" x14ac:dyDescent="0.2">
      <c r="A622" s="2"/>
      <c r="B622" s="2"/>
      <c r="C622" s="2"/>
      <c r="D622" s="2"/>
      <c r="E622" s="2"/>
      <c r="F622" s="2"/>
      <c r="G622" s="2"/>
      <c r="H622" s="2"/>
      <c r="I622" s="2"/>
    </row>
    <row r="623" spans="1:9" ht="15.75" customHeight="1" x14ac:dyDescent="0.2">
      <c r="A623" s="2"/>
      <c r="B623" s="2"/>
      <c r="C623" s="2"/>
      <c r="D623" s="2"/>
      <c r="E623" s="2"/>
      <c r="F623" s="2"/>
      <c r="G623" s="2"/>
      <c r="H623" s="2"/>
      <c r="I623" s="2"/>
    </row>
    <row r="624" spans="1:9" ht="15.75" customHeight="1" x14ac:dyDescent="0.2">
      <c r="A624" s="2"/>
      <c r="B624" s="2"/>
      <c r="C624" s="2"/>
      <c r="D624" s="2"/>
      <c r="E624" s="2"/>
      <c r="F624" s="2"/>
      <c r="G624" s="2"/>
      <c r="H624" s="2"/>
      <c r="I624" s="2"/>
    </row>
    <row r="625" spans="1:9" ht="15.75" customHeight="1" x14ac:dyDescent="0.2">
      <c r="A625" s="2"/>
      <c r="B625" s="2"/>
      <c r="C625" s="2"/>
      <c r="D625" s="2"/>
      <c r="E625" s="2"/>
      <c r="F625" s="2"/>
      <c r="G625" s="2"/>
      <c r="H625" s="2"/>
      <c r="I625" s="2"/>
    </row>
    <row r="626" spans="1:9" ht="15.75" customHeight="1" x14ac:dyDescent="0.2">
      <c r="A626" s="2"/>
      <c r="B626" s="2"/>
      <c r="C626" s="2"/>
      <c r="D626" s="2"/>
      <c r="E626" s="2"/>
      <c r="F626" s="2"/>
      <c r="G626" s="2"/>
      <c r="H626" s="2"/>
      <c r="I626" s="2"/>
    </row>
    <row r="627" spans="1:9" ht="15.75" customHeight="1" x14ac:dyDescent="0.2">
      <c r="A627" s="2"/>
      <c r="B627" s="2"/>
      <c r="C627" s="2"/>
      <c r="D627" s="2"/>
      <c r="E627" s="2"/>
      <c r="F627" s="2"/>
      <c r="G627" s="2"/>
      <c r="H627" s="2"/>
      <c r="I627" s="2"/>
    </row>
    <row r="628" spans="1:9" ht="15.75" customHeight="1" x14ac:dyDescent="0.2">
      <c r="A628" s="2"/>
      <c r="B628" s="2"/>
      <c r="C628" s="2"/>
      <c r="D628" s="2"/>
      <c r="E628" s="2"/>
      <c r="F628" s="2"/>
      <c r="G628" s="2"/>
      <c r="H628" s="2"/>
      <c r="I628" s="2"/>
    </row>
    <row r="629" spans="1:9" ht="15.75" customHeight="1" x14ac:dyDescent="0.2">
      <c r="A629" s="2"/>
      <c r="B629" s="2"/>
      <c r="C629" s="2"/>
      <c r="D629" s="2"/>
      <c r="E629" s="2"/>
      <c r="F629" s="2"/>
      <c r="G629" s="2"/>
      <c r="H629" s="2"/>
      <c r="I629" s="2"/>
    </row>
    <row r="630" spans="1:9" ht="15.75" customHeight="1" x14ac:dyDescent="0.2">
      <c r="A630" s="2"/>
      <c r="B630" s="2"/>
      <c r="C630" s="2"/>
      <c r="D630" s="2"/>
      <c r="E630" s="2"/>
      <c r="F630" s="2"/>
      <c r="G630" s="2"/>
      <c r="H630" s="2"/>
      <c r="I630" s="2"/>
    </row>
    <row r="631" spans="1:9" ht="15.75" customHeight="1" x14ac:dyDescent="0.2">
      <c r="A631" s="2"/>
      <c r="B631" s="2"/>
      <c r="C631" s="2"/>
      <c r="D631" s="2"/>
      <c r="E631" s="2"/>
      <c r="F631" s="2"/>
      <c r="G631" s="2"/>
      <c r="H631" s="2"/>
      <c r="I631" s="2"/>
    </row>
    <row r="632" spans="1:9" ht="15.75" customHeight="1" x14ac:dyDescent="0.2">
      <c r="A632" s="2"/>
      <c r="B632" s="2"/>
      <c r="C632" s="2"/>
      <c r="D632" s="2"/>
      <c r="E632" s="2"/>
      <c r="F632" s="2"/>
      <c r="G632" s="2"/>
      <c r="H632" s="2"/>
      <c r="I632" s="2"/>
    </row>
    <row r="633" spans="1:9" ht="15.75" customHeight="1" x14ac:dyDescent="0.2">
      <c r="A633" s="2"/>
      <c r="B633" s="2"/>
      <c r="C633" s="2"/>
      <c r="D633" s="2"/>
      <c r="E633" s="2"/>
      <c r="F633" s="2"/>
      <c r="G633" s="2"/>
      <c r="H633" s="2"/>
      <c r="I633" s="2"/>
    </row>
    <row r="634" spans="1:9" ht="15.75" customHeight="1" x14ac:dyDescent="0.2">
      <c r="A634" s="2"/>
      <c r="B634" s="2"/>
      <c r="C634" s="2"/>
      <c r="D634" s="2"/>
      <c r="E634" s="2"/>
      <c r="F634" s="2"/>
      <c r="G634" s="2"/>
      <c r="H634" s="2"/>
      <c r="I634" s="2"/>
    </row>
    <row r="635" spans="1:9" ht="15.75" customHeight="1" x14ac:dyDescent="0.2">
      <c r="A635" s="2"/>
      <c r="B635" s="2"/>
      <c r="C635" s="2"/>
      <c r="D635" s="2"/>
      <c r="E635" s="2"/>
      <c r="F635" s="2"/>
      <c r="G635" s="2"/>
      <c r="H635" s="2"/>
      <c r="I635" s="2"/>
    </row>
    <row r="636" spans="1:9" ht="15.75" customHeight="1" x14ac:dyDescent="0.2">
      <c r="A636" s="2"/>
      <c r="B636" s="2"/>
      <c r="C636" s="2"/>
      <c r="D636" s="2"/>
      <c r="E636" s="2"/>
      <c r="F636" s="2"/>
      <c r="G636" s="2"/>
      <c r="H636" s="2"/>
      <c r="I636" s="2"/>
    </row>
    <row r="637" spans="1:9" ht="15.75" customHeight="1" x14ac:dyDescent="0.2">
      <c r="A637" s="2"/>
      <c r="B637" s="2"/>
      <c r="C637" s="2"/>
      <c r="D637" s="2"/>
      <c r="E637" s="2"/>
      <c r="F637" s="2"/>
      <c r="G637" s="2"/>
      <c r="H637" s="2"/>
      <c r="I637" s="2"/>
    </row>
    <row r="638" spans="1:9" ht="15.75" customHeight="1" x14ac:dyDescent="0.2">
      <c r="A638" s="2"/>
      <c r="B638" s="2"/>
      <c r="C638" s="2"/>
      <c r="D638" s="2"/>
      <c r="E638" s="2"/>
      <c r="F638" s="2"/>
      <c r="G638" s="2"/>
      <c r="H638" s="2"/>
      <c r="I638" s="2"/>
    </row>
    <row r="639" spans="1:9" ht="15.75" customHeight="1" x14ac:dyDescent="0.2">
      <c r="A639" s="2"/>
      <c r="B639" s="2"/>
      <c r="C639" s="2"/>
      <c r="D639" s="2"/>
      <c r="E639" s="2"/>
      <c r="F639" s="2"/>
      <c r="G639" s="2"/>
      <c r="H639" s="2"/>
      <c r="I639" s="2"/>
    </row>
    <row r="640" spans="1:9" ht="15.75" customHeight="1" x14ac:dyDescent="0.2">
      <c r="A640" s="2"/>
      <c r="B640" s="2"/>
      <c r="C640" s="2"/>
      <c r="D640" s="2"/>
      <c r="E640" s="2"/>
      <c r="F640" s="2"/>
      <c r="G640" s="2"/>
      <c r="H640" s="2"/>
      <c r="I640" s="2"/>
    </row>
    <row r="641" spans="1:9" ht="15.75" customHeight="1" x14ac:dyDescent="0.2">
      <c r="A641" s="2"/>
      <c r="B641" s="2"/>
      <c r="C641" s="2"/>
      <c r="D641" s="2"/>
      <c r="E641" s="2"/>
      <c r="F641" s="2"/>
      <c r="G641" s="2"/>
      <c r="H641" s="2"/>
      <c r="I641" s="2"/>
    </row>
    <row r="642" spans="1:9" ht="15.75" customHeight="1" x14ac:dyDescent="0.2">
      <c r="A642" s="2"/>
      <c r="B642" s="2"/>
      <c r="C642" s="2"/>
      <c r="D642" s="2"/>
      <c r="E642" s="2"/>
      <c r="F642" s="2"/>
      <c r="G642" s="2"/>
      <c r="H642" s="2"/>
      <c r="I642" s="2"/>
    </row>
    <row r="643" spans="1:9" ht="15.75" customHeight="1" x14ac:dyDescent="0.2">
      <c r="A643" s="2"/>
      <c r="B643" s="2"/>
      <c r="C643" s="2"/>
      <c r="D643" s="2"/>
      <c r="E643" s="2"/>
      <c r="F643" s="2"/>
      <c r="G643" s="2"/>
      <c r="H643" s="2"/>
      <c r="I643" s="2"/>
    </row>
    <row r="644" spans="1:9" ht="15.75" customHeight="1" x14ac:dyDescent="0.2">
      <c r="A644" s="2"/>
      <c r="B644" s="2"/>
      <c r="C644" s="2"/>
      <c r="D644" s="2"/>
      <c r="E644" s="2"/>
      <c r="F644" s="2"/>
      <c r="G644" s="2"/>
      <c r="H644" s="2"/>
      <c r="I644" s="2"/>
    </row>
    <row r="645" spans="1:9" ht="15.75" customHeight="1" x14ac:dyDescent="0.2">
      <c r="A645" s="2"/>
      <c r="B645" s="2"/>
      <c r="C645" s="2"/>
      <c r="D645" s="2"/>
      <c r="E645" s="2"/>
      <c r="F645" s="2"/>
      <c r="G645" s="2"/>
      <c r="H645" s="2"/>
      <c r="I645" s="2"/>
    </row>
    <row r="646" spans="1:9" ht="15.75" customHeight="1" x14ac:dyDescent="0.2">
      <c r="A646" s="2"/>
      <c r="B646" s="2"/>
      <c r="C646" s="2"/>
      <c r="D646" s="2"/>
      <c r="E646" s="2"/>
      <c r="F646" s="2"/>
      <c r="G646" s="2"/>
      <c r="H646" s="2"/>
      <c r="I646" s="2"/>
    </row>
    <row r="647" spans="1:9" ht="15.75" customHeight="1" x14ac:dyDescent="0.2">
      <c r="A647" s="2"/>
      <c r="B647" s="2"/>
      <c r="C647" s="2"/>
      <c r="D647" s="2"/>
      <c r="E647" s="2"/>
      <c r="F647" s="2"/>
      <c r="G647" s="2"/>
      <c r="H647" s="2"/>
      <c r="I647" s="2"/>
    </row>
    <row r="648" spans="1:9" ht="15.75" customHeight="1" x14ac:dyDescent="0.2">
      <c r="A648" s="2"/>
      <c r="B648" s="2"/>
      <c r="C648" s="2"/>
      <c r="D648" s="2"/>
      <c r="E648" s="2"/>
      <c r="F648" s="2"/>
      <c r="G648" s="2"/>
      <c r="H648" s="2"/>
      <c r="I648" s="2"/>
    </row>
    <row r="649" spans="1:9" ht="15.75" customHeight="1" x14ac:dyDescent="0.2">
      <c r="A649" s="2"/>
      <c r="B649" s="2"/>
      <c r="C649" s="2"/>
      <c r="D649" s="2"/>
      <c r="E649" s="2"/>
      <c r="F649" s="2"/>
      <c r="G649" s="2"/>
      <c r="H649" s="2"/>
      <c r="I649" s="2"/>
    </row>
    <row r="650" spans="1:9" ht="15.75" customHeight="1" x14ac:dyDescent="0.2">
      <c r="A650" s="2"/>
      <c r="B650" s="2"/>
      <c r="C650" s="2"/>
      <c r="D650" s="2"/>
      <c r="E650" s="2"/>
      <c r="F650" s="2"/>
      <c r="G650" s="2"/>
      <c r="H650" s="2"/>
      <c r="I650" s="2"/>
    </row>
    <row r="651" spans="1:9" ht="15.75" customHeight="1" x14ac:dyDescent="0.2">
      <c r="A651" s="2"/>
      <c r="B651" s="2"/>
      <c r="C651" s="2"/>
      <c r="D651" s="2"/>
      <c r="E651" s="2"/>
      <c r="F651" s="2"/>
      <c r="G651" s="2"/>
      <c r="H651" s="2"/>
      <c r="I651" s="2"/>
    </row>
    <row r="652" spans="1:9" ht="15.75" customHeight="1" x14ac:dyDescent="0.2">
      <c r="A652" s="2"/>
      <c r="B652" s="2"/>
      <c r="C652" s="2"/>
      <c r="D652" s="2"/>
      <c r="E652" s="2"/>
      <c r="F652" s="2"/>
      <c r="G652" s="2"/>
      <c r="H652" s="2"/>
      <c r="I652" s="2"/>
    </row>
    <row r="653" spans="1:9" ht="15.75" customHeight="1" x14ac:dyDescent="0.2">
      <c r="A653" s="2"/>
      <c r="B653" s="2"/>
      <c r="C653" s="2"/>
      <c r="D653" s="2"/>
      <c r="E653" s="2"/>
      <c r="F653" s="2"/>
      <c r="G653" s="2"/>
      <c r="H653" s="2"/>
      <c r="I653" s="2"/>
    </row>
    <row r="654" spans="1:9" ht="15.75" customHeight="1" x14ac:dyDescent="0.2">
      <c r="A654" s="2"/>
      <c r="B654" s="2"/>
      <c r="C654" s="2"/>
      <c r="D654" s="2"/>
      <c r="E654" s="2"/>
      <c r="F654" s="2"/>
      <c r="G654" s="2"/>
      <c r="H654" s="2"/>
      <c r="I654" s="2"/>
    </row>
    <row r="655" spans="1:9" ht="15.75" customHeight="1" x14ac:dyDescent="0.2">
      <c r="A655" s="2"/>
      <c r="B655" s="2"/>
      <c r="C655" s="2"/>
      <c r="D655" s="2"/>
      <c r="E655" s="2"/>
      <c r="F655" s="2"/>
      <c r="G655" s="2"/>
      <c r="H655" s="2"/>
      <c r="I655" s="2"/>
    </row>
    <row r="656" spans="1:9" ht="15.75" customHeight="1" x14ac:dyDescent="0.2">
      <c r="A656" s="2"/>
      <c r="B656" s="2"/>
      <c r="C656" s="2"/>
      <c r="D656" s="2"/>
      <c r="E656" s="2"/>
      <c r="F656" s="2"/>
      <c r="G656" s="2"/>
      <c r="H656" s="2"/>
      <c r="I656" s="2"/>
    </row>
    <row r="657" spans="1:9" ht="15.75" customHeight="1" x14ac:dyDescent="0.2">
      <c r="A657" s="2"/>
      <c r="B657" s="2"/>
      <c r="C657" s="2"/>
      <c r="D657" s="2"/>
      <c r="E657" s="2"/>
      <c r="F657" s="2"/>
      <c r="G657" s="2"/>
      <c r="H657" s="2"/>
      <c r="I657" s="2"/>
    </row>
    <row r="658" spans="1:9" ht="15.75" customHeight="1" x14ac:dyDescent="0.2">
      <c r="A658" s="2"/>
      <c r="B658" s="2"/>
      <c r="C658" s="2"/>
      <c r="D658" s="2"/>
      <c r="E658" s="2"/>
      <c r="F658" s="2"/>
      <c r="G658" s="2"/>
      <c r="H658" s="2"/>
      <c r="I658" s="2"/>
    </row>
    <row r="659" spans="1:9" ht="15.75" customHeight="1" x14ac:dyDescent="0.2">
      <c r="A659" s="2"/>
      <c r="B659" s="2"/>
      <c r="C659" s="2"/>
      <c r="D659" s="2"/>
      <c r="E659" s="2"/>
      <c r="F659" s="2"/>
      <c r="G659" s="2"/>
      <c r="H659" s="2"/>
      <c r="I659" s="2"/>
    </row>
    <row r="660" spans="1:9" ht="15.75" customHeight="1" x14ac:dyDescent="0.2">
      <c r="A660" s="2"/>
      <c r="B660" s="2"/>
      <c r="C660" s="2"/>
      <c r="D660" s="2"/>
      <c r="E660" s="2"/>
      <c r="F660" s="2"/>
      <c r="G660" s="2"/>
      <c r="H660" s="2"/>
      <c r="I660" s="2"/>
    </row>
    <row r="661" spans="1:9" ht="15.75" customHeight="1" x14ac:dyDescent="0.2">
      <c r="A661" s="2"/>
      <c r="B661" s="2"/>
      <c r="C661" s="2"/>
      <c r="D661" s="2"/>
      <c r="E661" s="2"/>
      <c r="F661" s="2"/>
      <c r="G661" s="2"/>
      <c r="H661" s="2"/>
      <c r="I661" s="2"/>
    </row>
    <row r="662" spans="1:9" ht="15.75" customHeight="1" x14ac:dyDescent="0.2">
      <c r="A662" s="2"/>
      <c r="B662" s="2"/>
      <c r="C662" s="2"/>
      <c r="D662" s="2"/>
      <c r="E662" s="2"/>
      <c r="F662" s="2"/>
      <c r="G662" s="2"/>
      <c r="H662" s="2"/>
      <c r="I662" s="2"/>
    </row>
    <row r="663" spans="1:9" ht="15.75" customHeight="1" x14ac:dyDescent="0.2">
      <c r="A663" s="2"/>
      <c r="B663" s="2"/>
      <c r="C663" s="2"/>
      <c r="D663" s="2"/>
      <c r="E663" s="2"/>
      <c r="F663" s="2"/>
      <c r="G663" s="2"/>
      <c r="H663" s="2"/>
      <c r="I663" s="2"/>
    </row>
    <row r="664" spans="1:9" ht="15.75" customHeight="1" x14ac:dyDescent="0.2">
      <c r="A664" s="2"/>
      <c r="B664" s="2"/>
      <c r="C664" s="2"/>
      <c r="D664" s="2"/>
      <c r="E664" s="2"/>
      <c r="F664" s="2"/>
      <c r="G664" s="2"/>
      <c r="H664" s="2"/>
      <c r="I664" s="2"/>
    </row>
    <row r="665" spans="1:9" ht="15.75" customHeight="1" x14ac:dyDescent="0.2">
      <c r="A665" s="2"/>
      <c r="B665" s="2"/>
      <c r="C665" s="2"/>
      <c r="D665" s="2"/>
      <c r="E665" s="2"/>
      <c r="F665" s="2"/>
      <c r="G665" s="2"/>
      <c r="H665" s="2"/>
      <c r="I665" s="2"/>
    </row>
    <row r="666" spans="1:9" ht="15.75" customHeight="1" x14ac:dyDescent="0.2">
      <c r="A666" s="2"/>
      <c r="B666" s="2"/>
      <c r="C666" s="2"/>
      <c r="D666" s="2"/>
      <c r="E666" s="2"/>
      <c r="F666" s="2"/>
      <c r="G666" s="2"/>
      <c r="H666" s="2"/>
      <c r="I666" s="2"/>
    </row>
    <row r="667" spans="1:9" ht="15.75" customHeight="1" x14ac:dyDescent="0.2">
      <c r="A667" s="2"/>
      <c r="B667" s="2"/>
      <c r="C667" s="2"/>
      <c r="D667" s="2"/>
      <c r="E667" s="2"/>
      <c r="F667" s="2"/>
      <c r="G667" s="2"/>
      <c r="H667" s="2"/>
      <c r="I667" s="2"/>
    </row>
    <row r="668" spans="1:9" ht="15.75" customHeight="1" x14ac:dyDescent="0.2">
      <c r="A668" s="2"/>
      <c r="B668" s="2"/>
      <c r="C668" s="2"/>
      <c r="D668" s="2"/>
      <c r="E668" s="2"/>
      <c r="F668" s="2"/>
      <c r="G668" s="2"/>
      <c r="H668" s="2"/>
      <c r="I668" s="2"/>
    </row>
    <row r="669" spans="1:9" ht="15.75" customHeight="1" x14ac:dyDescent="0.2">
      <c r="A669" s="2"/>
      <c r="B669" s="2"/>
      <c r="C669" s="2"/>
      <c r="D669" s="2"/>
      <c r="E669" s="2"/>
      <c r="F669" s="2"/>
      <c r="G669" s="2"/>
      <c r="H669" s="2"/>
      <c r="I669" s="2"/>
    </row>
    <row r="670" spans="1:9" ht="15.75" customHeight="1" x14ac:dyDescent="0.2">
      <c r="A670" s="2"/>
      <c r="B670" s="2"/>
      <c r="C670" s="2"/>
      <c r="D670" s="2"/>
      <c r="E670" s="2"/>
      <c r="F670" s="2"/>
      <c r="G670" s="2"/>
      <c r="H670" s="2"/>
      <c r="I670" s="2"/>
    </row>
    <row r="671" spans="1:9" ht="15.75" customHeight="1" x14ac:dyDescent="0.2">
      <c r="A671" s="2"/>
      <c r="B671" s="2"/>
      <c r="C671" s="2"/>
      <c r="D671" s="2"/>
      <c r="E671" s="2"/>
      <c r="F671" s="2"/>
      <c r="G671" s="2"/>
      <c r="H671" s="2"/>
      <c r="I671" s="2"/>
    </row>
    <row r="672" spans="1:9" ht="15.75" customHeight="1" x14ac:dyDescent="0.2">
      <c r="A672" s="2"/>
      <c r="B672" s="2"/>
      <c r="C672" s="2"/>
      <c r="D672" s="2"/>
      <c r="E672" s="2"/>
      <c r="F672" s="2"/>
      <c r="G672" s="2"/>
      <c r="H672" s="2"/>
      <c r="I672" s="2"/>
    </row>
    <row r="673" spans="1:9" ht="15.75" customHeight="1" x14ac:dyDescent="0.2">
      <c r="A673" s="2"/>
      <c r="B673" s="2"/>
      <c r="C673" s="2"/>
      <c r="D673" s="2"/>
      <c r="E673" s="2"/>
      <c r="F673" s="2"/>
      <c r="G673" s="2"/>
      <c r="H673" s="2"/>
      <c r="I673" s="2"/>
    </row>
    <row r="674" spans="1:9" ht="15.75" customHeight="1" x14ac:dyDescent="0.2">
      <c r="A674" s="2"/>
      <c r="B674" s="2"/>
      <c r="C674" s="2"/>
      <c r="D674" s="2"/>
      <c r="E674" s="2"/>
      <c r="F674" s="2"/>
      <c r="G674" s="2"/>
      <c r="H674" s="2"/>
      <c r="I674" s="2"/>
    </row>
    <row r="675" spans="1:9" ht="15.75" customHeight="1" x14ac:dyDescent="0.2">
      <c r="A675" s="2"/>
      <c r="B675" s="2"/>
      <c r="C675" s="2"/>
      <c r="D675" s="2"/>
      <c r="E675" s="2"/>
      <c r="F675" s="2"/>
      <c r="G675" s="2"/>
      <c r="H675" s="2"/>
      <c r="I675" s="2"/>
    </row>
    <row r="676" spans="1:9" ht="15.75" customHeight="1" x14ac:dyDescent="0.2">
      <c r="A676" s="2"/>
      <c r="B676" s="2"/>
      <c r="C676" s="2"/>
      <c r="D676" s="2"/>
      <c r="E676" s="2"/>
      <c r="F676" s="2"/>
      <c r="G676" s="2"/>
      <c r="H676" s="2"/>
      <c r="I676" s="2"/>
    </row>
    <row r="677" spans="1:9" ht="15.75" customHeight="1" x14ac:dyDescent="0.2">
      <c r="A677" s="2"/>
      <c r="B677" s="2"/>
      <c r="C677" s="2"/>
      <c r="D677" s="2"/>
      <c r="E677" s="2"/>
      <c r="F677" s="2"/>
      <c r="G677" s="2"/>
      <c r="H677" s="2"/>
      <c r="I677" s="2"/>
    </row>
    <row r="678" spans="1:9" ht="15.75" customHeight="1" x14ac:dyDescent="0.2">
      <c r="A678" s="2"/>
      <c r="B678" s="2"/>
      <c r="C678" s="2"/>
      <c r="D678" s="2"/>
      <c r="E678" s="2"/>
      <c r="F678" s="2"/>
      <c r="G678" s="2"/>
      <c r="H678" s="2"/>
      <c r="I678" s="2"/>
    </row>
    <row r="679" spans="1:9" ht="15.75" customHeight="1" x14ac:dyDescent="0.2">
      <c r="A679" s="2"/>
      <c r="B679" s="2"/>
      <c r="C679" s="2"/>
      <c r="D679" s="2"/>
      <c r="E679" s="2"/>
      <c r="F679" s="2"/>
      <c r="G679" s="2"/>
      <c r="H679" s="2"/>
      <c r="I679" s="2"/>
    </row>
    <row r="680" spans="1:9" ht="15.75" customHeight="1" x14ac:dyDescent="0.2">
      <c r="A680" s="2"/>
      <c r="B680" s="2"/>
      <c r="C680" s="2"/>
      <c r="D680" s="2"/>
      <c r="E680" s="2"/>
      <c r="F680" s="2"/>
      <c r="G680" s="2"/>
      <c r="H680" s="2"/>
      <c r="I680" s="2"/>
    </row>
    <row r="681" spans="1:9" ht="15.75" customHeight="1" x14ac:dyDescent="0.2">
      <c r="A681" s="2"/>
      <c r="B681" s="2"/>
      <c r="C681" s="2"/>
      <c r="D681" s="2"/>
      <c r="E681" s="2"/>
      <c r="F681" s="2"/>
      <c r="G681" s="2"/>
      <c r="H681" s="2"/>
      <c r="I681" s="2"/>
    </row>
    <row r="682" spans="1:9" ht="15.75" customHeight="1" x14ac:dyDescent="0.2">
      <c r="A682" s="2"/>
      <c r="B682" s="2"/>
      <c r="C682" s="2"/>
      <c r="D682" s="2"/>
      <c r="E682" s="2"/>
      <c r="F682" s="2"/>
      <c r="G682" s="2"/>
      <c r="H682" s="2"/>
      <c r="I682" s="2"/>
    </row>
    <row r="683" spans="1:9" ht="15.75" customHeight="1" x14ac:dyDescent="0.2">
      <c r="A683" s="2"/>
      <c r="B683" s="2"/>
      <c r="C683" s="2"/>
      <c r="D683" s="2"/>
      <c r="E683" s="2"/>
      <c r="F683" s="2"/>
      <c r="G683" s="2"/>
      <c r="H683" s="2"/>
      <c r="I683" s="2"/>
    </row>
    <row r="684" spans="1:9" ht="15.75" customHeight="1" x14ac:dyDescent="0.2">
      <c r="A684" s="2"/>
      <c r="B684" s="2"/>
      <c r="C684" s="2"/>
      <c r="D684" s="2"/>
      <c r="E684" s="2"/>
      <c r="F684" s="2"/>
      <c r="G684" s="2"/>
      <c r="H684" s="2"/>
      <c r="I684" s="2"/>
    </row>
    <row r="685" spans="1:9" ht="15.75" customHeight="1" x14ac:dyDescent="0.2">
      <c r="A685" s="2"/>
      <c r="B685" s="2"/>
      <c r="C685" s="2"/>
      <c r="D685" s="2"/>
      <c r="E685" s="2"/>
      <c r="F685" s="2"/>
      <c r="G685" s="2"/>
      <c r="H685" s="2"/>
      <c r="I685" s="2"/>
    </row>
    <row r="686" spans="1:9" ht="15.75" customHeight="1" x14ac:dyDescent="0.2">
      <c r="A686" s="2"/>
      <c r="B686" s="2"/>
      <c r="C686" s="2"/>
      <c r="D686" s="2"/>
      <c r="E686" s="2"/>
      <c r="F686" s="2"/>
      <c r="G686" s="2"/>
      <c r="H686" s="2"/>
      <c r="I686" s="2"/>
    </row>
    <row r="687" spans="1:9" ht="15.75" customHeight="1" x14ac:dyDescent="0.2">
      <c r="A687" s="2"/>
      <c r="B687" s="2"/>
      <c r="C687" s="2"/>
      <c r="D687" s="2"/>
      <c r="E687" s="2"/>
      <c r="F687" s="2"/>
      <c r="G687" s="2"/>
      <c r="H687" s="2"/>
      <c r="I687" s="2"/>
    </row>
    <row r="688" spans="1:9" ht="15.75" customHeight="1" x14ac:dyDescent="0.2">
      <c r="A688" s="2"/>
      <c r="B688" s="2"/>
      <c r="C688" s="2"/>
      <c r="D688" s="2"/>
      <c r="E688" s="2"/>
      <c r="F688" s="2"/>
      <c r="G688" s="2"/>
      <c r="H688" s="2"/>
      <c r="I688" s="2"/>
    </row>
    <row r="689" spans="1:9" ht="15.75" customHeight="1" x14ac:dyDescent="0.2">
      <c r="A689" s="2"/>
      <c r="B689" s="2"/>
      <c r="C689" s="2"/>
      <c r="D689" s="2"/>
      <c r="E689" s="2"/>
      <c r="F689" s="2"/>
      <c r="G689" s="2"/>
      <c r="H689" s="2"/>
      <c r="I689" s="2"/>
    </row>
    <row r="690" spans="1:9" ht="15.75" customHeight="1" x14ac:dyDescent="0.2">
      <c r="A690" s="2"/>
      <c r="B690" s="2"/>
      <c r="C690" s="2"/>
      <c r="D690" s="2"/>
      <c r="E690" s="2"/>
      <c r="F690" s="2"/>
      <c r="G690" s="2"/>
      <c r="H690" s="2"/>
      <c r="I690" s="2"/>
    </row>
    <row r="691" spans="1:9" ht="15.75" customHeight="1" x14ac:dyDescent="0.2">
      <c r="A691" s="2"/>
      <c r="B691" s="2"/>
      <c r="C691" s="2"/>
      <c r="D691" s="2"/>
      <c r="E691" s="2"/>
      <c r="F691" s="2"/>
      <c r="G691" s="2"/>
      <c r="H691" s="2"/>
      <c r="I691" s="2"/>
    </row>
    <row r="692" spans="1:9" ht="15.75" customHeight="1" x14ac:dyDescent="0.2">
      <c r="A692" s="2"/>
      <c r="B692" s="2"/>
      <c r="C692" s="2"/>
      <c r="D692" s="2"/>
      <c r="E692" s="2"/>
      <c r="F692" s="2"/>
      <c r="G692" s="2"/>
      <c r="H692" s="2"/>
      <c r="I692" s="2"/>
    </row>
    <row r="693" spans="1:9" ht="15.75" customHeight="1" x14ac:dyDescent="0.2">
      <c r="A693" s="2"/>
      <c r="B693" s="2"/>
      <c r="C693" s="2"/>
      <c r="D693" s="2"/>
      <c r="E693" s="2"/>
      <c r="F693" s="2"/>
      <c r="G693" s="2"/>
      <c r="H693" s="2"/>
      <c r="I693" s="2"/>
    </row>
    <row r="694" spans="1:9" ht="15.75" customHeight="1" x14ac:dyDescent="0.2">
      <c r="A694" s="2"/>
      <c r="B694" s="2"/>
      <c r="C694" s="2"/>
      <c r="D694" s="2"/>
      <c r="E694" s="2"/>
      <c r="F694" s="2"/>
      <c r="G694" s="2"/>
      <c r="H694" s="2"/>
      <c r="I694" s="2"/>
    </row>
    <row r="695" spans="1:9" ht="15.75" customHeight="1" x14ac:dyDescent="0.2">
      <c r="A695" s="2"/>
      <c r="B695" s="2"/>
      <c r="C695" s="2"/>
      <c r="D695" s="2"/>
      <c r="E695" s="2"/>
      <c r="F695" s="2"/>
      <c r="G695" s="2"/>
      <c r="H695" s="2"/>
      <c r="I695" s="2"/>
    </row>
    <row r="696" spans="1:9" ht="15.75" customHeight="1" x14ac:dyDescent="0.2">
      <c r="A696" s="2"/>
      <c r="B696" s="2"/>
      <c r="C696" s="2"/>
      <c r="D696" s="2"/>
      <c r="E696" s="2"/>
      <c r="F696" s="2"/>
      <c r="G696" s="2"/>
      <c r="H696" s="2"/>
      <c r="I696" s="2"/>
    </row>
    <row r="697" spans="1:9" ht="15.75" customHeight="1" x14ac:dyDescent="0.2">
      <c r="A697" s="2"/>
      <c r="B697" s="2"/>
      <c r="C697" s="2"/>
      <c r="D697" s="2"/>
      <c r="E697" s="2"/>
      <c r="F697" s="2"/>
      <c r="G697" s="2"/>
      <c r="H697" s="2"/>
      <c r="I697" s="2"/>
    </row>
    <row r="698" spans="1:9" ht="15.75" customHeight="1" x14ac:dyDescent="0.2">
      <c r="A698" s="2"/>
      <c r="B698" s="2"/>
      <c r="C698" s="2"/>
      <c r="D698" s="2"/>
      <c r="E698" s="2"/>
      <c r="F698" s="2"/>
      <c r="G698" s="2"/>
      <c r="H698" s="2"/>
      <c r="I698" s="2"/>
    </row>
    <row r="699" spans="1:9" ht="15.75" customHeight="1" x14ac:dyDescent="0.2">
      <c r="A699" s="2"/>
      <c r="B699" s="2"/>
      <c r="C699" s="2"/>
      <c r="D699" s="2"/>
      <c r="E699" s="2"/>
      <c r="F699" s="2"/>
      <c r="G699" s="2"/>
      <c r="H699" s="2"/>
      <c r="I699" s="2"/>
    </row>
    <row r="700" spans="1:9" ht="15.75" customHeight="1" x14ac:dyDescent="0.2">
      <c r="A700" s="2"/>
      <c r="B700" s="2"/>
      <c r="C700" s="2"/>
      <c r="D700" s="2"/>
      <c r="E700" s="2"/>
      <c r="F700" s="2"/>
      <c r="G700" s="2"/>
      <c r="H700" s="2"/>
      <c r="I700" s="2"/>
    </row>
    <row r="701" spans="1:9" ht="15.75" customHeight="1" x14ac:dyDescent="0.2">
      <c r="A701" s="2"/>
      <c r="B701" s="2"/>
      <c r="C701" s="2"/>
      <c r="D701" s="2"/>
      <c r="E701" s="2"/>
      <c r="F701" s="2"/>
      <c r="G701" s="2"/>
      <c r="H701" s="2"/>
      <c r="I701" s="2"/>
    </row>
    <row r="702" spans="1:9" ht="15.75" customHeight="1" x14ac:dyDescent="0.2">
      <c r="A702" s="2"/>
      <c r="B702" s="2"/>
      <c r="C702" s="2"/>
      <c r="D702" s="2"/>
      <c r="E702" s="2"/>
      <c r="F702" s="2"/>
      <c r="G702" s="2"/>
      <c r="H702" s="2"/>
      <c r="I702" s="2"/>
    </row>
    <row r="703" spans="1:9" ht="15.75" customHeight="1" x14ac:dyDescent="0.2">
      <c r="A703" s="2"/>
      <c r="B703" s="2"/>
      <c r="C703" s="2"/>
      <c r="D703" s="2"/>
      <c r="E703" s="2"/>
      <c r="F703" s="2"/>
      <c r="G703" s="2"/>
      <c r="H703" s="2"/>
      <c r="I703" s="2"/>
    </row>
    <row r="704" spans="1:9" ht="15.75" customHeight="1" x14ac:dyDescent="0.2">
      <c r="A704" s="2"/>
      <c r="B704" s="2"/>
      <c r="C704" s="2"/>
      <c r="D704" s="2"/>
      <c r="E704" s="2"/>
      <c r="F704" s="2"/>
      <c r="G704" s="2"/>
      <c r="H704" s="2"/>
      <c r="I704" s="2"/>
    </row>
    <row r="705" spans="1:9" ht="15.75" customHeight="1" x14ac:dyDescent="0.2">
      <c r="A705" s="2"/>
      <c r="B705" s="2"/>
      <c r="C705" s="2"/>
      <c r="D705" s="2"/>
      <c r="E705" s="2"/>
      <c r="F705" s="2"/>
      <c r="G705" s="2"/>
      <c r="H705" s="2"/>
      <c r="I705" s="2"/>
    </row>
    <row r="706" spans="1:9" ht="15.75" customHeight="1" x14ac:dyDescent="0.2">
      <c r="A706" s="2"/>
      <c r="B706" s="2"/>
      <c r="C706" s="2"/>
      <c r="D706" s="2"/>
      <c r="E706" s="2"/>
      <c r="F706" s="2"/>
      <c r="G706" s="2"/>
      <c r="H706" s="2"/>
      <c r="I706" s="2"/>
    </row>
    <row r="707" spans="1:9" ht="15.75" customHeight="1" x14ac:dyDescent="0.2">
      <c r="A707" s="2"/>
      <c r="B707" s="2"/>
      <c r="C707" s="2"/>
      <c r="D707" s="2"/>
      <c r="E707" s="2"/>
      <c r="F707" s="2"/>
      <c r="G707" s="2"/>
      <c r="H707" s="2"/>
      <c r="I707" s="2"/>
    </row>
    <row r="708" spans="1:9" ht="15.75" customHeight="1" x14ac:dyDescent="0.2">
      <c r="A708" s="2"/>
      <c r="B708" s="2"/>
      <c r="C708" s="2"/>
      <c r="D708" s="2"/>
      <c r="E708" s="2"/>
      <c r="F708" s="2"/>
      <c r="G708" s="2"/>
      <c r="H708" s="2"/>
      <c r="I708" s="2"/>
    </row>
    <row r="709" spans="1:9" ht="15.75" customHeight="1" x14ac:dyDescent="0.2">
      <c r="A709" s="2"/>
      <c r="B709" s="2"/>
      <c r="C709" s="2"/>
      <c r="D709" s="2"/>
      <c r="E709" s="2"/>
      <c r="F709" s="2"/>
      <c r="G709" s="2"/>
      <c r="H709" s="2"/>
      <c r="I709" s="2"/>
    </row>
    <row r="710" spans="1:9" ht="15.75" customHeight="1" x14ac:dyDescent="0.2">
      <c r="A710" s="2"/>
      <c r="B710" s="2"/>
      <c r="C710" s="2"/>
      <c r="D710" s="2"/>
      <c r="E710" s="2"/>
      <c r="F710" s="2"/>
      <c r="G710" s="2"/>
      <c r="H710" s="2"/>
      <c r="I710" s="2"/>
    </row>
    <row r="711" spans="1:9" ht="15.75" customHeight="1" x14ac:dyDescent="0.2">
      <c r="A711" s="2"/>
      <c r="B711" s="2"/>
      <c r="C711" s="2"/>
      <c r="D711" s="2"/>
      <c r="E711" s="2"/>
      <c r="F711" s="2"/>
      <c r="G711" s="2"/>
      <c r="H711" s="2"/>
      <c r="I711" s="2"/>
    </row>
    <row r="712" spans="1:9" ht="15.75" customHeight="1" x14ac:dyDescent="0.2">
      <c r="A712" s="2"/>
      <c r="B712" s="2"/>
      <c r="C712" s="2"/>
      <c r="D712" s="2"/>
      <c r="E712" s="2"/>
      <c r="F712" s="2"/>
      <c r="G712" s="2"/>
      <c r="H712" s="2"/>
      <c r="I712" s="2"/>
    </row>
    <row r="713" spans="1:9" ht="15.75" customHeight="1" x14ac:dyDescent="0.2">
      <c r="A713" s="2"/>
      <c r="B713" s="2"/>
      <c r="C713" s="2"/>
      <c r="D713" s="2"/>
      <c r="E713" s="2"/>
      <c r="F713" s="2"/>
      <c r="G713" s="2"/>
      <c r="H713" s="2"/>
      <c r="I713" s="2"/>
    </row>
    <row r="714" spans="1:9" ht="15.75" customHeight="1" x14ac:dyDescent="0.2">
      <c r="A714" s="2"/>
      <c r="B714" s="2"/>
      <c r="C714" s="2"/>
      <c r="D714" s="2"/>
      <c r="E714" s="2"/>
      <c r="F714" s="2"/>
      <c r="G714" s="2"/>
      <c r="H714" s="2"/>
      <c r="I714" s="2"/>
    </row>
    <row r="715" spans="1:9" ht="15.75" customHeight="1" x14ac:dyDescent="0.2">
      <c r="A715" s="2"/>
      <c r="B715" s="2"/>
      <c r="C715" s="2"/>
      <c r="D715" s="2"/>
      <c r="E715" s="2"/>
      <c r="F715" s="2"/>
      <c r="G715" s="2"/>
      <c r="H715" s="2"/>
      <c r="I715" s="2"/>
    </row>
    <row r="716" spans="1:9" ht="15.75" customHeight="1" x14ac:dyDescent="0.2">
      <c r="A716" s="2"/>
      <c r="B716" s="2"/>
      <c r="C716" s="2"/>
      <c r="D716" s="2"/>
      <c r="E716" s="2"/>
      <c r="F716" s="2"/>
      <c r="G716" s="2"/>
      <c r="H716" s="2"/>
      <c r="I716" s="2"/>
    </row>
    <row r="717" spans="1:9" ht="15.75" customHeight="1" x14ac:dyDescent="0.2">
      <c r="A717" s="2"/>
      <c r="B717" s="2"/>
      <c r="C717" s="2"/>
      <c r="D717" s="2"/>
      <c r="E717" s="2"/>
      <c r="F717" s="2"/>
      <c r="G717" s="2"/>
      <c r="H717" s="2"/>
      <c r="I717" s="2"/>
    </row>
    <row r="718" spans="1:9" ht="15.75" customHeight="1" x14ac:dyDescent="0.2">
      <c r="A718" s="2"/>
      <c r="B718" s="2"/>
      <c r="C718" s="2"/>
      <c r="D718" s="2"/>
      <c r="E718" s="2"/>
      <c r="F718" s="2"/>
      <c r="G718" s="2"/>
      <c r="H718" s="2"/>
      <c r="I718" s="2"/>
    </row>
    <row r="719" spans="1:9" ht="15.75" customHeight="1" x14ac:dyDescent="0.2">
      <c r="A719" s="2"/>
      <c r="B719" s="2"/>
      <c r="C719" s="2"/>
      <c r="D719" s="2"/>
      <c r="E719" s="2"/>
      <c r="F719" s="2"/>
      <c r="G719" s="2"/>
      <c r="H719" s="2"/>
      <c r="I719" s="2"/>
    </row>
    <row r="720" spans="1:9" ht="15.75" customHeight="1" x14ac:dyDescent="0.2">
      <c r="A720" s="2"/>
      <c r="B720" s="2"/>
      <c r="C720" s="2"/>
      <c r="D720" s="2"/>
      <c r="E720" s="2"/>
      <c r="F720" s="2"/>
      <c r="G720" s="2"/>
      <c r="H720" s="2"/>
      <c r="I720" s="2"/>
    </row>
    <row r="721" spans="1:9" ht="15.75" customHeight="1" x14ac:dyDescent="0.2">
      <c r="A721" s="2"/>
      <c r="B721" s="2"/>
      <c r="C721" s="2"/>
      <c r="D721" s="2"/>
      <c r="E721" s="2"/>
      <c r="F721" s="2"/>
      <c r="G721" s="2"/>
      <c r="H721" s="2"/>
      <c r="I721" s="2"/>
    </row>
    <row r="722" spans="1:9" ht="15.75" customHeight="1" x14ac:dyDescent="0.2">
      <c r="A722" s="2"/>
      <c r="B722" s="2"/>
      <c r="C722" s="2"/>
      <c r="D722" s="2"/>
      <c r="E722" s="2"/>
      <c r="F722" s="2"/>
      <c r="G722" s="2"/>
      <c r="H722" s="2"/>
      <c r="I722" s="2"/>
    </row>
    <row r="723" spans="1:9" ht="15.75" customHeight="1" x14ac:dyDescent="0.2">
      <c r="A723" s="2"/>
      <c r="B723" s="2"/>
      <c r="C723" s="2"/>
      <c r="D723" s="2"/>
      <c r="E723" s="2"/>
      <c r="F723" s="2"/>
      <c r="G723" s="2"/>
      <c r="H723" s="2"/>
      <c r="I723" s="2"/>
    </row>
    <row r="724" spans="1:9" ht="15.75" customHeight="1" x14ac:dyDescent="0.2">
      <c r="A724" s="2"/>
      <c r="B724" s="2"/>
      <c r="C724" s="2"/>
      <c r="D724" s="2"/>
      <c r="E724" s="2"/>
      <c r="F724" s="2"/>
      <c r="G724" s="2"/>
      <c r="H724" s="2"/>
      <c r="I724" s="2"/>
    </row>
    <row r="725" spans="1:9" ht="15.75" customHeight="1" x14ac:dyDescent="0.2">
      <c r="A725" s="2"/>
      <c r="B725" s="2"/>
      <c r="C725" s="2"/>
      <c r="D725" s="2"/>
      <c r="E725" s="2"/>
      <c r="F725" s="2"/>
      <c r="G725" s="2"/>
      <c r="H725" s="2"/>
      <c r="I725" s="2"/>
    </row>
    <row r="726" spans="1:9" ht="15.75" customHeight="1" x14ac:dyDescent="0.2">
      <c r="A726" s="2"/>
      <c r="B726" s="2"/>
      <c r="C726" s="2"/>
      <c r="D726" s="2"/>
      <c r="E726" s="2"/>
      <c r="F726" s="2"/>
      <c r="G726" s="2"/>
      <c r="H726" s="2"/>
      <c r="I726" s="2"/>
    </row>
    <row r="727" spans="1:9" ht="15.75" customHeight="1" x14ac:dyDescent="0.2">
      <c r="A727" s="2"/>
      <c r="B727" s="2"/>
      <c r="C727" s="2"/>
      <c r="D727" s="2"/>
      <c r="E727" s="2"/>
      <c r="F727" s="2"/>
      <c r="G727" s="2"/>
      <c r="H727" s="2"/>
      <c r="I727" s="2"/>
    </row>
    <row r="728" spans="1:9" ht="15.75" customHeight="1" x14ac:dyDescent="0.2">
      <c r="A728" s="2"/>
      <c r="B728" s="2"/>
      <c r="C728" s="2"/>
      <c r="D728" s="2"/>
      <c r="E728" s="2"/>
      <c r="F728" s="2"/>
      <c r="G728" s="2"/>
      <c r="H728" s="2"/>
      <c r="I728" s="2"/>
    </row>
    <row r="729" spans="1:9" ht="15.75" customHeight="1" x14ac:dyDescent="0.2">
      <c r="A729" s="2"/>
      <c r="B729" s="2"/>
      <c r="C729" s="2"/>
      <c r="D729" s="2"/>
      <c r="E729" s="2"/>
      <c r="F729" s="2"/>
      <c r="G729" s="2"/>
      <c r="H729" s="2"/>
      <c r="I729" s="2"/>
    </row>
    <row r="730" spans="1:9" ht="15.75" customHeight="1" x14ac:dyDescent="0.2">
      <c r="A730" s="2"/>
      <c r="B730" s="2"/>
      <c r="C730" s="2"/>
      <c r="D730" s="2"/>
      <c r="E730" s="2"/>
      <c r="F730" s="2"/>
      <c r="G730" s="2"/>
      <c r="H730" s="2"/>
      <c r="I730" s="2"/>
    </row>
    <row r="731" spans="1:9" ht="15.75" customHeight="1" x14ac:dyDescent="0.2">
      <c r="A731" s="2"/>
      <c r="B731" s="2"/>
      <c r="C731" s="2"/>
      <c r="D731" s="2"/>
      <c r="E731" s="2"/>
      <c r="F731" s="2"/>
      <c r="G731" s="2"/>
      <c r="H731" s="2"/>
      <c r="I731" s="2"/>
    </row>
    <row r="732" spans="1:9" ht="15.75" customHeight="1" x14ac:dyDescent="0.2">
      <c r="A732" s="2"/>
      <c r="B732" s="2"/>
      <c r="C732" s="2"/>
      <c r="D732" s="2"/>
      <c r="E732" s="2"/>
      <c r="F732" s="2"/>
      <c r="G732" s="2"/>
      <c r="H732" s="2"/>
      <c r="I732" s="2"/>
    </row>
    <row r="733" spans="1:9" ht="15.75" customHeight="1" x14ac:dyDescent="0.2">
      <c r="A733" s="2"/>
      <c r="B733" s="2"/>
      <c r="C733" s="2"/>
      <c r="D733" s="2"/>
      <c r="E733" s="2"/>
      <c r="F733" s="2"/>
      <c r="G733" s="2"/>
      <c r="H733" s="2"/>
      <c r="I733" s="2"/>
    </row>
    <row r="734" spans="1:9" ht="15.75" customHeight="1" x14ac:dyDescent="0.2">
      <c r="A734" s="2"/>
      <c r="B734" s="2"/>
      <c r="C734" s="2"/>
      <c r="D734" s="2"/>
      <c r="E734" s="2"/>
      <c r="F734" s="2"/>
      <c r="G734" s="2"/>
      <c r="H734" s="2"/>
      <c r="I734" s="2"/>
    </row>
    <row r="735" spans="1:9" ht="15.75" customHeight="1" x14ac:dyDescent="0.2">
      <c r="A735" s="2"/>
      <c r="B735" s="2"/>
      <c r="C735" s="2"/>
      <c r="D735" s="2"/>
      <c r="E735" s="2"/>
      <c r="F735" s="2"/>
      <c r="G735" s="2"/>
      <c r="H735" s="2"/>
      <c r="I735" s="2"/>
    </row>
    <row r="736" spans="1:9" ht="15.75" customHeight="1" x14ac:dyDescent="0.2">
      <c r="A736" s="2"/>
      <c r="B736" s="2"/>
      <c r="C736" s="2"/>
      <c r="D736" s="2"/>
      <c r="E736" s="2"/>
      <c r="F736" s="2"/>
      <c r="G736" s="2"/>
      <c r="H736" s="2"/>
      <c r="I736" s="2"/>
    </row>
    <row r="737" spans="1:9" ht="15.75" customHeight="1" x14ac:dyDescent="0.2">
      <c r="A737" s="2"/>
      <c r="B737" s="2"/>
      <c r="C737" s="2"/>
      <c r="D737" s="2"/>
      <c r="E737" s="2"/>
      <c r="F737" s="2"/>
      <c r="G737" s="2"/>
      <c r="H737" s="2"/>
      <c r="I737" s="2"/>
    </row>
    <row r="738" spans="1:9" ht="15.75" customHeight="1" x14ac:dyDescent="0.2">
      <c r="A738" s="2"/>
      <c r="B738" s="2"/>
      <c r="C738" s="2"/>
      <c r="D738" s="2"/>
      <c r="E738" s="2"/>
      <c r="F738" s="2"/>
      <c r="G738" s="2"/>
      <c r="H738" s="2"/>
      <c r="I738" s="2"/>
    </row>
    <row r="739" spans="1:9" ht="15.75" customHeight="1" x14ac:dyDescent="0.2">
      <c r="A739" s="2"/>
      <c r="B739" s="2"/>
      <c r="C739" s="2"/>
      <c r="D739" s="2"/>
      <c r="E739" s="2"/>
      <c r="F739" s="2"/>
      <c r="G739" s="2"/>
      <c r="H739" s="2"/>
      <c r="I739" s="2"/>
    </row>
    <row r="740" spans="1:9" ht="15.75" customHeight="1" x14ac:dyDescent="0.2">
      <c r="A740" s="2"/>
      <c r="B740" s="2"/>
      <c r="C740" s="2"/>
      <c r="D740" s="2"/>
      <c r="E740" s="2"/>
      <c r="F740" s="2"/>
      <c r="G740" s="2"/>
      <c r="H740" s="2"/>
      <c r="I740" s="2"/>
    </row>
    <row r="741" spans="1:9" ht="15.75" customHeight="1" x14ac:dyDescent="0.2">
      <c r="A741" s="2"/>
      <c r="B741" s="2"/>
      <c r="C741" s="2"/>
      <c r="D741" s="2"/>
      <c r="E741" s="2"/>
      <c r="F741" s="2"/>
      <c r="G741" s="2"/>
      <c r="H741" s="2"/>
      <c r="I741" s="2"/>
    </row>
    <row r="742" spans="1:9" ht="15.75" customHeight="1" x14ac:dyDescent="0.2">
      <c r="A742" s="2"/>
      <c r="B742" s="2"/>
      <c r="C742" s="2"/>
      <c r="D742" s="2"/>
      <c r="E742" s="2"/>
      <c r="F742" s="2"/>
      <c r="G742" s="2"/>
      <c r="H742" s="2"/>
      <c r="I742" s="2"/>
    </row>
    <row r="743" spans="1:9" ht="15.75" customHeight="1" x14ac:dyDescent="0.2">
      <c r="A743" s="2"/>
      <c r="B743" s="2"/>
      <c r="C743" s="2"/>
      <c r="D743" s="2"/>
      <c r="E743" s="2"/>
      <c r="F743" s="2"/>
      <c r="G743" s="2"/>
      <c r="H743" s="2"/>
      <c r="I743" s="2"/>
    </row>
    <row r="744" spans="1:9" ht="15.75" customHeight="1" x14ac:dyDescent="0.2">
      <c r="A744" s="2"/>
      <c r="B744" s="2"/>
      <c r="C744" s="2"/>
      <c r="D744" s="2"/>
      <c r="E744" s="2"/>
      <c r="F744" s="2"/>
      <c r="G744" s="2"/>
      <c r="H744" s="2"/>
      <c r="I744" s="2"/>
    </row>
    <row r="745" spans="1:9" ht="15.75" customHeight="1" x14ac:dyDescent="0.2">
      <c r="A745" s="2"/>
      <c r="B745" s="2"/>
      <c r="C745" s="2"/>
      <c r="D745" s="2"/>
      <c r="E745" s="2"/>
      <c r="F745" s="2"/>
      <c r="G745" s="2"/>
      <c r="H745" s="2"/>
      <c r="I745" s="2"/>
    </row>
    <row r="746" spans="1:9" ht="15.75" customHeight="1" x14ac:dyDescent="0.2">
      <c r="A746" s="2"/>
      <c r="B746" s="2"/>
      <c r="C746" s="2"/>
      <c r="D746" s="2"/>
      <c r="E746" s="2"/>
      <c r="F746" s="2"/>
      <c r="G746" s="2"/>
      <c r="H746" s="2"/>
      <c r="I746" s="2"/>
    </row>
    <row r="747" spans="1:9" ht="15.75" customHeight="1" x14ac:dyDescent="0.2">
      <c r="A747" s="2"/>
      <c r="B747" s="2"/>
      <c r="C747" s="2"/>
      <c r="D747" s="2"/>
      <c r="E747" s="2"/>
      <c r="F747" s="2"/>
      <c r="G747" s="2"/>
      <c r="H747" s="2"/>
      <c r="I747" s="2"/>
    </row>
    <row r="748" spans="1:9" ht="15.75" customHeight="1" x14ac:dyDescent="0.2">
      <c r="A748" s="2"/>
      <c r="B748" s="2"/>
      <c r="C748" s="2"/>
      <c r="D748" s="2"/>
      <c r="E748" s="2"/>
      <c r="F748" s="2"/>
      <c r="G748" s="2"/>
      <c r="H748" s="2"/>
      <c r="I748" s="2"/>
    </row>
    <row r="749" spans="1:9" ht="15.75" customHeight="1" x14ac:dyDescent="0.2">
      <c r="A749" s="2"/>
      <c r="B749" s="2"/>
      <c r="C749" s="2"/>
      <c r="D749" s="2"/>
      <c r="E749" s="2"/>
      <c r="F749" s="2"/>
      <c r="G749" s="2"/>
      <c r="H749" s="2"/>
      <c r="I749" s="2"/>
    </row>
    <row r="750" spans="1:9" ht="15.75" customHeight="1" x14ac:dyDescent="0.2">
      <c r="A750" s="2"/>
      <c r="B750" s="2"/>
      <c r="C750" s="2"/>
      <c r="D750" s="2"/>
      <c r="E750" s="2"/>
      <c r="F750" s="2"/>
      <c r="G750" s="2"/>
      <c r="H750" s="2"/>
      <c r="I750" s="2"/>
    </row>
    <row r="751" spans="1:9" ht="15.75" customHeight="1" x14ac:dyDescent="0.2">
      <c r="A751" s="2"/>
      <c r="B751" s="2"/>
      <c r="C751" s="2"/>
      <c r="D751" s="2"/>
      <c r="E751" s="2"/>
      <c r="F751" s="2"/>
      <c r="G751" s="2"/>
      <c r="H751" s="2"/>
      <c r="I751" s="2"/>
    </row>
    <row r="752" spans="1:9" ht="15.75" customHeight="1" x14ac:dyDescent="0.2">
      <c r="A752" s="2"/>
      <c r="B752" s="2"/>
      <c r="C752" s="2"/>
      <c r="D752" s="2"/>
      <c r="E752" s="2"/>
      <c r="F752" s="2"/>
      <c r="G752" s="2"/>
      <c r="H752" s="2"/>
      <c r="I752" s="2"/>
    </row>
    <row r="753" spans="1:9" ht="15.75" customHeight="1" x14ac:dyDescent="0.2">
      <c r="A753" s="2"/>
      <c r="B753" s="2"/>
      <c r="C753" s="2"/>
      <c r="D753" s="2"/>
      <c r="E753" s="2"/>
      <c r="F753" s="2"/>
      <c r="G753" s="2"/>
      <c r="H753" s="2"/>
      <c r="I753" s="2"/>
    </row>
    <row r="754" spans="1:9" ht="15.75" customHeight="1" x14ac:dyDescent="0.2">
      <c r="A754" s="2"/>
      <c r="B754" s="2"/>
      <c r="C754" s="2"/>
      <c r="D754" s="2"/>
      <c r="E754" s="2"/>
      <c r="F754" s="2"/>
      <c r="G754" s="2"/>
      <c r="H754" s="2"/>
      <c r="I754" s="2"/>
    </row>
    <row r="755" spans="1:9" ht="15.75" customHeight="1" x14ac:dyDescent="0.2">
      <c r="A755" s="2"/>
      <c r="B755" s="2"/>
      <c r="C755" s="2"/>
      <c r="D755" s="2"/>
      <c r="E755" s="2"/>
      <c r="F755" s="2"/>
      <c r="G755" s="2"/>
      <c r="H755" s="2"/>
      <c r="I755" s="2"/>
    </row>
    <row r="756" spans="1:9" ht="15.75" customHeight="1" x14ac:dyDescent="0.2">
      <c r="A756" s="2"/>
      <c r="B756" s="2"/>
      <c r="C756" s="2"/>
      <c r="D756" s="2"/>
      <c r="E756" s="2"/>
      <c r="F756" s="2"/>
      <c r="G756" s="2"/>
      <c r="H756" s="2"/>
      <c r="I756" s="2"/>
    </row>
    <row r="757" spans="1:9" ht="15.75" customHeight="1" x14ac:dyDescent="0.2">
      <c r="A757" s="2"/>
      <c r="B757" s="2"/>
      <c r="C757" s="2"/>
      <c r="D757" s="2"/>
      <c r="E757" s="2"/>
      <c r="F757" s="2"/>
      <c r="G757" s="2"/>
      <c r="H757" s="2"/>
      <c r="I757" s="2"/>
    </row>
    <row r="758" spans="1:9" ht="15.75" customHeight="1" x14ac:dyDescent="0.2">
      <c r="A758" s="2"/>
      <c r="B758" s="2"/>
      <c r="C758" s="2"/>
      <c r="D758" s="2"/>
      <c r="E758" s="2"/>
      <c r="F758" s="2"/>
      <c r="G758" s="2"/>
      <c r="H758" s="2"/>
      <c r="I758" s="2"/>
    </row>
    <row r="759" spans="1:9" ht="15.75" customHeight="1" x14ac:dyDescent="0.2">
      <c r="A759" s="2"/>
      <c r="B759" s="2"/>
      <c r="C759" s="2"/>
      <c r="D759" s="2"/>
      <c r="E759" s="2"/>
      <c r="F759" s="2"/>
      <c r="G759" s="2"/>
      <c r="H759" s="2"/>
      <c r="I759" s="2"/>
    </row>
    <row r="760" spans="1:9" ht="15.75" customHeight="1" x14ac:dyDescent="0.2">
      <c r="A760" s="2"/>
      <c r="B760" s="2"/>
      <c r="C760" s="2"/>
      <c r="D760" s="2"/>
      <c r="E760" s="2"/>
      <c r="F760" s="2"/>
      <c r="G760" s="2"/>
      <c r="H760" s="2"/>
      <c r="I760" s="2"/>
    </row>
    <row r="761" spans="1:9" ht="15.75" customHeight="1" x14ac:dyDescent="0.2">
      <c r="A761" s="2"/>
      <c r="B761" s="2"/>
      <c r="C761" s="2"/>
      <c r="D761" s="2"/>
      <c r="E761" s="2"/>
      <c r="F761" s="2"/>
      <c r="G761" s="2"/>
      <c r="H761" s="2"/>
      <c r="I761" s="2"/>
    </row>
    <row r="762" spans="1:9" ht="15.75" customHeight="1" x14ac:dyDescent="0.2">
      <c r="A762" s="2"/>
      <c r="B762" s="2"/>
      <c r="C762" s="2"/>
      <c r="D762" s="2"/>
      <c r="E762" s="2"/>
      <c r="F762" s="2"/>
      <c r="G762" s="2"/>
      <c r="H762" s="2"/>
      <c r="I762" s="2"/>
    </row>
    <row r="763" spans="1:9" ht="15.75" customHeight="1" x14ac:dyDescent="0.2">
      <c r="A763" s="2"/>
      <c r="B763" s="2"/>
      <c r="C763" s="2"/>
      <c r="D763" s="2"/>
      <c r="E763" s="2"/>
      <c r="F763" s="2"/>
      <c r="G763" s="2"/>
      <c r="H763" s="2"/>
      <c r="I763" s="2"/>
    </row>
    <row r="764" spans="1:9" ht="15.75" customHeight="1" x14ac:dyDescent="0.2">
      <c r="A764" s="2"/>
      <c r="B764" s="2"/>
      <c r="C764" s="2"/>
      <c r="D764" s="2"/>
      <c r="E764" s="2"/>
      <c r="F764" s="2"/>
      <c r="G764" s="2"/>
      <c r="H764" s="2"/>
      <c r="I764" s="2"/>
    </row>
    <row r="765" spans="1:9" ht="15.75" customHeight="1" x14ac:dyDescent="0.2">
      <c r="A765" s="2"/>
      <c r="B765" s="2"/>
      <c r="C765" s="2"/>
      <c r="D765" s="2"/>
      <c r="E765" s="2"/>
      <c r="F765" s="2"/>
      <c r="G765" s="2"/>
      <c r="H765" s="2"/>
      <c r="I765" s="2"/>
    </row>
    <row r="766" spans="1:9" ht="15.75" customHeight="1" x14ac:dyDescent="0.2">
      <c r="A766" s="2"/>
      <c r="B766" s="2"/>
      <c r="C766" s="2"/>
      <c r="D766" s="2"/>
      <c r="E766" s="2"/>
      <c r="F766" s="2"/>
      <c r="G766" s="2"/>
      <c r="H766" s="2"/>
      <c r="I766" s="2"/>
    </row>
    <row r="767" spans="1:9" ht="15.75" customHeight="1" x14ac:dyDescent="0.2">
      <c r="A767" s="2"/>
      <c r="B767" s="2"/>
      <c r="C767" s="2"/>
      <c r="D767" s="2"/>
      <c r="E767" s="2"/>
      <c r="F767" s="2"/>
      <c r="G767" s="2"/>
      <c r="H767" s="2"/>
      <c r="I767" s="2"/>
    </row>
    <row r="768" spans="1:9" ht="15.75" customHeight="1" x14ac:dyDescent="0.2">
      <c r="A768" s="2"/>
      <c r="B768" s="2"/>
      <c r="C768" s="2"/>
      <c r="D768" s="2"/>
      <c r="E768" s="2"/>
      <c r="F768" s="2"/>
      <c r="G768" s="2"/>
      <c r="H768" s="2"/>
      <c r="I768" s="2"/>
    </row>
    <row r="769" spans="1:9" ht="15.75" customHeight="1" x14ac:dyDescent="0.2">
      <c r="A769" s="2"/>
      <c r="B769" s="2"/>
      <c r="C769" s="2"/>
      <c r="D769" s="2"/>
      <c r="E769" s="2"/>
      <c r="F769" s="2"/>
      <c r="G769" s="2"/>
      <c r="H769" s="2"/>
      <c r="I769" s="2"/>
    </row>
    <row r="770" spans="1:9" ht="15.75" customHeight="1" x14ac:dyDescent="0.2">
      <c r="A770" s="2"/>
      <c r="B770" s="2"/>
      <c r="C770" s="2"/>
      <c r="D770" s="2"/>
      <c r="E770" s="2"/>
      <c r="F770" s="2"/>
      <c r="G770" s="2"/>
      <c r="H770" s="2"/>
      <c r="I770" s="2"/>
    </row>
    <row r="771" spans="1:9" ht="15.75" customHeight="1" x14ac:dyDescent="0.2">
      <c r="A771" s="2"/>
      <c r="B771" s="2"/>
      <c r="C771" s="2"/>
      <c r="D771" s="2"/>
      <c r="E771" s="2"/>
      <c r="F771" s="2"/>
      <c r="G771" s="2"/>
      <c r="H771" s="2"/>
      <c r="I771" s="2"/>
    </row>
    <row r="772" spans="1:9" ht="15.75" customHeight="1" x14ac:dyDescent="0.2">
      <c r="A772" s="2"/>
      <c r="B772" s="2"/>
      <c r="C772" s="2"/>
      <c r="D772" s="2"/>
      <c r="E772" s="2"/>
      <c r="F772" s="2"/>
      <c r="G772" s="2"/>
      <c r="H772" s="2"/>
      <c r="I772" s="2"/>
    </row>
    <row r="773" spans="1:9" ht="15.75" customHeight="1" x14ac:dyDescent="0.2">
      <c r="A773" s="2"/>
      <c r="B773" s="2"/>
      <c r="C773" s="2"/>
      <c r="D773" s="2"/>
      <c r="E773" s="2"/>
      <c r="F773" s="2"/>
      <c r="G773" s="2"/>
      <c r="H773" s="2"/>
      <c r="I773" s="2"/>
    </row>
    <row r="774" spans="1:9" ht="15.75" customHeight="1" x14ac:dyDescent="0.2">
      <c r="A774" s="2"/>
      <c r="B774" s="2"/>
      <c r="C774" s="2"/>
      <c r="D774" s="2"/>
      <c r="E774" s="2"/>
      <c r="F774" s="2"/>
      <c r="G774" s="2"/>
      <c r="H774" s="2"/>
      <c r="I774" s="2"/>
    </row>
    <row r="775" spans="1:9" ht="15.75" customHeight="1" x14ac:dyDescent="0.2">
      <c r="A775" s="2"/>
      <c r="B775" s="2"/>
      <c r="C775" s="2"/>
      <c r="D775" s="2"/>
      <c r="E775" s="2"/>
      <c r="F775" s="2"/>
      <c r="G775" s="2"/>
      <c r="H775" s="2"/>
      <c r="I775" s="2"/>
    </row>
    <row r="776" spans="1:9" ht="15.75" customHeight="1" x14ac:dyDescent="0.2">
      <c r="A776" s="2"/>
      <c r="B776" s="2"/>
      <c r="C776" s="2"/>
      <c r="D776" s="2"/>
      <c r="E776" s="2"/>
      <c r="F776" s="2"/>
      <c r="G776" s="2"/>
      <c r="H776" s="2"/>
      <c r="I776" s="2"/>
    </row>
    <row r="777" spans="1:9" ht="15.75" customHeight="1" x14ac:dyDescent="0.2">
      <c r="A777" s="2"/>
      <c r="B777" s="2"/>
      <c r="C777" s="2"/>
      <c r="D777" s="2"/>
      <c r="E777" s="2"/>
      <c r="F777" s="2"/>
      <c r="G777" s="2"/>
      <c r="H777" s="2"/>
      <c r="I777" s="2"/>
    </row>
    <row r="778" spans="1:9" ht="15.75" customHeight="1" x14ac:dyDescent="0.2">
      <c r="A778" s="2"/>
      <c r="B778" s="2"/>
      <c r="C778" s="2"/>
      <c r="D778" s="2"/>
      <c r="E778" s="2"/>
      <c r="F778" s="2"/>
      <c r="G778" s="2"/>
      <c r="H778" s="2"/>
      <c r="I778" s="2"/>
    </row>
    <row r="779" spans="1:9" ht="15.75" customHeight="1" x14ac:dyDescent="0.2">
      <c r="A779" s="2"/>
      <c r="B779" s="2"/>
      <c r="C779" s="2"/>
      <c r="D779" s="2"/>
      <c r="E779" s="2"/>
      <c r="F779" s="2"/>
      <c r="G779" s="2"/>
      <c r="H779" s="2"/>
      <c r="I779" s="2"/>
    </row>
    <row r="780" spans="1:9" ht="15.75" customHeight="1" x14ac:dyDescent="0.2">
      <c r="A780" s="2"/>
      <c r="B780" s="2"/>
      <c r="C780" s="2"/>
      <c r="D780" s="2"/>
      <c r="E780" s="2"/>
      <c r="F780" s="2"/>
      <c r="G780" s="2"/>
      <c r="H780" s="2"/>
      <c r="I780" s="2"/>
    </row>
    <row r="781" spans="1:9" ht="15.75" customHeight="1" x14ac:dyDescent="0.2">
      <c r="A781" s="2"/>
      <c r="B781" s="2"/>
      <c r="C781" s="2"/>
      <c r="D781" s="2"/>
      <c r="E781" s="2"/>
      <c r="F781" s="2"/>
      <c r="G781" s="2"/>
      <c r="H781" s="2"/>
      <c r="I781" s="2"/>
    </row>
    <row r="782" spans="1:9" ht="15.75" customHeight="1" x14ac:dyDescent="0.2">
      <c r="A782" s="2"/>
      <c r="B782" s="2"/>
      <c r="C782" s="2"/>
      <c r="D782" s="2"/>
      <c r="E782" s="2"/>
      <c r="F782" s="2"/>
      <c r="G782" s="2"/>
      <c r="H782" s="2"/>
      <c r="I782" s="2"/>
    </row>
    <row r="783" spans="1:9" ht="15.75" customHeight="1" x14ac:dyDescent="0.2">
      <c r="A783" s="2"/>
      <c r="B783" s="2"/>
      <c r="C783" s="2"/>
      <c r="D783" s="2"/>
      <c r="E783" s="2"/>
      <c r="F783" s="2"/>
      <c r="G783" s="2"/>
      <c r="H783" s="2"/>
      <c r="I783" s="2"/>
    </row>
    <row r="784" spans="1:9" ht="15.75" customHeight="1" x14ac:dyDescent="0.2">
      <c r="A784" s="2"/>
      <c r="B784" s="2"/>
      <c r="C784" s="2"/>
      <c r="D784" s="2"/>
      <c r="E784" s="2"/>
      <c r="F784" s="2"/>
      <c r="G784" s="2"/>
      <c r="H784" s="2"/>
      <c r="I784" s="2"/>
    </row>
    <row r="785" spans="1:9" ht="15.75" customHeight="1" x14ac:dyDescent="0.2">
      <c r="A785" s="2"/>
      <c r="B785" s="2"/>
      <c r="C785" s="2"/>
      <c r="D785" s="2"/>
      <c r="E785" s="2"/>
      <c r="F785" s="2"/>
      <c r="G785" s="2"/>
      <c r="H785" s="2"/>
      <c r="I785" s="2"/>
    </row>
    <row r="786" spans="1:9" ht="15.75" customHeight="1" x14ac:dyDescent="0.2">
      <c r="A786" s="2"/>
      <c r="B786" s="2"/>
      <c r="C786" s="2"/>
      <c r="D786" s="2"/>
      <c r="E786" s="2"/>
      <c r="F786" s="2"/>
      <c r="G786" s="2"/>
      <c r="H786" s="2"/>
      <c r="I786" s="2"/>
    </row>
    <row r="787" spans="1:9" ht="15.75" customHeight="1" x14ac:dyDescent="0.2">
      <c r="A787" s="2"/>
      <c r="B787" s="2"/>
      <c r="C787" s="2"/>
      <c r="D787" s="2"/>
      <c r="E787" s="2"/>
      <c r="F787" s="2"/>
      <c r="G787" s="2"/>
      <c r="H787" s="2"/>
      <c r="I787" s="2"/>
    </row>
    <row r="788" spans="1:9" ht="15.75" customHeight="1" x14ac:dyDescent="0.2">
      <c r="A788" s="2"/>
      <c r="B788" s="2"/>
      <c r="C788" s="2"/>
      <c r="D788" s="2"/>
      <c r="E788" s="2"/>
      <c r="F788" s="2"/>
      <c r="G788" s="2"/>
      <c r="H788" s="2"/>
      <c r="I788" s="2"/>
    </row>
    <row r="789" spans="1:9" ht="15.75" customHeight="1" x14ac:dyDescent="0.2">
      <c r="A789" s="2"/>
      <c r="B789" s="2"/>
      <c r="C789" s="2"/>
      <c r="D789" s="2"/>
      <c r="E789" s="2"/>
      <c r="F789" s="2"/>
      <c r="G789" s="2"/>
      <c r="H789" s="2"/>
      <c r="I789" s="2"/>
    </row>
    <row r="790" spans="1:9" ht="15.75" customHeight="1" x14ac:dyDescent="0.2">
      <c r="A790" s="2"/>
      <c r="B790" s="2"/>
      <c r="C790" s="2"/>
      <c r="D790" s="2"/>
      <c r="E790" s="2"/>
      <c r="F790" s="2"/>
      <c r="G790" s="2"/>
      <c r="H790" s="2"/>
      <c r="I790" s="2"/>
    </row>
    <row r="791" spans="1:9" ht="15.75" customHeight="1" x14ac:dyDescent="0.2">
      <c r="A791" s="2"/>
      <c r="B791" s="2"/>
      <c r="C791" s="2"/>
      <c r="D791" s="2"/>
      <c r="E791" s="2"/>
      <c r="F791" s="2"/>
      <c r="G791" s="2"/>
      <c r="H791" s="2"/>
      <c r="I791" s="2"/>
    </row>
    <row r="792" spans="1:9" ht="15.75" customHeight="1" x14ac:dyDescent="0.2">
      <c r="A792" s="2"/>
      <c r="B792" s="2"/>
      <c r="C792" s="2"/>
      <c r="D792" s="2"/>
      <c r="E792" s="2"/>
      <c r="F792" s="2"/>
      <c r="G792" s="2"/>
      <c r="H792" s="2"/>
      <c r="I792" s="2"/>
    </row>
    <row r="793" spans="1:9" ht="15.75" customHeight="1" x14ac:dyDescent="0.2">
      <c r="A793" s="2"/>
      <c r="B793" s="2"/>
      <c r="C793" s="2"/>
      <c r="D793" s="2"/>
      <c r="E793" s="2"/>
      <c r="F793" s="2"/>
      <c r="G793" s="2"/>
      <c r="H793" s="2"/>
      <c r="I793" s="2"/>
    </row>
    <row r="794" spans="1:9" ht="15.75" customHeight="1" x14ac:dyDescent="0.2">
      <c r="A794" s="2"/>
      <c r="B794" s="2"/>
      <c r="C794" s="2"/>
      <c r="D794" s="2"/>
      <c r="E794" s="2"/>
      <c r="F794" s="2"/>
      <c r="G794" s="2"/>
      <c r="H794" s="2"/>
      <c r="I794" s="2"/>
    </row>
    <row r="795" spans="1:9" ht="15.75" customHeight="1" x14ac:dyDescent="0.2">
      <c r="A795" s="2"/>
      <c r="B795" s="2"/>
      <c r="C795" s="2"/>
      <c r="D795" s="2"/>
      <c r="E795" s="2"/>
      <c r="F795" s="2"/>
      <c r="G795" s="2"/>
      <c r="H795" s="2"/>
      <c r="I795" s="2"/>
    </row>
    <row r="796" spans="1:9" ht="15.75" customHeight="1" x14ac:dyDescent="0.2">
      <c r="A796" s="2"/>
      <c r="B796" s="2"/>
      <c r="C796" s="2"/>
      <c r="D796" s="2"/>
      <c r="E796" s="2"/>
      <c r="F796" s="2"/>
      <c r="G796" s="2"/>
      <c r="H796" s="2"/>
      <c r="I796" s="2"/>
    </row>
    <row r="797" spans="1:9" ht="15.75" customHeight="1" x14ac:dyDescent="0.2">
      <c r="A797" s="2"/>
      <c r="B797" s="2"/>
      <c r="C797" s="2"/>
      <c r="D797" s="2"/>
      <c r="E797" s="2"/>
      <c r="F797" s="2"/>
      <c r="G797" s="2"/>
      <c r="H797" s="2"/>
      <c r="I797" s="2"/>
    </row>
    <row r="798" spans="1:9" ht="15.75" customHeight="1" x14ac:dyDescent="0.2">
      <c r="A798" s="2"/>
      <c r="B798" s="2"/>
      <c r="C798" s="2"/>
      <c r="D798" s="2"/>
      <c r="E798" s="2"/>
      <c r="F798" s="2"/>
      <c r="G798" s="2"/>
      <c r="H798" s="2"/>
      <c r="I798" s="2"/>
    </row>
    <row r="799" spans="1:9" ht="15.75" customHeight="1" x14ac:dyDescent="0.2">
      <c r="A799" s="2"/>
      <c r="B799" s="2"/>
      <c r="C799" s="2"/>
      <c r="D799" s="2"/>
      <c r="E799" s="2"/>
      <c r="F799" s="2"/>
      <c r="G799" s="2"/>
      <c r="H799" s="2"/>
      <c r="I799" s="2"/>
    </row>
    <row r="800" spans="1:9" ht="15.75" customHeight="1" x14ac:dyDescent="0.2">
      <c r="A800" s="2"/>
      <c r="B800" s="2"/>
      <c r="C800" s="2"/>
      <c r="D800" s="2"/>
      <c r="E800" s="2"/>
      <c r="F800" s="2"/>
      <c r="G800" s="2"/>
      <c r="H800" s="2"/>
      <c r="I800" s="2"/>
    </row>
    <row r="801" spans="1:9" ht="15.75" customHeight="1" x14ac:dyDescent="0.2">
      <c r="A801" s="2"/>
      <c r="B801" s="2"/>
      <c r="C801" s="2"/>
      <c r="D801" s="2"/>
      <c r="E801" s="2"/>
      <c r="F801" s="2"/>
      <c r="G801" s="2"/>
      <c r="H801" s="2"/>
      <c r="I801" s="2"/>
    </row>
    <row r="802" spans="1:9" ht="15.75" customHeight="1" x14ac:dyDescent="0.2">
      <c r="A802" s="2"/>
      <c r="B802" s="2"/>
      <c r="C802" s="2"/>
      <c r="D802" s="2"/>
      <c r="E802" s="2"/>
      <c r="F802" s="2"/>
      <c r="G802" s="2"/>
      <c r="H802" s="2"/>
      <c r="I802" s="2"/>
    </row>
    <row r="803" spans="1:9" ht="15.75" customHeight="1" x14ac:dyDescent="0.2">
      <c r="A803" s="2"/>
      <c r="B803" s="2"/>
      <c r="C803" s="2"/>
      <c r="D803" s="2"/>
      <c r="E803" s="2"/>
      <c r="F803" s="2"/>
      <c r="G803" s="2"/>
      <c r="H803" s="2"/>
      <c r="I803" s="2"/>
    </row>
    <row r="804" spans="1:9" ht="15.75" customHeight="1" x14ac:dyDescent="0.2">
      <c r="A804" s="2"/>
      <c r="B804" s="2"/>
      <c r="C804" s="2"/>
      <c r="D804" s="2"/>
      <c r="E804" s="2"/>
      <c r="F804" s="2"/>
      <c r="G804" s="2"/>
      <c r="H804" s="2"/>
      <c r="I804" s="2"/>
    </row>
    <row r="805" spans="1:9" ht="15.75" customHeight="1" x14ac:dyDescent="0.2">
      <c r="A805" s="2"/>
      <c r="B805" s="2"/>
      <c r="C805" s="2"/>
      <c r="D805" s="2"/>
      <c r="E805" s="2"/>
      <c r="F805" s="2"/>
      <c r="G805" s="2"/>
      <c r="H805" s="2"/>
      <c r="I805" s="2"/>
    </row>
    <row r="806" spans="1:9" ht="15.75" customHeight="1" x14ac:dyDescent="0.2">
      <c r="A806" s="2"/>
      <c r="B806" s="2"/>
      <c r="C806" s="2"/>
      <c r="D806" s="2"/>
      <c r="E806" s="2"/>
      <c r="F806" s="2"/>
      <c r="G806" s="2"/>
      <c r="H806" s="2"/>
      <c r="I806" s="2"/>
    </row>
    <row r="807" spans="1:9" ht="15.75" customHeight="1" x14ac:dyDescent="0.2">
      <c r="A807" s="2"/>
      <c r="B807" s="2"/>
      <c r="C807" s="2"/>
      <c r="D807" s="2"/>
      <c r="E807" s="2"/>
      <c r="F807" s="2"/>
      <c r="G807" s="2"/>
      <c r="H807" s="2"/>
      <c r="I807" s="2"/>
    </row>
    <row r="808" spans="1:9" ht="15.75" customHeight="1" x14ac:dyDescent="0.2">
      <c r="A808" s="2"/>
      <c r="B808" s="2"/>
      <c r="C808" s="2"/>
      <c r="D808" s="2"/>
      <c r="E808" s="2"/>
      <c r="F808" s="2"/>
      <c r="G808" s="2"/>
      <c r="H808" s="2"/>
      <c r="I808" s="2"/>
    </row>
    <row r="809" spans="1:9" ht="15.75" customHeight="1" x14ac:dyDescent="0.2">
      <c r="A809" s="2"/>
      <c r="B809" s="2"/>
      <c r="C809" s="2"/>
      <c r="D809" s="2"/>
      <c r="E809" s="2"/>
      <c r="F809" s="2"/>
      <c r="G809" s="2"/>
      <c r="H809" s="2"/>
      <c r="I809" s="2"/>
    </row>
    <row r="810" spans="1:9" ht="15.75" customHeight="1" x14ac:dyDescent="0.2">
      <c r="A810" s="2"/>
      <c r="B810" s="2"/>
      <c r="C810" s="2"/>
      <c r="D810" s="2"/>
      <c r="E810" s="2"/>
      <c r="F810" s="2"/>
      <c r="G810" s="2"/>
      <c r="H810" s="2"/>
      <c r="I810" s="2"/>
    </row>
    <row r="811" spans="1:9" ht="15.75" customHeight="1" x14ac:dyDescent="0.2">
      <c r="A811" s="2"/>
      <c r="B811" s="2"/>
      <c r="C811" s="2"/>
      <c r="D811" s="2"/>
      <c r="E811" s="2"/>
      <c r="F811" s="2"/>
      <c r="G811" s="2"/>
      <c r="H811" s="2"/>
      <c r="I811" s="2"/>
    </row>
    <row r="812" spans="1:9" ht="15.75" customHeight="1" x14ac:dyDescent="0.2">
      <c r="A812" s="2"/>
      <c r="B812" s="2"/>
      <c r="C812" s="2"/>
      <c r="D812" s="2"/>
      <c r="E812" s="2"/>
      <c r="F812" s="2"/>
      <c r="G812" s="2"/>
      <c r="H812" s="2"/>
      <c r="I812" s="2"/>
    </row>
    <row r="813" spans="1:9" ht="15.75" customHeight="1" x14ac:dyDescent="0.2">
      <c r="A813" s="2"/>
      <c r="B813" s="2"/>
      <c r="C813" s="2"/>
      <c r="D813" s="2"/>
      <c r="E813" s="2"/>
      <c r="F813" s="2"/>
      <c r="G813" s="2"/>
      <c r="H813" s="2"/>
      <c r="I813" s="2"/>
    </row>
    <row r="814" spans="1:9" ht="15.75" customHeight="1" x14ac:dyDescent="0.2">
      <c r="A814" s="2"/>
      <c r="B814" s="2"/>
      <c r="C814" s="2"/>
      <c r="D814" s="2"/>
      <c r="E814" s="2"/>
      <c r="F814" s="2"/>
      <c r="G814" s="2"/>
      <c r="H814" s="2"/>
      <c r="I814" s="2"/>
    </row>
    <row r="815" spans="1:9" ht="15.75" customHeight="1" x14ac:dyDescent="0.2">
      <c r="A815" s="2"/>
      <c r="B815" s="2"/>
      <c r="C815" s="2"/>
      <c r="D815" s="2"/>
      <c r="E815" s="2"/>
      <c r="F815" s="2"/>
      <c r="G815" s="2"/>
      <c r="H815" s="2"/>
      <c r="I815" s="2"/>
    </row>
    <row r="816" spans="1:9" ht="15.75" customHeight="1" x14ac:dyDescent="0.2">
      <c r="A816" s="2"/>
      <c r="B816" s="2"/>
      <c r="C816" s="2"/>
      <c r="D816" s="2"/>
      <c r="E816" s="2"/>
      <c r="F816" s="2"/>
      <c r="G816" s="2"/>
      <c r="H816" s="2"/>
      <c r="I816" s="2"/>
    </row>
    <row r="817" spans="1:9" ht="15.75" customHeight="1" x14ac:dyDescent="0.2">
      <c r="A817" s="2"/>
      <c r="B817" s="2"/>
      <c r="C817" s="2"/>
      <c r="D817" s="2"/>
      <c r="E817" s="2"/>
      <c r="F817" s="2"/>
      <c r="G817" s="2"/>
      <c r="H817" s="2"/>
      <c r="I817" s="2"/>
    </row>
    <row r="818" spans="1:9" ht="15.75" customHeight="1" x14ac:dyDescent="0.2">
      <c r="A818" s="2"/>
      <c r="B818" s="2"/>
      <c r="C818" s="2"/>
      <c r="D818" s="2"/>
      <c r="E818" s="2"/>
      <c r="F818" s="2"/>
      <c r="G818" s="2"/>
      <c r="H818" s="2"/>
      <c r="I818" s="2"/>
    </row>
    <row r="819" spans="1:9" ht="15.75" customHeight="1" x14ac:dyDescent="0.2">
      <c r="A819" s="2"/>
      <c r="B819" s="2"/>
      <c r="C819" s="2"/>
      <c r="D819" s="2"/>
      <c r="E819" s="2"/>
      <c r="F819" s="2"/>
      <c r="G819" s="2"/>
      <c r="H819" s="2"/>
      <c r="I819" s="2"/>
    </row>
    <row r="820" spans="1:9" ht="15.75" customHeight="1" x14ac:dyDescent="0.2">
      <c r="A820" s="2"/>
      <c r="B820" s="2"/>
      <c r="C820" s="2"/>
      <c r="D820" s="2"/>
      <c r="E820" s="2"/>
      <c r="F820" s="2"/>
      <c r="G820" s="2"/>
      <c r="H820" s="2"/>
      <c r="I820" s="2"/>
    </row>
    <row r="821" spans="1:9" ht="15.75" customHeight="1" x14ac:dyDescent="0.2">
      <c r="A821" s="2"/>
      <c r="B821" s="2"/>
      <c r="C821" s="2"/>
      <c r="D821" s="2"/>
      <c r="E821" s="2"/>
      <c r="F821" s="2"/>
      <c r="G821" s="2"/>
      <c r="H821" s="2"/>
      <c r="I821" s="2"/>
    </row>
    <row r="822" spans="1:9" ht="15.75" customHeight="1" x14ac:dyDescent="0.2">
      <c r="A822" s="2"/>
      <c r="B822" s="2"/>
      <c r="C822" s="2"/>
      <c r="D822" s="2"/>
      <c r="E822" s="2"/>
      <c r="F822" s="2"/>
      <c r="G822" s="2"/>
      <c r="H822" s="2"/>
      <c r="I822" s="2"/>
    </row>
    <row r="823" spans="1:9" ht="15.75" customHeight="1" x14ac:dyDescent="0.2">
      <c r="A823" s="2"/>
      <c r="B823" s="2"/>
      <c r="C823" s="2"/>
      <c r="D823" s="2"/>
      <c r="E823" s="2"/>
      <c r="F823" s="2"/>
      <c r="G823" s="2"/>
      <c r="H823" s="2"/>
      <c r="I823" s="2"/>
    </row>
    <row r="824" spans="1:9" ht="15.75" customHeight="1" x14ac:dyDescent="0.2">
      <c r="A824" s="2"/>
      <c r="B824" s="2"/>
      <c r="C824" s="2"/>
      <c r="D824" s="2"/>
      <c r="E824" s="2"/>
      <c r="F824" s="2"/>
      <c r="G824" s="2"/>
      <c r="H824" s="2"/>
      <c r="I824" s="2"/>
    </row>
    <row r="825" spans="1:9" ht="15.75" customHeight="1" x14ac:dyDescent="0.2">
      <c r="A825" s="2"/>
      <c r="B825" s="2"/>
      <c r="C825" s="2"/>
      <c r="D825" s="2"/>
      <c r="E825" s="2"/>
      <c r="F825" s="2"/>
      <c r="G825" s="2"/>
      <c r="H825" s="2"/>
      <c r="I825" s="2"/>
    </row>
    <row r="826" spans="1:9" ht="15.75" customHeight="1" x14ac:dyDescent="0.2">
      <c r="A826" s="2"/>
      <c r="B826" s="2"/>
      <c r="C826" s="2"/>
      <c r="D826" s="2"/>
      <c r="E826" s="2"/>
      <c r="F826" s="2"/>
      <c r="G826" s="2"/>
      <c r="H826" s="2"/>
      <c r="I826" s="2"/>
    </row>
    <row r="827" spans="1:9" ht="15.75" customHeight="1" x14ac:dyDescent="0.2">
      <c r="A827" s="2"/>
      <c r="B827" s="2"/>
      <c r="C827" s="2"/>
      <c r="D827" s="2"/>
      <c r="E827" s="2"/>
      <c r="F827" s="2"/>
      <c r="G827" s="2"/>
      <c r="H827" s="2"/>
      <c r="I827" s="2"/>
    </row>
    <row r="828" spans="1:9" ht="15.75" customHeight="1" x14ac:dyDescent="0.2">
      <c r="A828" s="2"/>
      <c r="B828" s="2"/>
      <c r="C828" s="2"/>
      <c r="D828" s="2"/>
      <c r="E828" s="2"/>
      <c r="F828" s="2"/>
      <c r="G828" s="2"/>
      <c r="H828" s="2"/>
      <c r="I828" s="2"/>
    </row>
    <row r="829" spans="1:9" ht="15.75" customHeight="1" x14ac:dyDescent="0.2">
      <c r="A829" s="2"/>
      <c r="B829" s="2"/>
      <c r="C829" s="2"/>
      <c r="D829" s="2"/>
      <c r="E829" s="2"/>
      <c r="F829" s="2"/>
      <c r="G829" s="2"/>
      <c r="H829" s="2"/>
      <c r="I829" s="2"/>
    </row>
    <row r="830" spans="1:9" ht="15.75" customHeight="1" x14ac:dyDescent="0.2">
      <c r="A830" s="2"/>
      <c r="B830" s="2"/>
      <c r="C830" s="2"/>
      <c r="D830" s="2"/>
      <c r="E830" s="2"/>
      <c r="F830" s="2"/>
      <c r="G830" s="2"/>
      <c r="H830" s="2"/>
      <c r="I830" s="2"/>
    </row>
    <row r="831" spans="1:9" ht="15.75" customHeight="1" x14ac:dyDescent="0.2">
      <c r="A831" s="2"/>
      <c r="B831" s="2"/>
      <c r="C831" s="2"/>
      <c r="D831" s="2"/>
      <c r="E831" s="2"/>
      <c r="F831" s="2"/>
      <c r="G831" s="2"/>
      <c r="H831" s="2"/>
      <c r="I831" s="2"/>
    </row>
    <row r="832" spans="1:9" ht="15.75" customHeight="1" x14ac:dyDescent="0.2">
      <c r="A832" s="2"/>
      <c r="B832" s="2"/>
      <c r="C832" s="2"/>
      <c r="D832" s="2"/>
      <c r="E832" s="2"/>
      <c r="F832" s="2"/>
      <c r="G832" s="2"/>
      <c r="H832" s="2"/>
      <c r="I832" s="2"/>
    </row>
    <row r="833" spans="1:9" ht="15.75" customHeight="1" x14ac:dyDescent="0.2">
      <c r="A833" s="2"/>
      <c r="B833" s="2"/>
      <c r="C833" s="2"/>
      <c r="D833" s="2"/>
      <c r="E833" s="2"/>
      <c r="F833" s="2"/>
      <c r="G833" s="2"/>
      <c r="H833" s="2"/>
      <c r="I833" s="2"/>
    </row>
    <row r="834" spans="1:9" ht="15.75" customHeight="1" x14ac:dyDescent="0.2">
      <c r="A834" s="2"/>
      <c r="B834" s="2"/>
      <c r="C834" s="2"/>
      <c r="D834" s="2"/>
      <c r="E834" s="2"/>
      <c r="F834" s="2"/>
      <c r="G834" s="2"/>
      <c r="H834" s="2"/>
      <c r="I834" s="2"/>
    </row>
    <row r="835" spans="1:9" ht="15.75" customHeight="1" x14ac:dyDescent="0.2">
      <c r="A835" s="2"/>
      <c r="B835" s="2"/>
      <c r="C835" s="2"/>
      <c r="D835" s="2"/>
      <c r="E835" s="2"/>
      <c r="F835" s="2"/>
      <c r="G835" s="2"/>
      <c r="H835" s="2"/>
      <c r="I835" s="2"/>
    </row>
    <row r="836" spans="1:9" ht="15.75" customHeight="1" x14ac:dyDescent="0.2">
      <c r="A836" s="2"/>
      <c r="B836" s="2"/>
      <c r="C836" s="2"/>
      <c r="D836" s="2"/>
      <c r="E836" s="2"/>
      <c r="F836" s="2"/>
      <c r="G836" s="2"/>
      <c r="H836" s="2"/>
      <c r="I836" s="2"/>
    </row>
    <row r="837" spans="1:9" ht="15.75" customHeight="1" x14ac:dyDescent="0.2">
      <c r="A837" s="2"/>
      <c r="B837" s="2"/>
      <c r="C837" s="2"/>
      <c r="D837" s="2"/>
      <c r="E837" s="2"/>
      <c r="F837" s="2"/>
      <c r="G837" s="2"/>
      <c r="H837" s="2"/>
      <c r="I837" s="2"/>
    </row>
    <row r="838" spans="1:9" ht="15.75" customHeight="1" x14ac:dyDescent="0.2">
      <c r="A838" s="2"/>
      <c r="B838" s="2"/>
      <c r="C838" s="2"/>
      <c r="D838" s="2"/>
      <c r="E838" s="2"/>
      <c r="F838" s="2"/>
      <c r="G838" s="2"/>
      <c r="H838" s="2"/>
      <c r="I838" s="2"/>
    </row>
    <row r="839" spans="1:9" ht="15.75" customHeight="1" x14ac:dyDescent="0.2">
      <c r="A839" s="2"/>
      <c r="B839" s="2"/>
      <c r="C839" s="2"/>
      <c r="D839" s="2"/>
      <c r="E839" s="2"/>
      <c r="F839" s="2"/>
      <c r="G839" s="2"/>
      <c r="H839" s="2"/>
      <c r="I839" s="2"/>
    </row>
    <row r="840" spans="1:9" ht="15.75" customHeight="1" x14ac:dyDescent="0.2">
      <c r="A840" s="2"/>
      <c r="B840" s="2"/>
      <c r="C840" s="2"/>
      <c r="D840" s="2"/>
      <c r="E840" s="2"/>
      <c r="F840" s="2"/>
      <c r="G840" s="2"/>
      <c r="H840" s="2"/>
      <c r="I840" s="2"/>
    </row>
    <row r="841" spans="1:9" ht="15.75" customHeight="1" x14ac:dyDescent="0.2">
      <c r="A841" s="2"/>
      <c r="B841" s="2"/>
      <c r="C841" s="2"/>
      <c r="D841" s="2"/>
      <c r="E841" s="2"/>
      <c r="F841" s="2"/>
      <c r="G841" s="2"/>
      <c r="H841" s="2"/>
      <c r="I841" s="2"/>
    </row>
    <row r="842" spans="1:9" ht="15.75" customHeight="1" x14ac:dyDescent="0.2">
      <c r="A842" s="2"/>
      <c r="B842" s="2"/>
      <c r="C842" s="2"/>
      <c r="D842" s="2"/>
      <c r="E842" s="2"/>
      <c r="F842" s="2"/>
      <c r="G842" s="2"/>
      <c r="H842" s="2"/>
      <c r="I842" s="2"/>
    </row>
    <row r="843" spans="1:9" ht="15.75" customHeight="1" x14ac:dyDescent="0.2">
      <c r="A843" s="2"/>
      <c r="B843" s="2"/>
      <c r="C843" s="2"/>
      <c r="D843" s="2"/>
      <c r="E843" s="2"/>
      <c r="F843" s="2"/>
      <c r="G843" s="2"/>
      <c r="H843" s="2"/>
      <c r="I843" s="2"/>
    </row>
    <row r="844" spans="1:9" ht="15.75" customHeight="1" x14ac:dyDescent="0.2">
      <c r="A844" s="2"/>
      <c r="B844" s="2"/>
      <c r="C844" s="2"/>
      <c r="D844" s="2"/>
      <c r="E844" s="2"/>
      <c r="F844" s="2"/>
      <c r="G844" s="2"/>
      <c r="H844" s="2"/>
      <c r="I844" s="2"/>
    </row>
    <row r="845" spans="1:9" ht="15.75" customHeight="1" x14ac:dyDescent="0.2">
      <c r="A845" s="2"/>
      <c r="B845" s="2"/>
      <c r="C845" s="2"/>
      <c r="D845" s="2"/>
      <c r="E845" s="2"/>
      <c r="F845" s="2"/>
      <c r="G845" s="2"/>
      <c r="H845" s="2"/>
      <c r="I845" s="2"/>
    </row>
    <row r="846" spans="1:9" ht="15.75" customHeight="1" x14ac:dyDescent="0.2">
      <c r="A846" s="2"/>
      <c r="B846" s="2"/>
      <c r="C846" s="2"/>
      <c r="D846" s="2"/>
      <c r="E846" s="2"/>
      <c r="F846" s="2"/>
      <c r="G846" s="2"/>
      <c r="H846" s="2"/>
      <c r="I846" s="2"/>
    </row>
    <row r="847" spans="1:9" ht="15.75" customHeight="1" x14ac:dyDescent="0.2">
      <c r="A847" s="2"/>
      <c r="B847" s="2"/>
      <c r="C847" s="2"/>
      <c r="D847" s="2"/>
      <c r="E847" s="2"/>
      <c r="F847" s="2"/>
      <c r="G847" s="2"/>
      <c r="H847" s="2"/>
      <c r="I847" s="2"/>
    </row>
    <row r="848" spans="1:9" ht="15.75" customHeight="1" x14ac:dyDescent="0.2">
      <c r="A848" s="2"/>
      <c r="B848" s="2"/>
      <c r="C848" s="2"/>
      <c r="D848" s="2"/>
      <c r="E848" s="2"/>
      <c r="F848" s="2"/>
      <c r="G848" s="2"/>
      <c r="H848" s="2"/>
      <c r="I848" s="2"/>
    </row>
    <row r="849" spans="1:9" ht="15.75" customHeight="1" x14ac:dyDescent="0.2">
      <c r="A849" s="2"/>
      <c r="B849" s="2"/>
      <c r="C849" s="2"/>
      <c r="D849" s="2"/>
      <c r="E849" s="2"/>
      <c r="F849" s="2"/>
      <c r="G849" s="2"/>
      <c r="H849" s="2"/>
      <c r="I849" s="2"/>
    </row>
    <row r="850" spans="1:9" ht="15.75" customHeight="1" x14ac:dyDescent="0.2">
      <c r="A850" s="2"/>
      <c r="B850" s="2"/>
      <c r="C850" s="2"/>
      <c r="D850" s="2"/>
      <c r="E850" s="2"/>
      <c r="F850" s="2"/>
      <c r="G850" s="2"/>
      <c r="H850" s="2"/>
      <c r="I850" s="2"/>
    </row>
    <row r="851" spans="1:9" ht="15.75" customHeight="1" x14ac:dyDescent="0.2">
      <c r="A851" s="2"/>
      <c r="B851" s="2"/>
      <c r="C851" s="2"/>
      <c r="D851" s="2"/>
      <c r="E851" s="2"/>
      <c r="F851" s="2"/>
      <c r="G851" s="2"/>
      <c r="H851" s="2"/>
      <c r="I851" s="2"/>
    </row>
    <row r="852" spans="1:9" ht="15.75" customHeight="1" x14ac:dyDescent="0.2">
      <c r="A852" s="2"/>
      <c r="B852" s="2"/>
      <c r="C852" s="2"/>
      <c r="D852" s="2"/>
      <c r="E852" s="2"/>
      <c r="F852" s="2"/>
      <c r="G852" s="2"/>
      <c r="H852" s="2"/>
      <c r="I852" s="2"/>
    </row>
    <row r="853" spans="1:9" ht="15.75" customHeight="1" x14ac:dyDescent="0.2">
      <c r="A853" s="2"/>
      <c r="B853" s="2"/>
      <c r="C853" s="2"/>
      <c r="D853" s="2"/>
      <c r="E853" s="2"/>
      <c r="F853" s="2"/>
      <c r="G853" s="2"/>
      <c r="H853" s="2"/>
      <c r="I853" s="2"/>
    </row>
    <row r="854" spans="1:9" ht="15.75" customHeight="1" x14ac:dyDescent="0.2">
      <c r="A854" s="2"/>
      <c r="B854" s="2"/>
      <c r="C854" s="2"/>
      <c r="D854" s="2"/>
      <c r="E854" s="2"/>
      <c r="F854" s="2"/>
      <c r="G854" s="2"/>
      <c r="H854" s="2"/>
      <c r="I854" s="2"/>
    </row>
    <row r="855" spans="1:9" ht="15.75" customHeight="1" x14ac:dyDescent="0.2">
      <c r="A855" s="2"/>
      <c r="B855" s="2"/>
      <c r="C855" s="2"/>
      <c r="D855" s="2"/>
      <c r="E855" s="2"/>
      <c r="F855" s="2"/>
      <c r="G855" s="2"/>
      <c r="H855" s="2"/>
      <c r="I855" s="2"/>
    </row>
    <row r="856" spans="1:9" ht="15.75" customHeight="1" x14ac:dyDescent="0.2">
      <c r="A856" s="2"/>
      <c r="B856" s="2"/>
      <c r="C856" s="2"/>
      <c r="D856" s="2"/>
      <c r="E856" s="2"/>
      <c r="F856" s="2"/>
      <c r="G856" s="2"/>
      <c r="H856" s="2"/>
      <c r="I856" s="2"/>
    </row>
    <row r="857" spans="1:9" ht="15.75" customHeight="1" x14ac:dyDescent="0.2">
      <c r="A857" s="2"/>
      <c r="B857" s="2"/>
      <c r="C857" s="2"/>
      <c r="D857" s="2"/>
      <c r="E857" s="2"/>
      <c r="F857" s="2"/>
      <c r="G857" s="2"/>
      <c r="H857" s="2"/>
      <c r="I857" s="2"/>
    </row>
    <row r="858" spans="1:9" ht="15.75" customHeight="1" x14ac:dyDescent="0.2">
      <c r="A858" s="2"/>
      <c r="B858" s="2"/>
      <c r="C858" s="2"/>
      <c r="D858" s="2"/>
      <c r="E858" s="2"/>
      <c r="F858" s="2"/>
      <c r="G858" s="2"/>
      <c r="H858" s="2"/>
      <c r="I858" s="2"/>
    </row>
    <row r="859" spans="1:9" ht="15.75" customHeight="1" x14ac:dyDescent="0.2">
      <c r="A859" s="2"/>
      <c r="B859" s="2"/>
      <c r="C859" s="2"/>
      <c r="D859" s="2"/>
      <c r="E859" s="2"/>
      <c r="F859" s="2"/>
      <c r="G859" s="2"/>
      <c r="H859" s="2"/>
      <c r="I859" s="2"/>
    </row>
    <row r="860" spans="1:9" ht="15.75" customHeight="1" x14ac:dyDescent="0.2">
      <c r="A860" s="2"/>
      <c r="B860" s="2"/>
      <c r="C860" s="2"/>
      <c r="D860" s="2"/>
      <c r="E860" s="2"/>
      <c r="F860" s="2"/>
      <c r="G860" s="2"/>
      <c r="H860" s="2"/>
      <c r="I860" s="2"/>
    </row>
    <row r="861" spans="1:9" ht="15.75" customHeight="1" x14ac:dyDescent="0.2">
      <c r="A861" s="2"/>
      <c r="B861" s="2"/>
      <c r="C861" s="2"/>
      <c r="D861" s="2"/>
      <c r="E861" s="2"/>
      <c r="F861" s="2"/>
      <c r="G861" s="2"/>
      <c r="H861" s="2"/>
      <c r="I861" s="2"/>
    </row>
    <row r="862" spans="1:9" ht="15.75" customHeight="1" x14ac:dyDescent="0.2">
      <c r="A862" s="2"/>
      <c r="B862" s="2"/>
      <c r="C862" s="2"/>
      <c r="D862" s="2"/>
      <c r="E862" s="2"/>
      <c r="F862" s="2"/>
      <c r="G862" s="2"/>
      <c r="H862" s="2"/>
      <c r="I862" s="2"/>
    </row>
    <row r="863" spans="1:9" ht="15.75" customHeight="1" x14ac:dyDescent="0.2">
      <c r="A863" s="2"/>
      <c r="B863" s="2"/>
      <c r="C863" s="2"/>
      <c r="D863" s="2"/>
      <c r="E863" s="2"/>
      <c r="F863" s="2"/>
      <c r="G863" s="2"/>
      <c r="H863" s="2"/>
      <c r="I863" s="2"/>
    </row>
    <row r="864" spans="1:9" ht="15.75" customHeight="1" x14ac:dyDescent="0.2">
      <c r="A864" s="2"/>
      <c r="B864" s="2"/>
      <c r="C864" s="2"/>
      <c r="D864" s="2"/>
      <c r="E864" s="2"/>
      <c r="F864" s="2"/>
      <c r="G864" s="2"/>
      <c r="H864" s="2"/>
      <c r="I864" s="2"/>
    </row>
    <row r="865" spans="1:9" ht="15.75" customHeight="1" x14ac:dyDescent="0.2">
      <c r="A865" s="2"/>
      <c r="B865" s="2"/>
      <c r="C865" s="2"/>
      <c r="D865" s="2"/>
      <c r="E865" s="2"/>
      <c r="F865" s="2"/>
      <c r="G865" s="2"/>
      <c r="H865" s="2"/>
      <c r="I865" s="2"/>
    </row>
    <row r="866" spans="1:9" ht="15.75" customHeight="1" x14ac:dyDescent="0.2">
      <c r="A866" s="2"/>
      <c r="B866" s="2"/>
      <c r="C866" s="2"/>
      <c r="D866" s="2"/>
      <c r="E866" s="2"/>
      <c r="F866" s="2"/>
      <c r="G866" s="2"/>
      <c r="H866" s="2"/>
      <c r="I866" s="2"/>
    </row>
    <row r="867" spans="1:9" ht="15.75" customHeight="1" x14ac:dyDescent="0.2">
      <c r="A867" s="2"/>
      <c r="B867" s="2"/>
      <c r="C867" s="2"/>
      <c r="D867" s="2"/>
      <c r="E867" s="2"/>
      <c r="F867" s="2"/>
      <c r="G867" s="2"/>
      <c r="H867" s="2"/>
      <c r="I867" s="2"/>
    </row>
    <row r="868" spans="1:9" ht="15.75" customHeight="1" x14ac:dyDescent="0.2">
      <c r="A868" s="2"/>
      <c r="B868" s="2"/>
      <c r="C868" s="2"/>
      <c r="D868" s="2"/>
      <c r="E868" s="2"/>
      <c r="F868" s="2"/>
      <c r="G868" s="2"/>
      <c r="H868" s="2"/>
      <c r="I868" s="2"/>
    </row>
    <row r="869" spans="1:9" ht="15.75" customHeight="1" x14ac:dyDescent="0.2">
      <c r="A869" s="2"/>
      <c r="B869" s="2"/>
      <c r="C869" s="2"/>
      <c r="D869" s="2"/>
      <c r="E869" s="2"/>
      <c r="F869" s="2"/>
      <c r="G869" s="2"/>
      <c r="H869" s="2"/>
      <c r="I869" s="2"/>
    </row>
    <row r="870" spans="1:9" ht="15.75" customHeight="1" x14ac:dyDescent="0.2">
      <c r="A870" s="2"/>
      <c r="B870" s="2"/>
      <c r="C870" s="2"/>
      <c r="D870" s="2"/>
      <c r="E870" s="2"/>
      <c r="F870" s="2"/>
      <c r="G870" s="2"/>
      <c r="H870" s="2"/>
      <c r="I870" s="2"/>
    </row>
    <row r="871" spans="1:9" ht="15.75" customHeight="1" x14ac:dyDescent="0.2">
      <c r="A871" s="2"/>
      <c r="B871" s="2"/>
      <c r="C871" s="2"/>
      <c r="D871" s="2"/>
      <c r="E871" s="2"/>
      <c r="F871" s="2"/>
      <c r="G871" s="2"/>
      <c r="H871" s="2"/>
      <c r="I871" s="2"/>
    </row>
    <row r="872" spans="1:9" ht="15.75" customHeight="1" x14ac:dyDescent="0.2">
      <c r="A872" s="2"/>
      <c r="B872" s="2"/>
      <c r="C872" s="2"/>
      <c r="D872" s="2"/>
      <c r="E872" s="2"/>
      <c r="F872" s="2"/>
      <c r="G872" s="2"/>
      <c r="H872" s="2"/>
      <c r="I872" s="2"/>
    </row>
    <row r="873" spans="1:9" ht="15.75" customHeight="1" x14ac:dyDescent="0.2">
      <c r="A873" s="2"/>
      <c r="B873" s="2"/>
      <c r="C873" s="2"/>
      <c r="D873" s="2"/>
      <c r="E873" s="2"/>
      <c r="F873" s="2"/>
      <c r="G873" s="2"/>
      <c r="H873" s="2"/>
      <c r="I873" s="2"/>
    </row>
    <row r="874" spans="1:9" ht="15.75" customHeight="1" x14ac:dyDescent="0.2">
      <c r="A874" s="2"/>
      <c r="B874" s="2"/>
      <c r="C874" s="2"/>
      <c r="D874" s="2"/>
      <c r="E874" s="2"/>
      <c r="F874" s="2"/>
      <c r="G874" s="2"/>
      <c r="H874" s="2"/>
      <c r="I874" s="2"/>
    </row>
    <row r="875" spans="1:9" ht="15.75" customHeight="1" x14ac:dyDescent="0.2">
      <c r="A875" s="2"/>
      <c r="B875" s="2"/>
      <c r="C875" s="2"/>
      <c r="D875" s="2"/>
      <c r="E875" s="2"/>
      <c r="F875" s="2"/>
      <c r="G875" s="2"/>
      <c r="H875" s="2"/>
      <c r="I875" s="2"/>
    </row>
    <row r="876" spans="1:9" ht="15.75" customHeight="1" x14ac:dyDescent="0.2">
      <c r="A876" s="2"/>
      <c r="B876" s="2"/>
      <c r="C876" s="2"/>
      <c r="D876" s="2"/>
      <c r="E876" s="2"/>
      <c r="F876" s="2"/>
      <c r="G876" s="2"/>
      <c r="H876" s="2"/>
      <c r="I876" s="2"/>
    </row>
    <row r="877" spans="1:9" ht="15.75" customHeight="1" x14ac:dyDescent="0.2">
      <c r="A877" s="2"/>
      <c r="B877" s="2"/>
      <c r="C877" s="2"/>
      <c r="D877" s="2"/>
      <c r="E877" s="2"/>
      <c r="F877" s="2"/>
      <c r="G877" s="2"/>
      <c r="H877" s="2"/>
      <c r="I877" s="2"/>
    </row>
    <row r="878" spans="1:9" ht="15.75" customHeight="1" x14ac:dyDescent="0.2">
      <c r="A878" s="2"/>
      <c r="B878" s="2"/>
      <c r="C878" s="2"/>
      <c r="D878" s="2"/>
      <c r="E878" s="2"/>
      <c r="F878" s="2"/>
      <c r="G878" s="2"/>
      <c r="H878" s="2"/>
      <c r="I878" s="2"/>
    </row>
    <row r="879" spans="1:9" ht="15.75" customHeight="1" x14ac:dyDescent="0.2">
      <c r="A879" s="2"/>
      <c r="B879" s="2"/>
      <c r="C879" s="2"/>
      <c r="D879" s="2"/>
      <c r="E879" s="2"/>
      <c r="F879" s="2"/>
      <c r="G879" s="2"/>
      <c r="H879" s="2"/>
      <c r="I879" s="2"/>
    </row>
    <row r="880" spans="1:9" ht="15.75" customHeight="1" x14ac:dyDescent="0.2">
      <c r="A880" s="2"/>
      <c r="B880" s="2"/>
      <c r="C880" s="2"/>
      <c r="D880" s="2"/>
      <c r="E880" s="2"/>
      <c r="F880" s="2"/>
      <c r="G880" s="2"/>
      <c r="H880" s="2"/>
      <c r="I880" s="2"/>
    </row>
    <row r="881" spans="1:9" ht="15.75" customHeight="1" x14ac:dyDescent="0.2">
      <c r="A881" s="2"/>
      <c r="B881" s="2"/>
      <c r="C881" s="2"/>
      <c r="D881" s="2"/>
      <c r="E881" s="2"/>
      <c r="F881" s="2"/>
      <c r="G881" s="2"/>
      <c r="H881" s="2"/>
      <c r="I881" s="2"/>
    </row>
    <row r="882" spans="1:9" ht="15.75" customHeight="1" x14ac:dyDescent="0.2">
      <c r="A882" s="2"/>
      <c r="B882" s="2"/>
      <c r="C882" s="2"/>
      <c r="D882" s="2"/>
      <c r="E882" s="2"/>
      <c r="F882" s="2"/>
      <c r="G882" s="2"/>
      <c r="H882" s="2"/>
      <c r="I882" s="2"/>
    </row>
    <row r="883" spans="1:9" ht="15.75" customHeight="1" x14ac:dyDescent="0.2">
      <c r="A883" s="2"/>
      <c r="B883" s="2"/>
      <c r="C883" s="2"/>
      <c r="D883" s="2"/>
      <c r="E883" s="2"/>
      <c r="F883" s="2"/>
      <c r="G883" s="2"/>
      <c r="H883" s="2"/>
      <c r="I883" s="2"/>
    </row>
    <row r="884" spans="1:9" ht="15.75" customHeight="1" x14ac:dyDescent="0.2">
      <c r="A884" s="2"/>
      <c r="B884" s="2"/>
      <c r="C884" s="2"/>
      <c r="D884" s="2"/>
      <c r="E884" s="2"/>
      <c r="F884" s="2"/>
      <c r="G884" s="2"/>
      <c r="H884" s="2"/>
      <c r="I884" s="2"/>
    </row>
    <row r="885" spans="1:9" ht="15.75" customHeight="1" x14ac:dyDescent="0.2">
      <c r="A885" s="2"/>
      <c r="B885" s="2"/>
      <c r="C885" s="2"/>
      <c r="D885" s="2"/>
      <c r="E885" s="2"/>
      <c r="F885" s="2"/>
      <c r="G885" s="2"/>
      <c r="H885" s="2"/>
      <c r="I885" s="2"/>
    </row>
    <row r="886" spans="1:9" ht="15.75" customHeight="1" x14ac:dyDescent="0.2">
      <c r="A886" s="2"/>
      <c r="B886" s="2"/>
      <c r="C886" s="2"/>
      <c r="D886" s="2"/>
      <c r="E886" s="2"/>
      <c r="F886" s="2"/>
      <c r="G886" s="2"/>
      <c r="H886" s="2"/>
      <c r="I886" s="2"/>
    </row>
    <row r="887" spans="1:9" ht="15.75" customHeight="1" x14ac:dyDescent="0.2">
      <c r="A887" s="2"/>
      <c r="B887" s="2"/>
      <c r="C887" s="2"/>
      <c r="D887" s="2"/>
      <c r="E887" s="2"/>
      <c r="F887" s="2"/>
      <c r="G887" s="2"/>
      <c r="H887" s="2"/>
      <c r="I887" s="2"/>
    </row>
    <row r="888" spans="1:9" ht="15.75" customHeight="1" x14ac:dyDescent="0.2">
      <c r="A888" s="2"/>
      <c r="B888" s="2"/>
      <c r="C888" s="2"/>
      <c r="D888" s="2"/>
      <c r="E888" s="2"/>
      <c r="F888" s="2"/>
      <c r="G888" s="2"/>
      <c r="H888" s="2"/>
      <c r="I888" s="2"/>
    </row>
    <row r="889" spans="1:9" ht="15.75" customHeight="1" x14ac:dyDescent="0.2">
      <c r="A889" s="2"/>
      <c r="B889" s="2"/>
      <c r="C889" s="2"/>
      <c r="D889" s="2"/>
      <c r="E889" s="2"/>
      <c r="F889" s="2"/>
      <c r="G889" s="2"/>
      <c r="H889" s="2"/>
      <c r="I889" s="2"/>
    </row>
    <row r="890" spans="1:9" ht="15.75" customHeight="1" x14ac:dyDescent="0.2">
      <c r="A890" s="2"/>
      <c r="B890" s="2"/>
      <c r="C890" s="2"/>
      <c r="D890" s="2"/>
      <c r="E890" s="2"/>
      <c r="F890" s="2"/>
      <c r="G890" s="2"/>
      <c r="H890" s="2"/>
      <c r="I890" s="2"/>
    </row>
    <row r="891" spans="1:9" ht="15.75" customHeight="1" x14ac:dyDescent="0.2">
      <c r="A891" s="2"/>
      <c r="B891" s="2"/>
      <c r="C891" s="2"/>
      <c r="D891" s="2"/>
      <c r="E891" s="2"/>
      <c r="F891" s="2"/>
      <c r="G891" s="2"/>
      <c r="H891" s="2"/>
      <c r="I891" s="2"/>
    </row>
    <row r="892" spans="1:9" ht="15.75" customHeight="1" x14ac:dyDescent="0.2">
      <c r="A892" s="2"/>
      <c r="B892" s="2"/>
      <c r="C892" s="2"/>
      <c r="D892" s="2"/>
      <c r="E892" s="2"/>
      <c r="F892" s="2"/>
      <c r="G892" s="2"/>
      <c r="H892" s="2"/>
      <c r="I892" s="2"/>
    </row>
    <row r="893" spans="1:9" ht="15.75" customHeight="1" x14ac:dyDescent="0.2">
      <c r="A893" s="2"/>
      <c r="B893" s="2"/>
      <c r="C893" s="2"/>
      <c r="D893" s="2"/>
      <c r="E893" s="2"/>
      <c r="F893" s="2"/>
      <c r="G893" s="2"/>
      <c r="H893" s="2"/>
      <c r="I893" s="2"/>
    </row>
    <row r="894" spans="1:9" ht="15.75" customHeight="1" x14ac:dyDescent="0.2">
      <c r="A894" s="2"/>
      <c r="B894" s="2"/>
      <c r="C894" s="2"/>
      <c r="D894" s="2"/>
      <c r="E894" s="2"/>
      <c r="F894" s="2"/>
      <c r="G894" s="2"/>
      <c r="H894" s="2"/>
      <c r="I894" s="2"/>
    </row>
    <row r="895" spans="1:9" ht="15.75" customHeight="1" x14ac:dyDescent="0.2">
      <c r="A895" s="2"/>
      <c r="B895" s="2"/>
      <c r="C895" s="2"/>
      <c r="D895" s="2"/>
      <c r="E895" s="2"/>
      <c r="F895" s="2"/>
      <c r="G895" s="2"/>
      <c r="H895" s="2"/>
      <c r="I895" s="2"/>
    </row>
    <row r="896" spans="1:9" ht="15.75" customHeight="1" x14ac:dyDescent="0.2">
      <c r="A896" s="2"/>
      <c r="B896" s="2"/>
      <c r="C896" s="2"/>
      <c r="D896" s="2"/>
      <c r="E896" s="2"/>
      <c r="F896" s="2"/>
      <c r="G896" s="2"/>
      <c r="H896" s="2"/>
      <c r="I896" s="2"/>
    </row>
    <row r="897" spans="1:9" ht="15.75" customHeight="1" x14ac:dyDescent="0.2">
      <c r="A897" s="2"/>
      <c r="B897" s="2"/>
      <c r="C897" s="2"/>
      <c r="D897" s="2"/>
      <c r="E897" s="2"/>
      <c r="F897" s="2"/>
      <c r="G897" s="2"/>
      <c r="H897" s="2"/>
      <c r="I897" s="2"/>
    </row>
    <row r="898" spans="1:9" ht="15.75" customHeight="1" x14ac:dyDescent="0.2">
      <c r="A898" s="2"/>
      <c r="B898" s="2"/>
      <c r="C898" s="2"/>
      <c r="D898" s="2"/>
      <c r="E898" s="2"/>
      <c r="F898" s="2"/>
      <c r="G898" s="2"/>
      <c r="H898" s="2"/>
      <c r="I898" s="2"/>
    </row>
    <row r="899" spans="1:9" ht="15.75" customHeight="1" x14ac:dyDescent="0.2">
      <c r="A899" s="2"/>
      <c r="B899" s="2"/>
      <c r="C899" s="2"/>
      <c r="D899" s="2"/>
      <c r="E899" s="2"/>
      <c r="F899" s="2"/>
      <c r="G899" s="2"/>
      <c r="H899" s="2"/>
      <c r="I899" s="2"/>
    </row>
    <row r="900" spans="1:9" ht="15.75" customHeight="1" x14ac:dyDescent="0.2">
      <c r="A900" s="2"/>
      <c r="B900" s="2"/>
      <c r="C900" s="2"/>
      <c r="D900" s="2"/>
      <c r="E900" s="2"/>
      <c r="F900" s="2"/>
      <c r="G900" s="2"/>
      <c r="H900" s="2"/>
      <c r="I900" s="2"/>
    </row>
    <row r="901" spans="1:9" ht="15.75" customHeight="1" x14ac:dyDescent="0.2">
      <c r="A901" s="2"/>
      <c r="B901" s="2"/>
      <c r="C901" s="2"/>
      <c r="D901" s="2"/>
      <c r="E901" s="2"/>
      <c r="F901" s="2"/>
      <c r="G901" s="2"/>
      <c r="H901" s="2"/>
      <c r="I901" s="2"/>
    </row>
    <row r="902" spans="1:9" ht="15.75" customHeight="1" x14ac:dyDescent="0.2">
      <c r="A902" s="2"/>
      <c r="B902" s="2"/>
      <c r="C902" s="2"/>
      <c r="D902" s="2"/>
      <c r="E902" s="2"/>
      <c r="F902" s="2"/>
      <c r="G902" s="2"/>
      <c r="H902" s="2"/>
      <c r="I902" s="2"/>
    </row>
    <row r="903" spans="1:9" ht="15.75" customHeight="1" x14ac:dyDescent="0.2">
      <c r="A903" s="2"/>
      <c r="B903" s="2"/>
      <c r="C903" s="2"/>
      <c r="D903" s="2"/>
      <c r="E903" s="2"/>
      <c r="F903" s="2"/>
      <c r="G903" s="2"/>
      <c r="H903" s="2"/>
      <c r="I903" s="2"/>
    </row>
    <row r="904" spans="1:9" ht="15.75" customHeight="1" x14ac:dyDescent="0.2">
      <c r="A904" s="2"/>
      <c r="B904" s="2"/>
      <c r="C904" s="2"/>
      <c r="D904" s="2"/>
      <c r="E904" s="2"/>
      <c r="F904" s="2"/>
      <c r="G904" s="2"/>
      <c r="H904" s="2"/>
      <c r="I904" s="2"/>
    </row>
    <row r="905" spans="1:9" ht="15.75" customHeight="1" x14ac:dyDescent="0.2">
      <c r="A905" s="2"/>
      <c r="B905" s="2"/>
      <c r="C905" s="2"/>
      <c r="D905" s="2"/>
      <c r="E905" s="2"/>
      <c r="F905" s="2"/>
      <c r="G905" s="2"/>
      <c r="H905" s="2"/>
      <c r="I905" s="2"/>
    </row>
    <row r="906" spans="1:9" ht="15.75" customHeight="1" x14ac:dyDescent="0.2">
      <c r="A906" s="2"/>
      <c r="B906" s="2"/>
      <c r="C906" s="2"/>
      <c r="D906" s="2"/>
      <c r="E906" s="2"/>
      <c r="F906" s="2"/>
      <c r="G906" s="2"/>
      <c r="H906" s="2"/>
      <c r="I906" s="2"/>
    </row>
    <row r="907" spans="1:9" ht="15.75" customHeight="1" x14ac:dyDescent="0.2">
      <c r="A907" s="2"/>
      <c r="B907" s="2"/>
      <c r="C907" s="2"/>
      <c r="D907" s="2"/>
      <c r="E907" s="2"/>
      <c r="F907" s="2"/>
      <c r="G907" s="2"/>
      <c r="H907" s="2"/>
      <c r="I907" s="2"/>
    </row>
    <row r="908" spans="1:9" ht="15.75" customHeight="1" x14ac:dyDescent="0.2">
      <c r="A908" s="2"/>
      <c r="B908" s="2"/>
      <c r="C908" s="2"/>
      <c r="D908" s="2"/>
      <c r="E908" s="2"/>
      <c r="F908" s="2"/>
      <c r="G908" s="2"/>
      <c r="H908" s="2"/>
      <c r="I908" s="2"/>
    </row>
    <row r="909" spans="1:9" ht="15.75" customHeight="1" x14ac:dyDescent="0.2">
      <c r="A909" s="2"/>
      <c r="B909" s="2"/>
      <c r="C909" s="2"/>
      <c r="D909" s="2"/>
      <c r="E909" s="2"/>
      <c r="F909" s="2"/>
      <c r="G909" s="2"/>
      <c r="H909" s="2"/>
      <c r="I909" s="2"/>
    </row>
    <row r="910" spans="1:9" ht="15.75" customHeight="1" x14ac:dyDescent="0.2">
      <c r="A910" s="2"/>
      <c r="B910" s="2"/>
      <c r="C910" s="2"/>
      <c r="D910" s="2"/>
      <c r="E910" s="2"/>
      <c r="F910" s="2"/>
      <c r="G910" s="2"/>
      <c r="H910" s="2"/>
      <c r="I910" s="2"/>
    </row>
    <row r="911" spans="1:9" ht="15.75" customHeight="1" x14ac:dyDescent="0.2">
      <c r="A911" s="2"/>
      <c r="B911" s="2"/>
      <c r="C911" s="2"/>
      <c r="D911" s="2"/>
      <c r="E911" s="2"/>
      <c r="F911" s="2"/>
      <c r="G911" s="2"/>
      <c r="H911" s="2"/>
      <c r="I911" s="2"/>
    </row>
    <row r="912" spans="1:9" ht="15.75" customHeight="1" x14ac:dyDescent="0.2">
      <c r="A912" s="2"/>
      <c r="B912" s="2"/>
      <c r="C912" s="2"/>
      <c r="D912" s="2"/>
      <c r="E912" s="2"/>
      <c r="F912" s="2"/>
      <c r="G912" s="2"/>
      <c r="H912" s="2"/>
      <c r="I912" s="2"/>
    </row>
    <row r="913" spans="1:9" ht="15.75" customHeight="1" x14ac:dyDescent="0.2">
      <c r="A913" s="2"/>
      <c r="B913" s="2"/>
      <c r="C913" s="2"/>
      <c r="D913" s="2"/>
      <c r="E913" s="2"/>
      <c r="F913" s="2"/>
      <c r="G913" s="2"/>
      <c r="H913" s="2"/>
      <c r="I913" s="2"/>
    </row>
    <row r="914" spans="1:9" ht="15.75" customHeight="1" x14ac:dyDescent="0.2">
      <c r="A914" s="2"/>
      <c r="B914" s="2"/>
      <c r="C914" s="2"/>
      <c r="D914" s="2"/>
      <c r="E914" s="2"/>
      <c r="F914" s="2"/>
      <c r="G914" s="2"/>
      <c r="H914" s="2"/>
      <c r="I914" s="2"/>
    </row>
    <row r="915" spans="1:9" ht="15.75" customHeight="1" x14ac:dyDescent="0.2">
      <c r="A915" s="2"/>
      <c r="B915" s="2"/>
      <c r="C915" s="2"/>
      <c r="D915" s="2"/>
      <c r="E915" s="2"/>
      <c r="F915" s="2"/>
      <c r="G915" s="2"/>
      <c r="H915" s="2"/>
      <c r="I915" s="2"/>
    </row>
    <row r="916" spans="1:9" ht="15.75" customHeight="1" x14ac:dyDescent="0.2">
      <c r="A916" s="2"/>
      <c r="B916" s="2"/>
      <c r="C916" s="2"/>
      <c r="D916" s="2"/>
      <c r="E916" s="2"/>
      <c r="F916" s="2"/>
      <c r="G916" s="2"/>
      <c r="H916" s="2"/>
      <c r="I916" s="2"/>
    </row>
    <row r="917" spans="1:9" ht="15.75" customHeight="1" x14ac:dyDescent="0.2">
      <c r="A917" s="2"/>
      <c r="B917" s="2"/>
      <c r="C917" s="2"/>
      <c r="D917" s="2"/>
      <c r="E917" s="2"/>
      <c r="F917" s="2"/>
      <c r="G917" s="2"/>
      <c r="H917" s="2"/>
      <c r="I917" s="2"/>
    </row>
    <row r="918" spans="1:9" ht="15.75" customHeight="1" x14ac:dyDescent="0.2">
      <c r="A918" s="2"/>
      <c r="B918" s="2"/>
      <c r="C918" s="2"/>
      <c r="D918" s="2"/>
      <c r="E918" s="2"/>
      <c r="F918" s="2"/>
      <c r="G918" s="2"/>
      <c r="H918" s="2"/>
      <c r="I918" s="2"/>
    </row>
    <row r="919" spans="1:9" ht="15.75" customHeight="1" x14ac:dyDescent="0.2">
      <c r="A919" s="2"/>
      <c r="B919" s="2"/>
      <c r="C919" s="2"/>
      <c r="D919" s="2"/>
      <c r="E919" s="2"/>
      <c r="F919" s="2"/>
      <c r="G919" s="2"/>
      <c r="H919" s="2"/>
      <c r="I919" s="2"/>
    </row>
    <row r="920" spans="1:9" ht="15.75" customHeight="1" x14ac:dyDescent="0.2">
      <c r="A920" s="2"/>
      <c r="B920" s="2"/>
      <c r="C920" s="2"/>
      <c r="D920" s="2"/>
      <c r="E920" s="2"/>
      <c r="F920" s="2"/>
      <c r="G920" s="2"/>
      <c r="H920" s="2"/>
      <c r="I920" s="2"/>
    </row>
    <row r="921" spans="1:9" ht="15.75" customHeight="1" x14ac:dyDescent="0.2">
      <c r="A921" s="2"/>
      <c r="B921" s="2"/>
      <c r="C921" s="2"/>
      <c r="D921" s="2"/>
      <c r="E921" s="2"/>
      <c r="F921" s="2"/>
      <c r="G921" s="2"/>
      <c r="H921" s="2"/>
      <c r="I921" s="2"/>
    </row>
    <row r="922" spans="1:9" ht="15.75" customHeight="1" x14ac:dyDescent="0.2">
      <c r="A922" s="2"/>
      <c r="B922" s="2"/>
      <c r="C922" s="2"/>
      <c r="D922" s="2"/>
      <c r="E922" s="2"/>
      <c r="F922" s="2"/>
      <c r="G922" s="2"/>
      <c r="H922" s="2"/>
      <c r="I922" s="2"/>
    </row>
    <row r="923" spans="1:9" ht="15.75" customHeight="1" x14ac:dyDescent="0.2">
      <c r="A923" s="2"/>
      <c r="B923" s="2"/>
      <c r="C923" s="2"/>
      <c r="D923" s="2"/>
      <c r="E923" s="2"/>
      <c r="F923" s="2"/>
      <c r="G923" s="2"/>
      <c r="H923" s="2"/>
      <c r="I923" s="2"/>
    </row>
    <row r="924" spans="1:9" ht="15.75" customHeight="1" x14ac:dyDescent="0.2">
      <c r="A924" s="2"/>
      <c r="B924" s="2"/>
      <c r="C924" s="2"/>
      <c r="D924" s="2"/>
      <c r="E924" s="2"/>
      <c r="F924" s="2"/>
      <c r="G924" s="2"/>
      <c r="H924" s="2"/>
      <c r="I924" s="2"/>
    </row>
    <row r="925" spans="1:9" ht="15.75" customHeight="1" x14ac:dyDescent="0.2">
      <c r="A925" s="2"/>
      <c r="B925" s="2"/>
      <c r="C925" s="2"/>
      <c r="D925" s="2"/>
      <c r="E925" s="2"/>
      <c r="F925" s="2"/>
      <c r="G925" s="2"/>
      <c r="H925" s="2"/>
      <c r="I925" s="2"/>
    </row>
    <row r="926" spans="1:9" ht="15.75" customHeight="1" x14ac:dyDescent="0.2">
      <c r="A926" s="2"/>
      <c r="B926" s="2"/>
      <c r="C926" s="2"/>
      <c r="D926" s="2"/>
      <c r="E926" s="2"/>
      <c r="F926" s="2"/>
      <c r="G926" s="2"/>
      <c r="H926" s="2"/>
      <c r="I926" s="2"/>
    </row>
    <row r="927" spans="1:9" ht="15.75" customHeight="1" x14ac:dyDescent="0.2">
      <c r="A927" s="2"/>
      <c r="B927" s="2"/>
      <c r="C927" s="2"/>
      <c r="D927" s="2"/>
      <c r="E927" s="2"/>
      <c r="F927" s="2"/>
      <c r="G927" s="2"/>
      <c r="H927" s="2"/>
      <c r="I927" s="2"/>
    </row>
    <row r="928" spans="1:9" ht="15.75" customHeight="1" x14ac:dyDescent="0.2">
      <c r="A928" s="2"/>
      <c r="B928" s="2"/>
      <c r="C928" s="2"/>
      <c r="D928" s="2"/>
      <c r="E928" s="2"/>
      <c r="F928" s="2"/>
      <c r="G928" s="2"/>
      <c r="H928" s="2"/>
      <c r="I928" s="2"/>
    </row>
    <row r="929" spans="1:9" ht="15.75" customHeight="1" x14ac:dyDescent="0.2">
      <c r="A929" s="2"/>
      <c r="B929" s="2"/>
      <c r="C929" s="2"/>
      <c r="D929" s="2"/>
      <c r="E929" s="2"/>
      <c r="F929" s="2"/>
      <c r="G929" s="2"/>
      <c r="H929" s="2"/>
      <c r="I929" s="2"/>
    </row>
    <row r="930" spans="1:9" ht="15.75" customHeight="1" x14ac:dyDescent="0.2">
      <c r="A930" s="2"/>
      <c r="B930" s="2"/>
      <c r="C930" s="2"/>
      <c r="D930" s="2"/>
      <c r="E930" s="2"/>
      <c r="F930" s="2"/>
      <c r="G930" s="2"/>
      <c r="H930" s="2"/>
      <c r="I930" s="2"/>
    </row>
    <row r="931" spans="1:9" ht="15.75" customHeight="1" x14ac:dyDescent="0.2">
      <c r="A931" s="2"/>
      <c r="B931" s="2"/>
      <c r="C931" s="2"/>
      <c r="D931" s="2"/>
      <c r="E931" s="2"/>
      <c r="F931" s="2"/>
      <c r="G931" s="2"/>
      <c r="H931" s="2"/>
      <c r="I931" s="2"/>
    </row>
    <row r="932" spans="1:9" ht="15.75" customHeight="1" x14ac:dyDescent="0.2">
      <c r="A932" s="2"/>
      <c r="B932" s="2"/>
      <c r="C932" s="2"/>
      <c r="D932" s="2"/>
      <c r="E932" s="2"/>
      <c r="F932" s="2"/>
      <c r="G932" s="2"/>
      <c r="H932" s="2"/>
      <c r="I932" s="2"/>
    </row>
    <row r="933" spans="1:9" ht="15.75" customHeight="1" x14ac:dyDescent="0.2">
      <c r="A933" s="2"/>
      <c r="B933" s="2"/>
      <c r="C933" s="2"/>
      <c r="D933" s="2"/>
      <c r="E933" s="2"/>
      <c r="F933" s="2"/>
      <c r="G933" s="2"/>
      <c r="H933" s="2"/>
      <c r="I933" s="2"/>
    </row>
    <row r="934" spans="1:9" ht="15.75" customHeight="1" x14ac:dyDescent="0.2">
      <c r="A934" s="2"/>
      <c r="B934" s="2"/>
      <c r="C934" s="2"/>
      <c r="D934" s="2"/>
      <c r="E934" s="2"/>
      <c r="F934" s="2"/>
      <c r="G934" s="2"/>
      <c r="H934" s="2"/>
      <c r="I934" s="2"/>
    </row>
    <row r="935" spans="1:9" ht="15.75" customHeight="1" x14ac:dyDescent="0.2">
      <c r="A935" s="2"/>
      <c r="B935" s="2"/>
      <c r="C935" s="2"/>
      <c r="D935" s="2"/>
      <c r="E935" s="2"/>
      <c r="F935" s="2"/>
      <c r="G935" s="2"/>
      <c r="H935" s="2"/>
      <c r="I935" s="2"/>
    </row>
    <row r="936" spans="1:9" ht="15.75" customHeight="1" x14ac:dyDescent="0.2">
      <c r="A936" s="2"/>
      <c r="B936" s="2"/>
      <c r="C936" s="2"/>
      <c r="D936" s="2"/>
      <c r="E936" s="2"/>
      <c r="F936" s="2"/>
      <c r="G936" s="2"/>
      <c r="H936" s="2"/>
      <c r="I936" s="2"/>
    </row>
    <row r="937" spans="1:9" ht="15.75" customHeight="1" x14ac:dyDescent="0.2">
      <c r="A937" s="2"/>
      <c r="B937" s="2"/>
      <c r="C937" s="2"/>
      <c r="D937" s="2"/>
      <c r="E937" s="2"/>
      <c r="F937" s="2"/>
      <c r="G937" s="2"/>
      <c r="H937" s="2"/>
      <c r="I937" s="2"/>
    </row>
    <row r="938" spans="1:9" ht="15.75" customHeight="1" x14ac:dyDescent="0.2">
      <c r="A938" s="2"/>
      <c r="B938" s="2"/>
      <c r="C938" s="2"/>
      <c r="D938" s="2"/>
      <c r="E938" s="2"/>
      <c r="F938" s="2"/>
      <c r="G938" s="2"/>
      <c r="H938" s="2"/>
      <c r="I938" s="2"/>
    </row>
    <row r="939" spans="1:9" ht="15.75" customHeight="1" x14ac:dyDescent="0.2">
      <c r="A939" s="2"/>
      <c r="B939" s="2"/>
      <c r="C939" s="2"/>
      <c r="D939" s="2"/>
      <c r="E939" s="2"/>
      <c r="F939" s="2"/>
      <c r="G939" s="2"/>
      <c r="H939" s="2"/>
      <c r="I939" s="2"/>
    </row>
    <row r="940" spans="1:9" ht="15.75" customHeight="1" x14ac:dyDescent="0.2">
      <c r="A940" s="2"/>
      <c r="B940" s="2"/>
      <c r="C940" s="2"/>
      <c r="D940" s="2"/>
      <c r="E940" s="2"/>
      <c r="F940" s="2"/>
      <c r="G940" s="2"/>
      <c r="H940" s="2"/>
      <c r="I940" s="2"/>
    </row>
    <row r="941" spans="1:9" ht="15.75" customHeight="1" x14ac:dyDescent="0.2">
      <c r="A941" s="2"/>
      <c r="B941" s="2"/>
      <c r="C941" s="2"/>
      <c r="D941" s="2"/>
      <c r="E941" s="2"/>
      <c r="F941" s="2"/>
      <c r="G941" s="2"/>
      <c r="H941" s="2"/>
      <c r="I941" s="2"/>
    </row>
    <row r="942" spans="1:9" ht="15.75" customHeight="1" x14ac:dyDescent="0.2">
      <c r="A942" s="2"/>
      <c r="B942" s="2"/>
      <c r="C942" s="2"/>
      <c r="D942" s="2"/>
      <c r="E942" s="2"/>
      <c r="F942" s="2"/>
      <c r="G942" s="2"/>
      <c r="H942" s="2"/>
      <c r="I942" s="2"/>
    </row>
    <row r="943" spans="1:9" ht="15.75" customHeight="1" x14ac:dyDescent="0.2">
      <c r="A943" s="2"/>
      <c r="B943" s="2"/>
      <c r="C943" s="2"/>
      <c r="D943" s="2"/>
      <c r="E943" s="2"/>
      <c r="F943" s="2"/>
      <c r="G943" s="2"/>
      <c r="H943" s="2"/>
      <c r="I943" s="2"/>
    </row>
    <row r="944" spans="1:9" ht="15.75" customHeight="1" x14ac:dyDescent="0.2">
      <c r="A944" s="2"/>
      <c r="B944" s="2"/>
      <c r="C944" s="2"/>
      <c r="D944" s="2"/>
      <c r="E944" s="2"/>
      <c r="F944" s="2"/>
      <c r="G944" s="2"/>
      <c r="H944" s="2"/>
      <c r="I944" s="2"/>
    </row>
    <row r="945" spans="1:9" ht="15.75" customHeight="1" x14ac:dyDescent="0.2">
      <c r="A945" s="2"/>
      <c r="B945" s="2"/>
      <c r="C945" s="2"/>
      <c r="D945" s="2"/>
      <c r="E945" s="2"/>
      <c r="F945" s="2"/>
      <c r="G945" s="2"/>
      <c r="H945" s="2"/>
      <c r="I945" s="2"/>
    </row>
    <row r="946" spans="1:9" ht="15.75" customHeight="1" x14ac:dyDescent="0.2">
      <c r="A946" s="2"/>
      <c r="B946" s="2"/>
      <c r="C946" s="2"/>
      <c r="D946" s="2"/>
      <c r="E946" s="2"/>
      <c r="F946" s="2"/>
      <c r="G946" s="2"/>
      <c r="H946" s="2"/>
      <c r="I946" s="2"/>
    </row>
    <row r="947" spans="1:9" ht="15.75" customHeight="1" x14ac:dyDescent="0.2">
      <c r="A947" s="2"/>
      <c r="B947" s="2"/>
      <c r="C947" s="2"/>
      <c r="D947" s="2"/>
      <c r="E947" s="2"/>
      <c r="F947" s="2"/>
      <c r="G947" s="2"/>
      <c r="H947" s="2"/>
      <c r="I947" s="2"/>
    </row>
    <row r="948" spans="1:9" ht="15.75" customHeight="1" x14ac:dyDescent="0.2">
      <c r="A948" s="2"/>
      <c r="B948" s="2"/>
      <c r="C948" s="2"/>
      <c r="D948" s="2"/>
      <c r="E948" s="2"/>
      <c r="F948" s="2"/>
      <c r="G948" s="2"/>
      <c r="H948" s="2"/>
      <c r="I948" s="2"/>
    </row>
    <row r="949" spans="1:9" ht="15.75" customHeight="1" x14ac:dyDescent="0.2">
      <c r="A949" s="2"/>
      <c r="B949" s="2"/>
      <c r="C949" s="2"/>
      <c r="D949" s="2"/>
      <c r="E949" s="2"/>
      <c r="F949" s="2"/>
      <c r="G949" s="2"/>
      <c r="H949" s="2"/>
      <c r="I949" s="2"/>
    </row>
    <row r="950" spans="1:9" ht="15.75" customHeight="1" x14ac:dyDescent="0.2">
      <c r="A950" s="2"/>
      <c r="B950" s="2"/>
      <c r="C950" s="2"/>
      <c r="D950" s="2"/>
      <c r="E950" s="2"/>
      <c r="F950" s="2"/>
      <c r="G950" s="2"/>
      <c r="H950" s="2"/>
      <c r="I950" s="2"/>
    </row>
    <row r="951" spans="1:9" ht="15.75" customHeight="1" x14ac:dyDescent="0.2">
      <c r="A951" s="2"/>
      <c r="B951" s="2"/>
      <c r="C951" s="2"/>
      <c r="D951" s="2"/>
      <c r="E951" s="2"/>
      <c r="F951" s="2"/>
      <c r="G951" s="2"/>
      <c r="H951" s="2"/>
      <c r="I951" s="2"/>
    </row>
    <row r="952" spans="1:9" ht="15.75" customHeight="1" x14ac:dyDescent="0.2">
      <c r="A952" s="2"/>
      <c r="B952" s="2"/>
      <c r="C952" s="2"/>
      <c r="D952" s="2"/>
      <c r="E952" s="2"/>
      <c r="F952" s="2"/>
      <c r="G952" s="2"/>
      <c r="H952" s="2"/>
      <c r="I952" s="2"/>
    </row>
    <row r="953" spans="1:9" ht="15.75" customHeight="1" x14ac:dyDescent="0.2">
      <c r="A953" s="2"/>
      <c r="B953" s="2"/>
      <c r="C953" s="2"/>
      <c r="D953" s="2"/>
      <c r="E953" s="2"/>
      <c r="F953" s="2"/>
      <c r="G953" s="2"/>
      <c r="H953" s="2"/>
      <c r="I953" s="2"/>
    </row>
    <row r="954" spans="1:9" ht="15.75" customHeight="1" x14ac:dyDescent="0.2">
      <c r="A954" s="2"/>
      <c r="B954" s="2"/>
      <c r="C954" s="2"/>
      <c r="D954" s="2"/>
      <c r="E954" s="2"/>
      <c r="F954" s="2"/>
      <c r="G954" s="2"/>
      <c r="H954" s="2"/>
      <c r="I954" s="2"/>
    </row>
    <row r="955" spans="1:9" ht="15.75" customHeight="1" x14ac:dyDescent="0.2">
      <c r="A955" s="2"/>
      <c r="B955" s="2"/>
      <c r="C955" s="2"/>
      <c r="D955" s="2"/>
      <c r="E955" s="2"/>
      <c r="F955" s="2"/>
      <c r="G955" s="2"/>
      <c r="H955" s="2"/>
      <c r="I955" s="2"/>
    </row>
    <row r="956" spans="1:9" ht="15.75" customHeight="1" x14ac:dyDescent="0.2">
      <c r="A956" s="2"/>
      <c r="B956" s="2"/>
      <c r="C956" s="2"/>
      <c r="D956" s="2"/>
      <c r="E956" s="2"/>
      <c r="F956" s="2"/>
      <c r="G956" s="2"/>
      <c r="H956" s="2"/>
      <c r="I956" s="2"/>
    </row>
    <row r="957" spans="1:9" ht="15.75" customHeight="1" x14ac:dyDescent="0.2">
      <c r="A957" s="2"/>
      <c r="B957" s="2"/>
      <c r="C957" s="2"/>
      <c r="D957" s="2"/>
      <c r="E957" s="2"/>
      <c r="F957" s="2"/>
      <c r="G957" s="2"/>
      <c r="H957" s="2"/>
      <c r="I957" s="2"/>
    </row>
    <row r="958" spans="1:9" ht="15.75" customHeight="1" x14ac:dyDescent="0.2">
      <c r="A958" s="2"/>
      <c r="B958" s="2"/>
      <c r="C958" s="2"/>
      <c r="D958" s="2"/>
      <c r="E958" s="2"/>
      <c r="F958" s="2"/>
      <c r="G958" s="2"/>
      <c r="H958" s="2"/>
      <c r="I958" s="2"/>
    </row>
    <row r="959" spans="1:9" ht="15.75" customHeight="1" x14ac:dyDescent="0.2">
      <c r="A959" s="2"/>
      <c r="B959" s="2"/>
      <c r="C959" s="2"/>
      <c r="D959" s="2"/>
      <c r="E959" s="2"/>
      <c r="F959" s="2"/>
      <c r="G959" s="2"/>
      <c r="H959" s="2"/>
      <c r="I959" s="2"/>
    </row>
    <row r="960" spans="1:9" ht="15.75" customHeight="1" x14ac:dyDescent="0.2">
      <c r="A960" s="2"/>
      <c r="B960" s="2"/>
      <c r="C960" s="2"/>
      <c r="D960" s="2"/>
      <c r="E960" s="2"/>
      <c r="F960" s="2"/>
      <c r="G960" s="2"/>
      <c r="H960" s="2"/>
      <c r="I960" s="2"/>
    </row>
    <row r="961" spans="1:9" ht="15.75" customHeight="1" x14ac:dyDescent="0.2">
      <c r="A961" s="2"/>
      <c r="B961" s="2"/>
      <c r="C961" s="2"/>
      <c r="D961" s="2"/>
      <c r="E961" s="2"/>
      <c r="F961" s="2"/>
      <c r="G961" s="2"/>
      <c r="H961" s="2"/>
      <c r="I961" s="2"/>
    </row>
    <row r="962" spans="1:9" ht="15.75" customHeight="1" x14ac:dyDescent="0.2">
      <c r="A962" s="2"/>
      <c r="B962" s="2"/>
      <c r="C962" s="2"/>
      <c r="D962" s="2"/>
      <c r="E962" s="2"/>
      <c r="F962" s="2"/>
      <c r="G962" s="2"/>
      <c r="H962" s="2"/>
      <c r="I962" s="2"/>
    </row>
    <row r="963" spans="1:9" ht="15.75" customHeight="1" x14ac:dyDescent="0.2">
      <c r="A963" s="2"/>
      <c r="B963" s="2"/>
      <c r="C963" s="2"/>
      <c r="D963" s="2"/>
      <c r="E963" s="2"/>
      <c r="F963" s="2"/>
      <c r="G963" s="2"/>
      <c r="H963" s="2"/>
      <c r="I963" s="2"/>
    </row>
    <row r="964" spans="1:9" ht="15.75" customHeight="1" x14ac:dyDescent="0.2">
      <c r="A964" s="2"/>
      <c r="B964" s="2"/>
      <c r="C964" s="2"/>
      <c r="D964" s="2"/>
      <c r="E964" s="2"/>
      <c r="F964" s="2"/>
      <c r="G964" s="2"/>
      <c r="H964" s="2"/>
      <c r="I964" s="2"/>
    </row>
    <row r="965" spans="1:9" ht="15.75" customHeight="1" x14ac:dyDescent="0.2">
      <c r="A965" s="2"/>
      <c r="B965" s="2"/>
      <c r="C965" s="2"/>
      <c r="D965" s="2"/>
      <c r="E965" s="2"/>
      <c r="F965" s="2"/>
      <c r="G965" s="2"/>
      <c r="H965" s="2"/>
      <c r="I965" s="2"/>
    </row>
    <row r="966" spans="1:9" ht="15.75" customHeight="1" x14ac:dyDescent="0.2">
      <c r="A966" s="2"/>
      <c r="B966" s="2"/>
      <c r="C966" s="2"/>
      <c r="D966" s="2"/>
      <c r="E966" s="2"/>
      <c r="F966" s="2"/>
      <c r="G966" s="2"/>
      <c r="H966" s="2"/>
      <c r="I966" s="2"/>
    </row>
    <row r="967" spans="1:9" ht="15.75" customHeight="1" x14ac:dyDescent="0.2">
      <c r="A967" s="2"/>
      <c r="B967" s="2"/>
      <c r="C967" s="2"/>
      <c r="D967" s="2"/>
      <c r="E967" s="2"/>
      <c r="F967" s="2"/>
      <c r="G967" s="2"/>
      <c r="H967" s="2"/>
      <c r="I967" s="2"/>
    </row>
    <row r="968" spans="1:9" ht="15.75" customHeight="1" x14ac:dyDescent="0.2">
      <c r="A968" s="2"/>
      <c r="B968" s="2"/>
      <c r="C968" s="2"/>
      <c r="D968" s="2"/>
      <c r="E968" s="2"/>
      <c r="F968" s="2"/>
      <c r="G968" s="2"/>
      <c r="H968" s="2"/>
      <c r="I968" s="2"/>
    </row>
    <row r="969" spans="1:9" ht="15.75" customHeight="1" x14ac:dyDescent="0.2">
      <c r="A969" s="2"/>
      <c r="B969" s="2"/>
      <c r="C969" s="2"/>
      <c r="D969" s="2"/>
      <c r="E969" s="2"/>
      <c r="F969" s="2"/>
      <c r="G969" s="2"/>
      <c r="H969" s="2"/>
      <c r="I969" s="2"/>
    </row>
    <row r="970" spans="1:9" ht="15.75" customHeight="1" x14ac:dyDescent="0.2">
      <c r="A970" s="2"/>
      <c r="B970" s="2"/>
      <c r="C970" s="2"/>
      <c r="D970" s="2"/>
      <c r="E970" s="2"/>
      <c r="F970" s="2"/>
      <c r="G970" s="2"/>
      <c r="H970" s="2"/>
      <c r="I970" s="2"/>
    </row>
    <row r="971" spans="1:9" ht="15.75" customHeight="1" x14ac:dyDescent="0.2">
      <c r="A971" s="2"/>
      <c r="B971" s="2"/>
      <c r="C971" s="2"/>
      <c r="D971" s="2"/>
      <c r="E971" s="2"/>
      <c r="F971" s="2"/>
      <c r="G971" s="2"/>
      <c r="H971" s="2"/>
      <c r="I971" s="2"/>
    </row>
    <row r="972" spans="1:9" ht="15.75" customHeight="1" x14ac:dyDescent="0.2">
      <c r="A972" s="2"/>
      <c r="B972" s="2"/>
      <c r="C972" s="2"/>
      <c r="D972" s="2"/>
      <c r="E972" s="2"/>
      <c r="F972" s="2"/>
      <c r="G972" s="2"/>
      <c r="H972" s="2"/>
      <c r="I972" s="2"/>
    </row>
    <row r="973" spans="1:9" ht="15.75" customHeight="1" x14ac:dyDescent="0.2">
      <c r="A973" s="2"/>
      <c r="B973" s="2"/>
      <c r="C973" s="2"/>
      <c r="D973" s="2"/>
      <c r="E973" s="2"/>
      <c r="F973" s="2"/>
      <c r="G973" s="2"/>
      <c r="H973" s="2"/>
      <c r="I973" s="2"/>
    </row>
    <row r="974" spans="1:9" ht="15.75" customHeight="1" x14ac:dyDescent="0.2">
      <c r="A974" s="2"/>
      <c r="B974" s="2"/>
      <c r="C974" s="2"/>
      <c r="D974" s="2"/>
      <c r="E974" s="2"/>
      <c r="F974" s="2"/>
      <c r="G974" s="2"/>
      <c r="H974" s="2"/>
      <c r="I974" s="2"/>
    </row>
    <row r="975" spans="1:9" ht="15.75" customHeight="1" x14ac:dyDescent="0.2">
      <c r="A975" s="2"/>
      <c r="B975" s="2"/>
      <c r="C975" s="2"/>
      <c r="D975" s="2"/>
      <c r="E975" s="2"/>
      <c r="F975" s="2"/>
      <c r="G975" s="2"/>
      <c r="H975" s="2"/>
      <c r="I975" s="2"/>
    </row>
    <row r="976" spans="1:9" ht="15.75" customHeight="1" x14ac:dyDescent="0.2">
      <c r="A976" s="2"/>
      <c r="B976" s="2"/>
      <c r="C976" s="2"/>
      <c r="D976" s="2"/>
      <c r="E976" s="2"/>
      <c r="F976" s="2"/>
      <c r="G976" s="2"/>
      <c r="H976" s="2"/>
      <c r="I976" s="2"/>
    </row>
    <row r="977" spans="1:9" ht="15.75" customHeight="1" x14ac:dyDescent="0.2">
      <c r="A977" s="2"/>
      <c r="B977" s="2"/>
      <c r="C977" s="2"/>
      <c r="D977" s="2"/>
      <c r="E977" s="2"/>
      <c r="F977" s="2"/>
      <c r="G977" s="2"/>
      <c r="H977" s="2"/>
      <c r="I977" s="2"/>
    </row>
    <row r="978" spans="1:9" ht="15.75" customHeight="1" x14ac:dyDescent="0.2">
      <c r="A978" s="2"/>
      <c r="B978" s="2"/>
      <c r="C978" s="2"/>
      <c r="D978" s="2"/>
      <c r="E978" s="2"/>
      <c r="F978" s="2"/>
      <c r="G978" s="2"/>
      <c r="H978" s="2"/>
      <c r="I978" s="2"/>
    </row>
    <row r="979" spans="1:9" ht="15.75" customHeight="1" x14ac:dyDescent="0.2">
      <c r="A979" s="2"/>
      <c r="B979" s="2"/>
      <c r="C979" s="2"/>
      <c r="D979" s="2"/>
      <c r="E979" s="2"/>
      <c r="F979" s="2"/>
      <c r="G979" s="2"/>
      <c r="H979" s="2"/>
      <c r="I979" s="2"/>
    </row>
    <row r="980" spans="1:9" ht="15.75" customHeight="1" x14ac:dyDescent="0.2">
      <c r="A980" s="2"/>
      <c r="B980" s="2"/>
      <c r="C980" s="2"/>
      <c r="D980" s="2"/>
      <c r="E980" s="2"/>
      <c r="F980" s="2"/>
      <c r="G980" s="2"/>
      <c r="H980" s="2"/>
      <c r="I980" s="2"/>
    </row>
    <row r="981" spans="1:9" ht="15.75" customHeight="1" x14ac:dyDescent="0.2">
      <c r="A981" s="2"/>
      <c r="B981" s="2"/>
      <c r="C981" s="2"/>
      <c r="D981" s="2"/>
      <c r="E981" s="2"/>
      <c r="F981" s="2"/>
      <c r="G981" s="2"/>
      <c r="H981" s="2"/>
      <c r="I981" s="2"/>
    </row>
    <row r="982" spans="1:9" ht="15.75" customHeight="1" x14ac:dyDescent="0.2">
      <c r="A982" s="2"/>
      <c r="B982" s="2"/>
      <c r="C982" s="2"/>
      <c r="D982" s="2"/>
      <c r="E982" s="2"/>
      <c r="F982" s="2"/>
      <c r="G982" s="2"/>
      <c r="H982" s="2"/>
      <c r="I982" s="2"/>
    </row>
    <row r="983" spans="1:9" ht="15.75" customHeight="1" x14ac:dyDescent="0.2">
      <c r="A983" s="2"/>
      <c r="B983" s="2"/>
      <c r="C983" s="2"/>
      <c r="D983" s="2"/>
      <c r="E983" s="2"/>
      <c r="F983" s="2"/>
      <c r="G983" s="2"/>
      <c r="H983" s="2"/>
      <c r="I983" s="2"/>
    </row>
    <row r="984" spans="1:9" ht="15.75" customHeight="1" x14ac:dyDescent="0.2">
      <c r="A984" s="2"/>
      <c r="B984" s="2"/>
      <c r="C984" s="2"/>
      <c r="D984" s="2"/>
      <c r="E984" s="2"/>
      <c r="F984" s="2"/>
      <c r="G984" s="2"/>
      <c r="H984" s="2"/>
      <c r="I984" s="2"/>
    </row>
    <row r="985" spans="1:9" ht="15.75" customHeight="1" x14ac:dyDescent="0.2">
      <c r="A985" s="2"/>
      <c r="B985" s="2"/>
      <c r="C985" s="2"/>
      <c r="D985" s="2"/>
      <c r="E985" s="2"/>
      <c r="F985" s="2"/>
      <c r="G985" s="2"/>
      <c r="H985" s="2"/>
      <c r="I985" s="2"/>
    </row>
    <row r="986" spans="1:9" ht="15.75" customHeight="1" x14ac:dyDescent="0.2">
      <c r="A986" s="2"/>
      <c r="B986" s="2"/>
      <c r="C986" s="2"/>
      <c r="D986" s="2"/>
      <c r="E986" s="2"/>
      <c r="F986" s="2"/>
      <c r="G986" s="2"/>
      <c r="H986" s="2"/>
      <c r="I986" s="2"/>
    </row>
    <row r="987" spans="1:9" ht="15.75" customHeight="1" x14ac:dyDescent="0.2">
      <c r="A987" s="2"/>
      <c r="B987" s="2"/>
      <c r="C987" s="2"/>
      <c r="D987" s="2"/>
      <c r="E987" s="2"/>
      <c r="F987" s="2"/>
      <c r="G987" s="2"/>
      <c r="H987" s="2"/>
      <c r="I987" s="2"/>
    </row>
    <row r="988" spans="1:9" ht="15.75" customHeight="1" x14ac:dyDescent="0.2">
      <c r="A988" s="2"/>
      <c r="B988" s="2"/>
      <c r="C988" s="2"/>
      <c r="D988" s="2"/>
      <c r="E988" s="2"/>
      <c r="F988" s="2"/>
      <c r="G988" s="2"/>
      <c r="H988" s="2"/>
      <c r="I988" s="2"/>
    </row>
    <row r="989" spans="1:9" ht="15.75" customHeight="1" x14ac:dyDescent="0.2">
      <c r="A989" s="2"/>
      <c r="B989" s="2"/>
      <c r="C989" s="2"/>
      <c r="D989" s="2"/>
      <c r="E989" s="2"/>
      <c r="F989" s="2"/>
      <c r="G989" s="2"/>
      <c r="H989" s="2"/>
      <c r="I989" s="2"/>
    </row>
    <row r="990" spans="1:9" ht="15.75" customHeight="1" x14ac:dyDescent="0.2">
      <c r="A990" s="2"/>
      <c r="B990" s="2"/>
      <c r="C990" s="2"/>
      <c r="D990" s="2"/>
      <c r="E990" s="2"/>
      <c r="F990" s="2"/>
      <c r="G990" s="2"/>
      <c r="H990" s="2"/>
      <c r="I990" s="2"/>
    </row>
    <row r="991" spans="1:9" ht="15.75" customHeight="1" x14ac:dyDescent="0.2">
      <c r="A991" s="2"/>
      <c r="B991" s="2"/>
      <c r="C991" s="2"/>
      <c r="D991" s="2"/>
      <c r="E991" s="2"/>
      <c r="F991" s="2"/>
      <c r="G991" s="2"/>
      <c r="H991" s="2"/>
      <c r="I991" s="2"/>
    </row>
    <row r="992" spans="1:9" ht="15.75" customHeight="1" x14ac:dyDescent="0.2">
      <c r="A992" s="2"/>
      <c r="B992" s="2"/>
      <c r="C992" s="2"/>
      <c r="D992" s="2"/>
      <c r="E992" s="2"/>
      <c r="F992" s="2"/>
      <c r="G992" s="2"/>
      <c r="H992" s="2"/>
      <c r="I992" s="2"/>
    </row>
    <row r="993" spans="1:9" ht="15.75" customHeight="1" x14ac:dyDescent="0.2">
      <c r="A993" s="2"/>
      <c r="B993" s="2"/>
      <c r="C993" s="2"/>
      <c r="D993" s="2"/>
      <c r="E993" s="2"/>
      <c r="F993" s="2"/>
      <c r="G993" s="2"/>
      <c r="H993" s="2"/>
      <c r="I993" s="2"/>
    </row>
    <row r="994" spans="1:9" ht="15.75" customHeight="1" x14ac:dyDescent="0.2">
      <c r="A994" s="2"/>
      <c r="B994" s="2"/>
      <c r="C994" s="2"/>
      <c r="D994" s="2"/>
      <c r="E994" s="2"/>
      <c r="F994" s="2"/>
      <c r="G994" s="2"/>
      <c r="H994" s="2"/>
      <c r="I994" s="2"/>
    </row>
    <row r="995" spans="1:9" ht="15.75" customHeight="1" x14ac:dyDescent="0.2">
      <c r="A995" s="2"/>
      <c r="B995" s="2"/>
      <c r="C995" s="2"/>
      <c r="D995" s="2"/>
      <c r="E995" s="2"/>
      <c r="F995" s="2"/>
      <c r="G995" s="2"/>
      <c r="H995" s="2"/>
      <c r="I995" s="2"/>
    </row>
    <row r="996" spans="1:9" ht="15.75" customHeight="1" x14ac:dyDescent="0.2">
      <c r="A996" s="2"/>
      <c r="B996" s="2"/>
      <c r="C996" s="2"/>
      <c r="D996" s="2"/>
      <c r="E996" s="2"/>
      <c r="F996" s="2"/>
      <c r="G996" s="2"/>
      <c r="H996" s="2"/>
      <c r="I996" s="2"/>
    </row>
    <row r="997" spans="1:9" ht="15.75" customHeight="1" x14ac:dyDescent="0.2">
      <c r="A997" s="2"/>
      <c r="B997" s="2"/>
      <c r="C997" s="2"/>
      <c r="D997" s="2"/>
      <c r="E997" s="2"/>
      <c r="F997" s="2"/>
      <c r="G997" s="2"/>
      <c r="H997" s="2"/>
      <c r="I997" s="2"/>
    </row>
    <row r="998" spans="1:9" ht="15.75" customHeight="1" x14ac:dyDescent="0.2">
      <c r="A998" s="2"/>
      <c r="B998" s="2"/>
      <c r="C998" s="2"/>
      <c r="D998" s="2"/>
      <c r="E998" s="2"/>
      <c r="F998" s="2"/>
      <c r="G998" s="2"/>
      <c r="H998" s="2"/>
      <c r="I998" s="2"/>
    </row>
  </sheetData>
  <mergeCells count="1">
    <mergeCell ref="A1:G1"/>
  </mergeCell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4FC01-305C-4D29-BB12-29F6D3350DD4}">
  <dimension ref="A1:L59"/>
  <sheetViews>
    <sheetView workbookViewId="0">
      <selection sqref="A1:G1"/>
    </sheetView>
  </sheetViews>
  <sheetFormatPr baseColWidth="10" defaultColWidth="8.7109375" defaultRowHeight="16" x14ac:dyDescent="0.2"/>
  <cols>
    <col min="1" max="1" width="23.42578125" customWidth="1"/>
    <col min="7" max="7" width="46.5703125" customWidth="1"/>
    <col min="8" max="8" width="23.5703125" customWidth="1"/>
    <col min="9" max="9" width="36.85546875" customWidth="1"/>
    <col min="10" max="10" width="19.28515625" customWidth="1"/>
  </cols>
  <sheetData>
    <row r="1" spans="1:12" ht="27.25" customHeight="1" x14ac:dyDescent="0.2">
      <c r="A1" s="56" t="s">
        <v>5255</v>
      </c>
      <c r="B1" s="55"/>
      <c r="C1" s="55"/>
      <c r="D1" s="55"/>
      <c r="E1" s="55"/>
      <c r="F1" s="55"/>
      <c r="G1" s="55"/>
      <c r="H1" s="2"/>
      <c r="I1" s="2"/>
    </row>
    <row r="2" spans="1:12" x14ac:dyDescent="0.2">
      <c r="A2" s="2" t="s">
        <v>0</v>
      </c>
      <c r="B2" s="2" t="s">
        <v>1</v>
      </c>
      <c r="C2" s="2" t="s">
        <v>2</v>
      </c>
      <c r="D2" s="2" t="s">
        <v>3</v>
      </c>
      <c r="E2" s="2" t="s">
        <v>4</v>
      </c>
      <c r="F2" s="2" t="s">
        <v>5</v>
      </c>
      <c r="G2" s="2" t="s">
        <v>6</v>
      </c>
      <c r="H2" s="19" t="s">
        <v>181</v>
      </c>
      <c r="I2" s="19" t="s">
        <v>8</v>
      </c>
      <c r="J2" s="36" t="s">
        <v>3155</v>
      </c>
    </row>
    <row r="3" spans="1:12" x14ac:dyDescent="0.2">
      <c r="A3" s="35" t="s">
        <v>2013</v>
      </c>
      <c r="B3" s="35">
        <v>19528.519136212799</v>
      </c>
      <c r="C3" s="35">
        <v>-6.7117776192741001</v>
      </c>
      <c r="D3" s="35">
        <v>0.42505946627222002</v>
      </c>
      <c r="E3" s="35">
        <v>-15.7902085516093</v>
      </c>
      <c r="F3" s="40">
        <v>3.6337656180925899E-56</v>
      </c>
      <c r="G3" s="40">
        <v>1.11135087663744E-51</v>
      </c>
      <c r="H3" s="41" t="s">
        <v>10</v>
      </c>
      <c r="I3" s="21" t="s">
        <v>10</v>
      </c>
      <c r="J3" t="s">
        <v>10</v>
      </c>
      <c r="L3" s="41"/>
    </row>
    <row r="4" spans="1:12" x14ac:dyDescent="0.2">
      <c r="A4" s="35" t="s">
        <v>1998</v>
      </c>
      <c r="B4" s="35">
        <v>23958.8055645239</v>
      </c>
      <c r="C4" s="35">
        <v>-7.1392775980481904</v>
      </c>
      <c r="D4" s="35">
        <v>0.513017956120839</v>
      </c>
      <c r="E4" s="35">
        <v>-13.9162333654586</v>
      </c>
      <c r="F4" s="40">
        <v>5.0481535553844701E-44</v>
      </c>
      <c r="G4" s="40">
        <v>7.7196364168939296E-40</v>
      </c>
      <c r="H4" s="41" t="s">
        <v>10</v>
      </c>
      <c r="I4" s="21" t="s">
        <v>10</v>
      </c>
      <c r="J4" s="42" t="s">
        <v>10</v>
      </c>
      <c r="L4" s="41"/>
    </row>
    <row r="5" spans="1:12" x14ac:dyDescent="0.2">
      <c r="A5" s="35" t="s">
        <v>2041</v>
      </c>
      <c r="B5" s="35">
        <v>302.02591368750802</v>
      </c>
      <c r="C5" s="35">
        <v>-2.32666027690862</v>
      </c>
      <c r="D5" s="35">
        <v>0.20034467292048999</v>
      </c>
      <c r="E5" s="35">
        <v>-11.613287456023301</v>
      </c>
      <c r="F5" s="40">
        <v>3.52786150231629E-31</v>
      </c>
      <c r="G5" s="40">
        <v>3.59653720622804E-27</v>
      </c>
      <c r="H5" s="41" t="s">
        <v>10</v>
      </c>
      <c r="I5" s="21" t="s">
        <v>5217</v>
      </c>
      <c r="J5" s="42" t="s">
        <v>10</v>
      </c>
      <c r="L5" s="41"/>
    </row>
    <row r="6" spans="1:12" x14ac:dyDescent="0.2">
      <c r="A6" s="35" t="s">
        <v>2031</v>
      </c>
      <c r="B6" s="35">
        <v>154.305808008589</v>
      </c>
      <c r="C6" s="35">
        <v>-2.35911757320588</v>
      </c>
      <c r="D6" s="35">
        <v>0.21164573801838199</v>
      </c>
      <c r="E6" s="35">
        <v>-11.146539473433499</v>
      </c>
      <c r="F6" s="40">
        <v>7.4445588650788299E-29</v>
      </c>
      <c r="G6" s="40">
        <v>5.69210970823927E-25</v>
      </c>
      <c r="H6" s="41" t="s">
        <v>2032</v>
      </c>
      <c r="I6" s="41" t="s">
        <v>2074</v>
      </c>
      <c r="J6" s="42" t="s">
        <v>5226</v>
      </c>
      <c r="L6" s="41"/>
    </row>
    <row r="7" spans="1:12" x14ac:dyDescent="0.2">
      <c r="A7" s="35" t="s">
        <v>2045</v>
      </c>
      <c r="B7" s="35">
        <v>90.346466231976507</v>
      </c>
      <c r="C7" s="35">
        <v>-2.9880754342028202</v>
      </c>
      <c r="D7" s="35">
        <v>0.280636594595571</v>
      </c>
      <c r="E7" s="35">
        <v>-10.6474903549516</v>
      </c>
      <c r="F7" s="40">
        <v>1.7912921187891899E-26</v>
      </c>
      <c r="G7" s="40">
        <v>1.0956975632209701E-22</v>
      </c>
      <c r="H7" s="41" t="s">
        <v>2048</v>
      </c>
      <c r="I7" s="21" t="s">
        <v>5219</v>
      </c>
      <c r="J7" s="42" t="s">
        <v>10</v>
      </c>
      <c r="L7" s="41"/>
    </row>
    <row r="8" spans="1:12" x14ac:dyDescent="0.2">
      <c r="A8" s="35" t="s">
        <v>2009</v>
      </c>
      <c r="B8" s="35">
        <v>229.67856007850401</v>
      </c>
      <c r="C8" s="35">
        <v>-2.08334429677444</v>
      </c>
      <c r="D8" s="35">
        <v>0.202171899136593</v>
      </c>
      <c r="E8" s="35">
        <v>-10.3048163749348</v>
      </c>
      <c r="F8" s="40">
        <v>6.7019545826554997E-25</v>
      </c>
      <c r="G8" s="40">
        <v>3.4162096492656001E-21</v>
      </c>
      <c r="H8" s="41" t="s">
        <v>2010</v>
      </c>
      <c r="I8" s="21" t="s">
        <v>2011</v>
      </c>
      <c r="J8" s="42" t="s">
        <v>10</v>
      </c>
      <c r="L8" s="41"/>
    </row>
    <row r="9" spans="1:12" x14ac:dyDescent="0.2">
      <c r="A9" s="35" t="s">
        <v>1972</v>
      </c>
      <c r="B9" s="35">
        <v>69.577820318754704</v>
      </c>
      <c r="C9" s="35">
        <v>-3.3004589051418902</v>
      </c>
      <c r="D9" s="35">
        <v>0.33134050887313099</v>
      </c>
      <c r="E9" s="35">
        <v>-9.9609278574677003</v>
      </c>
      <c r="F9" s="40">
        <v>2.2594405050745399E-23</v>
      </c>
      <c r="G9" s="40">
        <v>8.6378410508999698E-20</v>
      </c>
      <c r="H9" s="41" t="s">
        <v>1973</v>
      </c>
      <c r="I9" s="21" t="s">
        <v>5215</v>
      </c>
      <c r="J9" s="42" t="s">
        <v>5224</v>
      </c>
      <c r="L9" s="41"/>
    </row>
    <row r="10" spans="1:12" x14ac:dyDescent="0.2">
      <c r="A10" s="35" t="s">
        <v>2079</v>
      </c>
      <c r="B10" s="35">
        <v>122.885889458197</v>
      </c>
      <c r="C10" s="35">
        <v>-2.3010340691223301</v>
      </c>
      <c r="D10" s="35">
        <v>0.23301789517128499</v>
      </c>
      <c r="E10" s="35">
        <v>-9.8749242732233107</v>
      </c>
      <c r="F10" s="40">
        <v>5.3473334689288805E-23</v>
      </c>
      <c r="G10" s="40">
        <v>1.8171427423746701E-19</v>
      </c>
      <c r="H10" s="41" t="s">
        <v>10</v>
      </c>
      <c r="I10" s="41" t="s">
        <v>2083</v>
      </c>
      <c r="J10" s="42" t="s">
        <v>10</v>
      </c>
      <c r="L10" s="41"/>
    </row>
    <row r="11" spans="1:12" x14ac:dyDescent="0.2">
      <c r="A11" s="35" t="s">
        <v>2118</v>
      </c>
      <c r="B11" s="35">
        <v>179.91528459969399</v>
      </c>
      <c r="C11" s="35">
        <v>-2.0953363254991402</v>
      </c>
      <c r="D11" s="35">
        <v>0.21469200727239299</v>
      </c>
      <c r="E11" s="35">
        <v>-9.7597314036970992</v>
      </c>
      <c r="F11" s="40">
        <v>1.6759850794766299E-22</v>
      </c>
      <c r="G11" s="40">
        <v>5.1258327670713301E-19</v>
      </c>
      <c r="H11" s="41" t="s">
        <v>10</v>
      </c>
      <c r="I11" s="21" t="s">
        <v>10</v>
      </c>
      <c r="J11" s="42" t="s">
        <v>10</v>
      </c>
      <c r="L11" s="41"/>
    </row>
    <row r="12" spans="1:12" x14ac:dyDescent="0.2">
      <c r="A12" s="35" t="s">
        <v>2140</v>
      </c>
      <c r="B12" s="35">
        <v>119.123322004415</v>
      </c>
      <c r="C12" s="35">
        <v>-2.0330753080246602</v>
      </c>
      <c r="D12" s="35">
        <v>0.22518040867581701</v>
      </c>
      <c r="E12" s="35">
        <v>-9.0286509380644997</v>
      </c>
      <c r="F12" s="40">
        <v>1.73801104426606E-19</v>
      </c>
      <c r="G12" s="40">
        <v>4.0888715213717698E-16</v>
      </c>
      <c r="H12" s="41" t="s">
        <v>10</v>
      </c>
      <c r="I12" s="21" t="s">
        <v>10</v>
      </c>
      <c r="J12" s="42" t="s">
        <v>10</v>
      </c>
      <c r="L12" s="41"/>
    </row>
    <row r="13" spans="1:12" x14ac:dyDescent="0.2">
      <c r="A13" s="35" t="s">
        <v>2085</v>
      </c>
      <c r="B13" s="35">
        <v>85.806820621570793</v>
      </c>
      <c r="C13" s="35">
        <v>-2.2720564843172002</v>
      </c>
      <c r="D13" s="35">
        <v>0.26057123416730898</v>
      </c>
      <c r="E13" s="35">
        <v>-8.71952152192803</v>
      </c>
      <c r="F13" s="40">
        <v>2.7937988331029098E-18</v>
      </c>
      <c r="G13" s="40">
        <v>6.1032531079728201E-15</v>
      </c>
      <c r="H13" s="41" t="s">
        <v>10</v>
      </c>
      <c r="I13" s="41" t="s">
        <v>2088</v>
      </c>
      <c r="J13" s="42" t="s">
        <v>10</v>
      </c>
    </row>
    <row r="14" spans="1:12" x14ac:dyDescent="0.2">
      <c r="A14" s="35" t="s">
        <v>1967</v>
      </c>
      <c r="B14" s="35">
        <v>743.48779336273799</v>
      </c>
      <c r="C14" s="35">
        <v>-10.198948226558599</v>
      </c>
      <c r="D14" s="35">
        <v>1.17793225786944</v>
      </c>
      <c r="E14" s="35">
        <v>-8.6583486940121492</v>
      </c>
      <c r="F14" s="40">
        <v>4.78647436265858E-18</v>
      </c>
      <c r="G14" s="40">
        <v>9.1493457442218702E-15</v>
      </c>
      <c r="H14" s="41" t="s">
        <v>10</v>
      </c>
      <c r="I14" s="21" t="s">
        <v>10</v>
      </c>
      <c r="J14" s="42" t="s">
        <v>10</v>
      </c>
    </row>
    <row r="15" spans="1:12" x14ac:dyDescent="0.2">
      <c r="A15" s="35" t="s">
        <v>2097</v>
      </c>
      <c r="B15" s="35">
        <v>105.415849785679</v>
      </c>
      <c r="C15" s="35">
        <v>-2.2209858196890702</v>
      </c>
      <c r="D15" s="35">
        <v>0.26598330515312002</v>
      </c>
      <c r="E15" s="35">
        <v>-8.3500948242240192</v>
      </c>
      <c r="F15" s="40">
        <v>6.8208184397293699E-17</v>
      </c>
      <c r="G15" s="40">
        <v>1.15893283978157E-13</v>
      </c>
      <c r="H15" s="41" t="s">
        <v>10</v>
      </c>
      <c r="I15" s="41" t="s">
        <v>2100</v>
      </c>
      <c r="J15" s="42" t="s">
        <v>10</v>
      </c>
    </row>
    <row r="16" spans="1:12" x14ac:dyDescent="0.2">
      <c r="A16" s="35" t="s">
        <v>2135</v>
      </c>
      <c r="B16" s="35">
        <v>124.289648199094</v>
      </c>
      <c r="C16" s="35">
        <v>-2.04934242070575</v>
      </c>
      <c r="D16" s="35">
        <v>0.25836242073076598</v>
      </c>
      <c r="E16" s="35">
        <v>-7.93204528316957</v>
      </c>
      <c r="F16" s="40">
        <v>2.15565799772081E-15</v>
      </c>
      <c r="G16" s="40">
        <v>2.7470268417622198E-12</v>
      </c>
      <c r="H16" s="41" t="s">
        <v>10</v>
      </c>
      <c r="I16" s="21" t="s">
        <v>10</v>
      </c>
      <c r="J16" s="42" t="s">
        <v>10</v>
      </c>
    </row>
    <row r="17" spans="1:10" x14ac:dyDescent="0.2">
      <c r="A17" s="35" t="s">
        <v>2151</v>
      </c>
      <c r="B17" s="35">
        <v>88.017999976369296</v>
      </c>
      <c r="C17" s="35">
        <v>-2.01833515225439</v>
      </c>
      <c r="D17" s="35">
        <v>0.26495813284140901</v>
      </c>
      <c r="E17" s="35">
        <v>-7.6175625583173598</v>
      </c>
      <c r="F17" s="40">
        <v>2.58510633558295E-14</v>
      </c>
      <c r="G17" s="40">
        <v>2.5504158763699601E-11</v>
      </c>
      <c r="H17" s="41" t="s">
        <v>10</v>
      </c>
      <c r="I17" s="41" t="s">
        <v>1805</v>
      </c>
      <c r="J17" s="42" t="s">
        <v>10</v>
      </c>
    </row>
    <row r="18" spans="1:10" x14ac:dyDescent="0.2">
      <c r="A18" s="35" t="s">
        <v>5192</v>
      </c>
      <c r="B18" s="35">
        <v>45.3359859565915</v>
      </c>
      <c r="C18" s="35">
        <v>-3.0557709854882402</v>
      </c>
      <c r="D18" s="35">
        <v>0.40369338907024499</v>
      </c>
      <c r="E18" s="35">
        <v>-7.5695343749028297</v>
      </c>
      <c r="F18" s="40">
        <v>3.7456434115327397E-14</v>
      </c>
      <c r="G18" s="40">
        <v>3.5798986905724201E-11</v>
      </c>
      <c r="H18" s="41" t="s">
        <v>5212</v>
      </c>
      <c r="I18" s="21" t="s">
        <v>5216</v>
      </c>
      <c r="J18" s="42" t="s">
        <v>5225</v>
      </c>
    </row>
    <row r="19" spans="1:10" x14ac:dyDescent="0.2">
      <c r="A19" s="35" t="s">
        <v>2024</v>
      </c>
      <c r="B19" s="35">
        <v>30.6413065504412</v>
      </c>
      <c r="C19" s="35">
        <v>-3.3123237466985</v>
      </c>
      <c r="D19" s="35">
        <v>0.46666059723174502</v>
      </c>
      <c r="E19" s="35">
        <v>-7.0979289152488496</v>
      </c>
      <c r="F19" s="40">
        <v>1.2664028769102199E-12</v>
      </c>
      <c r="G19" s="40">
        <v>9.2218251398624296E-10</v>
      </c>
      <c r="H19" s="41" t="s">
        <v>10</v>
      </c>
      <c r="I19" s="21" t="s">
        <v>10</v>
      </c>
      <c r="J19" s="42" t="s">
        <v>10</v>
      </c>
    </row>
    <row r="20" spans="1:10" x14ac:dyDescent="0.2">
      <c r="A20" s="35" t="s">
        <v>1991</v>
      </c>
      <c r="B20" s="35">
        <v>32.0757925009353</v>
      </c>
      <c r="C20" s="35">
        <v>-8.7001507999840904</v>
      </c>
      <c r="D20" s="35">
        <v>1.2314873747176001</v>
      </c>
      <c r="E20" s="35">
        <v>-7.0647503000014096</v>
      </c>
      <c r="F20" s="40">
        <v>1.60905065349586E-12</v>
      </c>
      <c r="G20" s="40">
        <v>1.08383076479576E-9</v>
      </c>
      <c r="H20" s="41" t="s">
        <v>10</v>
      </c>
      <c r="I20" s="41" t="s">
        <v>1994</v>
      </c>
      <c r="J20" s="42" t="s">
        <v>10</v>
      </c>
    </row>
    <row r="21" spans="1:10" x14ac:dyDescent="0.2">
      <c r="A21" s="35" t="s">
        <v>1938</v>
      </c>
      <c r="B21" s="35">
        <v>781.37209724270599</v>
      </c>
      <c r="C21" s="35">
        <v>-26.9842303302303</v>
      </c>
      <c r="D21" s="35">
        <v>3.9068313055984101</v>
      </c>
      <c r="E21" s="35">
        <v>-6.9069351142862097</v>
      </c>
      <c r="F21" s="40">
        <v>4.9523630535183096E-12</v>
      </c>
      <c r="G21" s="40">
        <v>3.1554806589334201E-9</v>
      </c>
      <c r="H21" s="41" t="s">
        <v>10</v>
      </c>
      <c r="I21" s="21" t="s">
        <v>10</v>
      </c>
      <c r="J21" s="42" t="s">
        <v>10</v>
      </c>
    </row>
    <row r="22" spans="1:10" x14ac:dyDescent="0.2">
      <c r="A22" s="35" t="s">
        <v>2102</v>
      </c>
      <c r="B22" s="35">
        <v>55.324885754019</v>
      </c>
      <c r="C22" s="35">
        <v>-2.1976423519310502</v>
      </c>
      <c r="D22" s="35">
        <v>0.32102560905087202</v>
      </c>
      <c r="E22" s="35">
        <v>-6.8456917142170903</v>
      </c>
      <c r="F22" s="40">
        <v>7.6107219280021995E-12</v>
      </c>
      <c r="G22" s="40">
        <v>4.6553263889203797E-9</v>
      </c>
      <c r="H22" s="41" t="s">
        <v>10</v>
      </c>
      <c r="I22" s="21" t="s">
        <v>10</v>
      </c>
      <c r="J22" s="42" t="s">
        <v>10</v>
      </c>
    </row>
    <row r="23" spans="1:10" x14ac:dyDescent="0.2">
      <c r="A23" s="35" t="s">
        <v>1956</v>
      </c>
      <c r="B23" s="35">
        <v>371.28784679114102</v>
      </c>
      <c r="C23" s="35">
        <v>-26.0733495408792</v>
      </c>
      <c r="D23" s="35">
        <v>3.9069048525027199</v>
      </c>
      <c r="E23" s="35">
        <v>-6.6736586953677302</v>
      </c>
      <c r="F23" s="40">
        <v>2.4950350411530901E-11</v>
      </c>
      <c r="G23" s="40">
        <v>1.2933585033665399E-8</v>
      </c>
      <c r="H23" s="41" t="s">
        <v>10</v>
      </c>
      <c r="I23" s="21" t="s">
        <v>10</v>
      </c>
      <c r="J23" s="42" t="s">
        <v>10</v>
      </c>
    </row>
    <row r="24" spans="1:10" x14ac:dyDescent="0.2">
      <c r="A24" s="35" t="s">
        <v>1982</v>
      </c>
      <c r="B24" s="35">
        <v>34.530615262603</v>
      </c>
      <c r="C24" s="35">
        <v>-8.8073117379278401</v>
      </c>
      <c r="D24" s="35">
        <v>1.4117482263097501</v>
      </c>
      <c r="E24" s="35">
        <v>-6.2385853042293498</v>
      </c>
      <c r="F24" s="40">
        <v>4.41545818099885E-10</v>
      </c>
      <c r="G24" s="40">
        <v>1.9859172501127699E-7</v>
      </c>
      <c r="H24" s="41" t="s">
        <v>10</v>
      </c>
      <c r="I24" s="41" t="s">
        <v>1986</v>
      </c>
      <c r="J24" s="42" t="s">
        <v>10</v>
      </c>
    </row>
    <row r="25" spans="1:10" x14ac:dyDescent="0.2">
      <c r="A25" s="35" t="s">
        <v>2147</v>
      </c>
      <c r="B25" s="35">
        <v>52.6396195255412</v>
      </c>
      <c r="C25" s="35">
        <v>-2.0307877858055998</v>
      </c>
      <c r="D25" s="35">
        <v>0.33172001292904502</v>
      </c>
      <c r="E25" s="35">
        <v>-6.1219935688353901</v>
      </c>
      <c r="F25" s="40">
        <v>9.2411754711775901E-10</v>
      </c>
      <c r="G25" s="40">
        <v>3.8193528460877802E-7</v>
      </c>
      <c r="H25" s="41" t="s">
        <v>10</v>
      </c>
      <c r="I25" s="21" t="s">
        <v>10</v>
      </c>
      <c r="J25" s="42" t="s">
        <v>10</v>
      </c>
    </row>
    <row r="26" spans="1:10" x14ac:dyDescent="0.2">
      <c r="A26" s="35" t="s">
        <v>1963</v>
      </c>
      <c r="B26" s="35">
        <v>29.3565572354957</v>
      </c>
      <c r="C26" s="35">
        <v>-2.7668171186027402</v>
      </c>
      <c r="D26" s="35">
        <v>0.46919543861680502</v>
      </c>
      <c r="E26" s="35">
        <v>-5.89693950725386</v>
      </c>
      <c r="F26" s="40">
        <v>3.7030553940850399E-9</v>
      </c>
      <c r="G26" s="40">
        <v>1.3169098392174E-6</v>
      </c>
      <c r="H26" s="41" t="s">
        <v>1964</v>
      </c>
      <c r="I26" s="21" t="s">
        <v>5221</v>
      </c>
      <c r="J26" s="42" t="s">
        <v>5223</v>
      </c>
    </row>
    <row r="27" spans="1:10" x14ac:dyDescent="0.2">
      <c r="A27" s="35" t="s">
        <v>2129</v>
      </c>
      <c r="B27" s="35">
        <v>55.4638011536099</v>
      </c>
      <c r="C27" s="35">
        <v>-2.0613753507561698</v>
      </c>
      <c r="D27" s="35">
        <v>0.35808327490126701</v>
      </c>
      <c r="E27" s="35">
        <v>-5.7566926333673196</v>
      </c>
      <c r="F27" s="40">
        <v>8.5777887427625407E-9</v>
      </c>
      <c r="G27" s="40">
        <v>2.7614932807713301E-6</v>
      </c>
      <c r="H27" s="41" t="s">
        <v>10</v>
      </c>
      <c r="I27" s="21" t="s">
        <v>10</v>
      </c>
      <c r="J27" s="42" t="s">
        <v>10</v>
      </c>
    </row>
    <row r="28" spans="1:10" x14ac:dyDescent="0.2">
      <c r="A28" s="35" t="s">
        <v>2068</v>
      </c>
      <c r="B28" s="35">
        <v>29.5390969436618</v>
      </c>
      <c r="C28" s="35">
        <v>-2.4559081556072599</v>
      </c>
      <c r="D28" s="35">
        <v>0.44175169644866502</v>
      </c>
      <c r="E28" s="35">
        <v>-5.5594764555537104</v>
      </c>
      <c r="F28" s="40">
        <v>2.70585094096856E-8</v>
      </c>
      <c r="G28" s="40">
        <v>7.0131987439476599E-6</v>
      </c>
      <c r="H28" s="41" t="s">
        <v>10</v>
      </c>
      <c r="I28" s="41" t="s">
        <v>2071</v>
      </c>
      <c r="J28" s="42" t="s">
        <v>10</v>
      </c>
    </row>
    <row r="29" spans="1:10" x14ac:dyDescent="0.2">
      <c r="A29" s="35" t="s">
        <v>2051</v>
      </c>
      <c r="B29" s="35">
        <v>31.3946404546361</v>
      </c>
      <c r="C29" s="35">
        <v>-2.2283618963429701</v>
      </c>
      <c r="D29" s="35">
        <v>0.42112891727941398</v>
      </c>
      <c r="E29" s="35">
        <v>-5.2914008155476102</v>
      </c>
      <c r="F29" s="40">
        <v>1.2138301402771999E-7</v>
      </c>
      <c r="G29" s="40">
        <v>2.5960686021145499E-5</v>
      </c>
      <c r="H29" s="41" t="s">
        <v>10</v>
      </c>
      <c r="I29" s="41" t="s">
        <v>2095</v>
      </c>
      <c r="J29" s="42" t="s">
        <v>10</v>
      </c>
    </row>
    <row r="30" spans="1:10" x14ac:dyDescent="0.2">
      <c r="A30" s="35" t="s">
        <v>1976</v>
      </c>
      <c r="B30" s="35">
        <v>1523.1453563611999</v>
      </c>
      <c r="C30" s="35">
        <v>-9.9602371346025098</v>
      </c>
      <c r="D30" s="35">
        <v>2.06466874617167</v>
      </c>
      <c r="E30" s="35">
        <v>-4.8241332431998503</v>
      </c>
      <c r="F30" s="40">
        <v>1.40613397317041E-6</v>
      </c>
      <c r="G30" s="35">
        <v>1.94593671653592E-4</v>
      </c>
      <c r="H30" s="41" t="s">
        <v>10</v>
      </c>
      <c r="I30" s="21" t="s">
        <v>10</v>
      </c>
      <c r="J30" s="42" t="s">
        <v>10</v>
      </c>
    </row>
    <row r="31" spans="1:10" x14ac:dyDescent="0.2">
      <c r="A31" s="35" t="s">
        <v>2061</v>
      </c>
      <c r="B31" s="35">
        <v>29.606985581568399</v>
      </c>
      <c r="C31" s="35">
        <v>-2.1078932444910201</v>
      </c>
      <c r="D31" s="35">
        <v>0.44854745152563502</v>
      </c>
      <c r="E31" s="35">
        <v>-4.6993762584571401</v>
      </c>
      <c r="F31" s="40">
        <v>2.6095728154315799E-6</v>
      </c>
      <c r="G31" s="35">
        <v>3.1054931901618399E-4</v>
      </c>
      <c r="H31" s="41" t="s">
        <v>2062</v>
      </c>
      <c r="I31" s="21" t="s">
        <v>5220</v>
      </c>
      <c r="J31" s="42" t="s">
        <v>5228</v>
      </c>
    </row>
    <row r="32" spans="1:10" x14ac:dyDescent="0.2">
      <c r="A32" s="35" t="s">
        <v>2064</v>
      </c>
      <c r="B32" s="35">
        <v>28.2132182049208</v>
      </c>
      <c r="C32" s="35">
        <v>-2.6306696107234702</v>
      </c>
      <c r="D32" s="35">
        <v>0.56879281516758196</v>
      </c>
      <c r="E32" s="35">
        <v>-4.6250049940388198</v>
      </c>
      <c r="F32" s="40">
        <v>3.74589375601186E-6</v>
      </c>
      <c r="G32" s="35">
        <v>4.1508845881835699E-4</v>
      </c>
      <c r="H32" s="41" t="s">
        <v>10</v>
      </c>
      <c r="I32" s="21" t="s">
        <v>10</v>
      </c>
      <c r="J32" s="42" t="s">
        <v>10</v>
      </c>
    </row>
    <row r="33" spans="1:10" x14ac:dyDescent="0.2">
      <c r="A33" s="35" t="s">
        <v>2020</v>
      </c>
      <c r="B33" s="35">
        <v>33.092940937232903</v>
      </c>
      <c r="C33" s="35">
        <v>-2.1372785471814302</v>
      </c>
      <c r="D33" s="35">
        <v>0.462723505274517</v>
      </c>
      <c r="E33" s="35">
        <v>-4.6189106946565399</v>
      </c>
      <c r="F33" s="40">
        <v>3.8575982977854801E-6</v>
      </c>
      <c r="G33" s="35">
        <v>4.2287020193358801E-4</v>
      </c>
      <c r="H33" s="41" t="s">
        <v>10</v>
      </c>
      <c r="I33" s="41" t="s">
        <v>2108</v>
      </c>
      <c r="J33" s="42" t="s">
        <v>10</v>
      </c>
    </row>
    <row r="34" spans="1:10" x14ac:dyDescent="0.2">
      <c r="A34" s="35" t="s">
        <v>1996</v>
      </c>
      <c r="B34" s="35">
        <v>73.710005960456797</v>
      </c>
      <c r="C34" s="35">
        <v>-2.77451822970164</v>
      </c>
      <c r="D34" s="35">
        <v>0.62880356222521405</v>
      </c>
      <c r="E34" s="35">
        <v>-4.4123767681645401</v>
      </c>
      <c r="F34" s="40">
        <v>1.0224199024250099E-5</v>
      </c>
      <c r="G34" s="35">
        <v>8.9855431884386502E-4</v>
      </c>
      <c r="H34" s="41" t="s">
        <v>10</v>
      </c>
      <c r="I34" s="21" t="s">
        <v>124</v>
      </c>
      <c r="J34" s="42" t="s">
        <v>10</v>
      </c>
    </row>
    <row r="35" spans="1:10" x14ac:dyDescent="0.2">
      <c r="A35" s="35" t="s">
        <v>5193</v>
      </c>
      <c r="B35" s="35">
        <v>28.225028814696898</v>
      </c>
      <c r="C35" s="35">
        <v>-2.07022372775242</v>
      </c>
      <c r="D35" s="35">
        <v>0.48664168876839797</v>
      </c>
      <c r="E35" s="35">
        <v>-4.25410271156953</v>
      </c>
      <c r="F35" s="40">
        <v>2.0988894924577599E-5</v>
      </c>
      <c r="G35" s="35">
        <v>1.5704446201779099E-3</v>
      </c>
      <c r="H35" s="41" t="s">
        <v>10</v>
      </c>
      <c r="I35" s="21" t="s">
        <v>10</v>
      </c>
      <c r="J35" s="42" t="s">
        <v>10</v>
      </c>
    </row>
    <row r="36" spans="1:10" x14ac:dyDescent="0.2">
      <c r="A36" s="35" t="s">
        <v>5194</v>
      </c>
      <c r="B36" s="35">
        <v>51.953205548357502</v>
      </c>
      <c r="C36" s="35">
        <v>-7.0287875543546301</v>
      </c>
      <c r="D36" s="35">
        <v>1.6947351811390801</v>
      </c>
      <c r="E36" s="35">
        <v>-4.1474252925052202</v>
      </c>
      <c r="F36" s="40">
        <v>3.36235132327331E-5</v>
      </c>
      <c r="G36" s="35">
        <v>2.1879606993827801E-3</v>
      </c>
      <c r="H36" s="41" t="s">
        <v>10</v>
      </c>
      <c r="I36" s="21" t="s">
        <v>10</v>
      </c>
      <c r="J36" s="42" t="s">
        <v>10</v>
      </c>
    </row>
    <row r="37" spans="1:10" x14ac:dyDescent="0.2">
      <c r="A37" s="35" t="s">
        <v>5195</v>
      </c>
      <c r="B37" s="35">
        <v>29.125711838220699</v>
      </c>
      <c r="C37" s="35">
        <v>-8.5578801089385106</v>
      </c>
      <c r="D37" s="35">
        <v>2.1504787078032899</v>
      </c>
      <c r="E37" s="35">
        <v>-3.9795232930626798</v>
      </c>
      <c r="F37" s="40">
        <v>6.9053594421278304E-5</v>
      </c>
      <c r="G37" s="35">
        <v>3.7512169303381398E-3</v>
      </c>
      <c r="H37" s="41" t="s">
        <v>5213</v>
      </c>
      <c r="I37" s="21" t="s">
        <v>5218</v>
      </c>
      <c r="J37" s="42" t="s">
        <v>5227</v>
      </c>
    </row>
    <row r="38" spans="1:10" x14ac:dyDescent="0.2">
      <c r="A38" s="35" t="s">
        <v>5196</v>
      </c>
      <c r="B38" s="35">
        <v>70.565825583718095</v>
      </c>
      <c r="C38" s="35">
        <v>-2.4892450568156601</v>
      </c>
      <c r="D38" s="35">
        <v>0.63409643907637003</v>
      </c>
      <c r="E38" s="35">
        <v>-3.9256568928876501</v>
      </c>
      <c r="F38" s="40">
        <v>8.6493371488159706E-5</v>
      </c>
      <c r="G38" s="35">
        <v>4.4015195900064504E-3</v>
      </c>
      <c r="H38" s="41" t="s">
        <v>10</v>
      </c>
      <c r="I38" s="21" t="s">
        <v>10</v>
      </c>
      <c r="J38" s="42" t="s">
        <v>10</v>
      </c>
    </row>
    <row r="39" spans="1:10" x14ac:dyDescent="0.2">
      <c r="A39" s="35" t="s">
        <v>5197</v>
      </c>
      <c r="B39" s="35">
        <v>3367.8501124935901</v>
      </c>
      <c r="C39" s="35">
        <v>-2.0118795240112002</v>
      </c>
      <c r="D39" s="35">
        <v>0.51776899090297401</v>
      </c>
      <c r="E39" s="35">
        <v>-3.8856701721409399</v>
      </c>
      <c r="F39" s="35">
        <v>1.02047979349514E-4</v>
      </c>
      <c r="G39" s="35">
        <v>4.9461733762686602E-3</v>
      </c>
      <c r="H39" s="41" t="s">
        <v>10</v>
      </c>
      <c r="I39" s="21" t="s">
        <v>10</v>
      </c>
      <c r="J39" s="42" t="s">
        <v>10</v>
      </c>
    </row>
    <row r="40" spans="1:10" x14ac:dyDescent="0.2">
      <c r="A40" s="35" t="s">
        <v>5198</v>
      </c>
      <c r="B40" s="35">
        <v>578.33192348760394</v>
      </c>
      <c r="C40" s="35">
        <v>-2.1592937297524801</v>
      </c>
      <c r="D40" s="35">
        <v>0.55965886445601598</v>
      </c>
      <c r="E40" s="35">
        <v>-3.8582319818186099</v>
      </c>
      <c r="F40" s="35">
        <v>1.14210219275164E-4</v>
      </c>
      <c r="G40" s="35">
        <v>5.3004633479690599E-3</v>
      </c>
      <c r="H40" s="41" t="s">
        <v>10</v>
      </c>
      <c r="I40" s="21" t="s">
        <v>10</v>
      </c>
      <c r="J40" s="42" t="s">
        <v>10</v>
      </c>
    </row>
    <row r="41" spans="1:10" x14ac:dyDescent="0.2">
      <c r="A41" s="35" t="s">
        <v>5199</v>
      </c>
      <c r="B41" s="35">
        <v>102.004422470227</v>
      </c>
      <c r="C41" s="35">
        <v>-2.1921770878686502</v>
      </c>
      <c r="D41" s="35">
        <v>0.56851123802558001</v>
      </c>
      <c r="E41" s="35">
        <v>-3.8559960494044101</v>
      </c>
      <c r="F41" s="35">
        <v>1.15259348888794E-4</v>
      </c>
      <c r="G41" s="35">
        <v>5.3249122755511602E-3</v>
      </c>
      <c r="H41" s="41" t="s">
        <v>10</v>
      </c>
      <c r="I41" s="21" t="s">
        <v>10</v>
      </c>
      <c r="J41" s="42" t="s">
        <v>10</v>
      </c>
    </row>
    <row r="42" spans="1:10" x14ac:dyDescent="0.2">
      <c r="A42" s="35" t="s">
        <v>5200</v>
      </c>
      <c r="B42" s="35">
        <v>68.998810382791802</v>
      </c>
      <c r="C42" s="35">
        <v>-2.58727855828836</v>
      </c>
      <c r="D42" s="35">
        <v>0.67735043807004303</v>
      </c>
      <c r="E42" s="35">
        <v>-3.8197045618811898</v>
      </c>
      <c r="F42" s="35">
        <v>1.3361161228562501E-4</v>
      </c>
      <c r="G42" s="35">
        <v>5.9590402734541999E-3</v>
      </c>
      <c r="H42" s="41" t="s">
        <v>10</v>
      </c>
      <c r="I42" s="21" t="s">
        <v>10</v>
      </c>
      <c r="J42" s="42" t="s">
        <v>10</v>
      </c>
    </row>
    <row r="43" spans="1:10" x14ac:dyDescent="0.2">
      <c r="A43" s="35" t="s">
        <v>5201</v>
      </c>
      <c r="B43" s="35">
        <v>44.1534447564865</v>
      </c>
      <c r="C43" s="35">
        <v>-4.1084426939249203</v>
      </c>
      <c r="D43" s="35">
        <v>1.0799861314870001</v>
      </c>
      <c r="E43" s="35">
        <v>-3.8041624555568299</v>
      </c>
      <c r="F43" s="35">
        <v>1.4228478310948501E-4</v>
      </c>
      <c r="G43" s="35">
        <v>6.2523531704317299E-3</v>
      </c>
      <c r="H43" s="41" t="s">
        <v>10</v>
      </c>
      <c r="I43" s="21" t="s">
        <v>10</v>
      </c>
      <c r="J43" s="42" t="s">
        <v>10</v>
      </c>
    </row>
    <row r="44" spans="1:10" x14ac:dyDescent="0.2">
      <c r="A44" s="35" t="s">
        <v>5202</v>
      </c>
      <c r="B44" s="35">
        <v>44.339447495187599</v>
      </c>
      <c r="C44" s="35">
        <v>-2.7832195732381901</v>
      </c>
      <c r="D44" s="35">
        <v>0.74981044446240697</v>
      </c>
      <c r="E44" s="35">
        <v>-3.7118975786389301</v>
      </c>
      <c r="F44" s="35">
        <v>2.05711231431963E-4</v>
      </c>
      <c r="G44" s="35">
        <v>8.1390327323611292E-3</v>
      </c>
      <c r="H44" s="41" t="s">
        <v>10</v>
      </c>
      <c r="I44" s="21" t="s">
        <v>10</v>
      </c>
      <c r="J44" s="42" t="s">
        <v>10</v>
      </c>
    </row>
    <row r="45" spans="1:10" x14ac:dyDescent="0.2">
      <c r="A45" s="35" t="s">
        <v>5203</v>
      </c>
      <c r="B45" s="35">
        <v>29.7174283410328</v>
      </c>
      <c r="C45" s="35">
        <v>-2.95336506771929</v>
      </c>
      <c r="D45" s="35">
        <v>0.80524526733910495</v>
      </c>
      <c r="E45" s="35">
        <v>-3.6676590195662402</v>
      </c>
      <c r="F45" s="35">
        <v>2.4478131619988199E-4</v>
      </c>
      <c r="G45" s="35">
        <v>9.2998655585803391E-3</v>
      </c>
      <c r="H45" s="41" t="s">
        <v>10</v>
      </c>
      <c r="I45" s="21" t="s">
        <v>10</v>
      </c>
      <c r="J45" s="42" t="s">
        <v>10</v>
      </c>
    </row>
    <row r="46" spans="1:10" x14ac:dyDescent="0.2">
      <c r="A46" s="35" t="s">
        <v>5204</v>
      </c>
      <c r="B46" s="35">
        <v>276.67016627033399</v>
      </c>
      <c r="C46" s="35">
        <v>-3.6715969311383398</v>
      </c>
      <c r="D46" s="35">
        <v>1.0071510127988199</v>
      </c>
      <c r="E46" s="35">
        <v>-3.64552771578433</v>
      </c>
      <c r="F46" s="35">
        <v>2.6684365234875098E-4</v>
      </c>
      <c r="G46" s="35">
        <v>9.8327063414870002E-3</v>
      </c>
      <c r="H46" s="41" t="s">
        <v>10</v>
      </c>
      <c r="I46" s="21" t="s">
        <v>10</v>
      </c>
      <c r="J46" s="42" t="s">
        <v>10</v>
      </c>
    </row>
    <row r="47" spans="1:10" x14ac:dyDescent="0.2">
      <c r="A47" s="35" t="s">
        <v>1950</v>
      </c>
      <c r="B47" s="35">
        <v>62.2710119015793</v>
      </c>
      <c r="C47" s="35">
        <v>2.5310850021384002</v>
      </c>
      <c r="D47" s="35">
        <v>0.34141084895424401</v>
      </c>
      <c r="E47" s="35">
        <v>7.4136044882323704</v>
      </c>
      <c r="F47" s="40">
        <v>1.2291211894039799E-13</v>
      </c>
      <c r="G47" s="40">
        <v>1.01598493126301E-10</v>
      </c>
      <c r="H47" s="41" t="s">
        <v>1954</v>
      </c>
      <c r="I47" s="21" t="s">
        <v>5214</v>
      </c>
      <c r="J47" s="42" t="s">
        <v>10</v>
      </c>
    </row>
    <row r="48" spans="1:10" x14ac:dyDescent="0.2">
      <c r="A48" s="35" t="s">
        <v>1987</v>
      </c>
      <c r="B48" s="35">
        <v>36.129661415621598</v>
      </c>
      <c r="C48" s="35">
        <v>2.2500483203227302</v>
      </c>
      <c r="D48" s="35">
        <v>0.400708320723415</v>
      </c>
      <c r="E48" s="35">
        <v>5.6151774344506498</v>
      </c>
      <c r="F48" s="40">
        <v>1.9636064327989499E-8</v>
      </c>
      <c r="G48" s="40">
        <v>5.5096274441030396E-6</v>
      </c>
      <c r="H48" s="41" t="s">
        <v>1988</v>
      </c>
      <c r="I48" s="21" t="s">
        <v>5222</v>
      </c>
      <c r="J48" s="42" t="s">
        <v>10</v>
      </c>
    </row>
    <row r="49" spans="1:10" x14ac:dyDescent="0.2">
      <c r="A49" s="35" t="s">
        <v>2165</v>
      </c>
      <c r="B49" s="35">
        <v>130.60871666370201</v>
      </c>
      <c r="C49" s="35">
        <v>8.4500456282458405</v>
      </c>
      <c r="D49" s="35">
        <v>1.62580689378461</v>
      </c>
      <c r="E49" s="35">
        <v>5.1974472863597896</v>
      </c>
      <c r="F49" s="40">
        <v>2.02043807462818E-7</v>
      </c>
      <c r="G49" s="40">
        <v>3.9109543085081302E-5</v>
      </c>
      <c r="H49" s="41" t="s">
        <v>10</v>
      </c>
      <c r="I49" s="21" t="s">
        <v>10</v>
      </c>
      <c r="J49" s="42" t="s">
        <v>10</v>
      </c>
    </row>
    <row r="50" spans="1:10" x14ac:dyDescent="0.2">
      <c r="A50" s="35" t="s">
        <v>1979</v>
      </c>
      <c r="B50" s="35">
        <v>29.675055639747299</v>
      </c>
      <c r="C50" s="35">
        <v>2.1630918379319302</v>
      </c>
      <c r="D50" s="35">
        <v>0.43522166638547599</v>
      </c>
      <c r="E50" s="35">
        <v>4.97009226561822</v>
      </c>
      <c r="F50" s="40">
        <v>6.6921048819012101E-7</v>
      </c>
      <c r="G50" s="35">
        <v>1.05500688509313E-4</v>
      </c>
      <c r="H50" s="41" t="s">
        <v>10</v>
      </c>
      <c r="I50" s="41" t="s">
        <v>2175</v>
      </c>
      <c r="J50" s="42" t="s">
        <v>10</v>
      </c>
    </row>
    <row r="51" spans="1:10" x14ac:dyDescent="0.2">
      <c r="A51" s="35" t="s">
        <v>2176</v>
      </c>
      <c r="B51" s="35">
        <v>384.40599244530802</v>
      </c>
      <c r="C51" s="35">
        <v>2.13553921415398</v>
      </c>
      <c r="D51" s="35">
        <v>0.44113667646791799</v>
      </c>
      <c r="E51" s="35">
        <v>4.8409922096089604</v>
      </c>
      <c r="F51" s="40">
        <v>1.29192437860126E-6</v>
      </c>
      <c r="G51" s="35">
        <v>1.81248693555692E-4</v>
      </c>
      <c r="H51" s="41" t="s">
        <v>10</v>
      </c>
      <c r="I51" s="41" t="s">
        <v>2179</v>
      </c>
      <c r="J51" s="42" t="s">
        <v>10</v>
      </c>
    </row>
    <row r="52" spans="1:10" x14ac:dyDescent="0.2">
      <c r="A52" s="35" t="s">
        <v>2180</v>
      </c>
      <c r="B52" s="35">
        <v>29.051518484203498</v>
      </c>
      <c r="C52" s="35">
        <v>2.2724320785303598</v>
      </c>
      <c r="D52" s="35">
        <v>0.49499816992429202</v>
      </c>
      <c r="E52" s="35">
        <v>4.5907888485283097</v>
      </c>
      <c r="F52" s="40">
        <v>4.4157388810309301E-6</v>
      </c>
      <c r="G52" s="35">
        <v>4.6443112813479201E-4</v>
      </c>
      <c r="H52" s="41" t="s">
        <v>10</v>
      </c>
      <c r="I52" s="41" t="s">
        <v>2183</v>
      </c>
      <c r="J52" s="42" t="s">
        <v>10</v>
      </c>
    </row>
    <row r="53" spans="1:10" x14ac:dyDescent="0.2">
      <c r="A53" s="35" t="s">
        <v>5205</v>
      </c>
      <c r="B53" s="35">
        <v>257.39200160043299</v>
      </c>
      <c r="C53" s="35">
        <v>5.7456643335893203</v>
      </c>
      <c r="D53" s="35">
        <v>1.3393314104757701</v>
      </c>
      <c r="E53" s="35">
        <v>4.28994966342818</v>
      </c>
      <c r="F53" s="40">
        <v>1.78713619751244E-5</v>
      </c>
      <c r="G53" s="35">
        <v>1.38374110037267E-3</v>
      </c>
      <c r="H53" s="41" t="s">
        <v>10</v>
      </c>
      <c r="I53" s="21" t="s">
        <v>10</v>
      </c>
      <c r="J53" s="42" t="s">
        <v>10</v>
      </c>
    </row>
    <row r="54" spans="1:10" x14ac:dyDescent="0.2">
      <c r="A54" s="35" t="s">
        <v>5206</v>
      </c>
      <c r="B54" s="35">
        <v>61.808780583375999</v>
      </c>
      <c r="C54" s="35">
        <v>2.8902241557316302</v>
      </c>
      <c r="D54" s="35">
        <v>0.69625597318257804</v>
      </c>
      <c r="E54" s="35">
        <v>4.1510942340938897</v>
      </c>
      <c r="F54" s="40">
        <v>3.3088948285104899E-5</v>
      </c>
      <c r="G54" s="35">
        <v>2.1623769110078002E-3</v>
      </c>
      <c r="H54" s="41" t="s">
        <v>10</v>
      </c>
      <c r="I54" s="21" t="s">
        <v>10</v>
      </c>
      <c r="J54" s="42" t="s">
        <v>10</v>
      </c>
    </row>
    <row r="55" spans="1:10" x14ac:dyDescent="0.2">
      <c r="A55" s="35" t="s">
        <v>5207</v>
      </c>
      <c r="B55" s="35">
        <v>45.960684053463801</v>
      </c>
      <c r="C55" s="35">
        <v>3.8972160148063102</v>
      </c>
      <c r="D55" s="35">
        <v>0.95349312826253696</v>
      </c>
      <c r="E55" s="35">
        <v>4.0873037248919202</v>
      </c>
      <c r="F55" s="40">
        <v>4.36415618339537E-5</v>
      </c>
      <c r="G55" s="35">
        <v>2.67481668763455E-3</v>
      </c>
      <c r="H55" s="41" t="s">
        <v>10</v>
      </c>
      <c r="I55" s="21" t="s">
        <v>10</v>
      </c>
      <c r="J55" s="42" t="s">
        <v>10</v>
      </c>
    </row>
    <row r="56" spans="1:10" x14ac:dyDescent="0.2">
      <c r="A56" s="35" t="s">
        <v>5208</v>
      </c>
      <c r="B56" s="35">
        <v>30.2340809141864</v>
      </c>
      <c r="C56" s="35">
        <v>3.5973456358849698</v>
      </c>
      <c r="D56" s="35">
        <v>0.89858039674781898</v>
      </c>
      <c r="E56" s="35">
        <v>4.0033653626371599</v>
      </c>
      <c r="F56" s="40">
        <v>6.24477466183502E-5</v>
      </c>
      <c r="G56" s="35">
        <v>3.4979887959260499E-3</v>
      </c>
      <c r="H56" s="41" t="s">
        <v>10</v>
      </c>
      <c r="I56" s="21" t="s">
        <v>10</v>
      </c>
      <c r="J56" s="42" t="s">
        <v>10</v>
      </c>
    </row>
    <row r="57" spans="1:10" x14ac:dyDescent="0.2">
      <c r="A57" s="35" t="s">
        <v>5209</v>
      </c>
      <c r="B57" s="35">
        <v>30.4048342782873</v>
      </c>
      <c r="C57" s="35">
        <v>2.0008851672685402</v>
      </c>
      <c r="D57" s="35">
        <v>0.50021558426657098</v>
      </c>
      <c r="E57" s="35">
        <v>4.0000456407256699</v>
      </c>
      <c r="F57" s="40">
        <v>6.3330268564048799E-5</v>
      </c>
      <c r="G57" s="35">
        <v>3.5216235159324901E-3</v>
      </c>
      <c r="H57" s="41" t="s">
        <v>10</v>
      </c>
      <c r="I57" s="21" t="s">
        <v>10</v>
      </c>
      <c r="J57" s="42" t="s">
        <v>10</v>
      </c>
    </row>
    <row r="58" spans="1:10" x14ac:dyDescent="0.2">
      <c r="A58" s="35" t="s">
        <v>5210</v>
      </c>
      <c r="B58" s="35">
        <v>57.681233399784297</v>
      </c>
      <c r="C58" s="35">
        <v>2.61955397428058</v>
      </c>
      <c r="D58" s="35">
        <v>0.66097661264715302</v>
      </c>
      <c r="E58" s="35">
        <v>3.9631568260630199</v>
      </c>
      <c r="F58" s="40">
        <v>7.3965158271525403E-5</v>
      </c>
      <c r="G58" s="35">
        <v>3.9548083926159699E-3</v>
      </c>
      <c r="H58" s="41" t="s">
        <v>10</v>
      </c>
      <c r="I58" s="21" t="s">
        <v>10</v>
      </c>
      <c r="J58" s="42" t="s">
        <v>10</v>
      </c>
    </row>
    <row r="59" spans="1:10" x14ac:dyDescent="0.2">
      <c r="A59" s="35" t="s">
        <v>5211</v>
      </c>
      <c r="B59" s="35">
        <v>36.536082680572399</v>
      </c>
      <c r="C59" s="35">
        <v>3.1971979788195899</v>
      </c>
      <c r="D59" s="35">
        <v>0.86361060346169105</v>
      </c>
      <c r="E59" s="35">
        <v>3.7021291378359198</v>
      </c>
      <c r="F59" s="35">
        <v>2.13797742964283E-4</v>
      </c>
      <c r="G59" s="35">
        <v>8.3603373109852695E-3</v>
      </c>
      <c r="H59" s="41" t="s">
        <v>10</v>
      </c>
      <c r="I59" s="21" t="s">
        <v>10</v>
      </c>
      <c r="J59" s="42" t="s">
        <v>10</v>
      </c>
    </row>
  </sheetData>
  <mergeCells count="1">
    <mergeCell ref="A1:G1"/>
  </mergeCells>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Index</vt:lpstr>
      <vt:lpstr>TableS1</vt:lpstr>
      <vt:lpstr>TableS2</vt:lpstr>
      <vt:lpstr>TableS3</vt:lpstr>
      <vt:lpstr>TableS4</vt:lpstr>
      <vt:lpstr>TableS5</vt:lpstr>
      <vt:lpstr>TableS6</vt:lpstr>
      <vt:lpstr>TableS7</vt:lpstr>
      <vt:lpstr>TableS8</vt:lpstr>
      <vt:lpstr>TableS9</vt:lpstr>
      <vt:lpstr>TableS10</vt:lpstr>
      <vt:lpstr>TableS11</vt:lpstr>
      <vt:lpstr>TableS12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dcterms:created xsi:type="dcterms:W3CDTF">2019-09-04T18:40:08Z</dcterms:created>
  <dcterms:modified xsi:type="dcterms:W3CDTF">2021-08-10T03:25:17Z</dcterms:modified>
  <cp:category/>
</cp:coreProperties>
</file>